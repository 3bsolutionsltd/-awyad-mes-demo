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7950" windowHeight="4390"/>
  </bookViews>
  <sheets>
    <sheet name="Revised CP Activity tracker" sheetId="3" r:id="rId1"/>
    <sheet name="Revised GBV Activity tracker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O6" i="3" l="1"/>
  <c r="JO7" i="3"/>
  <c r="JO8" i="3"/>
  <c r="JO9" i="3"/>
  <c r="JO10" i="3"/>
  <c r="JO11" i="3"/>
  <c r="JO12" i="3"/>
  <c r="JF6" i="3"/>
  <c r="JF7" i="3"/>
  <c r="JF8" i="3"/>
  <c r="JF9" i="3"/>
  <c r="JF10" i="3"/>
  <c r="JF11" i="3"/>
  <c r="JF12" i="3"/>
  <c r="IW6" i="3"/>
  <c r="IW7" i="3"/>
  <c r="IW8" i="3"/>
  <c r="IW9" i="3"/>
  <c r="IW10" i="3"/>
  <c r="IW11" i="3"/>
  <c r="IW12" i="3"/>
  <c r="IN6" i="3"/>
  <c r="IN7" i="3"/>
  <c r="IN8" i="3"/>
  <c r="IN9" i="3"/>
  <c r="IN10" i="3"/>
  <c r="IN11" i="3"/>
  <c r="IN12" i="3"/>
  <c r="IN13" i="3"/>
  <c r="IE6" i="3"/>
  <c r="IE7" i="3"/>
  <c r="IE8" i="3"/>
  <c r="IE9" i="3"/>
  <c r="IE10" i="3"/>
  <c r="IE11" i="3"/>
  <c r="IE12" i="3"/>
  <c r="IE13" i="3"/>
  <c r="HV6" i="3"/>
  <c r="HV7" i="3"/>
  <c r="HV8" i="3"/>
  <c r="HV9" i="3"/>
  <c r="HV10" i="3"/>
  <c r="HV11" i="3"/>
  <c r="HV12" i="3"/>
  <c r="HV13" i="3"/>
  <c r="HM6" i="3"/>
  <c r="HM7" i="3"/>
  <c r="HM8" i="3"/>
  <c r="HM9" i="3"/>
  <c r="HM10" i="3"/>
  <c r="HM11" i="3"/>
  <c r="HM12" i="3"/>
  <c r="HM13" i="3"/>
  <c r="HD6" i="3"/>
  <c r="HD7" i="3"/>
  <c r="HD8" i="3"/>
  <c r="HD9" i="3"/>
  <c r="HD10" i="3"/>
  <c r="HD11" i="3"/>
  <c r="IP16" i="3"/>
  <c r="IG16" i="3"/>
  <c r="HX16" i="3"/>
  <c r="HO16" i="3"/>
  <c r="HF16" i="3"/>
  <c r="GW16" i="3"/>
  <c r="GW6" i="3"/>
  <c r="HF6" i="3"/>
  <c r="GN16" i="3"/>
  <c r="GE16" i="3"/>
  <c r="FV16" i="3"/>
  <c r="FM16" i="3"/>
  <c r="FD16" i="3"/>
  <c r="EL16" i="3"/>
  <c r="EC16" i="3"/>
  <c r="IP16" i="4"/>
  <c r="IO16" i="4"/>
  <c r="JN31" i="3" l="1"/>
  <c r="JM31" i="3"/>
  <c r="JL31" i="3"/>
  <c r="JK31" i="3"/>
  <c r="JJ31" i="3"/>
  <c r="JI31" i="3"/>
  <c r="JH31" i="3"/>
  <c r="JG31" i="3"/>
  <c r="JE31" i="3"/>
  <c r="JD31" i="3"/>
  <c r="JC31" i="3"/>
  <c r="JB31" i="3"/>
  <c r="JA31" i="3"/>
  <c r="IZ31" i="3"/>
  <c r="IY31" i="3"/>
  <c r="IX31" i="3"/>
  <c r="JO30" i="3"/>
  <c r="JF30" i="3"/>
  <c r="JO29" i="3"/>
  <c r="JF29" i="3"/>
  <c r="JO28" i="3"/>
  <c r="JF28" i="3"/>
  <c r="JO27" i="3"/>
  <c r="JF27" i="3"/>
  <c r="JO26" i="3"/>
  <c r="JF26" i="3"/>
  <c r="JO25" i="3"/>
  <c r="JF25" i="3"/>
  <c r="JO24" i="3"/>
  <c r="JF24" i="3"/>
  <c r="JO23" i="3"/>
  <c r="JF23" i="3"/>
  <c r="JO22" i="3"/>
  <c r="JF22" i="3"/>
  <c r="JO20" i="3"/>
  <c r="JF20" i="3"/>
  <c r="JO19" i="3"/>
  <c r="JF19" i="3"/>
  <c r="JO18" i="3"/>
  <c r="JF18" i="3"/>
  <c r="JO16" i="3"/>
  <c r="JF16" i="3"/>
  <c r="JO14" i="3"/>
  <c r="JF14" i="3"/>
  <c r="JO13" i="3"/>
  <c r="JF13" i="3"/>
  <c r="JO5" i="3"/>
  <c r="JF5" i="3"/>
  <c r="JP26" i="4"/>
  <c r="JO26" i="4"/>
  <c r="JP25" i="4"/>
  <c r="JO25" i="4"/>
  <c r="JP23" i="4"/>
  <c r="JO23" i="4"/>
  <c r="JP21" i="4"/>
  <c r="JO21" i="4"/>
  <c r="JP20" i="4"/>
  <c r="JO20" i="4"/>
  <c r="JP19" i="4"/>
  <c r="JO19" i="4"/>
  <c r="JO18" i="4"/>
  <c r="JP17" i="4"/>
  <c r="JO17" i="4"/>
  <c r="JO16" i="4"/>
  <c r="JP15" i="4"/>
  <c r="JO15" i="4"/>
  <c r="JP13" i="4"/>
  <c r="JO13" i="4"/>
  <c r="JP12" i="4"/>
  <c r="JO12" i="4"/>
  <c r="JP11" i="4"/>
  <c r="JO11" i="4"/>
  <c r="JP9" i="4"/>
  <c r="JO9" i="4"/>
  <c r="JO8" i="4"/>
  <c r="JP5" i="4"/>
  <c r="JO5" i="4"/>
  <c r="JM27" i="4"/>
  <c r="JL27" i="4"/>
  <c r="JK27" i="4"/>
  <c r="JD27" i="4"/>
  <c r="JC27" i="4"/>
  <c r="JB27" i="4"/>
  <c r="JA27" i="4"/>
  <c r="IZ27" i="4"/>
  <c r="IY27" i="4"/>
  <c r="IX27" i="4"/>
  <c r="IW27" i="4"/>
  <c r="JN26" i="4"/>
  <c r="JE26" i="4"/>
  <c r="JN25" i="4"/>
  <c r="JE25" i="4"/>
  <c r="JN24" i="4"/>
  <c r="JP24" i="4" s="1"/>
  <c r="JE24" i="4"/>
  <c r="JN23" i="4"/>
  <c r="JE23" i="4"/>
  <c r="JN21" i="4"/>
  <c r="JE21" i="4"/>
  <c r="JN20" i="4"/>
  <c r="JE20" i="4"/>
  <c r="JN19" i="4"/>
  <c r="JE19" i="4"/>
  <c r="JN18" i="4"/>
  <c r="JP18" i="4" s="1"/>
  <c r="JE18" i="4"/>
  <c r="JN17" i="4"/>
  <c r="JE17" i="4"/>
  <c r="JN16" i="4"/>
  <c r="JE16" i="4"/>
  <c r="JN15" i="4"/>
  <c r="JE15" i="4"/>
  <c r="JN13" i="4"/>
  <c r="JE13" i="4"/>
  <c r="JN12" i="4"/>
  <c r="JE12" i="4"/>
  <c r="JN11" i="4"/>
  <c r="JE11" i="4"/>
  <c r="JN10" i="4"/>
  <c r="JE10" i="4"/>
  <c r="JN9" i="4"/>
  <c r="JE9" i="4"/>
  <c r="JN8" i="4"/>
  <c r="JE8" i="4"/>
  <c r="JN5" i="4"/>
  <c r="JE5" i="4"/>
  <c r="JF31" i="3" l="1"/>
  <c r="JO31" i="3"/>
  <c r="JN27" i="4"/>
  <c r="JE27" i="4"/>
  <c r="GU6" i="3" l="1"/>
  <c r="GU7" i="3"/>
  <c r="GU8" i="3"/>
  <c r="GU9" i="3"/>
  <c r="GU10" i="3"/>
  <c r="GU11" i="3"/>
  <c r="GU12" i="3"/>
  <c r="GL6" i="3"/>
  <c r="GL7" i="3"/>
  <c r="GL8" i="3"/>
  <c r="GL9" i="3"/>
  <c r="GL10" i="3"/>
  <c r="GL11" i="3"/>
  <c r="GL12" i="3"/>
  <c r="GC6" i="3"/>
  <c r="GC7" i="3"/>
  <c r="GC8" i="3"/>
  <c r="GC9" i="3"/>
  <c r="GC10" i="3"/>
  <c r="GC11" i="3"/>
  <c r="GC12" i="3"/>
  <c r="FT6" i="3"/>
  <c r="FT7" i="3"/>
  <c r="FT8" i="3"/>
  <c r="FT9" i="3"/>
  <c r="FT10" i="3"/>
  <c r="FT11" i="3"/>
  <c r="FT12" i="3"/>
  <c r="FK6" i="3"/>
  <c r="FK7" i="3"/>
  <c r="FK8" i="3"/>
  <c r="FK9" i="3"/>
  <c r="FK10" i="3"/>
  <c r="FK11" i="3"/>
  <c r="FK12" i="3"/>
  <c r="FK13" i="3"/>
  <c r="FB6" i="3"/>
  <c r="FB7" i="3"/>
  <c r="FB8" i="3"/>
  <c r="FB9" i="3"/>
  <c r="FB10" i="3"/>
  <c r="FB11" i="3"/>
  <c r="FB12" i="3"/>
  <c r="FB13" i="3"/>
  <c r="ES6" i="3"/>
  <c r="ES7" i="3"/>
  <c r="ES8" i="3"/>
  <c r="ES9" i="3"/>
  <c r="ES10" i="3"/>
  <c r="ES11" i="3"/>
  <c r="ES12" i="3"/>
  <c r="ES13" i="3"/>
  <c r="EJ6" i="3"/>
  <c r="EJ7" i="3"/>
  <c r="EJ8" i="3"/>
  <c r="EJ9" i="3"/>
  <c r="EJ10" i="3"/>
  <c r="EJ11" i="3"/>
  <c r="EJ12" i="3"/>
  <c r="EJ13" i="3"/>
  <c r="EA6" i="3"/>
  <c r="EA7" i="3"/>
  <c r="EA8" i="3"/>
  <c r="EA9" i="3"/>
  <c r="EA10" i="3"/>
  <c r="EA11" i="3"/>
  <c r="EA12" i="3"/>
  <c r="DR6" i="3"/>
  <c r="DR7" i="3"/>
  <c r="DR8" i="3"/>
  <c r="DR9" i="3"/>
  <c r="DR10" i="3"/>
  <c r="DR11" i="3"/>
  <c r="DI6" i="3"/>
  <c r="DI7" i="3"/>
  <c r="DI8" i="3"/>
  <c r="DI9" i="3"/>
  <c r="DI10" i="3"/>
  <c r="DI11" i="3"/>
  <c r="DI12" i="3"/>
  <c r="DI13" i="3"/>
  <c r="CZ6" i="3"/>
  <c r="CZ7" i="3"/>
  <c r="CZ8" i="3"/>
  <c r="CZ9" i="3"/>
  <c r="CZ10" i="3"/>
  <c r="CZ11" i="3"/>
  <c r="CQ6" i="3"/>
  <c r="CQ7" i="3"/>
  <c r="CQ8" i="3"/>
  <c r="CQ9" i="3"/>
  <c r="CQ10" i="3"/>
  <c r="CQ11" i="3"/>
  <c r="CQ12" i="3"/>
  <c r="CH6" i="3"/>
  <c r="CH7" i="3"/>
  <c r="CH8" i="3"/>
  <c r="CH9" i="3"/>
  <c r="CH10" i="3"/>
  <c r="CH11" i="3"/>
  <c r="CH12" i="3"/>
  <c r="CH13" i="3"/>
  <c r="BY6" i="3"/>
  <c r="BY7" i="3"/>
  <c r="BY8" i="3"/>
  <c r="BY9" i="3"/>
  <c r="BY10" i="3"/>
  <c r="BY11" i="3"/>
  <c r="BY12" i="3"/>
  <c r="BP6" i="3"/>
  <c r="BP7" i="3"/>
  <c r="BP8" i="3"/>
  <c r="BP9" i="3"/>
  <c r="BP10" i="3"/>
  <c r="BP11" i="3"/>
  <c r="BG6" i="3"/>
  <c r="BG7" i="3"/>
  <c r="BG8" i="3"/>
  <c r="BG9" i="3"/>
  <c r="BG10" i="3"/>
  <c r="BG11" i="3"/>
  <c r="AX6" i="3"/>
  <c r="AX7" i="3"/>
  <c r="AX8" i="3"/>
  <c r="AX9" i="3"/>
  <c r="AX10" i="3"/>
  <c r="AO7" i="3"/>
  <c r="AO8" i="3"/>
  <c r="AO9" i="3"/>
  <c r="AO10" i="3"/>
  <c r="AO11" i="3"/>
  <c r="AO12" i="3"/>
  <c r="AH6" i="3"/>
  <c r="AO6" i="3" s="1"/>
  <c r="Y6" i="3"/>
  <c r="AF6" i="3"/>
  <c r="AF7" i="3"/>
  <c r="AF8" i="3"/>
  <c r="AF9" i="3"/>
  <c r="AF10" i="3"/>
  <c r="AF11" i="3"/>
  <c r="AF12" i="3"/>
  <c r="W6" i="3"/>
  <c r="W7" i="3"/>
  <c r="W8" i="3"/>
  <c r="W9" i="3"/>
  <c r="W10" i="3"/>
  <c r="N6" i="3"/>
  <c r="N7" i="3"/>
  <c r="JP7" i="3" s="1"/>
  <c r="N8" i="3"/>
  <c r="N9" i="3"/>
  <c r="N10" i="3"/>
  <c r="JP6" i="3" l="1"/>
  <c r="JQ6" i="3"/>
  <c r="JQ7" i="3"/>
  <c r="JP8" i="3"/>
  <c r="JQ8" i="3"/>
  <c r="JP9" i="3"/>
  <c r="JQ10" i="3"/>
  <c r="JQ9" i="3"/>
  <c r="JP10" i="3"/>
  <c r="IV31" i="3"/>
  <c r="IU31" i="3"/>
  <c r="IT31" i="3"/>
  <c r="IS31" i="3"/>
  <c r="IR31" i="3"/>
  <c r="IQ31" i="3"/>
  <c r="IP31" i="3"/>
  <c r="IO31" i="3"/>
  <c r="IM31" i="3"/>
  <c r="IL31" i="3"/>
  <c r="IK31" i="3"/>
  <c r="IJ31" i="3"/>
  <c r="II31" i="3"/>
  <c r="IH31" i="3"/>
  <c r="IG31" i="3"/>
  <c r="IF31" i="3"/>
  <c r="IW30" i="3"/>
  <c r="IN30" i="3"/>
  <c r="IW29" i="3"/>
  <c r="IN29" i="3"/>
  <c r="IW28" i="3"/>
  <c r="IN28" i="3"/>
  <c r="IW27" i="3"/>
  <c r="IN27" i="3"/>
  <c r="IW26" i="3"/>
  <c r="IN26" i="3"/>
  <c r="IW25" i="3"/>
  <c r="IN25" i="3"/>
  <c r="IW24" i="3"/>
  <c r="IN24" i="3"/>
  <c r="IW23" i="3"/>
  <c r="IN23" i="3"/>
  <c r="IW22" i="3"/>
  <c r="IN22" i="3"/>
  <c r="IW20" i="3"/>
  <c r="IN20" i="3"/>
  <c r="IW19" i="3"/>
  <c r="IN19" i="3"/>
  <c r="IW18" i="3"/>
  <c r="IN18" i="3"/>
  <c r="IW16" i="3"/>
  <c r="IN16" i="3"/>
  <c r="IW14" i="3"/>
  <c r="IN14" i="3"/>
  <c r="IW13" i="3"/>
  <c r="IW5" i="3"/>
  <c r="IN5" i="3"/>
  <c r="IN31" i="3" l="1"/>
  <c r="IW31" i="3"/>
  <c r="IU27" i="4"/>
  <c r="IT27" i="4"/>
  <c r="IS27" i="4"/>
  <c r="IR27" i="4"/>
  <c r="IQ27" i="4"/>
  <c r="IP27" i="4"/>
  <c r="IO27" i="4"/>
  <c r="IN27" i="4"/>
  <c r="IL27" i="4"/>
  <c r="IK27" i="4"/>
  <c r="IJ27" i="4"/>
  <c r="II27" i="4"/>
  <c r="IH27" i="4"/>
  <c r="IG27" i="4"/>
  <c r="IF27" i="4"/>
  <c r="IE27" i="4"/>
  <c r="IV26" i="4"/>
  <c r="IM26" i="4"/>
  <c r="IV25" i="4"/>
  <c r="IM25" i="4"/>
  <c r="IV24" i="4"/>
  <c r="IM24" i="4"/>
  <c r="JO24" i="4" s="1"/>
  <c r="IV23" i="4"/>
  <c r="IM23" i="4"/>
  <c r="IV21" i="4"/>
  <c r="IM21" i="4"/>
  <c r="IV20" i="4"/>
  <c r="IM20" i="4"/>
  <c r="IV19" i="4"/>
  <c r="IM19" i="4"/>
  <c r="IV18" i="4"/>
  <c r="IM18" i="4"/>
  <c r="IV17" i="4"/>
  <c r="IM17" i="4"/>
  <c r="IV16" i="4"/>
  <c r="JP16" i="4" s="1"/>
  <c r="IM16" i="4"/>
  <c r="IV15" i="4"/>
  <c r="IM15" i="4"/>
  <c r="IV13" i="4"/>
  <c r="IM13" i="4"/>
  <c r="IV12" i="4"/>
  <c r="IM12" i="4"/>
  <c r="IV11" i="4"/>
  <c r="IM11" i="4"/>
  <c r="IV10" i="4"/>
  <c r="JP10" i="4" s="1"/>
  <c r="IM10" i="4"/>
  <c r="JO10" i="4" s="1"/>
  <c r="IV9" i="4"/>
  <c r="IM9" i="4"/>
  <c r="IV8" i="4"/>
  <c r="JP8" i="4" s="1"/>
  <c r="IM8" i="4"/>
  <c r="IV5" i="4"/>
  <c r="IM5" i="4"/>
  <c r="IM27" i="4" l="1"/>
  <c r="IV27" i="4"/>
  <c r="GN12" i="4"/>
  <c r="ID31" i="3" l="1"/>
  <c r="IC31" i="3"/>
  <c r="IB31" i="3"/>
  <c r="IA31" i="3"/>
  <c r="HZ31" i="3"/>
  <c r="HY31" i="3"/>
  <c r="HX31" i="3"/>
  <c r="HW31" i="3"/>
  <c r="HU31" i="3"/>
  <c r="HT31" i="3"/>
  <c r="HS31" i="3"/>
  <c r="HR31" i="3"/>
  <c r="HQ31" i="3"/>
  <c r="HP31" i="3"/>
  <c r="HO31" i="3"/>
  <c r="HN31" i="3"/>
  <c r="IE30" i="3"/>
  <c r="HV30" i="3"/>
  <c r="IE29" i="3"/>
  <c r="HV29" i="3"/>
  <c r="IE28" i="3"/>
  <c r="HV28" i="3"/>
  <c r="IE27" i="3"/>
  <c r="HV27" i="3"/>
  <c r="IE26" i="3"/>
  <c r="HV26" i="3"/>
  <c r="IE25" i="3"/>
  <c r="HV25" i="3"/>
  <c r="IE24" i="3"/>
  <c r="HV24" i="3"/>
  <c r="IE23" i="3"/>
  <c r="HV23" i="3"/>
  <c r="IE22" i="3"/>
  <c r="HV22" i="3"/>
  <c r="IE20" i="3"/>
  <c r="HV20" i="3"/>
  <c r="IE19" i="3"/>
  <c r="HV19" i="3"/>
  <c r="IE18" i="3"/>
  <c r="HV18" i="3"/>
  <c r="IE16" i="3"/>
  <c r="HV16" i="3"/>
  <c r="IE14" i="3"/>
  <c r="HV14" i="3"/>
  <c r="IE5" i="3"/>
  <c r="HV5" i="3"/>
  <c r="IE31" i="3" l="1"/>
  <c r="HV31" i="3"/>
  <c r="HX16" i="4"/>
  <c r="HX27" i="4" s="1"/>
  <c r="IC27" i="4"/>
  <c r="IB27" i="4"/>
  <c r="IA27" i="4"/>
  <c r="HZ27" i="4"/>
  <c r="HY27" i="4"/>
  <c r="HW27" i="4"/>
  <c r="HV27" i="4"/>
  <c r="HT27" i="4"/>
  <c r="HS27" i="4"/>
  <c r="HR27" i="4"/>
  <c r="HQ27" i="4"/>
  <c r="HP27" i="4"/>
  <c r="HO27" i="4"/>
  <c r="HN27" i="4"/>
  <c r="HM27" i="4"/>
  <c r="ID26" i="4"/>
  <c r="HU26" i="4"/>
  <c r="ID25" i="4"/>
  <c r="HU25" i="4"/>
  <c r="ID24" i="4"/>
  <c r="HU24" i="4"/>
  <c r="ID23" i="4"/>
  <c r="HU23" i="4"/>
  <c r="ID21" i="4"/>
  <c r="HU21" i="4"/>
  <c r="ID20" i="4"/>
  <c r="HU20" i="4"/>
  <c r="ID19" i="4"/>
  <c r="HU19" i="4"/>
  <c r="ID18" i="4"/>
  <c r="HU18" i="4"/>
  <c r="ID17" i="4"/>
  <c r="HU17" i="4"/>
  <c r="ID16" i="4"/>
  <c r="HU16" i="4"/>
  <c r="ID15" i="4"/>
  <c r="HU15" i="4"/>
  <c r="ID13" i="4"/>
  <c r="HU13" i="4"/>
  <c r="ID12" i="4"/>
  <c r="HU12" i="4"/>
  <c r="ID11" i="4"/>
  <c r="HU11" i="4"/>
  <c r="ID10" i="4"/>
  <c r="HU10" i="4"/>
  <c r="ID9" i="4"/>
  <c r="HU9" i="4"/>
  <c r="ID8" i="4"/>
  <c r="HU8" i="4"/>
  <c r="ID5" i="4"/>
  <c r="HU5" i="4"/>
  <c r="HU27" i="4" l="1"/>
  <c r="ID27" i="4"/>
  <c r="E17" i="3"/>
  <c r="HL31" i="3" l="1"/>
  <c r="HK31" i="3"/>
  <c r="HJ31" i="3"/>
  <c r="HI31" i="3"/>
  <c r="HH31" i="3"/>
  <c r="HG31" i="3"/>
  <c r="HF31" i="3"/>
  <c r="HE31" i="3"/>
  <c r="HC31" i="3"/>
  <c r="HB31" i="3"/>
  <c r="HA31" i="3"/>
  <c r="GZ31" i="3"/>
  <c r="GY31" i="3"/>
  <c r="GX31" i="3"/>
  <c r="GW31" i="3"/>
  <c r="GV31" i="3"/>
  <c r="HM30" i="3"/>
  <c r="HD30" i="3"/>
  <c r="HM29" i="3"/>
  <c r="HD29" i="3"/>
  <c r="HM28" i="3"/>
  <c r="HD28" i="3"/>
  <c r="HM27" i="3"/>
  <c r="HD27" i="3"/>
  <c r="HM26" i="3"/>
  <c r="HD26" i="3"/>
  <c r="HM25" i="3"/>
  <c r="HD25" i="3"/>
  <c r="HM24" i="3"/>
  <c r="HD24" i="3"/>
  <c r="HM23" i="3"/>
  <c r="HD23" i="3"/>
  <c r="HM22" i="3"/>
  <c r="HD22" i="3"/>
  <c r="HM20" i="3"/>
  <c r="HD20" i="3"/>
  <c r="HM19" i="3"/>
  <c r="HD19" i="3"/>
  <c r="HM18" i="3"/>
  <c r="HD18" i="3"/>
  <c r="HM16" i="3"/>
  <c r="HD16" i="3"/>
  <c r="HM14" i="3"/>
  <c r="HD14" i="3"/>
  <c r="HD13" i="3"/>
  <c r="HD12" i="3"/>
  <c r="HM5" i="3"/>
  <c r="HD5" i="3"/>
  <c r="GT31" i="3"/>
  <c r="GS31" i="3"/>
  <c r="GR31" i="3"/>
  <c r="GQ31" i="3"/>
  <c r="GP31" i="3"/>
  <c r="GO31" i="3"/>
  <c r="GN31" i="3"/>
  <c r="GM31" i="3"/>
  <c r="GK31" i="3"/>
  <c r="GJ31" i="3"/>
  <c r="GI31" i="3"/>
  <c r="GH31" i="3"/>
  <c r="GG31" i="3"/>
  <c r="GF31" i="3"/>
  <c r="GE31" i="3"/>
  <c r="GD31" i="3"/>
  <c r="GU30" i="3"/>
  <c r="GL30" i="3"/>
  <c r="GU29" i="3"/>
  <c r="GL29" i="3"/>
  <c r="GU28" i="3"/>
  <c r="GL28" i="3"/>
  <c r="GU27" i="3"/>
  <c r="GL27" i="3"/>
  <c r="GU26" i="3"/>
  <c r="GL26" i="3"/>
  <c r="GU25" i="3"/>
  <c r="GL25" i="3"/>
  <c r="GU24" i="3"/>
  <c r="GL24" i="3"/>
  <c r="GU23" i="3"/>
  <c r="GL23" i="3"/>
  <c r="GU22" i="3"/>
  <c r="GL22" i="3"/>
  <c r="GU20" i="3"/>
  <c r="GL20" i="3"/>
  <c r="GU19" i="3"/>
  <c r="GL19" i="3"/>
  <c r="GU18" i="3"/>
  <c r="GL18" i="3"/>
  <c r="GU16" i="3"/>
  <c r="GL16" i="3"/>
  <c r="GU14" i="3"/>
  <c r="GL14" i="3"/>
  <c r="GU13" i="3"/>
  <c r="GL13" i="3"/>
  <c r="GU5" i="3"/>
  <c r="GL5" i="3"/>
  <c r="HF16" i="4"/>
  <c r="HE16" i="4"/>
  <c r="GL31" i="3" l="1"/>
  <c r="HD31" i="3"/>
  <c r="HM31" i="3"/>
  <c r="GU31" i="3"/>
  <c r="HK27" i="4"/>
  <c r="HJ27" i="4"/>
  <c r="HI27" i="4"/>
  <c r="HH27" i="4"/>
  <c r="HG27" i="4"/>
  <c r="HF27" i="4"/>
  <c r="HE27" i="4"/>
  <c r="HD27" i="4"/>
  <c r="HB27" i="4"/>
  <c r="HA27" i="4"/>
  <c r="GZ27" i="4"/>
  <c r="GY27" i="4"/>
  <c r="GX27" i="4"/>
  <c r="GW27" i="4"/>
  <c r="GV27" i="4"/>
  <c r="GU27" i="4"/>
  <c r="HL26" i="4"/>
  <c r="HC26" i="4"/>
  <c r="HL25" i="4"/>
  <c r="HC25" i="4"/>
  <c r="HL24" i="4"/>
  <c r="HC24" i="4"/>
  <c r="HL23" i="4"/>
  <c r="HC23" i="4"/>
  <c r="HL21" i="4"/>
  <c r="HC21" i="4"/>
  <c r="HL20" i="4"/>
  <c r="HC20" i="4"/>
  <c r="HL19" i="4"/>
  <c r="HC19" i="4"/>
  <c r="HL18" i="4"/>
  <c r="HC18" i="4"/>
  <c r="HL17" i="4"/>
  <c r="HC17" i="4"/>
  <c r="HL16" i="4"/>
  <c r="HC16" i="4"/>
  <c r="HL15" i="4"/>
  <c r="HC15" i="4"/>
  <c r="HL13" i="4"/>
  <c r="HC13" i="4"/>
  <c r="HL12" i="4"/>
  <c r="HC12" i="4"/>
  <c r="HL11" i="4"/>
  <c r="HC11" i="4"/>
  <c r="HL10" i="4"/>
  <c r="HC10" i="4"/>
  <c r="HL9" i="4"/>
  <c r="HC9" i="4"/>
  <c r="HL8" i="4"/>
  <c r="HC8" i="4"/>
  <c r="HL5" i="4"/>
  <c r="HC5" i="4"/>
  <c r="HL27" i="4" l="1"/>
  <c r="HC27" i="4"/>
  <c r="GC27" i="4"/>
  <c r="GD27" i="4"/>
  <c r="GE27" i="4"/>
  <c r="GF27" i="4"/>
  <c r="GG27" i="4"/>
  <c r="GH27" i="4"/>
  <c r="GI27" i="4"/>
  <c r="GJ27" i="4"/>
  <c r="GL27" i="4"/>
  <c r="GM27" i="4"/>
  <c r="GN27" i="4"/>
  <c r="GO27" i="4"/>
  <c r="GP27" i="4"/>
  <c r="GQ27" i="4"/>
  <c r="GR27" i="4"/>
  <c r="GS27" i="4"/>
  <c r="GT26" i="4"/>
  <c r="GT25" i="4"/>
  <c r="GT24" i="4"/>
  <c r="GT23" i="4"/>
  <c r="GK26" i="4"/>
  <c r="GK25" i="4"/>
  <c r="GK24" i="4"/>
  <c r="GK23" i="4"/>
  <c r="GT21" i="4"/>
  <c r="GT20" i="4"/>
  <c r="GT19" i="4"/>
  <c r="GT18" i="4"/>
  <c r="GT17" i="4"/>
  <c r="GT16" i="4"/>
  <c r="GT15" i="4"/>
  <c r="GK21" i="4"/>
  <c r="GK20" i="4"/>
  <c r="GK19" i="4"/>
  <c r="GK18" i="4"/>
  <c r="GK17" i="4"/>
  <c r="GK16" i="4"/>
  <c r="GK15" i="4"/>
  <c r="GT13" i="4"/>
  <c r="GT12" i="4"/>
  <c r="GT11" i="4"/>
  <c r="GT10" i="4"/>
  <c r="GT9" i="4"/>
  <c r="GT8" i="4"/>
  <c r="GK13" i="4"/>
  <c r="GK12" i="4"/>
  <c r="GK11" i="4"/>
  <c r="GK10" i="4"/>
  <c r="GK9" i="4"/>
  <c r="GK8" i="4"/>
  <c r="GT5" i="4"/>
  <c r="GK5" i="4"/>
  <c r="GK27" i="4" l="1"/>
  <c r="GT27" i="4"/>
  <c r="FL31" i="3"/>
  <c r="FM31" i="3"/>
  <c r="FN31" i="3"/>
  <c r="FO31" i="3"/>
  <c r="FP31" i="3"/>
  <c r="FQ31" i="3"/>
  <c r="FR31" i="3"/>
  <c r="FS31" i="3"/>
  <c r="FU31" i="3"/>
  <c r="FV31" i="3"/>
  <c r="FW31" i="3"/>
  <c r="FX31" i="3"/>
  <c r="FY31" i="3"/>
  <c r="FZ31" i="3"/>
  <c r="GA31" i="3"/>
  <c r="GB31" i="3"/>
  <c r="GC23" i="3"/>
  <c r="GC24" i="3"/>
  <c r="GC25" i="3"/>
  <c r="GC26" i="3"/>
  <c r="GC27" i="3"/>
  <c r="GC28" i="3"/>
  <c r="GC29" i="3"/>
  <c r="GC30" i="3"/>
  <c r="GC22" i="3"/>
  <c r="FK22" i="3"/>
  <c r="FT30" i="3"/>
  <c r="FT29" i="3"/>
  <c r="FT28" i="3"/>
  <c r="FT27" i="3"/>
  <c r="FT26" i="3"/>
  <c r="FT25" i="3"/>
  <c r="FT24" i="3"/>
  <c r="FT23" i="3"/>
  <c r="FT22" i="3"/>
  <c r="GC19" i="3"/>
  <c r="GC20" i="3"/>
  <c r="GC18" i="3"/>
  <c r="FT18" i="3"/>
  <c r="FT20" i="3"/>
  <c r="FT19" i="3"/>
  <c r="FK18" i="3"/>
  <c r="GC16" i="3"/>
  <c r="GC13" i="3"/>
  <c r="GC14" i="3"/>
  <c r="FT16" i="3"/>
  <c r="FT13" i="3"/>
  <c r="FT14" i="3"/>
  <c r="FT5" i="3"/>
  <c r="GC5" i="3"/>
  <c r="JT26" i="3"/>
  <c r="JT24" i="3"/>
  <c r="FS10" i="4"/>
  <c r="FJ8" i="4"/>
  <c r="FJ9" i="4"/>
  <c r="ER8" i="4"/>
  <c r="ER9" i="4"/>
  <c r="FL27" i="4"/>
  <c r="FM27" i="4"/>
  <c r="FN27" i="4"/>
  <c r="FO27" i="4"/>
  <c r="FP27" i="4"/>
  <c r="FQ27" i="4"/>
  <c r="FR27" i="4"/>
  <c r="FT27" i="4"/>
  <c r="FU27" i="4"/>
  <c r="FV27" i="4"/>
  <c r="FW27" i="4"/>
  <c r="FX27" i="4"/>
  <c r="FY27" i="4"/>
  <c r="FZ27" i="4"/>
  <c r="GA27" i="4"/>
  <c r="GB26" i="4"/>
  <c r="GB25" i="4"/>
  <c r="GB24" i="4"/>
  <c r="GB23" i="4"/>
  <c r="FS26" i="4"/>
  <c r="FS25" i="4"/>
  <c r="FS24" i="4"/>
  <c r="FS23" i="4"/>
  <c r="GB16" i="4"/>
  <c r="GB17" i="4"/>
  <c r="GB18" i="4"/>
  <c r="GB19" i="4"/>
  <c r="GB20" i="4"/>
  <c r="GB21" i="4"/>
  <c r="GB15" i="4"/>
  <c r="FS16" i="4"/>
  <c r="FS17" i="4"/>
  <c r="FS18" i="4"/>
  <c r="FS19" i="4"/>
  <c r="FS20" i="4"/>
  <c r="FS21" i="4"/>
  <c r="FS15" i="4"/>
  <c r="GB9" i="4"/>
  <c r="GB10" i="4"/>
  <c r="GB11" i="4"/>
  <c r="GB12" i="4"/>
  <c r="GB13" i="4"/>
  <c r="GB8" i="4"/>
  <c r="FS9" i="4"/>
  <c r="FS11" i="4"/>
  <c r="FS12" i="4"/>
  <c r="FS13" i="4"/>
  <c r="FS8" i="4"/>
  <c r="FS5" i="4"/>
  <c r="GB5" i="4"/>
  <c r="E21" i="3"/>
  <c r="JS26" i="3"/>
  <c r="JS24" i="3"/>
  <c r="JS27" i="4"/>
  <c r="FI27" i="4"/>
  <c r="FH27" i="4"/>
  <c r="FG27" i="4"/>
  <c r="FF27" i="4"/>
  <c r="FE27" i="4"/>
  <c r="FD27" i="4"/>
  <c r="FC27" i="4"/>
  <c r="FB27" i="4"/>
  <c r="EZ27" i="4"/>
  <c r="EY27" i="4"/>
  <c r="EX27" i="4"/>
  <c r="EW27" i="4"/>
  <c r="EV27" i="4"/>
  <c r="EU27" i="4"/>
  <c r="ET27" i="4"/>
  <c r="ES27" i="4"/>
  <c r="EQ27" i="4"/>
  <c r="EP27" i="4"/>
  <c r="EO27" i="4"/>
  <c r="EN27" i="4"/>
  <c r="EM27" i="4"/>
  <c r="EL27" i="4"/>
  <c r="EK27" i="4"/>
  <c r="EJ27" i="4"/>
  <c r="EH27" i="4"/>
  <c r="EG27" i="4"/>
  <c r="EF27" i="4"/>
  <c r="EE27" i="4"/>
  <c r="ED27" i="4"/>
  <c r="EC27" i="4"/>
  <c r="EB27" i="4"/>
  <c r="EA27" i="4"/>
  <c r="DY27" i="4"/>
  <c r="DX27" i="4"/>
  <c r="DW27" i="4"/>
  <c r="DV27" i="4"/>
  <c r="DU27" i="4"/>
  <c r="DT27" i="4"/>
  <c r="DS27" i="4"/>
  <c r="DR27" i="4"/>
  <c r="DP27" i="4"/>
  <c r="DO27" i="4"/>
  <c r="DN27" i="4"/>
  <c r="DM27" i="4"/>
  <c r="DL27" i="4"/>
  <c r="DK27" i="4"/>
  <c r="DJ27" i="4"/>
  <c r="DI27" i="4"/>
  <c r="DG27" i="4"/>
  <c r="DF27" i="4"/>
  <c r="DE27" i="4"/>
  <c r="DD27" i="4"/>
  <c r="DC27" i="4"/>
  <c r="DB27" i="4"/>
  <c r="DA27" i="4"/>
  <c r="CZ27" i="4"/>
  <c r="CX27" i="4"/>
  <c r="CW27" i="4"/>
  <c r="CV27" i="4"/>
  <c r="CU27" i="4"/>
  <c r="CT27" i="4"/>
  <c r="CS27" i="4"/>
  <c r="CR27" i="4"/>
  <c r="CQ27" i="4"/>
  <c r="CO27" i="4"/>
  <c r="CN27" i="4"/>
  <c r="CM27" i="4"/>
  <c r="CL27" i="4"/>
  <c r="CK27" i="4"/>
  <c r="CJ27" i="4"/>
  <c r="CI27" i="4"/>
  <c r="CH27" i="4"/>
  <c r="CF27" i="4"/>
  <c r="CE27" i="4"/>
  <c r="CD27" i="4"/>
  <c r="CC27" i="4"/>
  <c r="CB27" i="4"/>
  <c r="CA27" i="4"/>
  <c r="BZ27" i="4"/>
  <c r="BY27" i="4"/>
  <c r="BW27" i="4"/>
  <c r="BV27" i="4"/>
  <c r="BU27" i="4"/>
  <c r="BT27" i="4"/>
  <c r="BS27" i="4"/>
  <c r="BR27" i="4"/>
  <c r="BQ27" i="4"/>
  <c r="BP27" i="4"/>
  <c r="BN27" i="4"/>
  <c r="BM27" i="4"/>
  <c r="BL27" i="4"/>
  <c r="BK27" i="4"/>
  <c r="BJ27" i="4"/>
  <c r="BI27" i="4"/>
  <c r="BH27" i="4"/>
  <c r="BG27" i="4"/>
  <c r="BE27" i="4"/>
  <c r="BD27" i="4"/>
  <c r="BC27" i="4"/>
  <c r="BB27" i="4"/>
  <c r="BA27" i="4"/>
  <c r="AZ27" i="4"/>
  <c r="AY27" i="4"/>
  <c r="AX27" i="4"/>
  <c r="AV27" i="4"/>
  <c r="AU27" i="4"/>
  <c r="AT27" i="4"/>
  <c r="AS27" i="4"/>
  <c r="AR27" i="4"/>
  <c r="AQ27" i="4"/>
  <c r="AP27" i="4"/>
  <c r="AO27" i="4"/>
  <c r="AM27" i="4"/>
  <c r="AL27" i="4"/>
  <c r="AK27" i="4"/>
  <c r="AJ27" i="4"/>
  <c r="AI27" i="4"/>
  <c r="AH27" i="4"/>
  <c r="AG27" i="4"/>
  <c r="AF27" i="4"/>
  <c r="AD27" i="4"/>
  <c r="AC27" i="4"/>
  <c r="AB27" i="4"/>
  <c r="AA27" i="4"/>
  <c r="Z27" i="4"/>
  <c r="Y27" i="4"/>
  <c r="X27" i="4"/>
  <c r="W27" i="4"/>
  <c r="U27" i="4"/>
  <c r="T27" i="4"/>
  <c r="S27" i="4"/>
  <c r="R27" i="4"/>
  <c r="Q27" i="4"/>
  <c r="P27" i="4"/>
  <c r="O27" i="4"/>
  <c r="N27" i="4"/>
  <c r="L27" i="4"/>
  <c r="K27" i="4"/>
  <c r="J27" i="4"/>
  <c r="I27" i="4"/>
  <c r="H27" i="4"/>
  <c r="G27" i="4"/>
  <c r="F27" i="4"/>
  <c r="FJ26" i="4"/>
  <c r="FA26" i="4"/>
  <c r="ER26" i="4"/>
  <c r="EI26" i="4"/>
  <c r="DZ26" i="4"/>
  <c r="DQ26" i="4"/>
  <c r="DH26" i="4"/>
  <c r="CY26" i="4"/>
  <c r="CP26" i="4"/>
  <c r="CG26" i="4"/>
  <c r="BX26" i="4"/>
  <c r="BO26" i="4"/>
  <c r="BF26" i="4"/>
  <c r="AW26" i="4"/>
  <c r="AN26" i="4"/>
  <c r="AE26" i="4"/>
  <c r="V26" i="4"/>
  <c r="M26" i="4"/>
  <c r="FJ25" i="4"/>
  <c r="FA25" i="4"/>
  <c r="ER25" i="4"/>
  <c r="EI25" i="4"/>
  <c r="DZ25" i="4"/>
  <c r="DQ25" i="4"/>
  <c r="DH25" i="4"/>
  <c r="CY25" i="4"/>
  <c r="CP25" i="4"/>
  <c r="CG25" i="4"/>
  <c r="BX25" i="4"/>
  <c r="BO25" i="4"/>
  <c r="BF25" i="4"/>
  <c r="AW25" i="4"/>
  <c r="AN25" i="4"/>
  <c r="AE25" i="4"/>
  <c r="V25" i="4"/>
  <c r="M25" i="4"/>
  <c r="FJ24" i="4"/>
  <c r="FA24" i="4"/>
  <c r="ER24" i="4"/>
  <c r="EI24" i="4"/>
  <c r="DZ24" i="4"/>
  <c r="DQ24" i="4"/>
  <c r="DH24" i="4"/>
  <c r="CY24" i="4"/>
  <c r="CP24" i="4"/>
  <c r="CG24" i="4"/>
  <c r="BX24" i="4"/>
  <c r="BO24" i="4"/>
  <c r="BF24" i="4"/>
  <c r="AW24" i="4"/>
  <c r="AN24" i="4"/>
  <c r="AE24" i="4"/>
  <c r="V24" i="4"/>
  <c r="M24" i="4"/>
  <c r="FJ23" i="4"/>
  <c r="FA23" i="4"/>
  <c r="ER23" i="4"/>
  <c r="EI23" i="4"/>
  <c r="DZ23" i="4"/>
  <c r="DQ23" i="4"/>
  <c r="DH23" i="4"/>
  <c r="CY23" i="4"/>
  <c r="CP23" i="4"/>
  <c r="CG23" i="4"/>
  <c r="BX23" i="4"/>
  <c r="BO23" i="4"/>
  <c r="BF23" i="4"/>
  <c r="AW23" i="4"/>
  <c r="AN23" i="4"/>
  <c r="AE23" i="4"/>
  <c r="V23" i="4"/>
  <c r="M23" i="4"/>
  <c r="FJ21" i="4"/>
  <c r="FA21" i="4"/>
  <c r="ER21" i="4"/>
  <c r="EI21" i="4"/>
  <c r="DZ21" i="4"/>
  <c r="DQ21" i="4"/>
  <c r="DH21" i="4"/>
  <c r="CY21" i="4"/>
  <c r="CP21" i="4"/>
  <c r="CG21" i="4"/>
  <c r="BX21" i="4"/>
  <c r="BO21" i="4"/>
  <c r="BF21" i="4"/>
  <c r="AW21" i="4"/>
  <c r="AN21" i="4"/>
  <c r="AE21" i="4"/>
  <c r="V21" i="4"/>
  <c r="M21" i="4"/>
  <c r="FJ20" i="4"/>
  <c r="FA20" i="4"/>
  <c r="ER20" i="4"/>
  <c r="EI20" i="4"/>
  <c r="DZ20" i="4"/>
  <c r="DQ20" i="4"/>
  <c r="DH20" i="4"/>
  <c r="CY20" i="4"/>
  <c r="CP20" i="4"/>
  <c r="CG20" i="4"/>
  <c r="BX20" i="4"/>
  <c r="BO20" i="4"/>
  <c r="BF20" i="4"/>
  <c r="AW20" i="4"/>
  <c r="AN20" i="4"/>
  <c r="AE20" i="4"/>
  <c r="V20" i="4"/>
  <c r="M20" i="4"/>
  <c r="JS19" i="4"/>
  <c r="JR19" i="4"/>
  <c r="FJ19" i="4"/>
  <c r="FA19" i="4"/>
  <c r="ER19" i="4"/>
  <c r="EI19" i="4"/>
  <c r="DZ19" i="4"/>
  <c r="DQ19" i="4"/>
  <c r="DH19" i="4"/>
  <c r="CY19" i="4"/>
  <c r="CP19" i="4"/>
  <c r="CG19" i="4"/>
  <c r="BX19" i="4"/>
  <c r="BO19" i="4"/>
  <c r="BF19" i="4"/>
  <c r="AW19" i="4"/>
  <c r="AN19" i="4"/>
  <c r="AE19" i="4"/>
  <c r="V19" i="4"/>
  <c r="M19" i="4"/>
  <c r="FJ18" i="4"/>
  <c r="FA18" i="4"/>
  <c r="ER18" i="4"/>
  <c r="EI18" i="4"/>
  <c r="DZ18" i="4"/>
  <c r="DQ18" i="4"/>
  <c r="DH18" i="4"/>
  <c r="CY18" i="4"/>
  <c r="CP18" i="4"/>
  <c r="CG18" i="4"/>
  <c r="BX18" i="4"/>
  <c r="BO18" i="4"/>
  <c r="BF18" i="4"/>
  <c r="AW18" i="4"/>
  <c r="AN18" i="4"/>
  <c r="AE18" i="4"/>
  <c r="V18" i="4"/>
  <c r="M18" i="4"/>
  <c r="FJ17" i="4"/>
  <c r="FA17" i="4"/>
  <c r="ER17" i="4"/>
  <c r="EI17" i="4"/>
  <c r="DZ17" i="4"/>
  <c r="DQ17" i="4"/>
  <c r="DH17" i="4"/>
  <c r="CY17" i="4"/>
  <c r="CP17" i="4"/>
  <c r="CG17" i="4"/>
  <c r="BX17" i="4"/>
  <c r="BO17" i="4"/>
  <c r="BF17" i="4"/>
  <c r="AW17" i="4"/>
  <c r="AN17" i="4"/>
  <c r="AE17" i="4"/>
  <c r="V17" i="4"/>
  <c r="M17" i="4"/>
  <c r="FJ16" i="4"/>
  <c r="FA16" i="4"/>
  <c r="ER16" i="4"/>
  <c r="EI16" i="4"/>
  <c r="DZ16" i="4"/>
  <c r="DQ16" i="4"/>
  <c r="DH16" i="4"/>
  <c r="CY16" i="4"/>
  <c r="CP16" i="4"/>
  <c r="CG16" i="4"/>
  <c r="BX16" i="4"/>
  <c r="BO16" i="4"/>
  <c r="BF16" i="4"/>
  <c r="AW16" i="4"/>
  <c r="AN16" i="4"/>
  <c r="AE16" i="4"/>
  <c r="V16" i="4"/>
  <c r="M16" i="4"/>
  <c r="FJ15" i="4"/>
  <c r="FA15" i="4"/>
  <c r="ER15" i="4"/>
  <c r="EI15" i="4"/>
  <c r="DZ15" i="4"/>
  <c r="DQ15" i="4"/>
  <c r="DH15" i="4"/>
  <c r="CY15" i="4"/>
  <c r="CP15" i="4"/>
  <c r="CG15" i="4"/>
  <c r="BX15" i="4"/>
  <c r="BO15" i="4"/>
  <c r="BF15" i="4"/>
  <c r="AW15" i="4"/>
  <c r="AN15" i="4"/>
  <c r="AE15" i="4"/>
  <c r="V15" i="4"/>
  <c r="M15" i="4"/>
  <c r="FJ13" i="4"/>
  <c r="FA13" i="4"/>
  <c r="ER13" i="4"/>
  <c r="EI13" i="4"/>
  <c r="DZ13" i="4"/>
  <c r="DQ13" i="4"/>
  <c r="DH13" i="4"/>
  <c r="CY13" i="4"/>
  <c r="CP13" i="4"/>
  <c r="CG13" i="4"/>
  <c r="BX13" i="4"/>
  <c r="BO13" i="4"/>
  <c r="BF13" i="4"/>
  <c r="AW13" i="4"/>
  <c r="AN13" i="4"/>
  <c r="AE13" i="4"/>
  <c r="V13" i="4"/>
  <c r="M13" i="4"/>
  <c r="FJ12" i="4"/>
  <c r="FA12" i="4"/>
  <c r="ER12" i="4"/>
  <c r="EI12" i="4"/>
  <c r="DZ12" i="4"/>
  <c r="DQ12" i="4"/>
  <c r="DH12" i="4"/>
  <c r="CY12" i="4"/>
  <c r="CP12" i="4"/>
  <c r="CG12" i="4"/>
  <c r="BX12" i="4"/>
  <c r="BO12" i="4"/>
  <c r="BF12" i="4"/>
  <c r="AW12" i="4"/>
  <c r="AN12" i="4"/>
  <c r="AE12" i="4"/>
  <c r="V12" i="4"/>
  <c r="M12" i="4"/>
  <c r="FJ11" i="4"/>
  <c r="FA11" i="4"/>
  <c r="ER11" i="4"/>
  <c r="EI11" i="4"/>
  <c r="DZ11" i="4"/>
  <c r="DQ11" i="4"/>
  <c r="DH11" i="4"/>
  <c r="CY11" i="4"/>
  <c r="CP11" i="4"/>
  <c r="CG11" i="4"/>
  <c r="BX11" i="4"/>
  <c r="BO11" i="4"/>
  <c r="BF11" i="4"/>
  <c r="AW11" i="4"/>
  <c r="AN11" i="4"/>
  <c r="AE11" i="4"/>
  <c r="V11" i="4"/>
  <c r="M11" i="4"/>
  <c r="FJ10" i="4"/>
  <c r="FA10" i="4"/>
  <c r="ER10" i="4"/>
  <c r="EI10" i="4"/>
  <c r="DZ10" i="4"/>
  <c r="DQ10" i="4"/>
  <c r="DH10" i="4"/>
  <c r="CY10" i="4"/>
  <c r="CP10" i="4"/>
  <c r="CG10" i="4"/>
  <c r="BX10" i="4"/>
  <c r="BO10" i="4"/>
  <c r="BF10" i="4"/>
  <c r="AW10" i="4"/>
  <c r="AN10" i="4"/>
  <c r="AE10" i="4"/>
  <c r="V10" i="4"/>
  <c r="M10" i="4"/>
  <c r="JS9" i="4"/>
  <c r="FA9" i="4"/>
  <c r="EI9" i="4"/>
  <c r="DZ9" i="4"/>
  <c r="DQ9" i="4"/>
  <c r="DH9" i="4"/>
  <c r="CY9" i="4"/>
  <c r="CP9" i="4"/>
  <c r="CG9" i="4"/>
  <c r="BX9" i="4"/>
  <c r="BO9" i="4"/>
  <c r="BF9" i="4"/>
  <c r="AW9" i="4"/>
  <c r="AN9" i="4"/>
  <c r="AE9" i="4"/>
  <c r="V9" i="4"/>
  <c r="M9" i="4"/>
  <c r="FA8" i="4"/>
  <c r="EI8" i="4"/>
  <c r="DZ8" i="4"/>
  <c r="DQ8" i="4"/>
  <c r="DH8" i="4"/>
  <c r="CY8" i="4"/>
  <c r="CP8" i="4"/>
  <c r="CG8" i="4"/>
  <c r="BX8" i="4"/>
  <c r="BO8" i="4"/>
  <c r="BF8" i="4"/>
  <c r="AW8" i="4"/>
  <c r="AN8" i="4"/>
  <c r="AE8" i="4"/>
  <c r="V8" i="4"/>
  <c r="M8" i="4"/>
  <c r="E6" i="4"/>
  <c r="FK27" i="4" s="1"/>
  <c r="FJ5" i="4"/>
  <c r="FA5" i="4"/>
  <c r="ER5" i="4"/>
  <c r="EI5" i="4"/>
  <c r="DZ5" i="4"/>
  <c r="DQ5" i="4"/>
  <c r="DH5" i="4"/>
  <c r="CY5" i="4"/>
  <c r="CP5" i="4"/>
  <c r="CG5" i="4"/>
  <c r="BX5" i="4"/>
  <c r="BO5" i="4"/>
  <c r="BF5" i="4"/>
  <c r="AW5" i="4"/>
  <c r="AN5" i="4"/>
  <c r="AE5" i="4"/>
  <c r="V5" i="4"/>
  <c r="M5" i="4"/>
  <c r="E27" i="4" l="1"/>
  <c r="GC31" i="3"/>
  <c r="FT31" i="3"/>
  <c r="DZ27" i="4"/>
  <c r="BF27" i="4"/>
  <c r="EI27" i="4"/>
  <c r="FS27" i="4"/>
  <c r="BO27" i="4"/>
  <c r="GB27" i="4"/>
  <c r="CY27" i="4"/>
  <c r="AW27" i="4"/>
  <c r="DQ27" i="4"/>
  <c r="AN27" i="4"/>
  <c r="AE27" i="4"/>
  <c r="CG27" i="4"/>
  <c r="CP27" i="4"/>
  <c r="BX27" i="4"/>
  <c r="FA27" i="4"/>
  <c r="FJ27" i="4"/>
  <c r="DH27" i="4"/>
  <c r="ER27" i="4"/>
  <c r="V27" i="4"/>
  <c r="M27" i="4"/>
  <c r="FK30" i="3"/>
  <c r="FK29" i="3"/>
  <c r="FK28" i="3"/>
  <c r="FK27" i="3"/>
  <c r="FK26" i="3"/>
  <c r="FK25" i="3"/>
  <c r="FK24" i="3"/>
  <c r="FK23" i="3"/>
  <c r="FK20" i="3"/>
  <c r="FK19" i="3"/>
  <c r="FK16" i="3"/>
  <c r="FB30" i="3"/>
  <c r="FB29" i="3"/>
  <c r="FB28" i="3"/>
  <c r="FB27" i="3"/>
  <c r="FB26" i="3"/>
  <c r="FB25" i="3"/>
  <c r="FB24" i="3"/>
  <c r="FB23" i="3"/>
  <c r="FB22" i="3"/>
  <c r="FB20" i="3"/>
  <c r="FB19" i="3"/>
  <c r="FB18" i="3"/>
  <c r="FB16" i="3"/>
  <c r="ET31" i="3"/>
  <c r="EU31" i="3"/>
  <c r="EV31" i="3"/>
  <c r="EW31" i="3"/>
  <c r="EX31" i="3"/>
  <c r="EY31" i="3"/>
  <c r="EZ31" i="3"/>
  <c r="FA31" i="3"/>
  <c r="FC31" i="3"/>
  <c r="FD31" i="3"/>
  <c r="FE31" i="3"/>
  <c r="FF31" i="3"/>
  <c r="FG31" i="3"/>
  <c r="FH31" i="3"/>
  <c r="FI31" i="3"/>
  <c r="FJ31" i="3"/>
  <c r="FB5" i="3"/>
  <c r="FK5" i="3"/>
  <c r="FB14" i="3"/>
  <c r="FK14" i="3"/>
  <c r="JQ5" i="4" l="1"/>
  <c r="JS5" i="4" s="1"/>
  <c r="JR18" i="4"/>
  <c r="JR21" i="4"/>
  <c r="JR26" i="4"/>
  <c r="JR17" i="4"/>
  <c r="JR15" i="4"/>
  <c r="JS17" i="4"/>
  <c r="JQ17" i="4"/>
  <c r="JQ8" i="4"/>
  <c r="JR8" i="4" s="1"/>
  <c r="JQ25" i="4"/>
  <c r="JS25" i="4" s="1"/>
  <c r="JQ19" i="4"/>
  <c r="JQ15" i="4"/>
  <c r="JS15" i="4" s="1"/>
  <c r="JS21" i="4"/>
  <c r="JR24" i="4"/>
  <c r="JQ16" i="4"/>
  <c r="JS16" i="4" s="1"/>
  <c r="JR23" i="4"/>
  <c r="JQ11" i="4"/>
  <c r="JS11" i="4" s="1"/>
  <c r="JQ24" i="4"/>
  <c r="JS24" i="4" s="1"/>
  <c r="JQ26" i="4"/>
  <c r="JS26" i="4" s="1"/>
  <c r="JQ21" i="4"/>
  <c r="JQ18" i="4"/>
  <c r="JR13" i="4"/>
  <c r="JQ20" i="4"/>
  <c r="JR25" i="4"/>
  <c r="JR12" i="4"/>
  <c r="JO27" i="4"/>
  <c r="JS18" i="4"/>
  <c r="JR5" i="4"/>
  <c r="JQ13" i="4"/>
  <c r="JS13" i="4" s="1"/>
  <c r="JQ12" i="4"/>
  <c r="JS12" i="4" s="1"/>
  <c r="JQ23" i="4"/>
  <c r="JS20" i="4"/>
  <c r="JR20" i="4"/>
  <c r="JP27" i="4"/>
  <c r="JR11" i="4"/>
  <c r="JR10" i="4"/>
  <c r="JR16" i="4"/>
  <c r="JQ10" i="4"/>
  <c r="FB31" i="3"/>
  <c r="FK31" i="3"/>
  <c r="ES22" i="3"/>
  <c r="EJ22" i="3"/>
  <c r="EA22" i="3"/>
  <c r="DR22" i="3"/>
  <c r="E15" i="3"/>
  <c r="CZ22" i="3"/>
  <c r="CQ22" i="3"/>
  <c r="BY22" i="3"/>
  <c r="CH22" i="3"/>
  <c r="BP22" i="3"/>
  <c r="BG22" i="3"/>
  <c r="JS8" i="4" l="1"/>
  <c r="JU8" i="4"/>
  <c r="JS23" i="4"/>
  <c r="JS10" i="4"/>
  <c r="JQ27" i="4"/>
  <c r="AX19" i="3"/>
  <c r="AX20" i="3"/>
  <c r="AX22" i="3"/>
  <c r="AX23" i="3"/>
  <c r="AX24" i="3"/>
  <c r="AX25" i="3"/>
  <c r="AX26" i="3"/>
  <c r="AX27" i="3"/>
  <c r="AX28" i="3"/>
  <c r="AX29" i="3"/>
  <c r="AX30" i="3"/>
  <c r="AX11" i="3"/>
  <c r="AX12" i="3"/>
  <c r="AX13" i="3"/>
  <c r="AX14" i="3"/>
  <c r="AX16" i="3"/>
  <c r="AX5" i="3"/>
  <c r="AF18" i="3"/>
  <c r="AF19" i="3"/>
  <c r="AF22" i="3" l="1"/>
  <c r="AO22" i="3"/>
  <c r="AF23" i="3"/>
  <c r="AO23" i="3"/>
  <c r="AF24" i="3"/>
  <c r="AO24" i="3"/>
  <c r="AF25" i="3"/>
  <c r="AO25" i="3"/>
  <c r="AF26" i="3"/>
  <c r="AO26" i="3"/>
  <c r="AF27" i="3"/>
  <c r="AO27" i="3"/>
  <c r="AF28" i="3"/>
  <c r="AO28" i="3"/>
  <c r="AF29" i="3"/>
  <c r="AO29" i="3"/>
  <c r="AF30" i="3"/>
  <c r="AO30" i="3"/>
  <c r="N22" i="3"/>
  <c r="JP22" i="3" s="1"/>
  <c r="W22" i="3"/>
  <c r="JQ22" i="3" s="1"/>
  <c r="N23" i="3"/>
  <c r="W23" i="3"/>
  <c r="N24" i="3"/>
  <c r="W24" i="3"/>
  <c r="N25" i="3"/>
  <c r="W25" i="3"/>
  <c r="N26" i="3"/>
  <c r="JP26" i="3" s="1"/>
  <c r="W26" i="3"/>
  <c r="JQ26" i="3" s="1"/>
  <c r="N27" i="3"/>
  <c r="JP27" i="3" s="1"/>
  <c r="W27" i="3"/>
  <c r="JQ27" i="3" s="1"/>
  <c r="N28" i="3"/>
  <c r="W28" i="3"/>
  <c r="N29" i="3"/>
  <c r="W29" i="3"/>
  <c r="N30" i="3"/>
  <c r="W30" i="3"/>
  <c r="JR26" i="3" l="1"/>
  <c r="JR27" i="3"/>
  <c r="G31" i="3"/>
  <c r="H31" i="3"/>
  <c r="I31" i="3"/>
  <c r="J31" i="3"/>
  <c r="K31" i="3"/>
  <c r="L31" i="3"/>
  <c r="M31" i="3"/>
  <c r="O31" i="3"/>
  <c r="P31" i="3"/>
  <c r="Q31" i="3"/>
  <c r="R31" i="3"/>
  <c r="S31" i="3"/>
  <c r="T31" i="3"/>
  <c r="U31" i="3"/>
  <c r="V31" i="3"/>
  <c r="X31" i="3"/>
  <c r="Y31" i="3"/>
  <c r="AA31" i="3"/>
  <c r="AB31" i="3"/>
  <c r="AC31" i="3"/>
  <c r="AD31" i="3"/>
  <c r="AE31" i="3"/>
  <c r="AG31" i="3"/>
  <c r="AH31" i="3"/>
  <c r="AJ31" i="3"/>
  <c r="AK31" i="3"/>
  <c r="AL31" i="3"/>
  <c r="AM31" i="3"/>
  <c r="AN31" i="3"/>
  <c r="AP31" i="3"/>
  <c r="AQ31" i="3"/>
  <c r="AR31" i="3"/>
  <c r="AS31" i="3"/>
  <c r="AT31" i="3"/>
  <c r="AU31" i="3"/>
  <c r="AV31" i="3"/>
  <c r="AW31" i="3"/>
  <c r="AY31" i="3"/>
  <c r="AZ31" i="3"/>
  <c r="BA31" i="3"/>
  <c r="BB31" i="3"/>
  <c r="BC31" i="3"/>
  <c r="BD31" i="3"/>
  <c r="BE31" i="3"/>
  <c r="BF31" i="3"/>
  <c r="BH31" i="3"/>
  <c r="BI31" i="3"/>
  <c r="BJ31" i="3"/>
  <c r="BK31" i="3"/>
  <c r="BL31" i="3"/>
  <c r="BM31" i="3"/>
  <c r="BN31" i="3"/>
  <c r="BO31" i="3"/>
  <c r="BQ31" i="3"/>
  <c r="BR31" i="3"/>
  <c r="BS31" i="3"/>
  <c r="BT31" i="3"/>
  <c r="BU31" i="3"/>
  <c r="BV31" i="3"/>
  <c r="BW31" i="3"/>
  <c r="BX31" i="3"/>
  <c r="BZ31" i="3"/>
  <c r="CA31" i="3"/>
  <c r="CB31" i="3"/>
  <c r="CC31" i="3"/>
  <c r="CD31" i="3"/>
  <c r="CE31" i="3"/>
  <c r="CF31" i="3"/>
  <c r="CG31" i="3"/>
  <c r="CI31" i="3"/>
  <c r="CJ31" i="3"/>
  <c r="CK31" i="3"/>
  <c r="CL31" i="3"/>
  <c r="CM31" i="3"/>
  <c r="CN31" i="3"/>
  <c r="CO31" i="3"/>
  <c r="CP31" i="3"/>
  <c r="CR31" i="3"/>
  <c r="CS31" i="3"/>
  <c r="CT31" i="3"/>
  <c r="CU31" i="3"/>
  <c r="CV31" i="3"/>
  <c r="CW31" i="3"/>
  <c r="CX31" i="3"/>
  <c r="CY31" i="3"/>
  <c r="DA31" i="3"/>
  <c r="DB31" i="3"/>
  <c r="DC31" i="3"/>
  <c r="DD31" i="3"/>
  <c r="DE31" i="3"/>
  <c r="DF31" i="3"/>
  <c r="DG31" i="3"/>
  <c r="DH31" i="3"/>
  <c r="DJ31" i="3"/>
  <c r="DK31" i="3"/>
  <c r="DL31" i="3"/>
  <c r="DM31" i="3"/>
  <c r="DN31" i="3"/>
  <c r="DO31" i="3"/>
  <c r="DP31" i="3"/>
  <c r="DQ31" i="3"/>
  <c r="DS31" i="3"/>
  <c r="DT31" i="3"/>
  <c r="DU31" i="3"/>
  <c r="DV31" i="3"/>
  <c r="DW31" i="3"/>
  <c r="DX31" i="3"/>
  <c r="DY31" i="3"/>
  <c r="DZ31" i="3"/>
  <c r="EB31" i="3"/>
  <c r="ED31" i="3"/>
  <c r="EE31" i="3"/>
  <c r="EF31" i="3"/>
  <c r="EG31" i="3"/>
  <c r="EH31" i="3"/>
  <c r="EI31" i="3"/>
  <c r="EK31" i="3"/>
  <c r="EM31" i="3"/>
  <c r="EN31" i="3"/>
  <c r="EO31" i="3"/>
  <c r="EP31" i="3"/>
  <c r="EQ31" i="3"/>
  <c r="ER31" i="3"/>
  <c r="N11" i="3"/>
  <c r="N12" i="3"/>
  <c r="N13" i="3"/>
  <c r="N14" i="3"/>
  <c r="N16" i="3"/>
  <c r="N18" i="3"/>
  <c r="N19" i="3"/>
  <c r="N20" i="3"/>
  <c r="W11" i="3"/>
  <c r="JQ11" i="3" s="1"/>
  <c r="W12" i="3"/>
  <c r="W13" i="3"/>
  <c r="W14" i="3"/>
  <c r="W16" i="3"/>
  <c r="W18" i="3"/>
  <c r="W19" i="3"/>
  <c r="W20" i="3"/>
  <c r="W5" i="3"/>
  <c r="N5" i="3"/>
  <c r="BG24" i="3"/>
  <c r="JQ24" i="3" s="1"/>
  <c r="BP24" i="3"/>
  <c r="BY24" i="3"/>
  <c r="CH24" i="3"/>
  <c r="CQ24" i="3"/>
  <c r="CZ24" i="3"/>
  <c r="DI24" i="3"/>
  <c r="DR24" i="3"/>
  <c r="EA24" i="3"/>
  <c r="EJ24" i="3"/>
  <c r="ES24" i="3"/>
  <c r="BG25" i="3"/>
  <c r="BP25" i="3"/>
  <c r="BY25" i="3"/>
  <c r="CH25" i="3"/>
  <c r="CQ25" i="3"/>
  <c r="CZ25" i="3"/>
  <c r="DI25" i="3"/>
  <c r="DR25" i="3"/>
  <c r="EA25" i="3"/>
  <c r="EJ25" i="3"/>
  <c r="ES25" i="3"/>
  <c r="BG28" i="3"/>
  <c r="BP28" i="3"/>
  <c r="JP28" i="3" s="1"/>
  <c r="BY28" i="3"/>
  <c r="CH28" i="3"/>
  <c r="CQ28" i="3"/>
  <c r="CZ28" i="3"/>
  <c r="DI28" i="3"/>
  <c r="DR28" i="3"/>
  <c r="EA28" i="3"/>
  <c r="EJ28" i="3"/>
  <c r="ES28" i="3"/>
  <c r="BG29" i="3"/>
  <c r="BP29" i="3"/>
  <c r="BY29" i="3"/>
  <c r="CH29" i="3"/>
  <c r="CQ29" i="3"/>
  <c r="CZ29" i="3"/>
  <c r="DI29" i="3"/>
  <c r="DR29" i="3"/>
  <c r="EA29" i="3"/>
  <c r="EJ29" i="3"/>
  <c r="ES29" i="3"/>
  <c r="BG30" i="3"/>
  <c r="BP30" i="3"/>
  <c r="BY30" i="3"/>
  <c r="CH30" i="3"/>
  <c r="CQ30" i="3"/>
  <c r="CZ30" i="3"/>
  <c r="DI30" i="3"/>
  <c r="DR30" i="3"/>
  <c r="EA30" i="3"/>
  <c r="EJ30" i="3"/>
  <c r="ES30" i="3"/>
  <c r="BG23" i="3"/>
  <c r="BP23" i="3"/>
  <c r="BY23" i="3"/>
  <c r="CH23" i="3"/>
  <c r="CQ23" i="3"/>
  <c r="CZ23" i="3"/>
  <c r="DR23" i="3"/>
  <c r="EA23" i="3"/>
  <c r="EJ23" i="3"/>
  <c r="ES23" i="3"/>
  <c r="F31" i="3"/>
  <c r="ES20" i="3"/>
  <c r="EJ20" i="3"/>
  <c r="EA20" i="3"/>
  <c r="DR20" i="3"/>
  <c r="DI20" i="3"/>
  <c r="CZ20" i="3"/>
  <c r="CQ20" i="3"/>
  <c r="CH20" i="3"/>
  <c r="BY20" i="3"/>
  <c r="BP20" i="3"/>
  <c r="BG20" i="3"/>
  <c r="AO20" i="3"/>
  <c r="AF20" i="3"/>
  <c r="ES19" i="3"/>
  <c r="EJ19" i="3"/>
  <c r="EA19" i="3"/>
  <c r="DR19" i="3"/>
  <c r="DI19" i="3"/>
  <c r="CZ19" i="3"/>
  <c r="CQ19" i="3"/>
  <c r="CH19" i="3"/>
  <c r="BY19" i="3"/>
  <c r="BP19" i="3"/>
  <c r="BG19" i="3"/>
  <c r="AO19" i="3"/>
  <c r="ES18" i="3"/>
  <c r="EJ18" i="3"/>
  <c r="EA18" i="3"/>
  <c r="DR18" i="3"/>
  <c r="DI18" i="3"/>
  <c r="CZ18" i="3"/>
  <c r="CQ18" i="3"/>
  <c r="CH18" i="3"/>
  <c r="BY18" i="3"/>
  <c r="BP18" i="3"/>
  <c r="BG18" i="3"/>
  <c r="AX18" i="3"/>
  <c r="AO18" i="3"/>
  <c r="Z31" i="3"/>
  <c r="ES16" i="3"/>
  <c r="EJ16" i="3"/>
  <c r="EA16" i="3"/>
  <c r="DR16" i="3"/>
  <c r="DI16" i="3"/>
  <c r="CZ16" i="3"/>
  <c r="CQ16" i="3"/>
  <c r="CH16" i="3"/>
  <c r="BY16" i="3"/>
  <c r="BP16" i="3"/>
  <c r="BG16" i="3"/>
  <c r="AO16" i="3"/>
  <c r="AF16" i="3"/>
  <c r="ES14" i="3"/>
  <c r="EJ14" i="3"/>
  <c r="EA14" i="3"/>
  <c r="DR14" i="3"/>
  <c r="DI14" i="3"/>
  <c r="CZ14" i="3"/>
  <c r="CQ14" i="3"/>
  <c r="CH14" i="3"/>
  <c r="BY14" i="3"/>
  <c r="BP14" i="3"/>
  <c r="BG14" i="3"/>
  <c r="AO14" i="3"/>
  <c r="AF14" i="3"/>
  <c r="EA13" i="3"/>
  <c r="DR13" i="3"/>
  <c r="CZ13" i="3"/>
  <c r="CQ13" i="3"/>
  <c r="BY13" i="3"/>
  <c r="BP13" i="3"/>
  <c r="BG13" i="3"/>
  <c r="AO13" i="3"/>
  <c r="AF13" i="3"/>
  <c r="DR12" i="3"/>
  <c r="CZ12" i="3"/>
  <c r="BP12" i="3"/>
  <c r="BG12" i="3"/>
  <c r="EL31" i="3"/>
  <c r="EC31" i="3"/>
  <c r="ES5" i="3"/>
  <c r="EJ5" i="3"/>
  <c r="EA5" i="3"/>
  <c r="DR5" i="3"/>
  <c r="DI5" i="3"/>
  <c r="CZ5" i="3"/>
  <c r="CQ5" i="3"/>
  <c r="CH5" i="3"/>
  <c r="BY5" i="3"/>
  <c r="BP5" i="3"/>
  <c r="BG5" i="3"/>
  <c r="AO5" i="3"/>
  <c r="AF5" i="3"/>
  <c r="JP23" i="3" l="1"/>
  <c r="JP5" i="3"/>
  <c r="JP30" i="3"/>
  <c r="JQ25" i="3"/>
  <c r="JQ30" i="3"/>
  <c r="JR30" i="3" s="1"/>
  <c r="JP25" i="3"/>
  <c r="JP29" i="3"/>
  <c r="JQ23" i="3"/>
  <c r="JR23" i="3" s="1"/>
  <c r="JQ28" i="3"/>
  <c r="JQ19" i="3"/>
  <c r="JQ29" i="3"/>
  <c r="JP24" i="3"/>
  <c r="JP18" i="3"/>
  <c r="JQ16" i="3"/>
  <c r="JP16" i="3"/>
  <c r="JQ14" i="3"/>
  <c r="JP14" i="3"/>
  <c r="JP13" i="3"/>
  <c r="JQ12" i="3"/>
  <c r="JQ5" i="3"/>
  <c r="JP19" i="3"/>
  <c r="JQ18" i="3"/>
  <c r="JQ13" i="3"/>
  <c r="JP12" i="3"/>
  <c r="JQ20" i="3"/>
  <c r="JP20" i="3"/>
  <c r="JS27" i="3"/>
  <c r="JT27" i="3"/>
  <c r="JR22" i="3"/>
  <c r="DR31" i="3"/>
  <c r="AX31" i="3"/>
  <c r="W31" i="3"/>
  <c r="AO31" i="3"/>
  <c r="DI31" i="3"/>
  <c r="CZ31" i="3"/>
  <c r="N31" i="3"/>
  <c r="BG31" i="3"/>
  <c r="EA31" i="3"/>
  <c r="CQ31" i="3"/>
  <c r="BP31" i="3"/>
  <c r="CH31" i="3"/>
  <c r="BY31" i="3"/>
  <c r="AI31" i="3"/>
  <c r="AF31" i="3"/>
  <c r="JP11" i="3"/>
  <c r="JR5" i="3" l="1"/>
  <c r="JT5" i="3" s="1"/>
  <c r="JT23" i="3"/>
  <c r="JS23" i="3"/>
  <c r="JR18" i="3"/>
  <c r="JS18" i="3" s="1"/>
  <c r="JR16" i="3"/>
  <c r="JT16" i="3" s="1"/>
  <c r="JS22" i="3"/>
  <c r="JT22" i="3"/>
  <c r="JS30" i="3"/>
  <c r="JT30" i="3"/>
  <c r="JR20" i="3"/>
  <c r="JR28" i="3"/>
  <c r="EJ31" i="3"/>
  <c r="JR24" i="3"/>
  <c r="JR29" i="3"/>
  <c r="JR25" i="3"/>
  <c r="JR13" i="3"/>
  <c r="JR19" i="3"/>
  <c r="JR14" i="3"/>
  <c r="JR12" i="3"/>
  <c r="JR11" i="3"/>
  <c r="ES31" i="3"/>
  <c r="JS16" i="3" l="1"/>
  <c r="JV5" i="3"/>
  <c r="JS5" i="3"/>
  <c r="JT18" i="3"/>
  <c r="JS11" i="3"/>
  <c r="JT11" i="3"/>
  <c r="JS12" i="3"/>
  <c r="JT12" i="3"/>
  <c r="JS14" i="3"/>
  <c r="JT14" i="3"/>
  <c r="JS19" i="3"/>
  <c r="JT19" i="3"/>
  <c r="JS13" i="3"/>
  <c r="JT13" i="3"/>
  <c r="JS25" i="3"/>
  <c r="JT25" i="3"/>
  <c r="JS29" i="3"/>
  <c r="JT29" i="3"/>
  <c r="JS28" i="3"/>
  <c r="JT28" i="3"/>
  <c r="JS20" i="3"/>
  <c r="JT20" i="3"/>
</calcChain>
</file>

<file path=xl/comments1.xml><?xml version="1.0" encoding="utf-8"?>
<comments xmlns="http://schemas.openxmlformats.org/spreadsheetml/2006/main">
  <authors>
    <author>ANANDA Mutemi</author>
  </authors>
  <commentList>
    <comment ref="JU5" authorId="0" shapeId="0">
      <text>
        <r>
          <rPr>
            <b/>
            <sz val="9"/>
            <color indexed="81"/>
            <rFont val="Tahoma"/>
            <charset val="1"/>
          </rPr>
          <t>ANANDA Mutemi:</t>
        </r>
        <r>
          <rPr>
            <sz val="9"/>
            <color indexed="81"/>
            <rFont val="Tahoma"/>
            <charset val="1"/>
          </rPr>
          <t xml:space="preserve">
Faith to verify</t>
        </r>
      </text>
    </comment>
  </commentList>
</comments>
</file>

<file path=xl/comments2.xml><?xml version="1.0" encoding="utf-8"?>
<comments xmlns="http://schemas.openxmlformats.org/spreadsheetml/2006/main">
  <authors>
    <author>tc={D38B2E53-3543-4EDD-92A5-4D5A27110224}</author>
  </authors>
  <commentList>
    <comment ref="D5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@Faith Taaka look at this target vis a vis the one in Includes CP reach of 450 children</t>
        </r>
      </text>
    </comment>
  </commentList>
</comments>
</file>

<file path=xl/sharedStrings.xml><?xml version="1.0" encoding="utf-8"?>
<sst xmlns="http://schemas.openxmlformats.org/spreadsheetml/2006/main" count="855" uniqueCount="104">
  <si>
    <t xml:space="preserve">Result 3: </t>
  </si>
  <si>
    <t>Local partners effectively respond to Child Protection risks among new arrivals appropriate to their age, gender, and disability.</t>
  </si>
  <si>
    <t>July</t>
  </si>
  <si>
    <t>August</t>
  </si>
  <si>
    <t>September</t>
  </si>
  <si>
    <t>October</t>
  </si>
  <si>
    <t>November</t>
  </si>
  <si>
    <t>December 2024</t>
  </si>
  <si>
    <t>January 2025</t>
  </si>
  <si>
    <t>February 2025</t>
  </si>
  <si>
    <t>March 2025</t>
  </si>
  <si>
    <t>April 2025</t>
  </si>
  <si>
    <t>Total Reach</t>
  </si>
  <si>
    <t>Variance</t>
  </si>
  <si>
    <t>% Achieved</t>
  </si>
  <si>
    <t>Male</t>
  </si>
  <si>
    <t>Female</t>
  </si>
  <si>
    <t>Refugee</t>
  </si>
  <si>
    <t>Host</t>
  </si>
  <si>
    <t>Total</t>
  </si>
  <si>
    <t>I.2.6.5</t>
  </si>
  <si>
    <t>Activity3.1: Support the identification, registration and assessment of Children at Risk (CAR) to access child protection services - case management, cash support and referrals - through the existing Child Protection structures</t>
  </si>
  <si>
    <t>0-4 yrs</t>
  </si>
  <si>
    <t>5-17 yrs</t>
  </si>
  <si>
    <t>18-49 yrs</t>
  </si>
  <si>
    <t>50+ yrs</t>
  </si>
  <si>
    <t>Total Male</t>
  </si>
  <si>
    <t>Total Female</t>
  </si>
  <si>
    <t>Closed cases</t>
  </si>
  <si>
    <t>Active Case load</t>
  </si>
  <si>
    <t>Provide appropriate case management support through documentation and reporting of cases (Nakivale 1350, Nyakabande 2000)</t>
  </si>
  <si>
    <t>Enhance case reporting through promoting referral mechanisms and establishing child friendly reporting procedures.</t>
  </si>
  <si>
    <t>Trainings and conduct case conferencing for child protection cases and provide durable solutions.</t>
  </si>
  <si>
    <t>Training for staff on Best Interest Procedure (BIP) alternative care framework by MGLSD and Progress V4</t>
  </si>
  <si>
    <t>Conduct child family tracing and reunification</t>
  </si>
  <si>
    <t>I.2.6.6</t>
  </si>
  <si>
    <t>Activity3.2: Provide emergency support to Children at Risk (CAR) and their caregivers including Basic Food items, Core Relief Items (CRI) and Non-Food Items (NFIs) at the reception and transit centres.</t>
  </si>
  <si>
    <t>Case Management &amp; referrals to service providers - Provide Individual Protection Assistance to children like blankets, sleeping mats, clothes.etc</t>
  </si>
  <si>
    <t>I.2.6.7</t>
  </si>
  <si>
    <t>Activity3.3: Support community-level Child Protection with a nexus lens through training and mentorship of community-level actors and structures to effectively deliver safe, age-appropriate and sustainable child protection activities in refugee settlements and transit centres and through CP messaging.</t>
  </si>
  <si>
    <t>Capacity strengthening, training and mentorship of community structures on Inter-agency Standing Committee (IASC) guidelines for case management and child protection.</t>
  </si>
  <si>
    <t xml:space="preserve">Children with CP concerns Identified at community-level by Parasocial workers, shelter leaders, community leaders </t>
  </si>
  <si>
    <t xml:space="preserve">Procure and distribute IEC materials, visibility materials. (Frequency) </t>
  </si>
  <si>
    <t>Activity3.4: Enhance caregivers and family support initiatives using the Be There and Parenting without violence approaches, while linking caregivers with available livelihood, skilling and market-oriented opportunities.</t>
  </si>
  <si>
    <t>I.2.6.8</t>
  </si>
  <si>
    <t>Sensitize parents, caregivers, and community members on  the prevention of abuse and neglect of children (Be there and parenting without violence)</t>
  </si>
  <si>
    <t xml:space="preserve">Provide material support to foster parents and care givers </t>
  </si>
  <si>
    <t>Activtiy3.5: Engage children and their caregivers in both environmental conservation and climate education.</t>
  </si>
  <si>
    <t>Conduct Interactive Sessions with Children on Rights and Responsibility, adoption of environment friendly practices.</t>
  </si>
  <si>
    <t>I.2.6.9</t>
  </si>
  <si>
    <t>Acitivtiy3.6: Strengthen existing community-based Child Protection systems to effectively manage child protection cases and act for children at risk and in need of urgent support.</t>
  </si>
  <si>
    <t>Establish and / or maintain child friendly spaces</t>
  </si>
  <si>
    <t>Operationalize child friendly spaces and train and facilitate ECD caregivers and support peer-to-peer group activities at the CFS</t>
  </si>
  <si>
    <t xml:space="preserve">Provide learning or training materials and stationaries including art books, charts, pencils, crayons, etc. (frequency) </t>
  </si>
  <si>
    <t>Government staff (including Probation and Welfare Officer, Sub County CDO
and OPM) members of CPCs at community-level trained on CP and supported to attend monthly meetings</t>
  </si>
  <si>
    <t xml:space="preserve">Result 1: </t>
  </si>
  <si>
    <t>Deliver Community Engagement Interventions on protection, prevention of GBV and other forms of violence.</t>
  </si>
  <si>
    <t>July 2024</t>
  </si>
  <si>
    <t>August 2024</t>
  </si>
  <si>
    <t>September 2024</t>
  </si>
  <si>
    <t>October 2024</t>
  </si>
  <si>
    <t>November  2024</t>
  </si>
  <si>
    <t>I.2.5.8</t>
  </si>
  <si>
    <t>Comic Book sessions for adolescent girls and young women</t>
  </si>
  <si>
    <t xml:space="preserve">Result 2: </t>
  </si>
  <si>
    <t>Local partners effectively respond to GBV and protection risks among new arrivals appropriate to their age, gender, and disability.</t>
  </si>
  <si>
    <t>Activity2.2: Provide GBV/CP (including Sexual Exploitation and Abuse (SEA)) survivors with comprehensive, age-appropriate, timely and quality GBV/CP/protection case management, including MHPSS, and/or referral services at the holding centres, transit centres and refugee settlements.</t>
  </si>
  <si>
    <t>GBV Case Management/ Documantation &amp; provision of multisectoral support to GBV survivors</t>
  </si>
  <si>
    <t>I.2.6.30</t>
  </si>
  <si>
    <t>Psychosocial Support/ GBV screening and registration of survivors at the reception and transit centres</t>
  </si>
  <si>
    <t xml:space="preserve">Refer individual protection assistance to access survivor fund from UCC </t>
  </si>
  <si>
    <t>GBV case conferencing: Facilitate Bi annual meetings case conferencing at settlement and district levels (Meetings)</t>
  </si>
  <si>
    <t>Refer GBV survivors to access in kind material support - dignity kits, hygiene kits from service providers</t>
  </si>
  <si>
    <t>Update the referral pathways together with other stakeholders. (Pathways)</t>
  </si>
  <si>
    <t>I.2.5.9</t>
  </si>
  <si>
    <t>Activity 2.3 : Establish or maintain/enhance existing Women and Girls Safe Spaces (WGSS) in refugee settlements.</t>
  </si>
  <si>
    <t>Establish and maintain women and girls safe spaces.</t>
  </si>
  <si>
    <t>Operationalize the WGSS - Provide integrated services to women and girls at the safe spaces</t>
  </si>
  <si>
    <t>GBV information counselling to women and girls and provide skilling services to vulnerable women &amp; girls)</t>
  </si>
  <si>
    <t>Provide in kind material support to GBV survivors (dignity kits) -(through referrals)</t>
  </si>
  <si>
    <t>Provide working tools to GBV community structures (touches, gumboots, raincoats, bags, stationery etc)</t>
  </si>
  <si>
    <t>Training WGSS CMCS on leadership and safe space management and income generating activities [IGA]</t>
  </si>
  <si>
    <t>I.2.5.10</t>
  </si>
  <si>
    <t>Activity 2.4: Strengthen the capacities of key local service providers and community support structures in effective case management and support</t>
  </si>
  <si>
    <t>I.2.5.11</t>
  </si>
  <si>
    <t>Strengthen capacity of key community structures and leaders to support GBV prevention and responses. GBV referral, reporting training and mentorship.</t>
  </si>
  <si>
    <t>Community members reached with GBV prevention messages by stregthened GBV community structures</t>
  </si>
  <si>
    <t xml:space="preserve">Clinical care training for sexual assault survivors </t>
  </si>
  <si>
    <t>Training for police on existing GBV referral protocols and case conferencing (60% women)</t>
  </si>
  <si>
    <t>May 2025</t>
  </si>
  <si>
    <t>Location</t>
  </si>
  <si>
    <t>Target</t>
  </si>
  <si>
    <t>Nakivale</t>
  </si>
  <si>
    <t>Nyakabande</t>
  </si>
  <si>
    <t>June 2025</t>
  </si>
  <si>
    <t>July 2025</t>
  </si>
  <si>
    <t>August 2025</t>
  </si>
  <si>
    <t>Case Management(650)</t>
  </si>
  <si>
    <t>Referrals (600)</t>
  </si>
  <si>
    <t>Case identification(100)</t>
  </si>
  <si>
    <t>Case identification(1000)</t>
  </si>
  <si>
    <t>Case Management(200)</t>
  </si>
  <si>
    <t>Referrals (800)</t>
  </si>
  <si>
    <t>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</si>
</sst>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64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Gill Sans MT"/>
      <family val="2"/>
    </font>
    <font>
      <sz val="11"/>
      <name val="Gill Sans MT"/>
      <family val="2"/>
    </font>
    <font>
      <sz val="11"/>
      <color theme="1"/>
      <name val="Gill Sans MT"/>
      <family val="2"/>
    </font>
    <font>
      <sz val="11"/>
      <color rgb="FF000000"/>
      <name val="Gill Sans MT"/>
      <family val="2"/>
    </font>
    <font>
      <b/>
      <sz val="11"/>
      <color theme="1"/>
      <name val="Gill Sans MT"/>
      <family val="2"/>
    </font>
    <font>
      <b/>
      <sz val="11"/>
      <name val="Gill Sans MT"/>
      <family val="2"/>
    </font>
    <font>
      <b/>
      <u val="singleAccounting"/>
      <sz val="11"/>
      <color theme="1"/>
      <name val="Gill Sans MT"/>
      <family val="2"/>
    </font>
    <font>
      <b/>
      <sz val="16"/>
      <color rgb="FF000000"/>
      <name val="Gill Sans MT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/>
      <name val="Gill Sans MT"/>
      <family val="2"/>
    </font>
    <font>
      <b/>
      <sz val="16"/>
      <name val="Gill Sans MT"/>
      <family val="2"/>
    </font>
    <font>
      <sz val="16"/>
      <name val="Gill Sans MT"/>
      <family val="2"/>
    </font>
    <font>
      <sz val="16"/>
      <color rgb="FF000000"/>
      <name val="Gill Sans MT"/>
      <family val="2"/>
    </font>
    <font>
      <b/>
      <sz val="16"/>
      <color theme="1"/>
      <name val="Gill Sans MT"/>
      <family val="2"/>
    </font>
    <font>
      <sz val="16"/>
      <color theme="1"/>
      <name val="Gill Sans MT"/>
      <family val="2"/>
    </font>
    <font>
      <sz val="16"/>
      <name val="Calibri"/>
      <family val="2"/>
      <scheme val="minor"/>
    </font>
    <font>
      <i/>
      <sz val="11"/>
      <color theme="1"/>
      <name val="Gill Sans MT"/>
      <family val="2"/>
    </font>
    <font>
      <i/>
      <sz val="11"/>
      <name val="Gill Sans MT"/>
      <family val="2"/>
    </font>
    <font>
      <b/>
      <sz val="16"/>
      <color rgb="FFFF0000"/>
      <name val="Gill Sans MT"/>
      <family val="2"/>
    </font>
    <font>
      <sz val="16"/>
      <color rgb="FFFF0000"/>
      <name val="Gill Sans MT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rgb="FFFFDF7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rgb="FFFFDF7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/>
    <xf numFmtId="0" fontId="2" fillId="0" borderId="0"/>
  </cellStyleXfs>
  <cellXfs count="304">
    <xf numFmtId="0" fontId="0" fillId="0" borderId="0" xfId="0"/>
    <xf numFmtId="0" fontId="5" fillId="0" borderId="0" xfId="0" applyFont="1"/>
    <xf numFmtId="0" fontId="8" fillId="9" borderId="4" xfId="0" applyFont="1" applyFill="1" applyBorder="1" applyAlignment="1">
      <alignment vertical="center" wrapText="1"/>
    </xf>
    <xf numFmtId="49" fontId="8" fillId="9" borderId="4" xfId="0" applyNumberFormat="1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49" fontId="8" fillId="10" borderId="4" xfId="0" applyNumberFormat="1" applyFont="1" applyFill="1" applyBorder="1" applyAlignment="1">
      <alignment vertical="center" wrapText="1"/>
    </xf>
    <xf numFmtId="0" fontId="8" fillId="11" borderId="4" xfId="0" applyFont="1" applyFill="1" applyBorder="1" applyAlignment="1">
      <alignment vertical="center" wrapText="1"/>
    </xf>
    <xf numFmtId="49" fontId="8" fillId="11" borderId="4" xfId="0" applyNumberFormat="1" applyFont="1" applyFill="1" applyBorder="1" applyAlignment="1">
      <alignment vertical="center" wrapText="1"/>
    </xf>
    <xf numFmtId="0" fontId="8" fillId="12" borderId="4" xfId="0" applyFont="1" applyFill="1" applyBorder="1" applyAlignment="1">
      <alignment vertical="center" wrapText="1"/>
    </xf>
    <xf numFmtId="49" fontId="8" fillId="12" borderId="4" xfId="0" applyNumberFormat="1" applyFont="1" applyFill="1" applyBorder="1" applyAlignment="1">
      <alignment vertical="center" wrapText="1"/>
    </xf>
    <xf numFmtId="0" fontId="8" fillId="13" borderId="4" xfId="0" applyFont="1" applyFill="1" applyBorder="1" applyAlignment="1">
      <alignment vertical="center" wrapText="1"/>
    </xf>
    <xf numFmtId="49" fontId="8" fillId="13" borderId="4" xfId="0" applyNumberFormat="1" applyFont="1" applyFill="1" applyBorder="1" applyAlignment="1">
      <alignment vertical="center" wrapText="1"/>
    </xf>
    <xf numFmtId="0" fontId="8" fillId="14" borderId="4" xfId="0" applyFont="1" applyFill="1" applyBorder="1" applyAlignment="1">
      <alignment vertical="center" wrapText="1"/>
    </xf>
    <xf numFmtId="49" fontId="8" fillId="14" borderId="4" xfId="0" applyNumberFormat="1" applyFont="1" applyFill="1" applyBorder="1" applyAlignment="1">
      <alignment vertical="center" wrapText="1"/>
    </xf>
    <xf numFmtId="41" fontId="8" fillId="6" borderId="4" xfId="0" applyNumberFormat="1" applyFont="1" applyFill="1" applyBorder="1" applyAlignment="1">
      <alignment horizontal="center" vertical="center" wrapText="1"/>
    </xf>
    <xf numFmtId="164" fontId="7" fillId="0" borderId="4" xfId="0" applyNumberFormat="1" applyFont="1" applyBorder="1"/>
    <xf numFmtId="41" fontId="9" fillId="0" borderId="16" xfId="1" applyFont="1" applyBorder="1"/>
    <xf numFmtId="0" fontId="7" fillId="0" borderId="0" xfId="0" applyFont="1"/>
    <xf numFmtId="41" fontId="3" fillId="7" borderId="4" xfId="1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wrapText="1"/>
    </xf>
    <xf numFmtId="49" fontId="3" fillId="7" borderId="4" xfId="0" applyNumberFormat="1" applyFont="1" applyFill="1" applyBorder="1" applyAlignment="1">
      <alignment vertical="top" wrapText="1"/>
    </xf>
    <xf numFmtId="0" fontId="6" fillId="0" borderId="4" xfId="0" applyFont="1" applyBorder="1" applyAlignment="1">
      <alignment vertical="center" wrapText="1"/>
    </xf>
    <xf numFmtId="41" fontId="8" fillId="6" borderId="4" xfId="1" applyFont="1" applyFill="1" applyBorder="1" applyAlignment="1">
      <alignment horizontal="center" vertical="center"/>
    </xf>
    <xf numFmtId="41" fontId="7" fillId="8" borderId="4" xfId="1" applyFont="1" applyFill="1" applyBorder="1" applyAlignment="1">
      <alignment horizontal="center" vertical="center" wrapText="1"/>
    </xf>
    <xf numFmtId="41" fontId="3" fillId="8" borderId="4" xfId="1" applyFont="1" applyFill="1" applyBorder="1" applyAlignment="1">
      <alignment horizontal="center"/>
    </xf>
    <xf numFmtId="0" fontId="3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wrapText="1"/>
    </xf>
    <xf numFmtId="0" fontId="8" fillId="5" borderId="4" xfId="2" applyFont="1" applyFill="1" applyBorder="1" applyAlignment="1">
      <alignment wrapText="1"/>
    </xf>
    <xf numFmtId="0" fontId="8" fillId="5" borderId="4" xfId="3" applyFont="1" applyFill="1" applyBorder="1" applyAlignment="1">
      <alignment vertical="center"/>
    </xf>
    <xf numFmtId="41" fontId="9" fillId="0" borderId="0" xfId="1" applyFont="1" applyBorder="1"/>
    <xf numFmtId="0" fontId="8" fillId="17" borderId="4" xfId="0" applyFont="1" applyFill="1" applyBorder="1" applyAlignment="1">
      <alignment vertical="center" wrapText="1"/>
    </xf>
    <xf numFmtId="49" fontId="8" fillId="17" borderId="4" xfId="0" applyNumberFormat="1" applyFont="1" applyFill="1" applyBorder="1" applyAlignment="1">
      <alignment vertical="center" wrapText="1"/>
    </xf>
    <xf numFmtId="0" fontId="8" fillId="18" borderId="4" xfId="0" applyFont="1" applyFill="1" applyBorder="1" applyAlignment="1">
      <alignment wrapText="1"/>
    </xf>
    <xf numFmtId="0" fontId="8" fillId="18" borderId="4" xfId="0" applyFont="1" applyFill="1" applyBorder="1"/>
    <xf numFmtId="0" fontId="8" fillId="19" borderId="4" xfId="0" applyFont="1" applyFill="1" applyBorder="1" applyAlignment="1">
      <alignment vertical="center" wrapText="1"/>
    </xf>
    <xf numFmtId="49" fontId="8" fillId="19" borderId="4" xfId="0" applyNumberFormat="1" applyFont="1" applyFill="1" applyBorder="1" applyAlignment="1">
      <alignment vertical="center" wrapText="1"/>
    </xf>
    <xf numFmtId="0" fontId="12" fillId="0" borderId="0" xfId="0" applyFont="1"/>
    <xf numFmtId="41" fontId="4" fillId="9" borderId="4" xfId="1" applyFont="1" applyFill="1" applyBorder="1" applyAlignment="1">
      <alignment vertical="top"/>
    </xf>
    <xf numFmtId="41" fontId="8" fillId="15" borderId="4" xfId="1" applyFont="1" applyFill="1" applyBorder="1" applyAlignment="1">
      <alignment vertical="top"/>
    </xf>
    <xf numFmtId="41" fontId="4" fillId="10" borderId="4" xfId="1" applyFont="1" applyFill="1" applyBorder="1" applyAlignment="1">
      <alignment vertical="top"/>
    </xf>
    <xf numFmtId="41" fontId="4" fillId="11" borderId="4" xfId="1" applyFont="1" applyFill="1" applyBorder="1" applyAlignment="1">
      <alignment vertical="top"/>
    </xf>
    <xf numFmtId="41" fontId="4" fillId="12" borderId="4" xfId="1" applyFont="1" applyFill="1" applyBorder="1" applyAlignment="1">
      <alignment vertical="top"/>
    </xf>
    <xf numFmtId="41" fontId="4" fillId="13" borderId="4" xfId="1" applyFont="1" applyFill="1" applyBorder="1" applyAlignment="1">
      <alignment vertical="top"/>
    </xf>
    <xf numFmtId="41" fontId="4" fillId="14" borderId="4" xfId="1" applyFont="1" applyFill="1" applyBorder="1" applyAlignment="1">
      <alignment vertical="top"/>
    </xf>
    <xf numFmtId="41" fontId="4" fillId="17" borderId="4" xfId="1" applyFont="1" applyFill="1" applyBorder="1" applyAlignment="1">
      <alignment vertical="top"/>
    </xf>
    <xf numFmtId="41" fontId="4" fillId="19" borderId="4" xfId="1" applyFont="1" applyFill="1" applyBorder="1" applyAlignment="1">
      <alignment vertical="top"/>
    </xf>
    <xf numFmtId="41" fontId="8" fillId="6" borderId="4" xfId="1" applyFont="1" applyFill="1" applyBorder="1" applyAlignment="1">
      <alignment vertical="center"/>
    </xf>
    <xf numFmtId="41" fontId="13" fillId="16" borderId="4" xfId="1" applyFont="1" applyFill="1" applyBorder="1" applyAlignment="1">
      <alignment vertical="center"/>
    </xf>
    <xf numFmtId="41" fontId="8" fillId="19" borderId="4" xfId="1" applyFont="1" applyFill="1" applyBorder="1" applyAlignment="1">
      <alignment vertical="top"/>
    </xf>
    <xf numFmtId="0" fontId="11" fillId="0" borderId="0" xfId="0" applyFont="1"/>
    <xf numFmtId="0" fontId="8" fillId="20" borderId="4" xfId="0" applyFont="1" applyFill="1" applyBorder="1" applyAlignment="1">
      <alignment vertical="center" wrapText="1"/>
    </xf>
    <xf numFmtId="49" fontId="8" fillId="20" borderId="4" xfId="0" applyNumberFormat="1" applyFont="1" applyFill="1" applyBorder="1" applyAlignment="1">
      <alignment vertical="center" wrapText="1"/>
    </xf>
    <xf numFmtId="41" fontId="8" fillId="20" borderId="4" xfId="1" applyFont="1" applyFill="1" applyBorder="1" applyAlignment="1">
      <alignment vertical="top"/>
    </xf>
    <xf numFmtId="0" fontId="11" fillId="0" borderId="0" xfId="0" applyFont="1" applyAlignment="1">
      <alignment horizontal="left"/>
    </xf>
    <xf numFmtId="0" fontId="18" fillId="0" borderId="0" xfId="0" applyFont="1"/>
    <xf numFmtId="0" fontId="17" fillId="4" borderId="4" xfId="0" applyFont="1" applyFill="1" applyBorder="1" applyAlignment="1">
      <alignment wrapText="1"/>
    </xf>
    <xf numFmtId="41" fontId="18" fillId="4" borderId="4" xfId="0" applyNumberFormat="1" applyFont="1" applyFill="1" applyBorder="1"/>
    <xf numFmtId="0" fontId="17" fillId="4" borderId="15" xfId="0" applyFont="1" applyFill="1" applyBorder="1" applyAlignment="1">
      <alignment wrapText="1"/>
    </xf>
    <xf numFmtId="164" fontId="7" fillId="0" borderId="7" xfId="0" applyNumberFormat="1" applyFont="1" applyBorder="1"/>
    <xf numFmtId="164" fontId="7" fillId="0" borderId="19" xfId="0" applyNumberFormat="1" applyFont="1" applyBorder="1"/>
    <xf numFmtId="41" fontId="8" fillId="6" borderId="20" xfId="0" applyNumberFormat="1" applyFont="1" applyFill="1" applyBorder="1" applyAlignment="1">
      <alignment horizontal="center" vertical="center" wrapText="1"/>
    </xf>
    <xf numFmtId="164" fontId="7" fillId="0" borderId="20" xfId="0" applyNumberFormat="1" applyFont="1" applyBorder="1"/>
    <xf numFmtId="41" fontId="8" fillId="21" borderId="4" xfId="1" applyFont="1" applyFill="1" applyBorder="1" applyAlignment="1">
      <alignment vertical="top"/>
    </xf>
    <xf numFmtId="0" fontId="8" fillId="21" borderId="4" xfId="0" applyFont="1" applyFill="1" applyBorder="1" applyAlignment="1">
      <alignment vertical="center" wrapText="1"/>
    </xf>
    <xf numFmtId="49" fontId="8" fillId="21" borderId="4" xfId="0" applyNumberFormat="1" applyFont="1" applyFill="1" applyBorder="1" applyAlignment="1">
      <alignment vertical="center" wrapText="1"/>
    </xf>
    <xf numFmtId="49" fontId="10" fillId="0" borderId="18" xfId="0" applyNumberFormat="1" applyFont="1" applyBorder="1" applyAlignment="1">
      <alignment horizontal="left" vertical="center" wrapText="1"/>
    </xf>
    <xf numFmtId="49" fontId="10" fillId="2" borderId="18" xfId="0" applyNumberFormat="1" applyFont="1" applyFill="1" applyBorder="1" applyAlignment="1">
      <alignment horizontal="left" vertical="top" wrapText="1"/>
    </xf>
    <xf numFmtId="49" fontId="10" fillId="4" borderId="18" xfId="0" applyNumberFormat="1" applyFont="1" applyFill="1" applyBorder="1" applyAlignment="1">
      <alignment horizontal="left" vertical="top" wrapText="1"/>
    </xf>
    <xf numFmtId="0" fontId="10" fillId="4" borderId="18" xfId="0" applyFont="1" applyFill="1" applyBorder="1" applyAlignment="1">
      <alignment horizontal="left" vertical="top" wrapText="1"/>
    </xf>
    <xf numFmtId="0" fontId="10" fillId="0" borderId="24" xfId="0" applyFont="1" applyBorder="1" applyAlignment="1">
      <alignment horizontal="left" vertical="center" wrapText="1"/>
    </xf>
    <xf numFmtId="49" fontId="10" fillId="0" borderId="18" xfId="0" applyNumberFormat="1" applyFont="1" applyBorder="1" applyAlignment="1">
      <alignment horizontal="left" vertical="top" wrapText="1"/>
    </xf>
    <xf numFmtId="0" fontId="10" fillId="3" borderId="4" xfId="0" applyFont="1" applyFill="1" applyBorder="1" applyAlignment="1">
      <alignment vertical="top" wrapText="1"/>
    </xf>
    <xf numFmtId="41" fontId="14" fillId="3" borderId="4" xfId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wrapText="1"/>
    </xf>
    <xf numFmtId="0" fontId="15" fillId="5" borderId="4" xfId="2" applyFont="1" applyFill="1" applyBorder="1" applyAlignment="1">
      <alignment wrapText="1"/>
    </xf>
    <xf numFmtId="41" fontId="14" fillId="6" borderId="4" xfId="1" applyFont="1" applyFill="1" applyBorder="1" applyAlignment="1">
      <alignment horizontal="center" vertical="center"/>
    </xf>
    <xf numFmtId="0" fontId="15" fillId="5" borderId="4" xfId="2" applyFont="1" applyFill="1" applyBorder="1" applyAlignment="1">
      <alignment vertical="center" wrapText="1"/>
    </xf>
    <xf numFmtId="0" fontId="10" fillId="4" borderId="4" xfId="0" applyFont="1" applyFill="1" applyBorder="1" applyAlignment="1">
      <alignment horizontal="left"/>
    </xf>
    <xf numFmtId="0" fontId="16" fillId="0" borderId="4" xfId="0" applyFont="1" applyBorder="1" applyAlignment="1">
      <alignment wrapText="1"/>
    </xf>
    <xf numFmtId="41" fontId="14" fillId="6" borderId="4" xfId="1" applyFont="1" applyFill="1" applyBorder="1" applyAlignment="1">
      <alignment horizontal="center" vertical="center" wrapText="1"/>
    </xf>
    <xf numFmtId="0" fontId="15" fillId="5" borderId="4" xfId="2" applyFont="1" applyFill="1" applyBorder="1" applyAlignment="1">
      <alignment vertical="top" wrapText="1"/>
    </xf>
    <xf numFmtId="0" fontId="16" fillId="0" borderId="4" xfId="0" applyFont="1" applyBorder="1" applyAlignment="1">
      <alignment vertical="center" wrapText="1"/>
    </xf>
    <xf numFmtId="41" fontId="4" fillId="9" borderId="7" xfId="1" applyFont="1" applyFill="1" applyBorder="1" applyAlignment="1">
      <alignment vertical="top"/>
    </xf>
    <xf numFmtId="41" fontId="8" fillId="15" borderId="7" xfId="1" applyFont="1" applyFill="1" applyBorder="1" applyAlignment="1">
      <alignment vertical="top"/>
    </xf>
    <xf numFmtId="41" fontId="4" fillId="10" borderId="7" xfId="1" applyFont="1" applyFill="1" applyBorder="1" applyAlignment="1">
      <alignment vertical="top"/>
    </xf>
    <xf numFmtId="41" fontId="4" fillId="11" borderId="7" xfId="1" applyFont="1" applyFill="1" applyBorder="1" applyAlignment="1">
      <alignment vertical="top"/>
    </xf>
    <xf numFmtId="41" fontId="4" fillId="12" borderId="7" xfId="1" applyFont="1" applyFill="1" applyBorder="1" applyAlignment="1">
      <alignment vertical="top"/>
    </xf>
    <xf numFmtId="41" fontId="4" fillId="13" borderId="7" xfId="1" applyFont="1" applyFill="1" applyBorder="1" applyAlignment="1">
      <alignment vertical="top"/>
    </xf>
    <xf numFmtId="41" fontId="4" fillId="14" borderId="7" xfId="1" applyFont="1" applyFill="1" applyBorder="1" applyAlignment="1">
      <alignment vertical="top"/>
    </xf>
    <xf numFmtId="41" fontId="4" fillId="17" borderId="7" xfId="1" applyFont="1" applyFill="1" applyBorder="1" applyAlignment="1">
      <alignment vertical="top"/>
    </xf>
    <xf numFmtId="41" fontId="13" fillId="16" borderId="7" xfId="1" applyFont="1" applyFill="1" applyBorder="1" applyAlignment="1">
      <alignment vertical="center"/>
    </xf>
    <xf numFmtId="41" fontId="8" fillId="6" borderId="7" xfId="1" applyFont="1" applyFill="1" applyBorder="1" applyAlignment="1">
      <alignment vertical="center"/>
    </xf>
    <xf numFmtId="41" fontId="4" fillId="9" borderId="19" xfId="1" applyFont="1" applyFill="1" applyBorder="1" applyAlignment="1">
      <alignment vertical="top"/>
    </xf>
    <xf numFmtId="41" fontId="8" fillId="15" borderId="19" xfId="1" applyFont="1" applyFill="1" applyBorder="1" applyAlignment="1">
      <alignment vertical="top"/>
    </xf>
    <xf numFmtId="41" fontId="4" fillId="10" borderId="19" xfId="1" applyFont="1" applyFill="1" applyBorder="1" applyAlignment="1">
      <alignment vertical="top"/>
    </xf>
    <xf numFmtId="41" fontId="4" fillId="11" borderId="19" xfId="1" applyFont="1" applyFill="1" applyBorder="1" applyAlignment="1">
      <alignment vertical="top"/>
    </xf>
    <xf numFmtId="41" fontId="4" fillId="12" borderId="19" xfId="1" applyFont="1" applyFill="1" applyBorder="1" applyAlignment="1">
      <alignment vertical="top"/>
    </xf>
    <xf numFmtId="41" fontId="4" fillId="13" borderId="19" xfId="1" applyFont="1" applyFill="1" applyBorder="1" applyAlignment="1">
      <alignment vertical="top"/>
    </xf>
    <xf numFmtId="41" fontId="4" fillId="14" borderId="19" xfId="1" applyFont="1" applyFill="1" applyBorder="1" applyAlignment="1">
      <alignment vertical="top"/>
    </xf>
    <xf numFmtId="41" fontId="4" fillId="17" borderId="19" xfId="1" applyFont="1" applyFill="1" applyBorder="1" applyAlignment="1">
      <alignment vertical="top"/>
    </xf>
    <xf numFmtId="41" fontId="13" fillId="16" borderId="19" xfId="1" applyFont="1" applyFill="1" applyBorder="1" applyAlignment="1">
      <alignment vertical="center"/>
    </xf>
    <xf numFmtId="41" fontId="8" fillId="6" borderId="19" xfId="1" applyFont="1" applyFill="1" applyBorder="1" applyAlignment="1">
      <alignment vertical="center"/>
    </xf>
    <xf numFmtId="41" fontId="4" fillId="9" borderId="20" xfId="1" applyFont="1" applyFill="1" applyBorder="1" applyAlignment="1">
      <alignment vertical="top"/>
    </xf>
    <xf numFmtId="41" fontId="8" fillId="15" borderId="20" xfId="1" applyFont="1" applyFill="1" applyBorder="1" applyAlignment="1">
      <alignment vertical="top"/>
    </xf>
    <xf numFmtId="41" fontId="4" fillId="10" borderId="20" xfId="1" applyFont="1" applyFill="1" applyBorder="1" applyAlignment="1">
      <alignment vertical="top"/>
    </xf>
    <xf numFmtId="41" fontId="4" fillId="11" borderId="20" xfId="1" applyFont="1" applyFill="1" applyBorder="1" applyAlignment="1">
      <alignment vertical="top"/>
    </xf>
    <xf numFmtId="41" fontId="4" fillId="12" borderId="20" xfId="1" applyFont="1" applyFill="1" applyBorder="1" applyAlignment="1">
      <alignment vertical="top"/>
    </xf>
    <xf numFmtId="41" fontId="4" fillId="13" borderId="20" xfId="1" applyFont="1" applyFill="1" applyBorder="1" applyAlignment="1">
      <alignment vertical="top"/>
    </xf>
    <xf numFmtId="41" fontId="4" fillId="14" borderId="20" xfId="1" applyFont="1" applyFill="1" applyBorder="1" applyAlignment="1">
      <alignment vertical="top"/>
    </xf>
    <xf numFmtId="41" fontId="4" fillId="17" borderId="20" xfId="1" applyFont="1" applyFill="1" applyBorder="1" applyAlignment="1">
      <alignment vertical="top"/>
    </xf>
    <xf numFmtId="41" fontId="8" fillId="19" borderId="20" xfId="1" applyFont="1" applyFill="1" applyBorder="1" applyAlignment="1">
      <alignment vertical="top"/>
    </xf>
    <xf numFmtId="41" fontId="8" fillId="6" borderId="20" xfId="1" applyFont="1" applyFill="1" applyBorder="1" applyAlignment="1">
      <alignment vertical="center"/>
    </xf>
    <xf numFmtId="41" fontId="13" fillId="16" borderId="20" xfId="1" applyFont="1" applyFill="1" applyBorder="1" applyAlignment="1">
      <alignment vertical="center"/>
    </xf>
    <xf numFmtId="41" fontId="9" fillId="0" borderId="16" xfId="1" applyFont="1" applyFill="1" applyBorder="1"/>
    <xf numFmtId="0" fontId="0" fillId="0" borderId="0" xfId="0" applyFill="1"/>
    <xf numFmtId="0" fontId="8" fillId="22" borderId="4" xfId="0" applyFont="1" applyFill="1" applyBorder="1" applyAlignment="1">
      <alignment vertical="center" wrapText="1"/>
    </xf>
    <xf numFmtId="49" fontId="8" fillId="22" borderId="4" xfId="0" applyNumberFormat="1" applyFont="1" applyFill="1" applyBorder="1" applyAlignment="1">
      <alignment vertical="center" wrapText="1"/>
    </xf>
    <xf numFmtId="41" fontId="8" fillId="22" borderId="4" xfId="1" applyFont="1" applyFill="1" applyBorder="1" applyAlignment="1">
      <alignment vertical="top"/>
    </xf>
    <xf numFmtId="41" fontId="8" fillId="23" borderId="4" xfId="1" applyFont="1" applyFill="1" applyBorder="1" applyAlignment="1">
      <alignment vertical="top"/>
    </xf>
    <xf numFmtId="0" fontId="8" fillId="24" borderId="4" xfId="0" applyFont="1" applyFill="1" applyBorder="1" applyAlignment="1">
      <alignment vertical="center" wrapText="1"/>
    </xf>
    <xf numFmtId="49" fontId="8" fillId="24" borderId="4" xfId="0" applyNumberFormat="1" applyFont="1" applyFill="1" applyBorder="1" applyAlignment="1">
      <alignment vertical="center" wrapText="1"/>
    </xf>
    <xf numFmtId="41" fontId="8" fillId="24" borderId="4" xfId="1" applyFont="1" applyFill="1" applyBorder="1" applyAlignment="1">
      <alignment vertical="top"/>
    </xf>
    <xf numFmtId="164" fontId="8" fillId="0" borderId="4" xfId="0" applyNumberFormat="1" applyFont="1" applyBorder="1"/>
    <xf numFmtId="0" fontId="19" fillId="0" borderId="0" xfId="0" applyFont="1"/>
    <xf numFmtId="49" fontId="14" fillId="0" borderId="18" xfId="0" applyNumberFormat="1" applyFont="1" applyBorder="1" applyAlignment="1">
      <alignment horizontal="left" vertical="center" wrapText="1"/>
    </xf>
    <xf numFmtId="41" fontId="4" fillId="20" borderId="4" xfId="1" applyFont="1" applyFill="1" applyBorder="1" applyAlignment="1">
      <alignment vertical="top"/>
    </xf>
    <xf numFmtId="41" fontId="4" fillId="22" borderId="4" xfId="1" applyFont="1" applyFill="1" applyBorder="1" applyAlignment="1">
      <alignment vertical="top"/>
    </xf>
    <xf numFmtId="41" fontId="4" fillId="21" borderId="4" xfId="1" applyFont="1" applyFill="1" applyBorder="1" applyAlignment="1">
      <alignment vertical="top"/>
    </xf>
    <xf numFmtId="41" fontId="4" fillId="24" borderId="4" xfId="1" applyFont="1" applyFill="1" applyBorder="1" applyAlignment="1">
      <alignment vertical="top"/>
    </xf>
    <xf numFmtId="0" fontId="18" fillId="0" borderId="0" xfId="0" applyFont="1" applyBorder="1"/>
    <xf numFmtId="41" fontId="8" fillId="6" borderId="6" xfId="1" applyFont="1" applyFill="1" applyBorder="1" applyAlignment="1">
      <alignment horizontal="center" vertical="center"/>
    </xf>
    <xf numFmtId="41" fontId="8" fillId="6" borderId="21" xfId="1" applyFont="1" applyFill="1" applyBorder="1" applyAlignment="1">
      <alignment horizontal="center" vertical="center"/>
    </xf>
    <xf numFmtId="41" fontId="8" fillId="6" borderId="25" xfId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wrapText="1"/>
    </xf>
    <xf numFmtId="0" fontId="8" fillId="25" borderId="4" xfId="0" applyFont="1" applyFill="1" applyBorder="1" applyAlignment="1">
      <alignment vertical="center" wrapText="1"/>
    </xf>
    <xf numFmtId="49" fontId="8" fillId="25" borderId="4" xfId="0" applyNumberFormat="1" applyFont="1" applyFill="1" applyBorder="1" applyAlignment="1">
      <alignment vertical="center" wrapText="1"/>
    </xf>
    <xf numFmtId="41" fontId="4" fillId="25" borderId="4" xfId="1" applyFont="1" applyFill="1" applyBorder="1" applyAlignment="1">
      <alignment vertical="top"/>
    </xf>
    <xf numFmtId="41" fontId="8" fillId="25" borderId="4" xfId="1" applyFont="1" applyFill="1" applyBorder="1" applyAlignment="1">
      <alignment vertical="top"/>
    </xf>
    <xf numFmtId="41" fontId="8" fillId="25" borderId="20" xfId="1" applyFont="1" applyFill="1" applyBorder="1" applyAlignment="1">
      <alignment vertical="top"/>
    </xf>
    <xf numFmtId="41" fontId="8" fillId="6" borderId="11" xfId="1" applyFont="1" applyFill="1" applyBorder="1" applyAlignment="1">
      <alignment horizontal="center" vertical="center"/>
    </xf>
    <xf numFmtId="0" fontId="20" fillId="0" borderId="0" xfId="0" applyFont="1"/>
    <xf numFmtId="0" fontId="21" fillId="5" borderId="4" xfId="2" applyFont="1" applyFill="1" applyBorder="1" applyAlignment="1">
      <alignment horizontal="center" wrapText="1"/>
    </xf>
    <xf numFmtId="41" fontId="4" fillId="9" borderId="15" xfId="1" applyFont="1" applyFill="1" applyBorder="1" applyAlignment="1">
      <alignment vertical="top"/>
    </xf>
    <xf numFmtId="0" fontId="20" fillId="0" borderId="4" xfId="0" applyFont="1" applyBorder="1"/>
    <xf numFmtId="0" fontId="8" fillId="4" borderId="4" xfId="0" applyFont="1" applyFill="1" applyBorder="1" applyAlignment="1">
      <alignment vertical="center" wrapText="1"/>
    </xf>
    <xf numFmtId="49" fontId="8" fillId="4" borderId="4" xfId="0" applyNumberFormat="1" applyFont="1" applyFill="1" applyBorder="1" applyAlignment="1">
      <alignment vertical="center" wrapText="1"/>
    </xf>
    <xf numFmtId="41" fontId="4" fillId="4" borderId="4" xfId="1" applyFont="1" applyFill="1" applyBorder="1" applyAlignment="1">
      <alignment vertical="top"/>
    </xf>
    <xf numFmtId="41" fontId="8" fillId="4" borderId="4" xfId="1" applyFont="1" applyFill="1" applyBorder="1" applyAlignment="1">
      <alignment vertical="top"/>
    </xf>
    <xf numFmtId="0" fontId="8" fillId="6" borderId="4" xfId="0" applyFont="1" applyFill="1" applyBorder="1" applyAlignment="1">
      <alignment vertical="center" wrapText="1"/>
    </xf>
    <xf numFmtId="49" fontId="8" fillId="6" borderId="4" xfId="0" applyNumberFormat="1" applyFont="1" applyFill="1" applyBorder="1" applyAlignment="1">
      <alignment vertical="center" wrapText="1"/>
    </xf>
    <xf numFmtId="41" fontId="4" fillId="6" borderId="4" xfId="1" applyFont="1" applyFill="1" applyBorder="1" applyAlignment="1">
      <alignment vertical="top"/>
    </xf>
    <xf numFmtId="41" fontId="8" fillId="6" borderId="20" xfId="1" applyFont="1" applyFill="1" applyBorder="1" applyAlignment="1">
      <alignment vertical="top"/>
    </xf>
    <xf numFmtId="41" fontId="8" fillId="6" borderId="4" xfId="1" applyFont="1" applyFill="1" applyBorder="1" applyAlignment="1">
      <alignment vertical="top"/>
    </xf>
    <xf numFmtId="0" fontId="23" fillId="0" borderId="4" xfId="0" applyFont="1" applyBorder="1" applyAlignment="1">
      <alignment vertical="center" wrapText="1"/>
    </xf>
    <xf numFmtId="41" fontId="22" fillId="6" borderId="4" xfId="1" applyFont="1" applyFill="1" applyBorder="1" applyAlignment="1">
      <alignment horizontal="center" vertical="center"/>
    </xf>
    <xf numFmtId="41" fontId="18" fillId="0" borderId="0" xfId="0" applyNumberFormat="1" applyFont="1" applyFill="1" applyBorder="1"/>
    <xf numFmtId="0" fontId="23" fillId="0" borderId="4" xfId="0" applyFont="1" applyBorder="1"/>
    <xf numFmtId="49" fontId="8" fillId="3" borderId="13" xfId="0" applyNumberFormat="1" applyFont="1" applyFill="1" applyBorder="1" applyAlignment="1">
      <alignment horizontal="center"/>
    </xf>
    <xf numFmtId="49" fontId="8" fillId="3" borderId="14" xfId="0" applyNumberFormat="1" applyFont="1" applyFill="1" applyBorder="1" applyAlignment="1">
      <alignment horizontal="center"/>
    </xf>
    <xf numFmtId="49" fontId="8" fillId="3" borderId="15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15" borderId="7" xfId="0" applyFont="1" applyFill="1" applyBorder="1" applyAlignment="1">
      <alignment horizontal="center" vertical="center" wrapText="1"/>
    </xf>
    <xf numFmtId="0" fontId="8" fillId="15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41" fontId="13" fillId="16" borderId="7" xfId="1" applyFont="1" applyFill="1" applyBorder="1" applyAlignment="1">
      <alignment horizontal="center" vertical="center"/>
    </xf>
    <xf numFmtId="41" fontId="13" fillId="16" borderId="10" xfId="1" applyFont="1" applyFill="1" applyBorder="1" applyAlignment="1">
      <alignment horizontal="center" vertical="center"/>
    </xf>
    <xf numFmtId="41" fontId="13" fillId="16" borderId="12" xfId="1" applyFont="1" applyFill="1" applyBorder="1" applyAlignment="1">
      <alignment horizontal="center" vertical="center"/>
    </xf>
    <xf numFmtId="41" fontId="8" fillId="6" borderId="7" xfId="1" applyFont="1" applyFill="1" applyBorder="1" applyAlignment="1">
      <alignment horizontal="center" vertical="center"/>
    </xf>
    <xf numFmtId="41" fontId="8" fillId="6" borderId="10" xfId="1" applyFont="1" applyFill="1" applyBorder="1" applyAlignment="1">
      <alignment horizontal="center" vertical="center"/>
    </xf>
    <xf numFmtId="41" fontId="8" fillId="6" borderId="12" xfId="1" applyFont="1" applyFill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0" fontId="4" fillId="5" borderId="13" xfId="2" applyFont="1" applyFill="1" applyBorder="1" applyAlignment="1">
      <alignment wrapText="1"/>
    </xf>
    <xf numFmtId="0" fontId="4" fillId="5" borderId="15" xfId="2" applyFont="1" applyFill="1" applyBorder="1" applyAlignment="1">
      <alignment wrapText="1"/>
    </xf>
    <xf numFmtId="49" fontId="3" fillId="7" borderId="13" xfId="0" applyNumberFormat="1" applyFont="1" applyFill="1" applyBorder="1" applyAlignment="1">
      <alignment vertical="top" wrapText="1"/>
    </xf>
    <xf numFmtId="49" fontId="3" fillId="7" borderId="15" xfId="0" applyNumberFormat="1" applyFont="1" applyFill="1" applyBorder="1" applyAlignment="1">
      <alignment vertical="top" wrapText="1"/>
    </xf>
    <xf numFmtId="0" fontId="8" fillId="5" borderId="4" xfId="2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wrapText="1"/>
    </xf>
    <xf numFmtId="0" fontId="3" fillId="4" borderId="15" xfId="0" applyFont="1" applyFill="1" applyBorder="1" applyAlignment="1">
      <alignment wrapText="1"/>
    </xf>
    <xf numFmtId="0" fontId="8" fillId="19" borderId="13" xfId="0" applyFont="1" applyFill="1" applyBorder="1" applyAlignment="1">
      <alignment horizontal="center"/>
    </xf>
    <xf numFmtId="0" fontId="8" fillId="19" borderId="14" xfId="0" applyFont="1" applyFill="1" applyBorder="1" applyAlignment="1">
      <alignment horizontal="center"/>
    </xf>
    <xf numFmtId="0" fontId="8" fillId="19" borderId="15" xfId="0" applyFont="1" applyFill="1" applyBorder="1" applyAlignment="1">
      <alignment horizontal="center"/>
    </xf>
    <xf numFmtId="0" fontId="8" fillId="12" borderId="13" xfId="0" applyFont="1" applyFill="1" applyBorder="1" applyAlignment="1">
      <alignment horizontal="center"/>
    </xf>
    <xf numFmtId="0" fontId="8" fillId="12" borderId="14" xfId="0" applyFont="1" applyFill="1" applyBorder="1" applyAlignment="1">
      <alignment horizontal="center"/>
    </xf>
    <xf numFmtId="0" fontId="8" fillId="12" borderId="15" xfId="0" applyFont="1" applyFill="1" applyBorder="1" applyAlignment="1">
      <alignment horizontal="center"/>
    </xf>
    <xf numFmtId="0" fontId="8" fillId="14" borderId="13" xfId="0" applyFont="1" applyFill="1" applyBorder="1" applyAlignment="1">
      <alignment horizontal="center"/>
    </xf>
    <xf numFmtId="0" fontId="8" fillId="14" borderId="14" xfId="0" applyFont="1" applyFill="1" applyBorder="1" applyAlignment="1">
      <alignment horizontal="center"/>
    </xf>
    <xf numFmtId="0" fontId="8" fillId="14" borderId="15" xfId="0" applyFont="1" applyFill="1" applyBorder="1" applyAlignment="1">
      <alignment horizontal="center"/>
    </xf>
    <xf numFmtId="0" fontId="8" fillId="17" borderId="13" xfId="0" applyFont="1" applyFill="1" applyBorder="1" applyAlignment="1">
      <alignment horizontal="center"/>
    </xf>
    <xf numFmtId="0" fontId="8" fillId="17" borderId="14" xfId="0" applyFont="1" applyFill="1" applyBorder="1" applyAlignment="1">
      <alignment horizontal="center"/>
    </xf>
    <xf numFmtId="0" fontId="8" fillId="17" borderId="15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center"/>
    </xf>
    <xf numFmtId="0" fontId="8" fillId="9" borderId="14" xfId="0" applyFont="1" applyFill="1" applyBorder="1" applyAlignment="1">
      <alignment horizontal="center"/>
    </xf>
    <xf numFmtId="0" fontId="8" fillId="9" borderId="15" xfId="0" applyFont="1" applyFill="1" applyBorder="1" applyAlignment="1">
      <alignment horizontal="center"/>
    </xf>
    <xf numFmtId="0" fontId="5" fillId="18" borderId="5" xfId="0" applyFont="1" applyFill="1" applyBorder="1" applyAlignment="1">
      <alignment horizontal="center"/>
    </xf>
    <xf numFmtId="0" fontId="5" fillId="18" borderId="6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/>
    </xf>
    <xf numFmtId="0" fontId="5" fillId="18" borderId="9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5" fillId="18" borderId="11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/>
    </xf>
    <xf numFmtId="0" fontId="8" fillId="10" borderId="14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center"/>
    </xf>
    <xf numFmtId="0" fontId="8" fillId="18" borderId="5" xfId="0" applyFont="1" applyFill="1" applyBorder="1" applyAlignment="1">
      <alignment horizontal="center"/>
    </xf>
    <xf numFmtId="0" fontId="8" fillId="18" borderId="3" xfId="0" applyFont="1" applyFill="1" applyBorder="1" applyAlignment="1">
      <alignment horizontal="center"/>
    </xf>
    <xf numFmtId="0" fontId="8" fillId="18" borderId="6" xfId="0" applyFont="1" applyFill="1" applyBorder="1" applyAlignment="1">
      <alignment horizontal="center"/>
    </xf>
    <xf numFmtId="0" fontId="8" fillId="18" borderId="8" xfId="0" applyFont="1" applyFill="1" applyBorder="1" applyAlignment="1">
      <alignment horizontal="center"/>
    </xf>
    <xf numFmtId="0" fontId="8" fillId="18" borderId="0" xfId="0" applyFont="1" applyFill="1" applyAlignment="1">
      <alignment horizontal="center"/>
    </xf>
    <xf numFmtId="0" fontId="8" fillId="18" borderId="9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8" fillId="18" borderId="2" xfId="0" applyFont="1" applyFill="1" applyBorder="1" applyAlignment="1">
      <alignment horizontal="center"/>
    </xf>
    <xf numFmtId="0" fontId="8" fillId="18" borderId="11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/>
    </xf>
    <xf numFmtId="0" fontId="8" fillId="11" borderId="14" xfId="0" applyFont="1" applyFill="1" applyBorder="1" applyAlignment="1">
      <alignment horizontal="center"/>
    </xf>
    <xf numFmtId="0" fontId="8" fillId="11" borderId="15" xfId="0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 vertical="top" wrapText="1"/>
    </xf>
    <xf numFmtId="49" fontId="3" fillId="2" borderId="10" xfId="0" applyNumberFormat="1" applyFont="1" applyFill="1" applyBorder="1" applyAlignment="1">
      <alignment horizontal="center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3" fillId="4" borderId="13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3" fillId="4" borderId="6" xfId="0" applyFont="1" applyFill="1" applyBorder="1" applyAlignment="1">
      <alignment horizontal="left" wrapText="1"/>
    </xf>
    <xf numFmtId="49" fontId="3" fillId="7" borderId="4" xfId="0" applyNumberFormat="1" applyFont="1" applyFill="1" applyBorder="1" applyAlignment="1">
      <alignment horizontal="left" vertical="top" wrapText="1"/>
    </xf>
    <xf numFmtId="0" fontId="8" fillId="13" borderId="13" xfId="0" applyFont="1" applyFill="1" applyBorder="1" applyAlignment="1">
      <alignment horizontal="center"/>
    </xf>
    <xf numFmtId="0" fontId="8" fillId="13" borderId="14" xfId="0" applyFont="1" applyFill="1" applyBorder="1" applyAlignment="1">
      <alignment horizontal="center"/>
    </xf>
    <xf numFmtId="0" fontId="8" fillId="13" borderId="15" xfId="0" applyFont="1" applyFill="1" applyBorder="1" applyAlignment="1">
      <alignment horizontal="center"/>
    </xf>
    <xf numFmtId="164" fontId="7" fillId="4" borderId="4" xfId="0" applyNumberFormat="1" applyFont="1" applyFill="1" applyBorder="1" applyAlignment="1">
      <alignment horizontal="center"/>
    </xf>
    <xf numFmtId="164" fontId="7" fillId="4" borderId="21" xfId="0" applyNumberFormat="1" applyFont="1" applyFill="1" applyBorder="1" applyAlignment="1">
      <alignment horizontal="center"/>
    </xf>
    <xf numFmtId="164" fontId="7" fillId="4" borderId="19" xfId="0" applyNumberFormat="1" applyFont="1" applyFill="1" applyBorder="1" applyAlignment="1">
      <alignment horizontal="center"/>
    </xf>
    <xf numFmtId="164" fontId="7" fillId="4" borderId="25" xfId="0" applyNumberFormat="1" applyFont="1" applyFill="1" applyBorder="1" applyAlignment="1">
      <alignment horizontal="center"/>
    </xf>
    <xf numFmtId="164" fontId="7" fillId="4" borderId="20" xfId="0" applyNumberFormat="1" applyFont="1" applyFill="1" applyBorder="1" applyAlignment="1">
      <alignment horizontal="center"/>
    </xf>
    <xf numFmtId="0" fontId="4" fillId="5" borderId="5" xfId="2" applyFont="1" applyFill="1" applyBorder="1" applyAlignment="1">
      <alignment horizontal="center" vertical="center" wrapText="1"/>
    </xf>
    <xf numFmtId="0" fontId="4" fillId="5" borderId="8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41" fontId="8" fillId="6" borderId="4" xfId="1" applyFont="1" applyFill="1" applyBorder="1" applyAlignment="1">
      <alignment horizontal="center" vertical="center"/>
    </xf>
    <xf numFmtId="0" fontId="8" fillId="25" borderId="13" xfId="0" applyFont="1" applyFill="1" applyBorder="1" applyAlignment="1">
      <alignment horizontal="center"/>
    </xf>
    <xf numFmtId="0" fontId="8" fillId="25" borderId="14" xfId="0" applyFont="1" applyFill="1" applyBorder="1" applyAlignment="1">
      <alignment horizontal="center"/>
    </xf>
    <xf numFmtId="0" fontId="8" fillId="25" borderId="15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23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/>
    </xf>
    <xf numFmtId="0" fontId="8" fillId="24" borderId="4" xfId="0" applyFont="1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41" fontId="18" fillId="4" borderId="7" xfId="0" applyNumberFormat="1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0" fontId="10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41" fontId="4" fillId="4" borderId="13" xfId="1" applyFont="1" applyFill="1" applyBorder="1" applyAlignment="1">
      <alignment horizontal="center" vertical="top"/>
    </xf>
    <xf numFmtId="41" fontId="4" fillId="4" borderId="14" xfId="1" applyFont="1" applyFill="1" applyBorder="1" applyAlignment="1">
      <alignment horizontal="center" vertical="top"/>
    </xf>
    <xf numFmtId="41" fontId="4" fillId="4" borderId="15" xfId="1" applyFont="1" applyFill="1" applyBorder="1" applyAlignment="1">
      <alignment horizontal="center" vertical="top"/>
    </xf>
    <xf numFmtId="41" fontId="14" fillId="6" borderId="7" xfId="1" applyFont="1" applyFill="1" applyBorder="1" applyAlignment="1">
      <alignment horizontal="center" vertical="center"/>
    </xf>
    <xf numFmtId="41" fontId="14" fillId="6" borderId="12" xfId="1" applyFont="1" applyFill="1" applyBorder="1" applyAlignment="1">
      <alignment horizontal="center" vertical="center"/>
    </xf>
    <xf numFmtId="41" fontId="8" fillId="21" borderId="13" xfId="1" applyFont="1" applyFill="1" applyBorder="1" applyAlignment="1">
      <alignment horizontal="center" vertical="top"/>
    </xf>
    <xf numFmtId="41" fontId="8" fillId="21" borderId="14" xfId="1" applyFont="1" applyFill="1" applyBorder="1" applyAlignment="1">
      <alignment horizontal="center" vertical="top"/>
    </xf>
    <xf numFmtId="41" fontId="8" fillId="21" borderId="15" xfId="1" applyFont="1" applyFill="1" applyBorder="1" applyAlignment="1">
      <alignment horizontal="center" vertical="top"/>
    </xf>
    <xf numFmtId="41" fontId="8" fillId="24" borderId="13" xfId="1" applyFont="1" applyFill="1" applyBorder="1" applyAlignment="1">
      <alignment horizontal="center" vertical="top"/>
    </xf>
    <xf numFmtId="41" fontId="8" fillId="24" borderId="14" xfId="1" applyFont="1" applyFill="1" applyBorder="1" applyAlignment="1">
      <alignment horizontal="center" vertical="top"/>
    </xf>
    <xf numFmtId="41" fontId="8" fillId="24" borderId="15" xfId="1" applyFont="1" applyFill="1" applyBorder="1" applyAlignment="1">
      <alignment horizontal="center" vertical="top"/>
    </xf>
    <xf numFmtId="41" fontId="8" fillId="25" borderId="13" xfId="1" applyFont="1" applyFill="1" applyBorder="1" applyAlignment="1">
      <alignment horizontal="center" vertical="top"/>
    </xf>
    <xf numFmtId="41" fontId="8" fillId="25" borderId="14" xfId="1" applyFont="1" applyFill="1" applyBorder="1" applyAlignment="1">
      <alignment horizontal="center" vertical="top"/>
    </xf>
    <xf numFmtId="41" fontId="8" fillId="25" borderId="15" xfId="1" applyFont="1" applyFill="1" applyBorder="1" applyAlignment="1">
      <alignment horizontal="center" vertical="top"/>
    </xf>
    <xf numFmtId="41" fontId="8" fillId="4" borderId="13" xfId="1" applyFont="1" applyFill="1" applyBorder="1" applyAlignment="1">
      <alignment horizontal="center" vertical="top"/>
    </xf>
    <xf numFmtId="41" fontId="8" fillId="4" borderId="14" xfId="1" applyFont="1" applyFill="1" applyBorder="1" applyAlignment="1">
      <alignment horizontal="center" vertical="top"/>
    </xf>
    <xf numFmtId="41" fontId="8" fillId="4" borderId="15" xfId="1" applyFont="1" applyFill="1" applyBorder="1" applyAlignment="1">
      <alignment horizontal="center" vertical="top"/>
    </xf>
    <xf numFmtId="0" fontId="8" fillId="19" borderId="4" xfId="0" applyFont="1" applyFill="1" applyBorder="1" applyAlignment="1">
      <alignment horizontal="center"/>
    </xf>
    <xf numFmtId="0" fontId="8" fillId="15" borderId="4" xfId="0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8" fillId="14" borderId="4" xfId="0" applyFont="1" applyFill="1" applyBorder="1" applyAlignment="1">
      <alignment horizontal="center"/>
    </xf>
    <xf numFmtId="49" fontId="8" fillId="3" borderId="4" xfId="0" applyNumberFormat="1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49" fontId="10" fillId="2" borderId="0" xfId="0" applyNumberFormat="1" applyFont="1" applyFill="1" applyAlignment="1">
      <alignment horizontal="left" vertical="top" wrapText="1"/>
    </xf>
    <xf numFmtId="49" fontId="10" fillId="2" borderId="17" xfId="0" applyNumberFormat="1" applyFont="1" applyFill="1" applyBorder="1" applyAlignment="1">
      <alignment horizontal="left" vertical="top" wrapText="1"/>
    </xf>
    <xf numFmtId="0" fontId="8" fillId="11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left" vertical="top" wrapText="1"/>
    </xf>
    <xf numFmtId="164" fontId="7" fillId="3" borderId="13" xfId="0" applyNumberFormat="1" applyFont="1" applyFill="1" applyBorder="1" applyAlignment="1">
      <alignment horizontal="center"/>
    </xf>
    <xf numFmtId="164" fontId="7" fillId="3" borderId="14" xfId="0" applyNumberFormat="1" applyFont="1" applyFill="1" applyBorder="1" applyAlignment="1">
      <alignment horizontal="center"/>
    </xf>
    <xf numFmtId="164" fontId="7" fillId="3" borderId="15" xfId="0" applyNumberFormat="1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0" borderId="4" xfId="0" applyFont="1" applyFill="1" applyBorder="1" applyAlignment="1">
      <alignment horizontal="center"/>
    </xf>
    <xf numFmtId="0" fontId="8" fillId="21" borderId="4" xfId="0" applyFont="1" applyFill="1" applyBorder="1" applyAlignment="1">
      <alignment horizontal="center"/>
    </xf>
  </cellXfs>
  <cellStyles count="4">
    <cellStyle name="Comma [0]" xfId="1" builtinId="6"/>
    <cellStyle name="Normal" xfId="0" builtinId="0"/>
    <cellStyle name="Normal 10 2 3 2" xfId="2"/>
    <cellStyle name="Normal 10 2 6" xfId="3"/>
  </cellStyles>
  <dxfs count="2">
    <dxf>
      <font>
        <color theme="0"/>
      </font>
      <fill>
        <patternFill patternType="gray0625">
          <bgColor theme="6"/>
        </patternFill>
      </fill>
    </dxf>
    <dxf>
      <font>
        <color theme="0"/>
      </font>
      <fill>
        <patternFill patternType="gray0625"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FE978856-548F-4BF5-9AC9-1D6574CA1A13}">
    <Anchor>
      <Comment id="{D38B2E53-3543-4EDD-92A5-4D5A27110224}"/>
    </Anchor>
    <History>
      <Event time="2025-04-02T17:04:28.64" id="{2AB28D7B-C2EB-4859-9187-83EF1E2D0626}">
        <Attribution userId="S::anandam@awyad.org::d45e38b9-7090-4a64-afd2-dc7b3b0d7d74" userName="Ananda Mutemi" userProvider="AD"/>
        <Anchor>
          <Comment id="{D38B2E53-3543-4EDD-92A5-4D5A27110224}"/>
        </Anchor>
        <Create/>
      </Event>
      <Event time="2025-04-02T17:04:28.64" id="{5BEF52F3-1C05-4BCE-8919-58CCB86419F9}">
        <Attribution userId="S::anandam@awyad.org::d45e38b9-7090-4a64-afd2-dc7b3b0d7d74" userName="Ananda Mutemi" userProvider="AD"/>
        <Anchor>
          <Comment id="{D38B2E53-3543-4EDD-92A5-4D5A27110224}"/>
        </Anchor>
        <Assign userId="S::ftaaka@awyad.org::c3895249-7ea3-4863-8beb-4a3775d2abe1" userName="Faith Taaka" userProvider="AD"/>
      </Event>
      <Event time="2025-04-02T17:04:28.64" id="{072D4AF9-F31B-48EF-815F-CBB6CD14ACBF}">
        <Attribution userId="S::anandam@awyad.org::d45e38b9-7090-4a64-afd2-dc7b3b0d7d74" userName="Ananda Mutemi" userProvider="AD"/>
        <Anchor>
          <Comment id="{D38B2E53-3543-4EDD-92A5-4D5A27110224}"/>
        </Anchor>
        <SetTitle title="@Faith Taaka look at this target vis a vis the one in red below (row 18) and advise which one is which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Faith Taaka" id="{C84AAB75-045E-4E84-9909-A7C372E4EB29}" userId="ftaaka@awyad.org" providerId="PeoplePicker"/>
  <person displayName="Ananda Mutemi" id="{39EED34D-4B43-47A4-BA83-7BBB7C5003A7}" userId="S::anandam@awyad.org::d45e38b9-7090-4a64-afd2-dc7b3b0d7d7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5-04-02T17:04:28.49" personId="{39EED34D-4B43-47A4-BA83-7BBB7C5003A7}" id="{D38B2E53-3543-4EDD-92A5-4D5A27110224}">
    <text>@Faith Taaka look at this target vis a vis the one in red below (row 18) and advise which one is which.</text>
    <mentions>
      <mention mentionpersonId="{C84AAB75-045E-4E84-9909-A7C372E4EB29}" mentionId="{BB29588C-B3F8-4063-9204-D8F54EDF369D}" startIndex="0" length="12"/>
    </mentions>
  </threadedComment>
  <threadedComment ref="EQ8" dT="2025-04-02T23:24:48.01" personId="{39EED34D-4B43-47A4-BA83-7BBB7C5003A7}" id="{0AE740C1-9DCE-4395-A9E5-5839438B5816}">
    <text>20 Nyakabande, 18 Nakivale</text>
  </threadedComment>
  <threadedComment ref="FI8" dT="2025-04-02T23:25:11.63" personId="{39EED34D-4B43-47A4-BA83-7BBB7C5003A7}" id="{F32ADEFB-F20D-4526-95EB-709A144AF0AB}">
    <text>54 Nyakabande, 20 Nakivale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V31"/>
  <sheetViews>
    <sheetView tabSelected="1" zoomScale="60" zoomScaleNormal="60" workbookViewId="0">
      <pane xSplit="13" topLeftCell="BY1" activePane="topRight" state="frozen"/>
      <selection activeCell="A3" sqref="A3"/>
      <selection pane="topRight" activeCell="A5" sqref="A5:A14"/>
    </sheetView>
  </sheetViews>
  <sheetFormatPr defaultColWidth="8.7265625" defaultRowHeight="17.25" customHeight="1" x14ac:dyDescent="0.5"/>
  <cols>
    <col min="1" max="1" width="9.1796875" style="17" bestFit="1" customWidth="1"/>
    <col min="2" max="2" width="108.6328125" style="1" customWidth="1"/>
    <col min="3" max="3" width="9.81640625" style="1" customWidth="1"/>
    <col min="4" max="4" width="20.08984375" style="140" customWidth="1"/>
    <col min="5" max="5" width="9.81640625" style="17" bestFit="1" customWidth="1"/>
    <col min="6" max="13" width="8.7265625" style="1" hidden="1" customWidth="1"/>
    <col min="14" max="14" width="8.7265625" style="1"/>
    <col min="15" max="22" width="8.7265625" style="1" hidden="1" customWidth="1"/>
    <col min="23" max="23" width="8.7265625" style="1"/>
    <col min="24" max="31" width="8.7265625" style="1" hidden="1" customWidth="1"/>
    <col min="32" max="32" width="8.7265625" style="1"/>
    <col min="33" max="40" width="8.7265625" style="1" hidden="1" customWidth="1"/>
    <col min="41" max="41" width="8.7265625" style="1"/>
    <col min="42" max="49" width="8.7265625" style="1" hidden="1" customWidth="1"/>
    <col min="50" max="50" width="8.7265625" style="1"/>
    <col min="51" max="58" width="8.7265625" style="1" hidden="1" customWidth="1"/>
    <col min="59" max="59" width="8.7265625" style="1"/>
    <col min="60" max="67" width="8.7265625" style="1" hidden="1" customWidth="1"/>
    <col min="68" max="68" width="8.7265625" style="1"/>
    <col min="69" max="76" width="8.7265625" style="1" hidden="1" customWidth="1"/>
    <col min="77" max="77" width="8.7265625" style="1"/>
    <col min="78" max="85" width="8.7265625" style="1" hidden="1" customWidth="1"/>
    <col min="86" max="86" width="8.7265625" style="1"/>
    <col min="87" max="94" width="8.7265625" style="1" hidden="1" customWidth="1"/>
    <col min="95" max="95" width="8.7265625" style="1"/>
    <col min="96" max="103" width="8.7265625" style="1" hidden="1" customWidth="1"/>
    <col min="104" max="104" width="8.7265625" style="1"/>
    <col min="105" max="112" width="8.7265625" style="1" hidden="1" customWidth="1"/>
    <col min="113" max="113" width="8.7265625" style="1"/>
    <col min="114" max="121" width="8.7265625" style="1" hidden="1" customWidth="1"/>
    <col min="122" max="122" width="8.7265625" style="1"/>
    <col min="123" max="130" width="8.7265625" style="1" hidden="1" customWidth="1"/>
    <col min="131" max="131" width="8.7265625" style="1"/>
    <col min="132" max="139" width="8.7265625" style="1" hidden="1" customWidth="1"/>
    <col min="140" max="140" width="8.7265625" style="1"/>
    <col min="141" max="148" width="8.7265625" style="1" hidden="1" customWidth="1"/>
    <col min="149" max="149" width="8.7265625" style="1"/>
    <col min="150" max="157" width="8.7265625" style="1" hidden="1" customWidth="1"/>
    <col min="158" max="158" width="8.7265625" style="1" bestFit="1" customWidth="1"/>
    <col min="159" max="166" width="8.7265625" style="1" hidden="1" customWidth="1"/>
    <col min="167" max="167" width="8.7265625" style="1" bestFit="1" customWidth="1"/>
    <col min="168" max="175" width="8.7265625" style="1" hidden="1" customWidth="1"/>
    <col min="176" max="176" width="8.7265625" style="1" customWidth="1"/>
    <col min="177" max="184" width="8.7265625" style="1" hidden="1" customWidth="1"/>
    <col min="185" max="185" width="8.7265625" style="1"/>
    <col min="186" max="193" width="8.7265625" style="1" hidden="1" customWidth="1"/>
    <col min="194" max="194" width="8.7265625" style="1" customWidth="1"/>
    <col min="195" max="202" width="8.7265625" style="1" hidden="1" customWidth="1"/>
    <col min="203" max="203" width="8.7265625" style="1"/>
    <col min="204" max="211" width="8.7265625" style="1" hidden="1" customWidth="1"/>
    <col min="212" max="212" width="8.7265625" style="1" customWidth="1"/>
    <col min="213" max="220" width="8.7265625" style="1" hidden="1" customWidth="1"/>
    <col min="221" max="221" width="8.7265625" style="1"/>
    <col min="222" max="229" width="8.7265625" style="1" hidden="1" customWidth="1"/>
    <col min="230" max="230" width="8.7265625" style="1" customWidth="1"/>
    <col min="231" max="238" width="8.7265625" style="1" hidden="1" customWidth="1"/>
    <col min="239" max="239" width="8.7265625" style="1"/>
    <col min="240" max="247" width="8.7265625" style="1" hidden="1" customWidth="1"/>
    <col min="248" max="248" width="8.7265625" style="1" customWidth="1"/>
    <col min="249" max="256" width="8.7265625" style="1" hidden="1" customWidth="1"/>
    <col min="257" max="257" width="8.7265625" style="1"/>
    <col min="258" max="265" width="8.7265625" style="1" hidden="1" customWidth="1"/>
    <col min="266" max="266" width="8.7265625" style="1" customWidth="1"/>
    <col min="267" max="274" width="8.7265625" style="1" hidden="1" customWidth="1"/>
    <col min="275" max="275" width="8.7265625" style="1"/>
    <col min="276" max="276" width="11" style="1" bestFit="1" customWidth="1"/>
    <col min="277" max="277" width="11.81640625" style="1" customWidth="1"/>
    <col min="278" max="278" width="13.54296875" style="1" customWidth="1"/>
    <col min="279" max="279" width="10.54296875" style="1" bestFit="1" customWidth="1"/>
    <col min="280" max="280" width="13.81640625" style="1" customWidth="1"/>
    <col min="281" max="281" width="12.54296875" style="1" customWidth="1"/>
    <col min="282" max="282" width="13.7265625" style="1" customWidth="1"/>
    <col min="283" max="16384" width="8.7265625" style="1"/>
  </cols>
  <sheetData>
    <row r="1" spans="1:282" ht="17.25" customHeight="1" thickBot="1" x14ac:dyDescent="0.55000000000000004">
      <c r="A1" s="226" t="s">
        <v>0</v>
      </c>
      <c r="B1" s="229" t="s">
        <v>1</v>
      </c>
      <c r="C1" s="230"/>
      <c r="D1" s="230"/>
      <c r="E1" s="231"/>
      <c r="F1" s="160" t="s">
        <v>2</v>
      </c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2"/>
      <c r="X1" s="160" t="s">
        <v>3</v>
      </c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160" t="s">
        <v>4</v>
      </c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2"/>
      <c r="BH1" s="160" t="s">
        <v>5</v>
      </c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2"/>
      <c r="BZ1" s="160" t="s">
        <v>6</v>
      </c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2"/>
      <c r="CR1" s="157" t="s">
        <v>7</v>
      </c>
      <c r="CS1" s="158"/>
      <c r="CT1" s="158"/>
      <c r="CU1" s="158"/>
      <c r="CV1" s="158"/>
      <c r="CW1" s="158"/>
      <c r="CX1" s="158"/>
      <c r="CY1" s="158"/>
      <c r="CZ1" s="158"/>
      <c r="DA1" s="158"/>
      <c r="DB1" s="158"/>
      <c r="DC1" s="158"/>
      <c r="DD1" s="158"/>
      <c r="DE1" s="158"/>
      <c r="DF1" s="158"/>
      <c r="DG1" s="158"/>
      <c r="DH1" s="158"/>
      <c r="DI1" s="159"/>
      <c r="DJ1" s="157" t="s">
        <v>8</v>
      </c>
      <c r="DK1" s="158"/>
      <c r="DL1" s="158"/>
      <c r="DM1" s="158"/>
      <c r="DN1" s="158"/>
      <c r="DO1" s="158"/>
      <c r="DP1" s="158"/>
      <c r="DQ1" s="158"/>
      <c r="DR1" s="158"/>
      <c r="DS1" s="158"/>
      <c r="DT1" s="158"/>
      <c r="DU1" s="158"/>
      <c r="DV1" s="158"/>
      <c r="DW1" s="158"/>
      <c r="DX1" s="158"/>
      <c r="DY1" s="158"/>
      <c r="DZ1" s="158"/>
      <c r="EA1" s="159"/>
      <c r="EB1" s="157" t="s">
        <v>9</v>
      </c>
      <c r="EC1" s="158"/>
      <c r="ED1" s="158"/>
      <c r="EE1" s="158"/>
      <c r="EF1" s="158"/>
      <c r="EG1" s="158"/>
      <c r="EH1" s="158"/>
      <c r="EI1" s="158"/>
      <c r="EJ1" s="158"/>
      <c r="EK1" s="158"/>
      <c r="EL1" s="158"/>
      <c r="EM1" s="158"/>
      <c r="EN1" s="158"/>
      <c r="EO1" s="158"/>
      <c r="EP1" s="158"/>
      <c r="EQ1" s="158"/>
      <c r="ER1" s="158"/>
      <c r="ES1" s="159"/>
      <c r="ET1" s="157" t="s">
        <v>10</v>
      </c>
      <c r="EU1" s="158"/>
      <c r="EV1" s="158"/>
      <c r="EW1" s="158"/>
      <c r="EX1" s="158"/>
      <c r="EY1" s="158"/>
      <c r="EZ1" s="158"/>
      <c r="FA1" s="158"/>
      <c r="FB1" s="158"/>
      <c r="FC1" s="158"/>
      <c r="FD1" s="158"/>
      <c r="FE1" s="158"/>
      <c r="FF1" s="158"/>
      <c r="FG1" s="158"/>
      <c r="FH1" s="158"/>
      <c r="FI1" s="158"/>
      <c r="FJ1" s="158"/>
      <c r="FK1" s="159"/>
      <c r="FL1" s="157" t="s">
        <v>11</v>
      </c>
      <c r="FM1" s="158"/>
      <c r="FN1" s="158"/>
      <c r="FO1" s="158"/>
      <c r="FP1" s="158"/>
      <c r="FQ1" s="158"/>
      <c r="FR1" s="158"/>
      <c r="FS1" s="158"/>
      <c r="FT1" s="158"/>
      <c r="FU1" s="158"/>
      <c r="FV1" s="158"/>
      <c r="FW1" s="158"/>
      <c r="FX1" s="158"/>
      <c r="FY1" s="158"/>
      <c r="FZ1" s="158"/>
      <c r="GA1" s="158"/>
      <c r="GB1" s="158"/>
      <c r="GC1" s="159"/>
      <c r="GD1" s="157" t="s">
        <v>89</v>
      </c>
      <c r="GE1" s="158"/>
      <c r="GF1" s="158"/>
      <c r="GG1" s="158"/>
      <c r="GH1" s="158"/>
      <c r="GI1" s="158"/>
      <c r="GJ1" s="158"/>
      <c r="GK1" s="158"/>
      <c r="GL1" s="158"/>
      <c r="GM1" s="158"/>
      <c r="GN1" s="158"/>
      <c r="GO1" s="158"/>
      <c r="GP1" s="158"/>
      <c r="GQ1" s="158"/>
      <c r="GR1" s="158"/>
      <c r="GS1" s="158"/>
      <c r="GT1" s="158"/>
      <c r="GU1" s="159"/>
      <c r="GV1" s="157" t="s">
        <v>94</v>
      </c>
      <c r="GW1" s="158"/>
      <c r="GX1" s="158"/>
      <c r="GY1" s="158"/>
      <c r="GZ1" s="158"/>
      <c r="HA1" s="158"/>
      <c r="HB1" s="158"/>
      <c r="HC1" s="158"/>
      <c r="HD1" s="158"/>
      <c r="HE1" s="158"/>
      <c r="HF1" s="158"/>
      <c r="HG1" s="158"/>
      <c r="HH1" s="158"/>
      <c r="HI1" s="158"/>
      <c r="HJ1" s="158"/>
      <c r="HK1" s="158"/>
      <c r="HL1" s="158"/>
      <c r="HM1" s="159"/>
      <c r="HN1" s="157" t="s">
        <v>95</v>
      </c>
      <c r="HO1" s="158"/>
      <c r="HP1" s="158"/>
      <c r="HQ1" s="158"/>
      <c r="HR1" s="158"/>
      <c r="HS1" s="158"/>
      <c r="HT1" s="158"/>
      <c r="HU1" s="158"/>
      <c r="HV1" s="158"/>
      <c r="HW1" s="158"/>
      <c r="HX1" s="158"/>
      <c r="HY1" s="158"/>
      <c r="HZ1" s="158"/>
      <c r="IA1" s="158"/>
      <c r="IB1" s="158"/>
      <c r="IC1" s="158"/>
      <c r="ID1" s="158"/>
      <c r="IE1" s="159"/>
      <c r="IF1" s="157" t="s">
        <v>96</v>
      </c>
      <c r="IG1" s="158"/>
      <c r="IH1" s="158"/>
      <c r="II1" s="158"/>
      <c r="IJ1" s="158"/>
      <c r="IK1" s="158"/>
      <c r="IL1" s="158"/>
      <c r="IM1" s="158"/>
      <c r="IN1" s="158"/>
      <c r="IO1" s="158"/>
      <c r="IP1" s="158"/>
      <c r="IQ1" s="158"/>
      <c r="IR1" s="158"/>
      <c r="IS1" s="158"/>
      <c r="IT1" s="158"/>
      <c r="IU1" s="158"/>
      <c r="IV1" s="158"/>
      <c r="IW1" s="159"/>
      <c r="IX1" s="157" t="s">
        <v>103</v>
      </c>
      <c r="IY1" s="158"/>
      <c r="IZ1" s="158"/>
      <c r="JA1" s="158"/>
      <c r="JB1" s="158"/>
      <c r="JC1" s="158"/>
      <c r="JD1" s="158"/>
      <c r="JE1" s="158"/>
      <c r="JF1" s="158"/>
      <c r="JG1" s="158"/>
      <c r="JH1" s="158"/>
      <c r="JI1" s="158"/>
      <c r="JJ1" s="158"/>
      <c r="JK1" s="158"/>
      <c r="JL1" s="158"/>
      <c r="JM1" s="158"/>
      <c r="JN1" s="158"/>
      <c r="JO1" s="159"/>
      <c r="JP1" s="210" t="s">
        <v>12</v>
      </c>
      <c r="JQ1" s="211"/>
      <c r="JR1" s="212"/>
      <c r="JS1" s="219" t="s">
        <v>13</v>
      </c>
      <c r="JT1" s="219" t="s">
        <v>14</v>
      </c>
      <c r="JU1" s="201"/>
      <c r="JV1" s="202"/>
    </row>
    <row r="2" spans="1:282" ht="17" thickBot="1" x14ac:dyDescent="0.55000000000000004">
      <c r="A2" s="227"/>
      <c r="B2" s="232"/>
      <c r="C2" s="233"/>
      <c r="D2" s="233"/>
      <c r="E2" s="234"/>
      <c r="F2" s="160" t="s">
        <v>15</v>
      </c>
      <c r="G2" s="161"/>
      <c r="H2" s="161"/>
      <c r="I2" s="161"/>
      <c r="J2" s="161"/>
      <c r="K2" s="161"/>
      <c r="L2" s="161"/>
      <c r="M2" s="161"/>
      <c r="N2" s="162"/>
      <c r="O2" s="160" t="s">
        <v>16</v>
      </c>
      <c r="P2" s="161"/>
      <c r="Q2" s="161"/>
      <c r="R2" s="161"/>
      <c r="S2" s="161"/>
      <c r="T2" s="161"/>
      <c r="U2" s="161"/>
      <c r="V2" s="161"/>
      <c r="W2" s="162"/>
      <c r="X2" s="160" t="s">
        <v>15</v>
      </c>
      <c r="Y2" s="161"/>
      <c r="Z2" s="161"/>
      <c r="AA2" s="161"/>
      <c r="AB2" s="161"/>
      <c r="AC2" s="161"/>
      <c r="AD2" s="161"/>
      <c r="AE2" s="161"/>
      <c r="AF2" s="162"/>
      <c r="AG2" s="160" t="s">
        <v>16</v>
      </c>
      <c r="AH2" s="161"/>
      <c r="AI2" s="161"/>
      <c r="AJ2" s="161"/>
      <c r="AK2" s="161"/>
      <c r="AL2" s="161"/>
      <c r="AM2" s="161"/>
      <c r="AN2" s="161"/>
      <c r="AO2" s="162"/>
      <c r="AP2" s="160" t="s">
        <v>15</v>
      </c>
      <c r="AQ2" s="161"/>
      <c r="AR2" s="161"/>
      <c r="AS2" s="161"/>
      <c r="AT2" s="161"/>
      <c r="AU2" s="161"/>
      <c r="AV2" s="161"/>
      <c r="AW2" s="161"/>
      <c r="AX2" s="162"/>
      <c r="AY2" s="160" t="s">
        <v>16</v>
      </c>
      <c r="AZ2" s="161"/>
      <c r="BA2" s="161"/>
      <c r="BB2" s="161"/>
      <c r="BC2" s="161"/>
      <c r="BD2" s="161"/>
      <c r="BE2" s="161"/>
      <c r="BF2" s="161"/>
      <c r="BG2" s="162"/>
      <c r="BH2" s="160" t="s">
        <v>15</v>
      </c>
      <c r="BI2" s="161"/>
      <c r="BJ2" s="161"/>
      <c r="BK2" s="161"/>
      <c r="BL2" s="161"/>
      <c r="BM2" s="161"/>
      <c r="BN2" s="161"/>
      <c r="BO2" s="161"/>
      <c r="BP2" s="162"/>
      <c r="BQ2" s="160" t="s">
        <v>16</v>
      </c>
      <c r="BR2" s="161"/>
      <c r="BS2" s="161"/>
      <c r="BT2" s="161"/>
      <c r="BU2" s="161"/>
      <c r="BV2" s="161"/>
      <c r="BW2" s="161"/>
      <c r="BX2" s="161"/>
      <c r="BY2" s="162"/>
      <c r="BZ2" s="160" t="s">
        <v>15</v>
      </c>
      <c r="CA2" s="161"/>
      <c r="CB2" s="161"/>
      <c r="CC2" s="161"/>
      <c r="CD2" s="161"/>
      <c r="CE2" s="161"/>
      <c r="CF2" s="161"/>
      <c r="CG2" s="161"/>
      <c r="CH2" s="162"/>
      <c r="CI2" s="160" t="s">
        <v>16</v>
      </c>
      <c r="CJ2" s="161"/>
      <c r="CK2" s="161"/>
      <c r="CL2" s="161"/>
      <c r="CM2" s="161"/>
      <c r="CN2" s="161"/>
      <c r="CO2" s="161"/>
      <c r="CP2" s="161"/>
      <c r="CQ2" s="162"/>
      <c r="CR2" s="160" t="s">
        <v>15</v>
      </c>
      <c r="CS2" s="161"/>
      <c r="CT2" s="161"/>
      <c r="CU2" s="161"/>
      <c r="CV2" s="161"/>
      <c r="CW2" s="161"/>
      <c r="CX2" s="161"/>
      <c r="CY2" s="161"/>
      <c r="CZ2" s="162"/>
      <c r="DA2" s="160" t="s">
        <v>16</v>
      </c>
      <c r="DB2" s="161"/>
      <c r="DC2" s="161"/>
      <c r="DD2" s="161"/>
      <c r="DE2" s="161"/>
      <c r="DF2" s="161"/>
      <c r="DG2" s="161"/>
      <c r="DH2" s="161"/>
      <c r="DI2" s="162"/>
      <c r="DJ2" s="160" t="s">
        <v>15</v>
      </c>
      <c r="DK2" s="161"/>
      <c r="DL2" s="161"/>
      <c r="DM2" s="161"/>
      <c r="DN2" s="161"/>
      <c r="DO2" s="161"/>
      <c r="DP2" s="161"/>
      <c r="DQ2" s="161"/>
      <c r="DR2" s="162"/>
      <c r="DS2" s="160" t="s">
        <v>16</v>
      </c>
      <c r="DT2" s="161"/>
      <c r="DU2" s="161"/>
      <c r="DV2" s="161"/>
      <c r="DW2" s="161"/>
      <c r="DX2" s="161"/>
      <c r="DY2" s="161"/>
      <c r="DZ2" s="161"/>
      <c r="EA2" s="162"/>
      <c r="EB2" s="160" t="s">
        <v>15</v>
      </c>
      <c r="EC2" s="161"/>
      <c r="ED2" s="161"/>
      <c r="EE2" s="161"/>
      <c r="EF2" s="161"/>
      <c r="EG2" s="161"/>
      <c r="EH2" s="161"/>
      <c r="EI2" s="161"/>
      <c r="EJ2" s="162"/>
      <c r="EK2" s="160" t="s">
        <v>16</v>
      </c>
      <c r="EL2" s="161"/>
      <c r="EM2" s="161"/>
      <c r="EN2" s="161"/>
      <c r="EO2" s="161"/>
      <c r="EP2" s="161"/>
      <c r="EQ2" s="161"/>
      <c r="ER2" s="161"/>
      <c r="ES2" s="162"/>
      <c r="ET2" s="160" t="s">
        <v>15</v>
      </c>
      <c r="EU2" s="161"/>
      <c r="EV2" s="161"/>
      <c r="EW2" s="161"/>
      <c r="EX2" s="161"/>
      <c r="EY2" s="161"/>
      <c r="EZ2" s="161"/>
      <c r="FA2" s="161"/>
      <c r="FB2" s="162"/>
      <c r="FC2" s="160" t="s">
        <v>16</v>
      </c>
      <c r="FD2" s="161"/>
      <c r="FE2" s="161"/>
      <c r="FF2" s="161"/>
      <c r="FG2" s="161"/>
      <c r="FH2" s="161"/>
      <c r="FI2" s="161"/>
      <c r="FJ2" s="161"/>
      <c r="FK2" s="162"/>
      <c r="FL2" s="160" t="s">
        <v>15</v>
      </c>
      <c r="FM2" s="161"/>
      <c r="FN2" s="161"/>
      <c r="FO2" s="161"/>
      <c r="FP2" s="161"/>
      <c r="FQ2" s="161"/>
      <c r="FR2" s="161"/>
      <c r="FS2" s="161"/>
      <c r="FT2" s="162"/>
      <c r="FU2" s="160" t="s">
        <v>16</v>
      </c>
      <c r="FV2" s="161"/>
      <c r="FW2" s="161"/>
      <c r="FX2" s="161"/>
      <c r="FY2" s="161"/>
      <c r="FZ2" s="161"/>
      <c r="GA2" s="161"/>
      <c r="GB2" s="161"/>
      <c r="GC2" s="162"/>
      <c r="GD2" s="160" t="s">
        <v>15</v>
      </c>
      <c r="GE2" s="161"/>
      <c r="GF2" s="161"/>
      <c r="GG2" s="161"/>
      <c r="GH2" s="161"/>
      <c r="GI2" s="161"/>
      <c r="GJ2" s="161"/>
      <c r="GK2" s="161"/>
      <c r="GL2" s="162"/>
      <c r="GM2" s="160" t="s">
        <v>16</v>
      </c>
      <c r="GN2" s="161"/>
      <c r="GO2" s="161"/>
      <c r="GP2" s="161"/>
      <c r="GQ2" s="161"/>
      <c r="GR2" s="161"/>
      <c r="GS2" s="161"/>
      <c r="GT2" s="161"/>
      <c r="GU2" s="162"/>
      <c r="GV2" s="160" t="s">
        <v>15</v>
      </c>
      <c r="GW2" s="161"/>
      <c r="GX2" s="161"/>
      <c r="GY2" s="161"/>
      <c r="GZ2" s="161"/>
      <c r="HA2" s="161"/>
      <c r="HB2" s="161"/>
      <c r="HC2" s="161"/>
      <c r="HD2" s="162"/>
      <c r="HE2" s="160" t="s">
        <v>16</v>
      </c>
      <c r="HF2" s="161"/>
      <c r="HG2" s="161"/>
      <c r="HH2" s="161"/>
      <c r="HI2" s="161"/>
      <c r="HJ2" s="161"/>
      <c r="HK2" s="161"/>
      <c r="HL2" s="161"/>
      <c r="HM2" s="162"/>
      <c r="HN2" s="160" t="s">
        <v>15</v>
      </c>
      <c r="HO2" s="161"/>
      <c r="HP2" s="161"/>
      <c r="HQ2" s="161"/>
      <c r="HR2" s="161"/>
      <c r="HS2" s="161"/>
      <c r="HT2" s="161"/>
      <c r="HU2" s="161"/>
      <c r="HV2" s="162"/>
      <c r="HW2" s="160" t="s">
        <v>16</v>
      </c>
      <c r="HX2" s="161"/>
      <c r="HY2" s="161"/>
      <c r="HZ2" s="161"/>
      <c r="IA2" s="161"/>
      <c r="IB2" s="161"/>
      <c r="IC2" s="161"/>
      <c r="ID2" s="161"/>
      <c r="IE2" s="162"/>
      <c r="IF2" s="160" t="s">
        <v>15</v>
      </c>
      <c r="IG2" s="161"/>
      <c r="IH2" s="161"/>
      <c r="II2" s="161"/>
      <c r="IJ2" s="161"/>
      <c r="IK2" s="161"/>
      <c r="IL2" s="161"/>
      <c r="IM2" s="161"/>
      <c r="IN2" s="162"/>
      <c r="IO2" s="160" t="s">
        <v>16</v>
      </c>
      <c r="IP2" s="161"/>
      <c r="IQ2" s="161"/>
      <c r="IR2" s="161"/>
      <c r="IS2" s="161"/>
      <c r="IT2" s="161"/>
      <c r="IU2" s="161"/>
      <c r="IV2" s="161"/>
      <c r="IW2" s="162"/>
      <c r="IX2" s="160" t="s">
        <v>15</v>
      </c>
      <c r="IY2" s="161"/>
      <c r="IZ2" s="161"/>
      <c r="JA2" s="161"/>
      <c r="JB2" s="161"/>
      <c r="JC2" s="161"/>
      <c r="JD2" s="161"/>
      <c r="JE2" s="161"/>
      <c r="JF2" s="162"/>
      <c r="JG2" s="160" t="s">
        <v>16</v>
      </c>
      <c r="JH2" s="161"/>
      <c r="JI2" s="161"/>
      <c r="JJ2" s="161"/>
      <c r="JK2" s="161"/>
      <c r="JL2" s="161"/>
      <c r="JM2" s="161"/>
      <c r="JN2" s="161"/>
      <c r="JO2" s="162"/>
      <c r="JP2" s="213"/>
      <c r="JQ2" s="214"/>
      <c r="JR2" s="215"/>
      <c r="JS2" s="220"/>
      <c r="JT2" s="220"/>
      <c r="JU2" s="203"/>
      <c r="JV2" s="204"/>
    </row>
    <row r="3" spans="1:282" ht="17" thickBot="1" x14ac:dyDescent="0.55000000000000004">
      <c r="A3" s="228"/>
      <c r="B3" s="235"/>
      <c r="C3" s="236"/>
      <c r="D3" s="236"/>
      <c r="E3" s="237"/>
      <c r="F3" s="198" t="s">
        <v>17</v>
      </c>
      <c r="G3" s="199"/>
      <c r="H3" s="199"/>
      <c r="I3" s="200"/>
      <c r="J3" s="198" t="s">
        <v>18</v>
      </c>
      <c r="K3" s="199"/>
      <c r="L3" s="199"/>
      <c r="M3" s="200"/>
      <c r="N3" s="166" t="s">
        <v>19</v>
      </c>
      <c r="O3" s="198" t="s">
        <v>17</v>
      </c>
      <c r="P3" s="199"/>
      <c r="Q3" s="199"/>
      <c r="R3" s="200"/>
      <c r="S3" s="198" t="s">
        <v>18</v>
      </c>
      <c r="T3" s="199"/>
      <c r="U3" s="199"/>
      <c r="V3" s="200"/>
      <c r="W3" s="166" t="s">
        <v>19</v>
      </c>
      <c r="X3" s="207" t="s">
        <v>17</v>
      </c>
      <c r="Y3" s="208"/>
      <c r="Z3" s="208"/>
      <c r="AA3" s="209"/>
      <c r="AB3" s="207" t="s">
        <v>18</v>
      </c>
      <c r="AC3" s="208"/>
      <c r="AD3" s="208"/>
      <c r="AE3" s="209"/>
      <c r="AF3" s="166" t="s">
        <v>19</v>
      </c>
      <c r="AG3" s="207" t="s">
        <v>17</v>
      </c>
      <c r="AH3" s="208"/>
      <c r="AI3" s="208"/>
      <c r="AJ3" s="209"/>
      <c r="AK3" s="207" t="s">
        <v>18</v>
      </c>
      <c r="AL3" s="208"/>
      <c r="AM3" s="208"/>
      <c r="AN3" s="209"/>
      <c r="AO3" s="166" t="s">
        <v>19</v>
      </c>
      <c r="AP3" s="223" t="s">
        <v>17</v>
      </c>
      <c r="AQ3" s="224"/>
      <c r="AR3" s="224"/>
      <c r="AS3" s="225"/>
      <c r="AT3" s="223" t="s">
        <v>18</v>
      </c>
      <c r="AU3" s="224"/>
      <c r="AV3" s="224"/>
      <c r="AW3" s="225"/>
      <c r="AX3" s="166" t="s">
        <v>19</v>
      </c>
      <c r="AY3" s="223" t="s">
        <v>17</v>
      </c>
      <c r="AZ3" s="224"/>
      <c r="BA3" s="224"/>
      <c r="BB3" s="225"/>
      <c r="BC3" s="223" t="s">
        <v>18</v>
      </c>
      <c r="BD3" s="224"/>
      <c r="BE3" s="224"/>
      <c r="BF3" s="225"/>
      <c r="BG3" s="166" t="s">
        <v>19</v>
      </c>
      <c r="BH3" s="189" t="s">
        <v>17</v>
      </c>
      <c r="BI3" s="190"/>
      <c r="BJ3" s="190"/>
      <c r="BK3" s="191"/>
      <c r="BL3" s="189" t="s">
        <v>18</v>
      </c>
      <c r="BM3" s="190"/>
      <c r="BN3" s="190"/>
      <c r="BO3" s="191"/>
      <c r="BP3" s="166" t="s">
        <v>19</v>
      </c>
      <c r="BQ3" s="189" t="s">
        <v>17</v>
      </c>
      <c r="BR3" s="190"/>
      <c r="BS3" s="190"/>
      <c r="BT3" s="191"/>
      <c r="BU3" s="189" t="s">
        <v>18</v>
      </c>
      <c r="BV3" s="190"/>
      <c r="BW3" s="190"/>
      <c r="BX3" s="191"/>
      <c r="BY3" s="166" t="s">
        <v>19</v>
      </c>
      <c r="BZ3" s="242" t="s">
        <v>17</v>
      </c>
      <c r="CA3" s="243"/>
      <c r="CB3" s="243"/>
      <c r="CC3" s="244"/>
      <c r="CD3" s="242" t="s">
        <v>18</v>
      </c>
      <c r="CE3" s="243"/>
      <c r="CF3" s="243"/>
      <c r="CG3" s="244"/>
      <c r="CH3" s="166" t="s">
        <v>19</v>
      </c>
      <c r="CI3" s="242" t="s">
        <v>17</v>
      </c>
      <c r="CJ3" s="243"/>
      <c r="CK3" s="243"/>
      <c r="CL3" s="244"/>
      <c r="CM3" s="242" t="s">
        <v>18</v>
      </c>
      <c r="CN3" s="243"/>
      <c r="CO3" s="243"/>
      <c r="CP3" s="244"/>
      <c r="CQ3" s="166" t="s">
        <v>19</v>
      </c>
      <c r="CR3" s="192" t="s">
        <v>17</v>
      </c>
      <c r="CS3" s="193"/>
      <c r="CT3" s="193"/>
      <c r="CU3" s="194"/>
      <c r="CV3" s="192" t="s">
        <v>18</v>
      </c>
      <c r="CW3" s="193"/>
      <c r="CX3" s="193"/>
      <c r="CY3" s="194"/>
      <c r="CZ3" s="166" t="s">
        <v>19</v>
      </c>
      <c r="DA3" s="192" t="s">
        <v>17</v>
      </c>
      <c r="DB3" s="193"/>
      <c r="DC3" s="193"/>
      <c r="DD3" s="194"/>
      <c r="DE3" s="192" t="s">
        <v>18</v>
      </c>
      <c r="DF3" s="193"/>
      <c r="DG3" s="193"/>
      <c r="DH3" s="194"/>
      <c r="DI3" s="166" t="s">
        <v>19</v>
      </c>
      <c r="DJ3" s="207" t="s">
        <v>17</v>
      </c>
      <c r="DK3" s="208"/>
      <c r="DL3" s="208"/>
      <c r="DM3" s="209"/>
      <c r="DN3" s="207" t="s">
        <v>18</v>
      </c>
      <c r="DO3" s="208"/>
      <c r="DP3" s="208"/>
      <c r="DQ3" s="209"/>
      <c r="DR3" s="166" t="s">
        <v>19</v>
      </c>
      <c r="DS3" s="207" t="s">
        <v>17</v>
      </c>
      <c r="DT3" s="208"/>
      <c r="DU3" s="208"/>
      <c r="DV3" s="209"/>
      <c r="DW3" s="207" t="s">
        <v>18</v>
      </c>
      <c r="DX3" s="208"/>
      <c r="DY3" s="208"/>
      <c r="DZ3" s="209"/>
      <c r="EA3" s="166" t="s">
        <v>19</v>
      </c>
      <c r="EB3" s="195" t="s">
        <v>17</v>
      </c>
      <c r="EC3" s="196"/>
      <c r="ED3" s="196"/>
      <c r="EE3" s="197"/>
      <c r="EF3" s="195" t="s">
        <v>18</v>
      </c>
      <c r="EG3" s="196"/>
      <c r="EH3" s="196"/>
      <c r="EI3" s="197"/>
      <c r="EJ3" s="166" t="s">
        <v>19</v>
      </c>
      <c r="EK3" s="195" t="s">
        <v>17</v>
      </c>
      <c r="EL3" s="196"/>
      <c r="EM3" s="196"/>
      <c r="EN3" s="197"/>
      <c r="EO3" s="195" t="s">
        <v>18</v>
      </c>
      <c r="EP3" s="196"/>
      <c r="EQ3" s="196"/>
      <c r="ER3" s="197"/>
      <c r="ES3" s="166" t="s">
        <v>19</v>
      </c>
      <c r="ET3" s="186" t="s">
        <v>17</v>
      </c>
      <c r="EU3" s="187"/>
      <c r="EV3" s="187"/>
      <c r="EW3" s="188"/>
      <c r="EX3" s="186" t="s">
        <v>18</v>
      </c>
      <c r="EY3" s="187"/>
      <c r="EZ3" s="187"/>
      <c r="FA3" s="188"/>
      <c r="FB3" s="166" t="s">
        <v>19</v>
      </c>
      <c r="FC3" s="186" t="s">
        <v>17</v>
      </c>
      <c r="FD3" s="187"/>
      <c r="FE3" s="187"/>
      <c r="FF3" s="188"/>
      <c r="FG3" s="186" t="s">
        <v>18</v>
      </c>
      <c r="FH3" s="187"/>
      <c r="FI3" s="187"/>
      <c r="FJ3" s="188"/>
      <c r="FK3" s="166" t="s">
        <v>19</v>
      </c>
      <c r="FL3" s="186" t="s">
        <v>17</v>
      </c>
      <c r="FM3" s="187"/>
      <c r="FN3" s="187"/>
      <c r="FO3" s="188"/>
      <c r="FP3" s="186" t="s">
        <v>18</v>
      </c>
      <c r="FQ3" s="187"/>
      <c r="FR3" s="187"/>
      <c r="FS3" s="188"/>
      <c r="FT3" s="166" t="s">
        <v>19</v>
      </c>
      <c r="FU3" s="186" t="s">
        <v>17</v>
      </c>
      <c r="FV3" s="187"/>
      <c r="FW3" s="187"/>
      <c r="FX3" s="188"/>
      <c r="FY3" s="186" t="s">
        <v>18</v>
      </c>
      <c r="FZ3" s="187"/>
      <c r="GA3" s="187"/>
      <c r="GB3" s="188"/>
      <c r="GC3" s="166" t="s">
        <v>19</v>
      </c>
      <c r="GD3" s="186" t="s">
        <v>17</v>
      </c>
      <c r="GE3" s="187"/>
      <c r="GF3" s="187"/>
      <c r="GG3" s="188"/>
      <c r="GH3" s="186" t="s">
        <v>18</v>
      </c>
      <c r="GI3" s="187"/>
      <c r="GJ3" s="187"/>
      <c r="GK3" s="188"/>
      <c r="GL3" s="166" t="s">
        <v>19</v>
      </c>
      <c r="GM3" s="186" t="s">
        <v>17</v>
      </c>
      <c r="GN3" s="187"/>
      <c r="GO3" s="187"/>
      <c r="GP3" s="188"/>
      <c r="GQ3" s="186" t="s">
        <v>18</v>
      </c>
      <c r="GR3" s="187"/>
      <c r="GS3" s="187"/>
      <c r="GT3" s="188"/>
      <c r="GU3" s="166" t="s">
        <v>19</v>
      </c>
      <c r="GV3" s="186" t="s">
        <v>17</v>
      </c>
      <c r="GW3" s="187"/>
      <c r="GX3" s="187"/>
      <c r="GY3" s="188"/>
      <c r="GZ3" s="186" t="s">
        <v>18</v>
      </c>
      <c r="HA3" s="187"/>
      <c r="HB3" s="187"/>
      <c r="HC3" s="188"/>
      <c r="HD3" s="166" t="s">
        <v>19</v>
      </c>
      <c r="HE3" s="186" t="s">
        <v>17</v>
      </c>
      <c r="HF3" s="187"/>
      <c r="HG3" s="187"/>
      <c r="HH3" s="188"/>
      <c r="HI3" s="186" t="s">
        <v>18</v>
      </c>
      <c r="HJ3" s="187"/>
      <c r="HK3" s="187"/>
      <c r="HL3" s="188"/>
      <c r="HM3" s="166" t="s">
        <v>19</v>
      </c>
      <c r="HN3" s="186" t="s">
        <v>17</v>
      </c>
      <c r="HO3" s="187"/>
      <c r="HP3" s="187"/>
      <c r="HQ3" s="188"/>
      <c r="HR3" s="186" t="s">
        <v>18</v>
      </c>
      <c r="HS3" s="187"/>
      <c r="HT3" s="187"/>
      <c r="HU3" s="188"/>
      <c r="HV3" s="166" t="s">
        <v>19</v>
      </c>
      <c r="HW3" s="186" t="s">
        <v>17</v>
      </c>
      <c r="HX3" s="187"/>
      <c r="HY3" s="187"/>
      <c r="HZ3" s="188"/>
      <c r="IA3" s="186" t="s">
        <v>18</v>
      </c>
      <c r="IB3" s="187"/>
      <c r="IC3" s="187"/>
      <c r="ID3" s="188"/>
      <c r="IE3" s="166" t="s">
        <v>19</v>
      </c>
      <c r="IF3" s="254" t="s">
        <v>17</v>
      </c>
      <c r="IG3" s="255"/>
      <c r="IH3" s="255"/>
      <c r="II3" s="256"/>
      <c r="IJ3" s="254" t="s">
        <v>18</v>
      </c>
      <c r="IK3" s="255"/>
      <c r="IL3" s="255"/>
      <c r="IM3" s="256"/>
      <c r="IN3" s="166" t="s">
        <v>19</v>
      </c>
      <c r="IO3" s="254" t="s">
        <v>17</v>
      </c>
      <c r="IP3" s="255"/>
      <c r="IQ3" s="255"/>
      <c r="IR3" s="256"/>
      <c r="IS3" s="254" t="s">
        <v>18</v>
      </c>
      <c r="IT3" s="255"/>
      <c r="IU3" s="255"/>
      <c r="IV3" s="256"/>
      <c r="IW3" s="166" t="s">
        <v>19</v>
      </c>
      <c r="IX3" s="163" t="s">
        <v>17</v>
      </c>
      <c r="IY3" s="164"/>
      <c r="IZ3" s="164"/>
      <c r="JA3" s="165"/>
      <c r="JB3" s="163" t="s">
        <v>18</v>
      </c>
      <c r="JC3" s="164"/>
      <c r="JD3" s="164"/>
      <c r="JE3" s="165"/>
      <c r="JF3" s="166" t="s">
        <v>19</v>
      </c>
      <c r="JG3" s="163" t="s">
        <v>17</v>
      </c>
      <c r="JH3" s="164"/>
      <c r="JI3" s="164"/>
      <c r="JJ3" s="165"/>
      <c r="JK3" s="163" t="s">
        <v>18</v>
      </c>
      <c r="JL3" s="164"/>
      <c r="JM3" s="164"/>
      <c r="JN3" s="165"/>
      <c r="JO3" s="166" t="s">
        <v>19</v>
      </c>
      <c r="JP3" s="216"/>
      <c r="JQ3" s="217"/>
      <c r="JR3" s="218"/>
      <c r="JS3" s="220"/>
      <c r="JT3" s="220"/>
      <c r="JU3" s="205"/>
      <c r="JV3" s="206"/>
    </row>
    <row r="4" spans="1:282" s="17" customFormat="1" ht="64.5" customHeight="1" thickBot="1" x14ac:dyDescent="0.75">
      <c r="A4" s="25" t="s">
        <v>20</v>
      </c>
      <c r="B4" s="238" t="s">
        <v>21</v>
      </c>
      <c r="C4" s="239"/>
      <c r="D4" s="239"/>
      <c r="E4" s="240"/>
      <c r="F4" s="2" t="s">
        <v>22</v>
      </c>
      <c r="G4" s="3" t="s">
        <v>23</v>
      </c>
      <c r="H4" s="2" t="s">
        <v>24</v>
      </c>
      <c r="I4" s="2" t="s">
        <v>25</v>
      </c>
      <c r="J4" s="2" t="s">
        <v>22</v>
      </c>
      <c r="K4" s="3" t="s">
        <v>23</v>
      </c>
      <c r="L4" s="2" t="s">
        <v>24</v>
      </c>
      <c r="M4" s="2" t="s">
        <v>25</v>
      </c>
      <c r="N4" s="167"/>
      <c r="O4" s="2" t="s">
        <v>22</v>
      </c>
      <c r="P4" s="3" t="s">
        <v>23</v>
      </c>
      <c r="Q4" s="2" t="s">
        <v>24</v>
      </c>
      <c r="R4" s="2" t="s">
        <v>25</v>
      </c>
      <c r="S4" s="2" t="s">
        <v>22</v>
      </c>
      <c r="T4" s="3" t="s">
        <v>23</v>
      </c>
      <c r="U4" s="2" t="s">
        <v>24</v>
      </c>
      <c r="V4" s="2" t="s">
        <v>25</v>
      </c>
      <c r="W4" s="167"/>
      <c r="X4" s="4" t="s">
        <v>22</v>
      </c>
      <c r="Y4" s="5" t="s">
        <v>23</v>
      </c>
      <c r="Z4" s="4" t="s">
        <v>24</v>
      </c>
      <c r="AA4" s="4" t="s">
        <v>25</v>
      </c>
      <c r="AB4" s="4" t="s">
        <v>22</v>
      </c>
      <c r="AC4" s="5" t="s">
        <v>23</v>
      </c>
      <c r="AD4" s="4" t="s">
        <v>24</v>
      </c>
      <c r="AE4" s="4" t="s">
        <v>25</v>
      </c>
      <c r="AF4" s="167"/>
      <c r="AG4" s="4" t="s">
        <v>22</v>
      </c>
      <c r="AH4" s="5" t="s">
        <v>23</v>
      </c>
      <c r="AI4" s="4" t="s">
        <v>24</v>
      </c>
      <c r="AJ4" s="4" t="s">
        <v>25</v>
      </c>
      <c r="AK4" s="4" t="s">
        <v>22</v>
      </c>
      <c r="AL4" s="5" t="s">
        <v>23</v>
      </c>
      <c r="AM4" s="4" t="s">
        <v>24</v>
      </c>
      <c r="AN4" s="4" t="s">
        <v>25</v>
      </c>
      <c r="AO4" s="167"/>
      <c r="AP4" s="6" t="s">
        <v>22</v>
      </c>
      <c r="AQ4" s="7" t="s">
        <v>23</v>
      </c>
      <c r="AR4" s="6" t="s">
        <v>24</v>
      </c>
      <c r="AS4" s="6" t="s">
        <v>25</v>
      </c>
      <c r="AT4" s="6" t="s">
        <v>22</v>
      </c>
      <c r="AU4" s="7" t="s">
        <v>23</v>
      </c>
      <c r="AV4" s="6" t="s">
        <v>24</v>
      </c>
      <c r="AW4" s="6" t="s">
        <v>25</v>
      </c>
      <c r="AX4" s="167"/>
      <c r="AY4" s="6" t="s">
        <v>22</v>
      </c>
      <c r="AZ4" s="7" t="s">
        <v>23</v>
      </c>
      <c r="BA4" s="6" t="s">
        <v>24</v>
      </c>
      <c r="BB4" s="6" t="s">
        <v>25</v>
      </c>
      <c r="BC4" s="6" t="s">
        <v>22</v>
      </c>
      <c r="BD4" s="7" t="s">
        <v>23</v>
      </c>
      <c r="BE4" s="6" t="s">
        <v>24</v>
      </c>
      <c r="BF4" s="6" t="s">
        <v>25</v>
      </c>
      <c r="BG4" s="167"/>
      <c r="BH4" s="8" t="s">
        <v>22</v>
      </c>
      <c r="BI4" s="9" t="s">
        <v>23</v>
      </c>
      <c r="BJ4" s="8" t="s">
        <v>24</v>
      </c>
      <c r="BK4" s="8" t="s">
        <v>25</v>
      </c>
      <c r="BL4" s="8" t="s">
        <v>22</v>
      </c>
      <c r="BM4" s="9" t="s">
        <v>23</v>
      </c>
      <c r="BN4" s="8" t="s">
        <v>24</v>
      </c>
      <c r="BO4" s="8" t="s">
        <v>25</v>
      </c>
      <c r="BP4" s="167"/>
      <c r="BQ4" s="8" t="s">
        <v>22</v>
      </c>
      <c r="BR4" s="9" t="s">
        <v>23</v>
      </c>
      <c r="BS4" s="8" t="s">
        <v>24</v>
      </c>
      <c r="BT4" s="8" t="s">
        <v>25</v>
      </c>
      <c r="BU4" s="8" t="s">
        <v>22</v>
      </c>
      <c r="BV4" s="9" t="s">
        <v>23</v>
      </c>
      <c r="BW4" s="8" t="s">
        <v>24</v>
      </c>
      <c r="BX4" s="8" t="s">
        <v>25</v>
      </c>
      <c r="BY4" s="167"/>
      <c r="BZ4" s="10" t="s">
        <v>22</v>
      </c>
      <c r="CA4" s="11" t="s">
        <v>23</v>
      </c>
      <c r="CB4" s="10" t="s">
        <v>24</v>
      </c>
      <c r="CC4" s="10" t="s">
        <v>25</v>
      </c>
      <c r="CD4" s="10" t="s">
        <v>22</v>
      </c>
      <c r="CE4" s="11" t="s">
        <v>23</v>
      </c>
      <c r="CF4" s="10" t="s">
        <v>24</v>
      </c>
      <c r="CG4" s="10" t="s">
        <v>25</v>
      </c>
      <c r="CH4" s="167"/>
      <c r="CI4" s="10" t="s">
        <v>22</v>
      </c>
      <c r="CJ4" s="11" t="s">
        <v>23</v>
      </c>
      <c r="CK4" s="10" t="s">
        <v>24</v>
      </c>
      <c r="CL4" s="10" t="s">
        <v>25</v>
      </c>
      <c r="CM4" s="10" t="s">
        <v>22</v>
      </c>
      <c r="CN4" s="11" t="s">
        <v>23</v>
      </c>
      <c r="CO4" s="10" t="s">
        <v>24</v>
      </c>
      <c r="CP4" s="10" t="s">
        <v>25</v>
      </c>
      <c r="CQ4" s="167"/>
      <c r="CR4" s="12" t="s">
        <v>22</v>
      </c>
      <c r="CS4" s="13" t="s">
        <v>23</v>
      </c>
      <c r="CT4" s="12" t="s">
        <v>24</v>
      </c>
      <c r="CU4" s="12" t="s">
        <v>25</v>
      </c>
      <c r="CV4" s="12" t="s">
        <v>22</v>
      </c>
      <c r="CW4" s="13" t="s">
        <v>23</v>
      </c>
      <c r="CX4" s="12" t="s">
        <v>24</v>
      </c>
      <c r="CY4" s="12" t="s">
        <v>25</v>
      </c>
      <c r="CZ4" s="167"/>
      <c r="DA4" s="12" t="s">
        <v>22</v>
      </c>
      <c r="DB4" s="13" t="s">
        <v>23</v>
      </c>
      <c r="DC4" s="12" t="s">
        <v>24</v>
      </c>
      <c r="DD4" s="12" t="s">
        <v>25</v>
      </c>
      <c r="DE4" s="12" t="s">
        <v>22</v>
      </c>
      <c r="DF4" s="13" t="s">
        <v>23</v>
      </c>
      <c r="DG4" s="12" t="s">
        <v>24</v>
      </c>
      <c r="DH4" s="12" t="s">
        <v>25</v>
      </c>
      <c r="DI4" s="167"/>
      <c r="DJ4" s="4" t="s">
        <v>22</v>
      </c>
      <c r="DK4" s="5" t="s">
        <v>23</v>
      </c>
      <c r="DL4" s="4" t="s">
        <v>24</v>
      </c>
      <c r="DM4" s="4" t="s">
        <v>25</v>
      </c>
      <c r="DN4" s="4" t="s">
        <v>22</v>
      </c>
      <c r="DO4" s="5" t="s">
        <v>23</v>
      </c>
      <c r="DP4" s="4" t="s">
        <v>24</v>
      </c>
      <c r="DQ4" s="4" t="s">
        <v>25</v>
      </c>
      <c r="DR4" s="167"/>
      <c r="DS4" s="4" t="s">
        <v>22</v>
      </c>
      <c r="DT4" s="5" t="s">
        <v>23</v>
      </c>
      <c r="DU4" s="4" t="s">
        <v>24</v>
      </c>
      <c r="DV4" s="4" t="s">
        <v>25</v>
      </c>
      <c r="DW4" s="4" t="s">
        <v>22</v>
      </c>
      <c r="DX4" s="5" t="s">
        <v>23</v>
      </c>
      <c r="DY4" s="4" t="s">
        <v>24</v>
      </c>
      <c r="DZ4" s="4" t="s">
        <v>25</v>
      </c>
      <c r="EA4" s="167"/>
      <c r="EB4" s="30" t="s">
        <v>22</v>
      </c>
      <c r="EC4" s="31" t="s">
        <v>23</v>
      </c>
      <c r="ED4" s="30" t="s">
        <v>24</v>
      </c>
      <c r="EE4" s="30" t="s">
        <v>25</v>
      </c>
      <c r="EF4" s="30" t="s">
        <v>22</v>
      </c>
      <c r="EG4" s="31" t="s">
        <v>23</v>
      </c>
      <c r="EH4" s="30" t="s">
        <v>24</v>
      </c>
      <c r="EI4" s="30" t="s">
        <v>25</v>
      </c>
      <c r="EJ4" s="167"/>
      <c r="EK4" s="30" t="s">
        <v>22</v>
      </c>
      <c r="EL4" s="31" t="s">
        <v>23</v>
      </c>
      <c r="EM4" s="30" t="s">
        <v>24</v>
      </c>
      <c r="EN4" s="30" t="s">
        <v>25</v>
      </c>
      <c r="EO4" s="30" t="s">
        <v>22</v>
      </c>
      <c r="EP4" s="31" t="s">
        <v>23</v>
      </c>
      <c r="EQ4" s="30" t="s">
        <v>24</v>
      </c>
      <c r="ER4" s="30" t="s">
        <v>25</v>
      </c>
      <c r="ES4" s="167"/>
      <c r="ET4" s="34" t="s">
        <v>22</v>
      </c>
      <c r="EU4" s="35" t="s">
        <v>23</v>
      </c>
      <c r="EV4" s="34" t="s">
        <v>24</v>
      </c>
      <c r="EW4" s="34" t="s">
        <v>25</v>
      </c>
      <c r="EX4" s="34" t="s">
        <v>22</v>
      </c>
      <c r="EY4" s="35" t="s">
        <v>23</v>
      </c>
      <c r="EZ4" s="34" t="s">
        <v>24</v>
      </c>
      <c r="FA4" s="34" t="s">
        <v>25</v>
      </c>
      <c r="FB4" s="167"/>
      <c r="FC4" s="34" t="s">
        <v>22</v>
      </c>
      <c r="FD4" s="35" t="s">
        <v>23</v>
      </c>
      <c r="FE4" s="34" t="s">
        <v>24</v>
      </c>
      <c r="FF4" s="34" t="s">
        <v>25</v>
      </c>
      <c r="FG4" s="34" t="s">
        <v>22</v>
      </c>
      <c r="FH4" s="35" t="s">
        <v>23</v>
      </c>
      <c r="FI4" s="34" t="s">
        <v>24</v>
      </c>
      <c r="FJ4" s="34" t="s">
        <v>25</v>
      </c>
      <c r="FK4" s="167"/>
      <c r="FL4" s="34" t="s">
        <v>22</v>
      </c>
      <c r="FM4" s="35" t="s">
        <v>23</v>
      </c>
      <c r="FN4" s="34" t="s">
        <v>24</v>
      </c>
      <c r="FO4" s="34" t="s">
        <v>25</v>
      </c>
      <c r="FP4" s="34" t="s">
        <v>22</v>
      </c>
      <c r="FQ4" s="35" t="s">
        <v>23</v>
      </c>
      <c r="FR4" s="34" t="s">
        <v>24</v>
      </c>
      <c r="FS4" s="34" t="s">
        <v>25</v>
      </c>
      <c r="FT4" s="167"/>
      <c r="FU4" s="34" t="s">
        <v>22</v>
      </c>
      <c r="FV4" s="35" t="s">
        <v>23</v>
      </c>
      <c r="FW4" s="34" t="s">
        <v>24</v>
      </c>
      <c r="FX4" s="34" t="s">
        <v>25</v>
      </c>
      <c r="FY4" s="34" t="s">
        <v>22</v>
      </c>
      <c r="FZ4" s="35" t="s">
        <v>23</v>
      </c>
      <c r="GA4" s="34" t="s">
        <v>24</v>
      </c>
      <c r="GB4" s="34" t="s">
        <v>25</v>
      </c>
      <c r="GC4" s="167"/>
      <c r="GD4" s="34" t="s">
        <v>22</v>
      </c>
      <c r="GE4" s="35" t="s">
        <v>23</v>
      </c>
      <c r="GF4" s="34" t="s">
        <v>24</v>
      </c>
      <c r="GG4" s="34" t="s">
        <v>25</v>
      </c>
      <c r="GH4" s="34" t="s">
        <v>22</v>
      </c>
      <c r="GI4" s="35" t="s">
        <v>23</v>
      </c>
      <c r="GJ4" s="34" t="s">
        <v>24</v>
      </c>
      <c r="GK4" s="34" t="s">
        <v>25</v>
      </c>
      <c r="GL4" s="167"/>
      <c r="GM4" s="34" t="s">
        <v>22</v>
      </c>
      <c r="GN4" s="35" t="s">
        <v>23</v>
      </c>
      <c r="GO4" s="34" t="s">
        <v>24</v>
      </c>
      <c r="GP4" s="34" t="s">
        <v>25</v>
      </c>
      <c r="GQ4" s="34" t="s">
        <v>22</v>
      </c>
      <c r="GR4" s="35" t="s">
        <v>23</v>
      </c>
      <c r="GS4" s="34" t="s">
        <v>24</v>
      </c>
      <c r="GT4" s="34" t="s">
        <v>25</v>
      </c>
      <c r="GU4" s="167"/>
      <c r="GV4" s="34" t="s">
        <v>22</v>
      </c>
      <c r="GW4" s="35" t="s">
        <v>23</v>
      </c>
      <c r="GX4" s="34" t="s">
        <v>24</v>
      </c>
      <c r="GY4" s="34" t="s">
        <v>25</v>
      </c>
      <c r="GZ4" s="34" t="s">
        <v>22</v>
      </c>
      <c r="HA4" s="35" t="s">
        <v>23</v>
      </c>
      <c r="HB4" s="34" t="s">
        <v>24</v>
      </c>
      <c r="HC4" s="34" t="s">
        <v>25</v>
      </c>
      <c r="HD4" s="167"/>
      <c r="HE4" s="34" t="s">
        <v>22</v>
      </c>
      <c r="HF4" s="35" t="s">
        <v>23</v>
      </c>
      <c r="HG4" s="34" t="s">
        <v>24</v>
      </c>
      <c r="HH4" s="34" t="s">
        <v>25</v>
      </c>
      <c r="HI4" s="34" t="s">
        <v>22</v>
      </c>
      <c r="HJ4" s="35" t="s">
        <v>23</v>
      </c>
      <c r="HK4" s="34" t="s">
        <v>24</v>
      </c>
      <c r="HL4" s="34" t="s">
        <v>25</v>
      </c>
      <c r="HM4" s="167"/>
      <c r="HN4" s="34" t="s">
        <v>22</v>
      </c>
      <c r="HO4" s="35" t="s">
        <v>23</v>
      </c>
      <c r="HP4" s="34" t="s">
        <v>24</v>
      </c>
      <c r="HQ4" s="34" t="s">
        <v>25</v>
      </c>
      <c r="HR4" s="34" t="s">
        <v>22</v>
      </c>
      <c r="HS4" s="35" t="s">
        <v>23</v>
      </c>
      <c r="HT4" s="34" t="s">
        <v>24</v>
      </c>
      <c r="HU4" s="34" t="s">
        <v>25</v>
      </c>
      <c r="HV4" s="167"/>
      <c r="HW4" s="34" t="s">
        <v>22</v>
      </c>
      <c r="HX4" s="35" t="s">
        <v>23</v>
      </c>
      <c r="HY4" s="34" t="s">
        <v>24</v>
      </c>
      <c r="HZ4" s="34" t="s">
        <v>25</v>
      </c>
      <c r="IA4" s="34" t="s">
        <v>22</v>
      </c>
      <c r="IB4" s="35" t="s">
        <v>23</v>
      </c>
      <c r="IC4" s="34" t="s">
        <v>24</v>
      </c>
      <c r="ID4" s="34" t="s">
        <v>25</v>
      </c>
      <c r="IE4" s="167"/>
      <c r="IF4" s="134" t="s">
        <v>22</v>
      </c>
      <c r="IG4" s="135" t="s">
        <v>23</v>
      </c>
      <c r="IH4" s="134" t="s">
        <v>24</v>
      </c>
      <c r="II4" s="134" t="s">
        <v>25</v>
      </c>
      <c r="IJ4" s="134" t="s">
        <v>22</v>
      </c>
      <c r="IK4" s="135" t="s">
        <v>23</v>
      </c>
      <c r="IL4" s="134" t="s">
        <v>24</v>
      </c>
      <c r="IM4" s="134" t="s">
        <v>25</v>
      </c>
      <c r="IN4" s="167"/>
      <c r="IO4" s="134" t="s">
        <v>22</v>
      </c>
      <c r="IP4" s="135" t="s">
        <v>23</v>
      </c>
      <c r="IQ4" s="134" t="s">
        <v>24</v>
      </c>
      <c r="IR4" s="134" t="s">
        <v>25</v>
      </c>
      <c r="IS4" s="134" t="s">
        <v>22</v>
      </c>
      <c r="IT4" s="135" t="s">
        <v>23</v>
      </c>
      <c r="IU4" s="134" t="s">
        <v>24</v>
      </c>
      <c r="IV4" s="134" t="s">
        <v>25</v>
      </c>
      <c r="IW4" s="167"/>
      <c r="IX4" s="148" t="s">
        <v>22</v>
      </c>
      <c r="IY4" s="149" t="s">
        <v>23</v>
      </c>
      <c r="IZ4" s="148" t="s">
        <v>24</v>
      </c>
      <c r="JA4" s="148" t="s">
        <v>25</v>
      </c>
      <c r="JB4" s="148" t="s">
        <v>22</v>
      </c>
      <c r="JC4" s="149" t="s">
        <v>23</v>
      </c>
      <c r="JD4" s="148" t="s">
        <v>24</v>
      </c>
      <c r="JE4" s="148" t="s">
        <v>25</v>
      </c>
      <c r="JF4" s="167"/>
      <c r="JG4" s="148" t="s">
        <v>22</v>
      </c>
      <c r="JH4" s="149" t="s">
        <v>23</v>
      </c>
      <c r="JI4" s="148" t="s">
        <v>24</v>
      </c>
      <c r="JJ4" s="148" t="s">
        <v>25</v>
      </c>
      <c r="JK4" s="148" t="s">
        <v>22</v>
      </c>
      <c r="JL4" s="149" t="s">
        <v>23</v>
      </c>
      <c r="JM4" s="148" t="s">
        <v>24</v>
      </c>
      <c r="JN4" s="148" t="s">
        <v>25</v>
      </c>
      <c r="JO4" s="167"/>
      <c r="JP4" s="32" t="s">
        <v>26</v>
      </c>
      <c r="JQ4" s="32" t="s">
        <v>27</v>
      </c>
      <c r="JR4" s="33" t="s">
        <v>19</v>
      </c>
      <c r="JS4" s="221"/>
      <c r="JT4" s="221"/>
      <c r="JU4" s="55" t="s">
        <v>28</v>
      </c>
      <c r="JV4" s="57" t="s">
        <v>29</v>
      </c>
    </row>
    <row r="5" spans="1:282" ht="24.5" thickBot="1" x14ac:dyDescent="0.75">
      <c r="A5" s="183">
        <v>1</v>
      </c>
      <c r="B5" s="250" t="s">
        <v>30</v>
      </c>
      <c r="C5" s="183" t="s">
        <v>92</v>
      </c>
      <c r="D5" s="143" t="s">
        <v>97</v>
      </c>
      <c r="E5" s="253">
        <v>3350</v>
      </c>
      <c r="F5" s="142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8">
        <f>F5+G5+H5+I5+J5+K5+L5+M5</f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8">
        <f>O5+P5+Q5+R5+S5+T5+U5+V5</f>
        <v>0</v>
      </c>
      <c r="X5" s="39">
        <v>0</v>
      </c>
      <c r="Y5" s="39">
        <v>1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8">
        <f>X5+Y5+Z5+AA5+AB5+AC5+AD5+AE5</f>
        <v>1</v>
      </c>
      <c r="AG5" s="39">
        <v>0</v>
      </c>
      <c r="AH5" s="39">
        <v>0</v>
      </c>
      <c r="AI5" s="39">
        <v>0</v>
      </c>
      <c r="AJ5" s="39">
        <v>0</v>
      </c>
      <c r="AK5" s="39">
        <v>0</v>
      </c>
      <c r="AL5" s="39">
        <v>3</v>
      </c>
      <c r="AM5" s="39">
        <v>0</v>
      </c>
      <c r="AN5" s="39">
        <v>0</v>
      </c>
      <c r="AO5" s="38">
        <f>AG5+AH5+AI5+AJ5+AK5+AL5+AM5+AN5</f>
        <v>3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0</v>
      </c>
      <c r="AV5" s="40">
        <v>0</v>
      </c>
      <c r="AW5" s="40">
        <v>0</v>
      </c>
      <c r="AX5" s="38">
        <f>AP5+AQ5+AR5+AS5+AT5+AU5+AV5+AW5</f>
        <v>0</v>
      </c>
      <c r="AY5" s="40">
        <v>0</v>
      </c>
      <c r="AZ5" s="40">
        <v>4</v>
      </c>
      <c r="BA5" s="40">
        <v>0</v>
      </c>
      <c r="BB5" s="40">
        <v>0</v>
      </c>
      <c r="BC5" s="40">
        <v>0</v>
      </c>
      <c r="BD5" s="40">
        <v>0</v>
      </c>
      <c r="BE5" s="40">
        <v>0</v>
      </c>
      <c r="BF5" s="40">
        <v>0</v>
      </c>
      <c r="BG5" s="38">
        <f>AY5+AZ5+BA5+BB5+BC5+BD5+BE5+BF5</f>
        <v>4</v>
      </c>
      <c r="BH5" s="41">
        <v>0</v>
      </c>
      <c r="BI5" s="41">
        <v>3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  <c r="BP5" s="38">
        <f>BH5+BI5+BJ5+BK5+BL5+BM5+BN5+BO5</f>
        <v>3</v>
      </c>
      <c r="BQ5" s="41">
        <v>0</v>
      </c>
      <c r="BR5" s="41">
        <v>9</v>
      </c>
      <c r="BS5" s="41">
        <v>0</v>
      </c>
      <c r="BT5" s="41">
        <v>0</v>
      </c>
      <c r="BU5" s="41">
        <v>0</v>
      </c>
      <c r="BV5" s="41">
        <v>0</v>
      </c>
      <c r="BW5" s="41">
        <v>0</v>
      </c>
      <c r="BX5" s="41">
        <v>0</v>
      </c>
      <c r="BY5" s="38">
        <f>BQ5+BR5+BS5+BT5+BU5+BV5+BW5+BX5</f>
        <v>9</v>
      </c>
      <c r="BZ5" s="42">
        <v>0</v>
      </c>
      <c r="CA5" s="42">
        <v>10</v>
      </c>
      <c r="CB5" s="42">
        <v>0</v>
      </c>
      <c r="CC5" s="42">
        <v>0</v>
      </c>
      <c r="CD5" s="42">
        <v>0</v>
      </c>
      <c r="CE5" s="42">
        <v>0</v>
      </c>
      <c r="CF5" s="42">
        <v>0</v>
      </c>
      <c r="CG5" s="42">
        <v>0</v>
      </c>
      <c r="CH5" s="38">
        <f>BZ5+CA5+CB5+CC5+CD5+CE5+CF5+CG5</f>
        <v>10</v>
      </c>
      <c r="CI5" s="42">
        <v>0</v>
      </c>
      <c r="CJ5" s="42">
        <v>11</v>
      </c>
      <c r="CK5" s="42">
        <v>0</v>
      </c>
      <c r="CL5" s="42">
        <v>0</v>
      </c>
      <c r="CM5" s="42">
        <v>0</v>
      </c>
      <c r="CN5" s="42">
        <v>0</v>
      </c>
      <c r="CO5" s="42">
        <v>0</v>
      </c>
      <c r="CP5" s="42">
        <v>0</v>
      </c>
      <c r="CQ5" s="38">
        <f>CI5+CJ5+CK5+CL5+CM5+CN5+CO5+CP5</f>
        <v>11</v>
      </c>
      <c r="CR5" s="43">
        <v>0</v>
      </c>
      <c r="CS5" s="43">
        <v>18</v>
      </c>
      <c r="CT5" s="43">
        <v>0</v>
      </c>
      <c r="CU5" s="43">
        <v>0</v>
      </c>
      <c r="CV5" s="43">
        <v>0</v>
      </c>
      <c r="CW5" s="43">
        <v>0</v>
      </c>
      <c r="CX5" s="43">
        <v>0</v>
      </c>
      <c r="CY5" s="43">
        <v>0</v>
      </c>
      <c r="CZ5" s="38">
        <f>CR5+CS5+CT5+CU5+CV5+CW5+CX5+CY5</f>
        <v>18</v>
      </c>
      <c r="DA5" s="43">
        <v>0</v>
      </c>
      <c r="DB5" s="43">
        <v>17</v>
      </c>
      <c r="DC5" s="43">
        <v>0</v>
      </c>
      <c r="DD5" s="43">
        <v>0</v>
      </c>
      <c r="DE5" s="43">
        <v>0</v>
      </c>
      <c r="DF5" s="43">
        <v>0</v>
      </c>
      <c r="DG5" s="43">
        <v>0</v>
      </c>
      <c r="DH5" s="43">
        <v>0</v>
      </c>
      <c r="DI5" s="38">
        <f>DA5+DB5+DC5+DD5+DE5+DF5+DG5+DH5</f>
        <v>17</v>
      </c>
      <c r="DJ5" s="39">
        <v>0</v>
      </c>
      <c r="DK5" s="39">
        <v>8</v>
      </c>
      <c r="DL5" s="39">
        <v>0</v>
      </c>
      <c r="DM5" s="39">
        <v>0</v>
      </c>
      <c r="DN5" s="39">
        <v>0</v>
      </c>
      <c r="DO5" s="39">
        <v>0</v>
      </c>
      <c r="DP5" s="39">
        <v>0</v>
      </c>
      <c r="DQ5" s="39">
        <v>0</v>
      </c>
      <c r="DR5" s="38">
        <f>DJ5+DK5+DL5+DM5+DN5+DO5+DP5+DQ5</f>
        <v>8</v>
      </c>
      <c r="DS5" s="39">
        <v>0</v>
      </c>
      <c r="DT5" s="39">
        <v>10</v>
      </c>
      <c r="DU5" s="39">
        <v>0</v>
      </c>
      <c r="DV5" s="39">
        <v>0</v>
      </c>
      <c r="DW5" s="39">
        <v>0</v>
      </c>
      <c r="DX5" s="39">
        <v>0</v>
      </c>
      <c r="DY5" s="39">
        <v>0</v>
      </c>
      <c r="DZ5" s="39">
        <v>0</v>
      </c>
      <c r="EA5" s="38">
        <f>DS5+DT5+DU5+DV5+DW5+DX5+DY5+DZ5</f>
        <v>10</v>
      </c>
      <c r="EB5" s="44">
        <v>0</v>
      </c>
      <c r="EC5" s="44">
        <v>44</v>
      </c>
      <c r="ED5" s="44">
        <v>0</v>
      </c>
      <c r="EE5" s="44">
        <v>0</v>
      </c>
      <c r="EF5" s="44">
        <v>0</v>
      </c>
      <c r="EG5" s="44">
        <v>0</v>
      </c>
      <c r="EH5" s="44">
        <v>0</v>
      </c>
      <c r="EI5" s="44">
        <v>0</v>
      </c>
      <c r="EJ5" s="38">
        <f>EB5+EC5+ED5+EE5+EF5+EG5+EH5+EI5</f>
        <v>44</v>
      </c>
      <c r="EK5" s="44">
        <v>0</v>
      </c>
      <c r="EL5" s="44">
        <v>26</v>
      </c>
      <c r="EM5" s="44">
        <v>0</v>
      </c>
      <c r="EN5" s="44">
        <v>0</v>
      </c>
      <c r="EO5" s="44">
        <v>0</v>
      </c>
      <c r="EP5" s="44">
        <v>0</v>
      </c>
      <c r="EQ5" s="44">
        <v>0</v>
      </c>
      <c r="ER5" s="44">
        <v>0</v>
      </c>
      <c r="ES5" s="38">
        <f>EK5+EL5+EM5+EN5+EO5+EP5+EQ5+ER5</f>
        <v>26</v>
      </c>
      <c r="ET5" s="45">
        <v>0</v>
      </c>
      <c r="EU5" s="45">
        <v>0</v>
      </c>
      <c r="EV5" s="45">
        <v>0</v>
      </c>
      <c r="EW5" s="45">
        <v>0</v>
      </c>
      <c r="EX5" s="45">
        <v>0</v>
      </c>
      <c r="EY5" s="45">
        <v>0</v>
      </c>
      <c r="EZ5" s="45">
        <v>0</v>
      </c>
      <c r="FA5" s="45">
        <v>0</v>
      </c>
      <c r="FB5" s="38">
        <f t="shared" ref="FB5:FB30" si="0">ET5+EU5+EV5+EW5+EX5+EY5+EZ5+FA5</f>
        <v>0</v>
      </c>
      <c r="FC5" s="45">
        <v>0</v>
      </c>
      <c r="FD5" s="45">
        <v>3</v>
      </c>
      <c r="FE5" s="45">
        <v>0</v>
      </c>
      <c r="FF5" s="45">
        <v>0</v>
      </c>
      <c r="FG5" s="45">
        <v>0</v>
      </c>
      <c r="FH5" s="45">
        <v>0</v>
      </c>
      <c r="FI5" s="45">
        <v>0</v>
      </c>
      <c r="FJ5" s="45">
        <v>0</v>
      </c>
      <c r="FK5" s="38">
        <f t="shared" ref="FK5:FK30" si="1">FC5+FD5+FE5+FF5+FG5+FH5+FI5+FJ5</f>
        <v>3</v>
      </c>
      <c r="FL5" s="45">
        <v>0</v>
      </c>
      <c r="FM5" s="45">
        <v>4</v>
      </c>
      <c r="FN5" s="45">
        <v>0</v>
      </c>
      <c r="FO5" s="45">
        <v>0</v>
      </c>
      <c r="FP5" s="45">
        <v>0</v>
      </c>
      <c r="FQ5" s="45">
        <v>0</v>
      </c>
      <c r="FR5" s="45">
        <v>0</v>
      </c>
      <c r="FS5" s="45">
        <v>0</v>
      </c>
      <c r="FT5" s="38">
        <f>FL5+FM5+FN5+FO5+FP5+FQ5+FR5+FS5</f>
        <v>4</v>
      </c>
      <c r="FU5" s="45">
        <v>0</v>
      </c>
      <c r="FV5" s="45">
        <v>2</v>
      </c>
      <c r="FW5" s="45">
        <v>0</v>
      </c>
      <c r="FX5" s="45">
        <v>0</v>
      </c>
      <c r="FY5" s="45">
        <v>0</v>
      </c>
      <c r="FZ5" s="45">
        <v>0</v>
      </c>
      <c r="GA5" s="45">
        <v>0</v>
      </c>
      <c r="GB5" s="45">
        <v>0</v>
      </c>
      <c r="GC5" s="38">
        <f>FU5+FV5+FW5+FX5+FY5+FZ5+GA5+GB5</f>
        <v>2</v>
      </c>
      <c r="GD5" s="45">
        <v>0</v>
      </c>
      <c r="GE5" s="45">
        <v>2</v>
      </c>
      <c r="GF5" s="45">
        <v>0</v>
      </c>
      <c r="GG5" s="45">
        <v>0</v>
      </c>
      <c r="GH5" s="45">
        <v>0</v>
      </c>
      <c r="GI5" s="45">
        <v>0</v>
      </c>
      <c r="GJ5" s="45">
        <v>0</v>
      </c>
      <c r="GK5" s="45">
        <v>0</v>
      </c>
      <c r="GL5" s="38">
        <f>GD5+GE5+GF5+GG5+GH5+GI5+GJ5+GK5</f>
        <v>2</v>
      </c>
      <c r="GM5" s="45">
        <v>0</v>
      </c>
      <c r="GN5" s="45">
        <v>2</v>
      </c>
      <c r="GO5" s="45">
        <v>0</v>
      </c>
      <c r="GP5" s="45">
        <v>0</v>
      </c>
      <c r="GQ5" s="45">
        <v>0</v>
      </c>
      <c r="GR5" s="45">
        <v>0</v>
      </c>
      <c r="GS5" s="45">
        <v>0</v>
      </c>
      <c r="GT5" s="45">
        <v>0</v>
      </c>
      <c r="GU5" s="38">
        <f>GM5+GN5+GO5+GP5+GQ5+GR5+GS5+GT5</f>
        <v>2</v>
      </c>
      <c r="GV5" s="45">
        <v>0</v>
      </c>
      <c r="GW5" s="45">
        <v>8</v>
      </c>
      <c r="GX5" s="45">
        <v>0</v>
      </c>
      <c r="GY5" s="45">
        <v>0</v>
      </c>
      <c r="GZ5" s="45">
        <v>0</v>
      </c>
      <c r="HA5" s="45">
        <v>0</v>
      </c>
      <c r="HB5" s="45">
        <v>0</v>
      </c>
      <c r="HC5" s="45">
        <v>0</v>
      </c>
      <c r="HD5" s="38">
        <f>GV5+GW5+GX5+GY5+GZ5+HA5+HB5+HC5</f>
        <v>8</v>
      </c>
      <c r="HE5" s="45">
        <v>0</v>
      </c>
      <c r="HF5" s="45">
        <v>19</v>
      </c>
      <c r="HG5" s="45">
        <v>0</v>
      </c>
      <c r="HH5" s="45">
        <v>0</v>
      </c>
      <c r="HI5" s="45">
        <v>0</v>
      </c>
      <c r="HJ5" s="45">
        <v>0</v>
      </c>
      <c r="HK5" s="45">
        <v>0</v>
      </c>
      <c r="HL5" s="45">
        <v>0</v>
      </c>
      <c r="HM5" s="38">
        <f>HE5+HF5+HG5+HH5+HI5+HJ5+HK5+HL5</f>
        <v>19</v>
      </c>
      <c r="HN5" s="45">
        <v>0</v>
      </c>
      <c r="HO5" s="45">
        <v>2</v>
      </c>
      <c r="HP5" s="45"/>
      <c r="HQ5" s="45"/>
      <c r="HR5" s="45"/>
      <c r="HS5" s="45"/>
      <c r="HT5" s="45">
        <v>0</v>
      </c>
      <c r="HU5" s="45">
        <v>0</v>
      </c>
      <c r="HV5" s="38">
        <f>HN5+HO5+HP5+HQ5+HR5+HS5+HT5+HU5</f>
        <v>2</v>
      </c>
      <c r="HW5" s="45">
        <v>0</v>
      </c>
      <c r="HX5" s="45">
        <v>2</v>
      </c>
      <c r="HY5" s="45"/>
      <c r="HZ5" s="45"/>
      <c r="IA5" s="45"/>
      <c r="IB5" s="45"/>
      <c r="IC5" s="45"/>
      <c r="ID5" s="45">
        <v>0</v>
      </c>
      <c r="IE5" s="38">
        <f>HW5+HX5+HY5+HZ5+IA5+IB5+IC5+ID5</f>
        <v>2</v>
      </c>
      <c r="IF5" s="136">
        <v>0</v>
      </c>
      <c r="IG5" s="136">
        <v>0</v>
      </c>
      <c r="IH5" s="136"/>
      <c r="II5" s="136"/>
      <c r="IJ5" s="136"/>
      <c r="IK5" s="136"/>
      <c r="IL5" s="136">
        <v>0</v>
      </c>
      <c r="IM5" s="136">
        <v>0</v>
      </c>
      <c r="IN5" s="38">
        <f>IF5+IG5+IH5+II5+IJ5+IK5+IL5+IM5</f>
        <v>0</v>
      </c>
      <c r="IO5" s="136">
        <v>0</v>
      </c>
      <c r="IP5" s="136">
        <v>0</v>
      </c>
      <c r="IQ5" s="136"/>
      <c r="IR5" s="136"/>
      <c r="IS5" s="136"/>
      <c r="IT5" s="136"/>
      <c r="IU5" s="136"/>
      <c r="IV5" s="136">
        <v>0</v>
      </c>
      <c r="IW5" s="38">
        <f>IO5+IP5+IQ5+IR5+IS5+IT5+IU5+IV5</f>
        <v>0</v>
      </c>
      <c r="IX5" s="150">
        <v>0</v>
      </c>
      <c r="IY5" s="150"/>
      <c r="IZ5" s="150"/>
      <c r="JA5" s="150"/>
      <c r="JB5" s="150"/>
      <c r="JC5" s="150"/>
      <c r="JD5" s="150">
        <v>0</v>
      </c>
      <c r="JE5" s="150">
        <v>0</v>
      </c>
      <c r="JF5" s="38">
        <f>IX5+IY5+IZ5+JA5+JB5+JC5+JD5+JE5</f>
        <v>0</v>
      </c>
      <c r="JG5" s="150">
        <v>0</v>
      </c>
      <c r="JH5" s="150"/>
      <c r="JI5" s="150"/>
      <c r="JJ5" s="150"/>
      <c r="JK5" s="150"/>
      <c r="JL5" s="150"/>
      <c r="JM5" s="150"/>
      <c r="JN5" s="150">
        <v>0</v>
      </c>
      <c r="JO5" s="38">
        <f>JG5+JH5+JI5+JJ5+JK5+JL5+JM5+JN5</f>
        <v>0</v>
      </c>
      <c r="JP5" s="14">
        <f t="shared" ref="JP5:JP14" si="2">N5+AF5+AX5+BP5+CH5+CZ5+DR5+EJ5+FB5+FT5+GL5+HD5+HV5+IN5</f>
        <v>100</v>
      </c>
      <c r="JQ5" s="46">
        <f t="shared" ref="JQ5:JQ14" si="3">W5+AO5+BG5+BY5+CQ5+DI5+EA5+ES5+FK5+GC5+GU5+HM5+IE5+IW5</f>
        <v>108</v>
      </c>
      <c r="JR5" s="170">
        <f>+JP5+JP6+JP7+JP8+JP9+JP10+JQ5+JQ6+JQ7+JQ8+JQ9+JQ10</f>
        <v>962</v>
      </c>
      <c r="JS5" s="173">
        <f>IF(E5&gt;0,E5-JR5,"N/A")</f>
        <v>2388</v>
      </c>
      <c r="JT5" s="176">
        <f>IF(ISBLANK(E5),"",JR5/E5)</f>
        <v>0.28716417910447761</v>
      </c>
      <c r="JU5" s="156">
        <v>23</v>
      </c>
      <c r="JV5" s="56">
        <f>JR5-JU5</f>
        <v>939</v>
      </c>
    </row>
    <row r="6" spans="1:282" ht="24.5" thickBot="1" x14ac:dyDescent="0.75">
      <c r="A6" s="183"/>
      <c r="B6" s="251"/>
      <c r="C6" s="183"/>
      <c r="D6" s="141" t="s">
        <v>98</v>
      </c>
      <c r="E6" s="253"/>
      <c r="F6" s="142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8">
        <f t="shared" ref="N6:N10" si="4">F6+G6+H6+I6+J6+K6+L6+M6</f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8">
        <f t="shared" ref="W6:W10" si="5">O6+P6+Q6+R6+S6+T6+U6+V6</f>
        <v>0</v>
      </c>
      <c r="X6" s="39">
        <v>0</v>
      </c>
      <c r="Y6" s="39">
        <f>1+1</f>
        <v>2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8">
        <f t="shared" ref="AF6:AF12" si="6">X6+Y6+Z6+AA6+AB6+AC6+AD6+AE6</f>
        <v>2</v>
      </c>
      <c r="AG6" s="39"/>
      <c r="AH6" s="39">
        <f>1+3</f>
        <v>4</v>
      </c>
      <c r="AI6" s="39"/>
      <c r="AJ6" s="39"/>
      <c r="AK6" s="39"/>
      <c r="AL6" s="39"/>
      <c r="AM6" s="39"/>
      <c r="AN6" s="39"/>
      <c r="AO6" s="38">
        <f t="shared" ref="AO6:AO12" si="7">AG6+AH6+AI6+AJ6+AK6+AL6+AM6+AN6</f>
        <v>4</v>
      </c>
      <c r="AP6" s="40"/>
      <c r="AQ6" s="40"/>
      <c r="AR6" s="40"/>
      <c r="AS6" s="40"/>
      <c r="AT6" s="40"/>
      <c r="AU6" s="40"/>
      <c r="AV6" s="40"/>
      <c r="AW6" s="40"/>
      <c r="AX6" s="38">
        <f t="shared" ref="AX6:AX10" si="8">AP6+AQ6+AR6+AS6+AT6+AU6+AV6+AW6</f>
        <v>0</v>
      </c>
      <c r="AY6" s="40"/>
      <c r="AZ6" s="40"/>
      <c r="BA6" s="40"/>
      <c r="BB6" s="40"/>
      <c r="BC6" s="40"/>
      <c r="BD6" s="40"/>
      <c r="BE6" s="40"/>
      <c r="BF6" s="40"/>
      <c r="BG6" s="38">
        <f t="shared" ref="BG6:BG11" si="9">AY6+AZ6+BA6+BB6+BC6+BD6+BE6+BF6</f>
        <v>0</v>
      </c>
      <c r="BH6" s="41"/>
      <c r="BI6" s="41"/>
      <c r="BJ6" s="41"/>
      <c r="BK6" s="41"/>
      <c r="BL6" s="41"/>
      <c r="BM6" s="41"/>
      <c r="BN6" s="41"/>
      <c r="BO6" s="41"/>
      <c r="BP6" s="38">
        <f t="shared" ref="BP6:BP11" si="10">BH6+BI6+BJ6+BK6+BL6+BM6+BN6+BO6</f>
        <v>0</v>
      </c>
      <c r="BQ6" s="41"/>
      <c r="BR6" s="41">
        <v>2</v>
      </c>
      <c r="BS6" s="41"/>
      <c r="BT6" s="41"/>
      <c r="BU6" s="41"/>
      <c r="BV6" s="41"/>
      <c r="BW6" s="41"/>
      <c r="BX6" s="41"/>
      <c r="BY6" s="38">
        <f t="shared" ref="BY6:BY12" si="11">BQ6+BR6+BS6+BT6+BU6+BV6+BW6+BX6</f>
        <v>2</v>
      </c>
      <c r="BZ6" s="42"/>
      <c r="CA6" s="42">
        <v>1</v>
      </c>
      <c r="CB6" s="42"/>
      <c r="CC6" s="42"/>
      <c r="CD6" s="42"/>
      <c r="CE6" s="42"/>
      <c r="CF6" s="42"/>
      <c r="CG6" s="42"/>
      <c r="CH6" s="38">
        <f t="shared" ref="CH6:CH13" si="12">BZ6+CA6+CB6+CC6+CD6+CE6+CF6+CG6</f>
        <v>1</v>
      </c>
      <c r="CI6" s="42"/>
      <c r="CJ6" s="42">
        <v>1</v>
      </c>
      <c r="CK6" s="42"/>
      <c r="CL6" s="42"/>
      <c r="CM6" s="42"/>
      <c r="CN6" s="42"/>
      <c r="CO6" s="42"/>
      <c r="CP6" s="42"/>
      <c r="CQ6" s="38">
        <f t="shared" ref="CQ6:CQ12" si="13">CI6+CJ6+CK6+CL6+CM6+CN6+CO6+CP6</f>
        <v>1</v>
      </c>
      <c r="CR6" s="43"/>
      <c r="CS6" s="43">
        <v>4</v>
      </c>
      <c r="CT6" s="43"/>
      <c r="CU6" s="43"/>
      <c r="CV6" s="43"/>
      <c r="CW6" s="43"/>
      <c r="CX6" s="43"/>
      <c r="CY6" s="43"/>
      <c r="CZ6" s="38">
        <f t="shared" ref="CZ6:CZ11" si="14">CR6+CS6+CT6+CU6+CV6+CW6+CX6+CY6</f>
        <v>4</v>
      </c>
      <c r="DA6" s="43"/>
      <c r="DB6" s="43"/>
      <c r="DC6" s="43"/>
      <c r="DD6" s="43"/>
      <c r="DE6" s="43"/>
      <c r="DF6" s="43"/>
      <c r="DG6" s="43"/>
      <c r="DH6" s="43"/>
      <c r="DI6" s="38">
        <f t="shared" ref="DI6:DI13" si="15">DA6+DB6+DC6+DD6+DE6+DF6+DG6+DH6</f>
        <v>0</v>
      </c>
      <c r="DJ6" s="39"/>
      <c r="DK6" s="39"/>
      <c r="DL6" s="39"/>
      <c r="DM6" s="39"/>
      <c r="DN6" s="39"/>
      <c r="DO6" s="39"/>
      <c r="DP6" s="39"/>
      <c r="DQ6" s="39"/>
      <c r="DR6" s="38">
        <f t="shared" ref="DR6:DR11" si="16">DJ6+DK6+DL6+DM6+DN6+DO6+DP6+DQ6</f>
        <v>0</v>
      </c>
      <c r="DS6" s="39"/>
      <c r="DT6" s="39"/>
      <c r="DU6" s="39"/>
      <c r="DV6" s="39"/>
      <c r="DW6" s="39"/>
      <c r="DX6" s="39"/>
      <c r="DY6" s="39"/>
      <c r="DZ6" s="39"/>
      <c r="EA6" s="38">
        <f t="shared" ref="EA6:EA12" si="17">DS6+DT6+DU6+DV6+DW6+DX6+DY6+DZ6</f>
        <v>0</v>
      </c>
      <c r="EB6" s="44"/>
      <c r="EC6" s="44">
        <v>69</v>
      </c>
      <c r="ED6" s="44"/>
      <c r="EE6" s="44"/>
      <c r="EF6" s="44"/>
      <c r="EG6" s="44"/>
      <c r="EH6" s="44"/>
      <c r="EI6" s="44"/>
      <c r="EJ6" s="38">
        <f t="shared" ref="EJ6:EJ13" si="18">EB6+EC6+ED6+EE6+EF6+EG6+EH6+EI6</f>
        <v>69</v>
      </c>
      <c r="EK6" s="44"/>
      <c r="EL6" s="44">
        <v>58</v>
      </c>
      <c r="EM6" s="44"/>
      <c r="EN6" s="44"/>
      <c r="EO6" s="44"/>
      <c r="EP6" s="44"/>
      <c r="EQ6" s="44"/>
      <c r="ER6" s="44"/>
      <c r="ES6" s="38">
        <f t="shared" ref="ES6:ES13" si="19">EK6+EL6+EM6+EN6+EO6+EP6+EQ6+ER6</f>
        <v>58</v>
      </c>
      <c r="ET6" s="45"/>
      <c r="EU6" s="45"/>
      <c r="EV6" s="45"/>
      <c r="EW6" s="45"/>
      <c r="EX6" s="45"/>
      <c r="EY6" s="45"/>
      <c r="EZ6" s="45"/>
      <c r="FA6" s="45"/>
      <c r="FB6" s="38">
        <f t="shared" si="0"/>
        <v>0</v>
      </c>
      <c r="FC6" s="45"/>
      <c r="FD6" s="45">
        <v>3</v>
      </c>
      <c r="FE6" s="45"/>
      <c r="FF6" s="45"/>
      <c r="FG6" s="45"/>
      <c r="FH6" s="45"/>
      <c r="FI6" s="45"/>
      <c r="FJ6" s="45"/>
      <c r="FK6" s="38">
        <f t="shared" si="1"/>
        <v>3</v>
      </c>
      <c r="FL6" s="45"/>
      <c r="FM6" s="45">
        <v>9</v>
      </c>
      <c r="FN6" s="45"/>
      <c r="FO6" s="45"/>
      <c r="FP6" s="45"/>
      <c r="FQ6" s="45"/>
      <c r="FR6" s="45"/>
      <c r="FS6" s="45"/>
      <c r="FT6" s="38">
        <f t="shared" ref="FT6:FT12" si="20">FL6+FM6+FN6+FO6+FP6+FQ6+FR6+FS6</f>
        <v>9</v>
      </c>
      <c r="FU6" s="45"/>
      <c r="FV6" s="45">
        <v>5</v>
      </c>
      <c r="FW6" s="45"/>
      <c r="FX6" s="45"/>
      <c r="FY6" s="45"/>
      <c r="FZ6" s="45"/>
      <c r="GA6" s="45"/>
      <c r="GB6" s="45"/>
      <c r="GC6" s="38">
        <f t="shared" ref="GC6:GC12" si="21">FU6+FV6+FW6+FX6+FY6+FZ6+GA6+GB6</f>
        <v>5</v>
      </c>
      <c r="GD6" s="45"/>
      <c r="GE6" s="45">
        <v>1</v>
      </c>
      <c r="GF6" s="45"/>
      <c r="GG6" s="45"/>
      <c r="GH6" s="45"/>
      <c r="GI6" s="45"/>
      <c r="GJ6" s="45"/>
      <c r="GK6" s="45"/>
      <c r="GL6" s="38">
        <f t="shared" ref="GL6:GL12" si="22">GD6+GE6+GF6+GG6+GH6+GI6+GJ6+GK6</f>
        <v>1</v>
      </c>
      <c r="GM6" s="45"/>
      <c r="GN6" s="45">
        <v>2</v>
      </c>
      <c r="GO6" s="45"/>
      <c r="GP6" s="45"/>
      <c r="GQ6" s="45"/>
      <c r="GR6" s="45"/>
      <c r="GS6" s="45"/>
      <c r="GT6" s="45"/>
      <c r="GU6" s="38">
        <f t="shared" ref="GU6:GU12" si="23">GM6+GN6+GO6+GP6+GQ6+GR6+GS6+GT6</f>
        <v>2</v>
      </c>
      <c r="GV6" s="45"/>
      <c r="GW6" s="45">
        <f>2+27</f>
        <v>29</v>
      </c>
      <c r="GX6" s="45"/>
      <c r="GY6" s="45"/>
      <c r="GZ6" s="45"/>
      <c r="HA6" s="45"/>
      <c r="HB6" s="45"/>
      <c r="HC6" s="45"/>
      <c r="HD6" s="38">
        <f t="shared" ref="HD6:HD11" si="24">GV6+GW6+GX6+GY6+GZ6+HA6+HB6+HC6</f>
        <v>29</v>
      </c>
      <c r="HE6" s="45"/>
      <c r="HF6" s="45">
        <f>9+14</f>
        <v>23</v>
      </c>
      <c r="HG6" s="45"/>
      <c r="HH6" s="45"/>
      <c r="HI6" s="45"/>
      <c r="HJ6" s="45"/>
      <c r="HK6" s="45"/>
      <c r="HL6" s="45"/>
      <c r="HM6" s="38">
        <f t="shared" ref="HM6:HM13" si="25">HE6+HF6+HG6+HH6+HI6+HJ6+HK6+HL6</f>
        <v>23</v>
      </c>
      <c r="HN6" s="45"/>
      <c r="HO6" s="45">
        <v>64</v>
      </c>
      <c r="HP6" s="45"/>
      <c r="HQ6" s="45"/>
      <c r="HR6" s="45"/>
      <c r="HS6" s="45"/>
      <c r="HT6" s="45"/>
      <c r="HU6" s="45"/>
      <c r="HV6" s="38">
        <f t="shared" ref="HV6:HV13" si="26">HN6+HO6+HP6+HQ6+HR6+HS6+HT6+HU6</f>
        <v>64</v>
      </c>
      <c r="HW6" s="45"/>
      <c r="HX6" s="45">
        <v>51</v>
      </c>
      <c r="HY6" s="45"/>
      <c r="HZ6" s="45"/>
      <c r="IA6" s="45"/>
      <c r="IB6" s="45"/>
      <c r="IC6" s="45"/>
      <c r="ID6" s="45"/>
      <c r="IE6" s="38">
        <f t="shared" ref="IE6:IE13" si="27">HW6+HX6+HY6+HZ6+IA6+IB6+IC6+ID6</f>
        <v>51</v>
      </c>
      <c r="IF6" s="136"/>
      <c r="IG6" s="136">
        <v>16</v>
      </c>
      <c r="IH6" s="136"/>
      <c r="II6" s="136"/>
      <c r="IJ6" s="136"/>
      <c r="IK6" s="136"/>
      <c r="IL6" s="136"/>
      <c r="IM6" s="136"/>
      <c r="IN6" s="38">
        <f t="shared" ref="IN6:IN13" si="28">IF6+IG6+IH6+II6+IJ6+IK6+IL6+IM6</f>
        <v>16</v>
      </c>
      <c r="IO6" s="136"/>
      <c r="IP6" s="136">
        <v>38</v>
      </c>
      <c r="IQ6" s="136"/>
      <c r="IR6" s="136"/>
      <c r="IS6" s="136"/>
      <c r="IT6" s="136"/>
      <c r="IU6" s="136"/>
      <c r="IV6" s="136"/>
      <c r="IW6" s="38">
        <f t="shared" ref="IW6:IW12" si="29">IO6+IP6+IQ6+IR6+IS6+IT6+IU6+IV6</f>
        <v>38</v>
      </c>
      <c r="IX6" s="150"/>
      <c r="IY6" s="150"/>
      <c r="IZ6" s="150"/>
      <c r="JA6" s="150"/>
      <c r="JB6" s="150"/>
      <c r="JC6" s="150"/>
      <c r="JD6" s="150"/>
      <c r="JE6" s="150"/>
      <c r="JF6" s="38">
        <f t="shared" ref="JF6:JF12" si="30">IX6+IY6+IZ6+JA6+JB6+JC6+JD6+JE6</f>
        <v>0</v>
      </c>
      <c r="JG6" s="150"/>
      <c r="JH6" s="150"/>
      <c r="JI6" s="150"/>
      <c r="JJ6" s="150"/>
      <c r="JK6" s="150"/>
      <c r="JL6" s="150"/>
      <c r="JM6" s="150"/>
      <c r="JN6" s="150"/>
      <c r="JO6" s="38">
        <f t="shared" ref="JO6:JO12" si="31">JG6+JH6+JI6+JJ6+JK6+JL6+JM6+JN6</f>
        <v>0</v>
      </c>
      <c r="JP6" s="14">
        <f t="shared" si="2"/>
        <v>195</v>
      </c>
      <c r="JQ6" s="46">
        <f t="shared" si="3"/>
        <v>187</v>
      </c>
      <c r="JR6" s="171"/>
      <c r="JS6" s="174"/>
      <c r="JT6" s="177"/>
      <c r="JU6" s="129"/>
      <c r="JV6" s="155"/>
    </row>
    <row r="7" spans="1:282" ht="24.5" thickBot="1" x14ac:dyDescent="0.75">
      <c r="A7" s="183"/>
      <c r="B7" s="251"/>
      <c r="C7" s="183"/>
      <c r="D7" s="141" t="s">
        <v>99</v>
      </c>
      <c r="E7" s="253"/>
      <c r="F7" s="142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8">
        <f t="shared" si="4"/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8">
        <f t="shared" si="5"/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8">
        <f t="shared" si="6"/>
        <v>0</v>
      </c>
      <c r="AG7" s="39"/>
      <c r="AH7" s="39"/>
      <c r="AI7" s="39"/>
      <c r="AJ7" s="39"/>
      <c r="AK7" s="39"/>
      <c r="AL7" s="39"/>
      <c r="AM7" s="39"/>
      <c r="AN7" s="39"/>
      <c r="AO7" s="38">
        <f t="shared" si="7"/>
        <v>0</v>
      </c>
      <c r="AP7" s="40"/>
      <c r="AQ7" s="40"/>
      <c r="AR7" s="40"/>
      <c r="AS7" s="40"/>
      <c r="AT7" s="40"/>
      <c r="AU7" s="40"/>
      <c r="AV7" s="40"/>
      <c r="AW7" s="40"/>
      <c r="AX7" s="38">
        <f t="shared" si="8"/>
        <v>0</v>
      </c>
      <c r="AY7" s="40"/>
      <c r="AZ7" s="40"/>
      <c r="BA7" s="40"/>
      <c r="BB7" s="40"/>
      <c r="BC7" s="40"/>
      <c r="BD7" s="40"/>
      <c r="BE7" s="40"/>
      <c r="BF7" s="40"/>
      <c r="BG7" s="38">
        <f t="shared" si="9"/>
        <v>0</v>
      </c>
      <c r="BH7" s="41"/>
      <c r="BI7" s="41"/>
      <c r="BJ7" s="41"/>
      <c r="BK7" s="41"/>
      <c r="BL7" s="41"/>
      <c r="BM7" s="41"/>
      <c r="BN7" s="41"/>
      <c r="BO7" s="41"/>
      <c r="BP7" s="38">
        <f t="shared" si="10"/>
        <v>0</v>
      </c>
      <c r="BQ7" s="41"/>
      <c r="BR7" s="41"/>
      <c r="BS7" s="41"/>
      <c r="BT7" s="41"/>
      <c r="BU7" s="41"/>
      <c r="BV7" s="41"/>
      <c r="BW7" s="41"/>
      <c r="BX7" s="41"/>
      <c r="BY7" s="38">
        <f t="shared" si="11"/>
        <v>0</v>
      </c>
      <c r="BZ7" s="42"/>
      <c r="CA7" s="42"/>
      <c r="CB7" s="42"/>
      <c r="CC7" s="42"/>
      <c r="CD7" s="42"/>
      <c r="CE7" s="42"/>
      <c r="CF7" s="42"/>
      <c r="CG7" s="42"/>
      <c r="CH7" s="38">
        <f t="shared" si="12"/>
        <v>0</v>
      </c>
      <c r="CI7" s="42"/>
      <c r="CJ7" s="42"/>
      <c r="CK7" s="42"/>
      <c r="CL7" s="42"/>
      <c r="CM7" s="42"/>
      <c r="CN7" s="42"/>
      <c r="CO7" s="42"/>
      <c r="CP7" s="42"/>
      <c r="CQ7" s="38">
        <f t="shared" si="13"/>
        <v>0</v>
      </c>
      <c r="CR7" s="43"/>
      <c r="CS7" s="43"/>
      <c r="CT7" s="43"/>
      <c r="CU7" s="43"/>
      <c r="CV7" s="43"/>
      <c r="CW7" s="43"/>
      <c r="CX7" s="43"/>
      <c r="CY7" s="43"/>
      <c r="CZ7" s="38">
        <f t="shared" si="14"/>
        <v>0</v>
      </c>
      <c r="DA7" s="43"/>
      <c r="DB7" s="43"/>
      <c r="DC7" s="43"/>
      <c r="DD7" s="43"/>
      <c r="DE7" s="43"/>
      <c r="DF7" s="43"/>
      <c r="DG7" s="43"/>
      <c r="DH7" s="43"/>
      <c r="DI7" s="38">
        <f t="shared" si="15"/>
        <v>0</v>
      </c>
      <c r="DJ7" s="39"/>
      <c r="DK7" s="39"/>
      <c r="DL7" s="39"/>
      <c r="DM7" s="39"/>
      <c r="DN7" s="39"/>
      <c r="DO7" s="39"/>
      <c r="DP7" s="39"/>
      <c r="DQ7" s="39"/>
      <c r="DR7" s="38">
        <f t="shared" si="16"/>
        <v>0</v>
      </c>
      <c r="DS7" s="39"/>
      <c r="DT7" s="39"/>
      <c r="DU7" s="39"/>
      <c r="DV7" s="39"/>
      <c r="DW7" s="39"/>
      <c r="DX7" s="39"/>
      <c r="DY7" s="39"/>
      <c r="DZ7" s="39"/>
      <c r="EA7" s="38">
        <f t="shared" si="17"/>
        <v>0</v>
      </c>
      <c r="EB7" s="44"/>
      <c r="EC7" s="44"/>
      <c r="ED7" s="44"/>
      <c r="EE7" s="44"/>
      <c r="EF7" s="44"/>
      <c r="EG7" s="44"/>
      <c r="EH7" s="44"/>
      <c r="EI7" s="44"/>
      <c r="EJ7" s="38">
        <f t="shared" si="18"/>
        <v>0</v>
      </c>
      <c r="EK7" s="44"/>
      <c r="EL7" s="44"/>
      <c r="EM7" s="44"/>
      <c r="EN7" s="44"/>
      <c r="EO7" s="44"/>
      <c r="EP7" s="44"/>
      <c r="EQ7" s="44"/>
      <c r="ER7" s="44"/>
      <c r="ES7" s="38">
        <f t="shared" si="19"/>
        <v>0</v>
      </c>
      <c r="ET7" s="45"/>
      <c r="EU7" s="45"/>
      <c r="EV7" s="45"/>
      <c r="EW7" s="45"/>
      <c r="EX7" s="45"/>
      <c r="EY7" s="45"/>
      <c r="EZ7" s="45"/>
      <c r="FA7" s="45"/>
      <c r="FB7" s="38">
        <f t="shared" si="0"/>
        <v>0</v>
      </c>
      <c r="FC7" s="45"/>
      <c r="FD7" s="45"/>
      <c r="FE7" s="45"/>
      <c r="FF7" s="45"/>
      <c r="FG7" s="45"/>
      <c r="FH7" s="45"/>
      <c r="FI7" s="45"/>
      <c r="FJ7" s="45"/>
      <c r="FK7" s="38">
        <f t="shared" si="1"/>
        <v>0</v>
      </c>
      <c r="FL7" s="45"/>
      <c r="FM7" s="45"/>
      <c r="FN7" s="45"/>
      <c r="FO7" s="45"/>
      <c r="FP7" s="45"/>
      <c r="FQ7" s="45"/>
      <c r="FR7" s="45"/>
      <c r="FS7" s="45"/>
      <c r="FT7" s="38">
        <f t="shared" si="20"/>
        <v>0</v>
      </c>
      <c r="FU7" s="45"/>
      <c r="FV7" s="45"/>
      <c r="FW7" s="45"/>
      <c r="FX7" s="45"/>
      <c r="FY7" s="45"/>
      <c r="FZ7" s="45"/>
      <c r="GA7" s="45"/>
      <c r="GB7" s="45"/>
      <c r="GC7" s="38">
        <f t="shared" si="21"/>
        <v>0</v>
      </c>
      <c r="GD7" s="45"/>
      <c r="GE7" s="45"/>
      <c r="GF7" s="45"/>
      <c r="GG7" s="45"/>
      <c r="GH7" s="45"/>
      <c r="GI7" s="45"/>
      <c r="GJ7" s="45"/>
      <c r="GK7" s="45"/>
      <c r="GL7" s="38">
        <f t="shared" si="22"/>
        <v>0</v>
      </c>
      <c r="GM7" s="45"/>
      <c r="GN7" s="45"/>
      <c r="GO7" s="45"/>
      <c r="GP7" s="45"/>
      <c r="GQ7" s="45"/>
      <c r="GR7" s="45"/>
      <c r="GS7" s="45"/>
      <c r="GT7" s="45"/>
      <c r="GU7" s="38">
        <f t="shared" si="23"/>
        <v>0</v>
      </c>
      <c r="GV7" s="45"/>
      <c r="GW7" s="45"/>
      <c r="GX7" s="45"/>
      <c r="GY7" s="45"/>
      <c r="GZ7" s="45"/>
      <c r="HA7" s="45"/>
      <c r="HB7" s="45"/>
      <c r="HC7" s="45"/>
      <c r="HD7" s="38">
        <f t="shared" si="24"/>
        <v>0</v>
      </c>
      <c r="HE7" s="45"/>
      <c r="HF7" s="45"/>
      <c r="HG7" s="45"/>
      <c r="HH7" s="45"/>
      <c r="HI7" s="45"/>
      <c r="HJ7" s="45"/>
      <c r="HK7" s="45"/>
      <c r="HL7" s="45"/>
      <c r="HM7" s="38">
        <f t="shared" si="25"/>
        <v>0</v>
      </c>
      <c r="HN7" s="45"/>
      <c r="HO7" s="45"/>
      <c r="HP7" s="45"/>
      <c r="HQ7" s="45"/>
      <c r="HR7" s="45"/>
      <c r="HS7" s="45"/>
      <c r="HT7" s="45"/>
      <c r="HU7" s="45"/>
      <c r="HV7" s="38">
        <f t="shared" si="26"/>
        <v>0</v>
      </c>
      <c r="HW7" s="45"/>
      <c r="HX7" s="45"/>
      <c r="HY7" s="45"/>
      <c r="HZ7" s="45"/>
      <c r="IA7" s="45"/>
      <c r="IB7" s="45"/>
      <c r="IC7" s="45"/>
      <c r="ID7" s="45"/>
      <c r="IE7" s="38">
        <f t="shared" si="27"/>
        <v>0</v>
      </c>
      <c r="IF7" s="136"/>
      <c r="IG7" s="136">
        <v>17</v>
      </c>
      <c r="IH7" s="136"/>
      <c r="II7" s="136"/>
      <c r="IJ7" s="136"/>
      <c r="IK7" s="136"/>
      <c r="IL7" s="136"/>
      <c r="IM7" s="136"/>
      <c r="IN7" s="38">
        <f t="shared" si="28"/>
        <v>17</v>
      </c>
      <c r="IO7" s="136"/>
      <c r="IP7" s="136">
        <v>17</v>
      </c>
      <c r="IQ7" s="136"/>
      <c r="IR7" s="136"/>
      <c r="IS7" s="136"/>
      <c r="IT7" s="136"/>
      <c r="IU7" s="136"/>
      <c r="IV7" s="136"/>
      <c r="IW7" s="38">
        <f t="shared" si="29"/>
        <v>17</v>
      </c>
      <c r="IX7" s="150"/>
      <c r="IY7" s="150">
        <v>71</v>
      </c>
      <c r="IZ7" s="150"/>
      <c r="JA7" s="150"/>
      <c r="JB7" s="150"/>
      <c r="JC7" s="150"/>
      <c r="JD7" s="150"/>
      <c r="JE7" s="150"/>
      <c r="JF7" s="38">
        <f t="shared" si="30"/>
        <v>71</v>
      </c>
      <c r="JG7" s="150"/>
      <c r="JH7" s="150">
        <v>78</v>
      </c>
      <c r="JI7" s="150"/>
      <c r="JJ7" s="150"/>
      <c r="JK7" s="150"/>
      <c r="JL7" s="150"/>
      <c r="JM7" s="150"/>
      <c r="JN7" s="150"/>
      <c r="JO7" s="38">
        <f t="shared" si="31"/>
        <v>78</v>
      </c>
      <c r="JP7" s="14">
        <f t="shared" si="2"/>
        <v>17</v>
      </c>
      <c r="JQ7" s="46">
        <f t="shared" si="3"/>
        <v>17</v>
      </c>
      <c r="JR7" s="171"/>
      <c r="JS7" s="174"/>
      <c r="JT7" s="177"/>
      <c r="JU7" s="129"/>
      <c r="JV7" s="155"/>
    </row>
    <row r="8" spans="1:282" ht="24.5" thickBot="1" x14ac:dyDescent="0.75">
      <c r="A8" s="183"/>
      <c r="B8" s="251"/>
      <c r="C8" s="183" t="s">
        <v>93</v>
      </c>
      <c r="D8" s="143" t="s">
        <v>101</v>
      </c>
      <c r="E8" s="253"/>
      <c r="F8" s="142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8">
        <f t="shared" si="4"/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8">
        <f t="shared" si="5"/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8">
        <f t="shared" si="6"/>
        <v>0</v>
      </c>
      <c r="AG8" s="39"/>
      <c r="AH8" s="39"/>
      <c r="AI8" s="39"/>
      <c r="AJ8" s="39"/>
      <c r="AK8" s="39"/>
      <c r="AL8" s="39"/>
      <c r="AM8" s="39"/>
      <c r="AN8" s="39"/>
      <c r="AO8" s="38">
        <f t="shared" si="7"/>
        <v>0</v>
      </c>
      <c r="AP8" s="40"/>
      <c r="AQ8" s="40"/>
      <c r="AR8" s="40"/>
      <c r="AS8" s="40"/>
      <c r="AT8" s="40"/>
      <c r="AU8" s="40"/>
      <c r="AV8" s="40"/>
      <c r="AW8" s="40"/>
      <c r="AX8" s="38">
        <f t="shared" si="8"/>
        <v>0</v>
      </c>
      <c r="AY8" s="40"/>
      <c r="AZ8" s="40"/>
      <c r="BA8" s="40"/>
      <c r="BB8" s="40"/>
      <c r="BC8" s="40"/>
      <c r="BD8" s="40"/>
      <c r="BE8" s="40"/>
      <c r="BF8" s="40"/>
      <c r="BG8" s="38">
        <f t="shared" si="9"/>
        <v>0</v>
      </c>
      <c r="BH8" s="41"/>
      <c r="BI8" s="41"/>
      <c r="BJ8" s="41"/>
      <c r="BK8" s="41"/>
      <c r="BL8" s="41"/>
      <c r="BM8" s="41"/>
      <c r="BN8" s="41"/>
      <c r="BO8" s="41"/>
      <c r="BP8" s="38">
        <f t="shared" si="10"/>
        <v>0</v>
      </c>
      <c r="BQ8" s="41"/>
      <c r="BR8" s="41"/>
      <c r="BS8" s="41"/>
      <c r="BT8" s="41"/>
      <c r="BU8" s="41"/>
      <c r="BV8" s="41"/>
      <c r="BW8" s="41"/>
      <c r="BX8" s="41"/>
      <c r="BY8" s="38">
        <f t="shared" si="11"/>
        <v>0</v>
      </c>
      <c r="BZ8" s="42"/>
      <c r="CA8" s="42"/>
      <c r="CB8" s="42"/>
      <c r="CC8" s="42"/>
      <c r="CD8" s="42"/>
      <c r="CE8" s="42"/>
      <c r="CF8" s="42"/>
      <c r="CG8" s="42"/>
      <c r="CH8" s="38">
        <f t="shared" si="12"/>
        <v>0</v>
      </c>
      <c r="CI8" s="42"/>
      <c r="CJ8" s="42"/>
      <c r="CK8" s="42"/>
      <c r="CL8" s="42"/>
      <c r="CM8" s="42"/>
      <c r="CN8" s="42"/>
      <c r="CO8" s="42"/>
      <c r="CP8" s="42"/>
      <c r="CQ8" s="38">
        <f t="shared" si="13"/>
        <v>0</v>
      </c>
      <c r="CR8" s="43"/>
      <c r="CS8" s="43"/>
      <c r="CT8" s="43"/>
      <c r="CU8" s="43"/>
      <c r="CV8" s="43"/>
      <c r="CW8" s="43"/>
      <c r="CX8" s="43"/>
      <c r="CY8" s="43"/>
      <c r="CZ8" s="38">
        <f t="shared" si="14"/>
        <v>0</v>
      </c>
      <c r="DA8" s="43"/>
      <c r="DB8" s="43"/>
      <c r="DC8" s="43"/>
      <c r="DD8" s="43"/>
      <c r="DE8" s="43"/>
      <c r="DF8" s="43"/>
      <c r="DG8" s="43"/>
      <c r="DH8" s="43"/>
      <c r="DI8" s="38">
        <f t="shared" si="15"/>
        <v>0</v>
      </c>
      <c r="DJ8" s="39"/>
      <c r="DK8" s="39"/>
      <c r="DL8" s="39"/>
      <c r="DM8" s="39"/>
      <c r="DN8" s="39"/>
      <c r="DO8" s="39"/>
      <c r="DP8" s="39"/>
      <c r="DQ8" s="39"/>
      <c r="DR8" s="38">
        <f t="shared" si="16"/>
        <v>0</v>
      </c>
      <c r="DS8" s="39"/>
      <c r="DT8" s="39"/>
      <c r="DU8" s="39"/>
      <c r="DV8" s="39"/>
      <c r="DW8" s="39"/>
      <c r="DX8" s="39"/>
      <c r="DY8" s="39"/>
      <c r="DZ8" s="39"/>
      <c r="EA8" s="38">
        <f t="shared" si="17"/>
        <v>0</v>
      </c>
      <c r="EB8" s="44"/>
      <c r="EC8" s="44">
        <v>18</v>
      </c>
      <c r="ED8" s="44"/>
      <c r="EE8" s="44"/>
      <c r="EF8" s="44"/>
      <c r="EG8" s="44"/>
      <c r="EH8" s="44"/>
      <c r="EI8" s="44"/>
      <c r="EJ8" s="38">
        <f t="shared" si="18"/>
        <v>18</v>
      </c>
      <c r="EK8" s="44"/>
      <c r="EL8" s="44">
        <v>8</v>
      </c>
      <c r="EM8" s="44"/>
      <c r="EN8" s="44"/>
      <c r="EO8" s="44"/>
      <c r="EP8" s="44"/>
      <c r="EQ8" s="44"/>
      <c r="ER8" s="44"/>
      <c r="ES8" s="38">
        <f t="shared" si="19"/>
        <v>8</v>
      </c>
      <c r="ET8" s="45"/>
      <c r="EU8" s="45">
        <v>43</v>
      </c>
      <c r="EV8" s="45"/>
      <c r="EW8" s="45"/>
      <c r="EX8" s="45"/>
      <c r="EY8" s="45"/>
      <c r="EZ8" s="45"/>
      <c r="FA8" s="45"/>
      <c r="FB8" s="38">
        <f t="shared" si="0"/>
        <v>43</v>
      </c>
      <c r="FC8" s="45"/>
      <c r="FD8" s="45">
        <v>11</v>
      </c>
      <c r="FE8" s="45"/>
      <c r="FF8" s="45"/>
      <c r="FG8" s="45"/>
      <c r="FH8" s="45"/>
      <c r="FI8" s="45"/>
      <c r="FJ8" s="45"/>
      <c r="FK8" s="38">
        <f t="shared" si="1"/>
        <v>11</v>
      </c>
      <c r="FL8" s="45"/>
      <c r="FM8" s="45">
        <v>33</v>
      </c>
      <c r="FN8" s="45"/>
      <c r="FO8" s="45"/>
      <c r="FP8" s="45"/>
      <c r="FQ8" s="45"/>
      <c r="FR8" s="45"/>
      <c r="FS8" s="45"/>
      <c r="FT8" s="38">
        <f t="shared" si="20"/>
        <v>33</v>
      </c>
      <c r="FU8" s="45"/>
      <c r="FV8" s="45">
        <v>17</v>
      </c>
      <c r="FW8" s="45"/>
      <c r="FX8" s="45"/>
      <c r="FY8" s="45"/>
      <c r="FZ8" s="45"/>
      <c r="GA8" s="45"/>
      <c r="GB8" s="45"/>
      <c r="GC8" s="38">
        <f t="shared" si="21"/>
        <v>17</v>
      </c>
      <c r="GD8" s="45"/>
      <c r="GE8" s="45">
        <v>34</v>
      </c>
      <c r="GF8" s="45"/>
      <c r="GG8" s="45"/>
      <c r="GH8" s="45"/>
      <c r="GI8" s="45"/>
      <c r="GJ8" s="45"/>
      <c r="GK8" s="45"/>
      <c r="GL8" s="38">
        <f t="shared" si="22"/>
        <v>34</v>
      </c>
      <c r="GM8" s="45"/>
      <c r="GN8" s="45">
        <v>17</v>
      </c>
      <c r="GO8" s="45"/>
      <c r="GP8" s="45"/>
      <c r="GQ8" s="45"/>
      <c r="GR8" s="45"/>
      <c r="GS8" s="45"/>
      <c r="GT8" s="45"/>
      <c r="GU8" s="38">
        <f t="shared" si="23"/>
        <v>17</v>
      </c>
      <c r="GV8" s="45"/>
      <c r="GW8" s="45">
        <v>14</v>
      </c>
      <c r="GX8" s="45"/>
      <c r="GY8" s="45"/>
      <c r="GZ8" s="45"/>
      <c r="HA8" s="45"/>
      <c r="HB8" s="45"/>
      <c r="HC8" s="45"/>
      <c r="HD8" s="38">
        <f t="shared" si="24"/>
        <v>14</v>
      </c>
      <c r="HE8" s="45"/>
      <c r="HF8" s="45">
        <v>9</v>
      </c>
      <c r="HG8" s="45"/>
      <c r="HH8" s="45"/>
      <c r="HI8" s="45"/>
      <c r="HJ8" s="45"/>
      <c r="HK8" s="45"/>
      <c r="HL8" s="45"/>
      <c r="HM8" s="38">
        <f t="shared" si="25"/>
        <v>9</v>
      </c>
      <c r="HN8" s="45"/>
      <c r="HO8" s="45">
        <v>6</v>
      </c>
      <c r="HP8" s="45"/>
      <c r="HQ8" s="45"/>
      <c r="HR8" s="45"/>
      <c r="HS8" s="45"/>
      <c r="HT8" s="45"/>
      <c r="HU8" s="45"/>
      <c r="HV8" s="38">
        <f t="shared" si="26"/>
        <v>6</v>
      </c>
      <c r="HW8" s="45"/>
      <c r="HX8" s="45">
        <v>2</v>
      </c>
      <c r="HY8" s="45"/>
      <c r="HZ8" s="45"/>
      <c r="IA8" s="45"/>
      <c r="IB8" s="45"/>
      <c r="IC8" s="45"/>
      <c r="ID8" s="45"/>
      <c r="IE8" s="38">
        <f t="shared" si="27"/>
        <v>2</v>
      </c>
      <c r="IF8" s="136"/>
      <c r="IG8" s="136">
        <v>2</v>
      </c>
      <c r="IH8" s="136"/>
      <c r="II8" s="136"/>
      <c r="IJ8" s="136"/>
      <c r="IK8" s="136"/>
      <c r="IL8" s="136"/>
      <c r="IM8" s="136"/>
      <c r="IN8" s="38">
        <f t="shared" si="28"/>
        <v>2</v>
      </c>
      <c r="IO8" s="136"/>
      <c r="IP8" s="136">
        <v>2</v>
      </c>
      <c r="IQ8" s="136"/>
      <c r="IR8" s="136"/>
      <c r="IS8" s="136"/>
      <c r="IT8" s="136"/>
      <c r="IU8" s="136"/>
      <c r="IV8" s="136"/>
      <c r="IW8" s="38">
        <f t="shared" si="29"/>
        <v>2</v>
      </c>
      <c r="IX8" s="150"/>
      <c r="IY8" s="150">
        <v>2</v>
      </c>
      <c r="IZ8" s="150"/>
      <c r="JA8" s="150"/>
      <c r="JB8" s="150"/>
      <c r="JC8" s="150"/>
      <c r="JD8" s="150"/>
      <c r="JE8" s="150"/>
      <c r="JF8" s="38">
        <f t="shared" si="30"/>
        <v>2</v>
      </c>
      <c r="JG8" s="150"/>
      <c r="JH8" s="150"/>
      <c r="JI8" s="150"/>
      <c r="JJ8" s="150"/>
      <c r="JK8" s="150"/>
      <c r="JL8" s="150"/>
      <c r="JM8" s="150"/>
      <c r="JN8" s="150"/>
      <c r="JO8" s="38">
        <f t="shared" si="31"/>
        <v>0</v>
      </c>
      <c r="JP8" s="14">
        <f t="shared" si="2"/>
        <v>150</v>
      </c>
      <c r="JQ8" s="46">
        <f t="shared" si="3"/>
        <v>66</v>
      </c>
      <c r="JR8" s="171"/>
      <c r="JS8" s="174"/>
      <c r="JT8" s="177"/>
      <c r="JU8" s="129"/>
      <c r="JV8" s="155"/>
    </row>
    <row r="9" spans="1:282" ht="24.5" thickBot="1" x14ac:dyDescent="0.75">
      <c r="A9" s="183"/>
      <c r="B9" s="251"/>
      <c r="C9" s="183"/>
      <c r="D9" s="141" t="s">
        <v>102</v>
      </c>
      <c r="E9" s="253"/>
      <c r="F9" s="142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8">
        <f t="shared" si="4"/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8">
        <f t="shared" si="5"/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8">
        <f t="shared" si="6"/>
        <v>0</v>
      </c>
      <c r="AG9" s="39"/>
      <c r="AH9" s="39"/>
      <c r="AI9" s="39"/>
      <c r="AJ9" s="39"/>
      <c r="AK9" s="39"/>
      <c r="AL9" s="39"/>
      <c r="AM9" s="39"/>
      <c r="AN9" s="39"/>
      <c r="AO9" s="38">
        <f t="shared" si="7"/>
        <v>0</v>
      </c>
      <c r="AP9" s="40"/>
      <c r="AQ9" s="40"/>
      <c r="AR9" s="40"/>
      <c r="AS9" s="40"/>
      <c r="AT9" s="40"/>
      <c r="AU9" s="40"/>
      <c r="AV9" s="40"/>
      <c r="AW9" s="40"/>
      <c r="AX9" s="38">
        <f t="shared" si="8"/>
        <v>0</v>
      </c>
      <c r="AY9" s="40"/>
      <c r="AZ9" s="40"/>
      <c r="BA9" s="40"/>
      <c r="BB9" s="40"/>
      <c r="BC9" s="40"/>
      <c r="BD9" s="40"/>
      <c r="BE9" s="40"/>
      <c r="BF9" s="40"/>
      <c r="BG9" s="38">
        <f t="shared" si="9"/>
        <v>0</v>
      </c>
      <c r="BH9" s="41"/>
      <c r="BI9" s="41"/>
      <c r="BJ9" s="41"/>
      <c r="BK9" s="41"/>
      <c r="BL9" s="41"/>
      <c r="BM9" s="41"/>
      <c r="BN9" s="41"/>
      <c r="BO9" s="41"/>
      <c r="BP9" s="38">
        <f t="shared" si="10"/>
        <v>0</v>
      </c>
      <c r="BQ9" s="41"/>
      <c r="BR9" s="41"/>
      <c r="BS9" s="41"/>
      <c r="BT9" s="41"/>
      <c r="BU9" s="41"/>
      <c r="BV9" s="41"/>
      <c r="BW9" s="41"/>
      <c r="BX9" s="41"/>
      <c r="BY9" s="38">
        <f t="shared" si="11"/>
        <v>0</v>
      </c>
      <c r="BZ9" s="42"/>
      <c r="CA9" s="42"/>
      <c r="CB9" s="42"/>
      <c r="CC9" s="42"/>
      <c r="CD9" s="42"/>
      <c r="CE9" s="42"/>
      <c r="CF9" s="42"/>
      <c r="CG9" s="42"/>
      <c r="CH9" s="38">
        <f t="shared" si="12"/>
        <v>0</v>
      </c>
      <c r="CI9" s="42"/>
      <c r="CJ9" s="42"/>
      <c r="CK9" s="42"/>
      <c r="CL9" s="42"/>
      <c r="CM9" s="42"/>
      <c r="CN9" s="42"/>
      <c r="CO9" s="42"/>
      <c r="CP9" s="42"/>
      <c r="CQ9" s="38">
        <f t="shared" si="13"/>
        <v>0</v>
      </c>
      <c r="CR9" s="43"/>
      <c r="CS9" s="43"/>
      <c r="CT9" s="43"/>
      <c r="CU9" s="43"/>
      <c r="CV9" s="43"/>
      <c r="CW9" s="43"/>
      <c r="CX9" s="43"/>
      <c r="CY9" s="43"/>
      <c r="CZ9" s="38">
        <f t="shared" si="14"/>
        <v>0</v>
      </c>
      <c r="DA9" s="43"/>
      <c r="DB9" s="43"/>
      <c r="DC9" s="43"/>
      <c r="DD9" s="43"/>
      <c r="DE9" s="43"/>
      <c r="DF9" s="43"/>
      <c r="DG9" s="43"/>
      <c r="DH9" s="43"/>
      <c r="DI9" s="38">
        <f t="shared" si="15"/>
        <v>0</v>
      </c>
      <c r="DJ9" s="39"/>
      <c r="DK9" s="39"/>
      <c r="DL9" s="39"/>
      <c r="DM9" s="39"/>
      <c r="DN9" s="39"/>
      <c r="DO9" s="39"/>
      <c r="DP9" s="39"/>
      <c r="DQ9" s="39"/>
      <c r="DR9" s="38">
        <f t="shared" si="16"/>
        <v>0</v>
      </c>
      <c r="DS9" s="39"/>
      <c r="DT9" s="39"/>
      <c r="DU9" s="39"/>
      <c r="DV9" s="39"/>
      <c r="DW9" s="39"/>
      <c r="DX9" s="39"/>
      <c r="DY9" s="39"/>
      <c r="DZ9" s="39"/>
      <c r="EA9" s="38">
        <f t="shared" si="17"/>
        <v>0</v>
      </c>
      <c r="EB9" s="44"/>
      <c r="EC9" s="44">
        <v>10</v>
      </c>
      <c r="ED9" s="44"/>
      <c r="EE9" s="44"/>
      <c r="EF9" s="44"/>
      <c r="EG9" s="44"/>
      <c r="EH9" s="44"/>
      <c r="EI9" s="44"/>
      <c r="EJ9" s="38">
        <f t="shared" si="18"/>
        <v>10</v>
      </c>
      <c r="EK9" s="44"/>
      <c r="EL9" s="44">
        <v>1</v>
      </c>
      <c r="EM9" s="44"/>
      <c r="EN9" s="44"/>
      <c r="EO9" s="44"/>
      <c r="EP9" s="44"/>
      <c r="EQ9" s="44"/>
      <c r="ER9" s="44"/>
      <c r="ES9" s="38">
        <f t="shared" si="19"/>
        <v>1</v>
      </c>
      <c r="ET9" s="45"/>
      <c r="EU9" s="45">
        <v>6</v>
      </c>
      <c r="EV9" s="45"/>
      <c r="EW9" s="45"/>
      <c r="EX9" s="45"/>
      <c r="EY9" s="45"/>
      <c r="EZ9" s="45"/>
      <c r="FA9" s="45"/>
      <c r="FB9" s="38">
        <f t="shared" si="0"/>
        <v>6</v>
      </c>
      <c r="FC9" s="45"/>
      <c r="FD9" s="45">
        <v>11</v>
      </c>
      <c r="FE9" s="45"/>
      <c r="FF9" s="45"/>
      <c r="FG9" s="45"/>
      <c r="FH9" s="45"/>
      <c r="FI9" s="45"/>
      <c r="FJ9" s="45"/>
      <c r="FK9" s="38">
        <f t="shared" si="1"/>
        <v>11</v>
      </c>
      <c r="FL9" s="45"/>
      <c r="FM9" s="45">
        <v>29</v>
      </c>
      <c r="FN9" s="45"/>
      <c r="FO9" s="45"/>
      <c r="FP9" s="45"/>
      <c r="FQ9" s="45"/>
      <c r="FR9" s="45"/>
      <c r="FS9" s="45"/>
      <c r="FT9" s="38">
        <f t="shared" si="20"/>
        <v>29</v>
      </c>
      <c r="FU9" s="45"/>
      <c r="FV9" s="45">
        <v>19</v>
      </c>
      <c r="FW9" s="45"/>
      <c r="FX9" s="45"/>
      <c r="FY9" s="45"/>
      <c r="FZ9" s="45"/>
      <c r="GA9" s="45"/>
      <c r="GB9" s="45"/>
      <c r="GC9" s="38">
        <f t="shared" si="21"/>
        <v>19</v>
      </c>
      <c r="GD9" s="45"/>
      <c r="GE9" s="45">
        <v>17</v>
      </c>
      <c r="GF9" s="45"/>
      <c r="GG9" s="45"/>
      <c r="GH9" s="45"/>
      <c r="GI9" s="45"/>
      <c r="GJ9" s="45"/>
      <c r="GK9" s="45"/>
      <c r="GL9" s="38">
        <f t="shared" si="22"/>
        <v>17</v>
      </c>
      <c r="GM9" s="45"/>
      <c r="GN9" s="45">
        <v>20</v>
      </c>
      <c r="GO9" s="45"/>
      <c r="GP9" s="45"/>
      <c r="GQ9" s="45"/>
      <c r="GR9" s="45"/>
      <c r="GS9" s="45"/>
      <c r="GT9" s="45"/>
      <c r="GU9" s="38">
        <f t="shared" si="23"/>
        <v>20</v>
      </c>
      <c r="GV9" s="45"/>
      <c r="GW9" s="45"/>
      <c r="GX9" s="45"/>
      <c r="GY9" s="45"/>
      <c r="GZ9" s="45"/>
      <c r="HA9" s="45"/>
      <c r="HB9" s="45"/>
      <c r="HC9" s="45"/>
      <c r="HD9" s="38">
        <f t="shared" si="24"/>
        <v>0</v>
      </c>
      <c r="HE9" s="45"/>
      <c r="HF9" s="45"/>
      <c r="HG9" s="45"/>
      <c r="HH9" s="45"/>
      <c r="HI9" s="45"/>
      <c r="HJ9" s="45"/>
      <c r="HK9" s="45"/>
      <c r="HL9" s="45"/>
      <c r="HM9" s="38">
        <f t="shared" si="25"/>
        <v>0</v>
      </c>
      <c r="HN9" s="45"/>
      <c r="HO9" s="45">
        <v>8</v>
      </c>
      <c r="HP9" s="45"/>
      <c r="HQ9" s="45"/>
      <c r="HR9" s="45"/>
      <c r="HS9" s="45"/>
      <c r="HT9" s="45"/>
      <c r="HU9" s="45"/>
      <c r="HV9" s="38">
        <f t="shared" si="26"/>
        <v>8</v>
      </c>
      <c r="HW9" s="45"/>
      <c r="HX9" s="45">
        <v>1</v>
      </c>
      <c r="HY9" s="45"/>
      <c r="HZ9" s="45"/>
      <c r="IA9" s="45"/>
      <c r="IB9" s="45"/>
      <c r="IC9" s="45"/>
      <c r="ID9" s="45"/>
      <c r="IE9" s="38">
        <f t="shared" si="27"/>
        <v>1</v>
      </c>
      <c r="IF9" s="136"/>
      <c r="IG9" s="136"/>
      <c r="IH9" s="136"/>
      <c r="II9" s="136"/>
      <c r="IJ9" s="136"/>
      <c r="IK9" s="136"/>
      <c r="IL9" s="136"/>
      <c r="IM9" s="136"/>
      <c r="IN9" s="38">
        <f t="shared" si="28"/>
        <v>0</v>
      </c>
      <c r="IO9" s="136"/>
      <c r="IP9" s="136"/>
      <c r="IQ9" s="136"/>
      <c r="IR9" s="136"/>
      <c r="IS9" s="136"/>
      <c r="IT9" s="136"/>
      <c r="IU9" s="136"/>
      <c r="IV9" s="136"/>
      <c r="IW9" s="38">
        <f t="shared" si="29"/>
        <v>0</v>
      </c>
      <c r="IX9" s="150"/>
      <c r="IY9" s="150"/>
      <c r="IZ9" s="150"/>
      <c r="JA9" s="150"/>
      <c r="JB9" s="150"/>
      <c r="JC9" s="150"/>
      <c r="JD9" s="150"/>
      <c r="JE9" s="150"/>
      <c r="JF9" s="38">
        <f t="shared" si="30"/>
        <v>0</v>
      </c>
      <c r="JG9" s="150"/>
      <c r="JH9" s="150"/>
      <c r="JI9" s="150"/>
      <c r="JJ9" s="150"/>
      <c r="JK9" s="150"/>
      <c r="JL9" s="150"/>
      <c r="JM9" s="150"/>
      <c r="JN9" s="150"/>
      <c r="JO9" s="38">
        <f t="shared" si="31"/>
        <v>0</v>
      </c>
      <c r="JP9" s="14">
        <f t="shared" si="2"/>
        <v>70</v>
      </c>
      <c r="JQ9" s="46">
        <f t="shared" si="3"/>
        <v>52</v>
      </c>
      <c r="JR9" s="171"/>
      <c r="JS9" s="174"/>
      <c r="JT9" s="177"/>
      <c r="JU9" s="129"/>
      <c r="JV9" s="155"/>
    </row>
    <row r="10" spans="1:282" ht="24.5" thickBot="1" x14ac:dyDescent="0.75">
      <c r="A10" s="183"/>
      <c r="B10" s="252"/>
      <c r="C10" s="183"/>
      <c r="D10" s="143" t="s">
        <v>100</v>
      </c>
      <c r="E10" s="253"/>
      <c r="F10" s="142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8">
        <f t="shared" si="4"/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8">
        <f t="shared" si="5"/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8">
        <f t="shared" si="6"/>
        <v>0</v>
      </c>
      <c r="AG10" s="39"/>
      <c r="AH10" s="39"/>
      <c r="AI10" s="39"/>
      <c r="AJ10" s="39"/>
      <c r="AK10" s="39"/>
      <c r="AL10" s="39"/>
      <c r="AM10" s="39"/>
      <c r="AN10" s="39"/>
      <c r="AO10" s="38">
        <f t="shared" si="7"/>
        <v>0</v>
      </c>
      <c r="AP10" s="40"/>
      <c r="AQ10" s="40"/>
      <c r="AR10" s="40"/>
      <c r="AS10" s="40"/>
      <c r="AT10" s="40"/>
      <c r="AU10" s="40"/>
      <c r="AV10" s="40"/>
      <c r="AW10" s="40"/>
      <c r="AX10" s="38">
        <f t="shared" si="8"/>
        <v>0</v>
      </c>
      <c r="AY10" s="40"/>
      <c r="AZ10" s="40"/>
      <c r="BA10" s="40"/>
      <c r="BB10" s="40"/>
      <c r="BC10" s="40"/>
      <c r="BD10" s="40"/>
      <c r="BE10" s="40"/>
      <c r="BF10" s="40"/>
      <c r="BG10" s="38">
        <f t="shared" si="9"/>
        <v>0</v>
      </c>
      <c r="BH10" s="41"/>
      <c r="BI10" s="41"/>
      <c r="BJ10" s="41"/>
      <c r="BK10" s="41"/>
      <c r="BL10" s="41"/>
      <c r="BM10" s="41"/>
      <c r="BN10" s="41"/>
      <c r="BO10" s="41"/>
      <c r="BP10" s="38">
        <f t="shared" si="10"/>
        <v>0</v>
      </c>
      <c r="BQ10" s="41"/>
      <c r="BR10" s="41"/>
      <c r="BS10" s="41"/>
      <c r="BT10" s="41"/>
      <c r="BU10" s="41"/>
      <c r="BV10" s="41"/>
      <c r="BW10" s="41"/>
      <c r="BX10" s="41"/>
      <c r="BY10" s="38">
        <f t="shared" si="11"/>
        <v>0</v>
      </c>
      <c r="BZ10" s="42"/>
      <c r="CA10" s="42"/>
      <c r="CB10" s="42"/>
      <c r="CC10" s="42"/>
      <c r="CD10" s="42"/>
      <c r="CE10" s="42"/>
      <c r="CF10" s="42"/>
      <c r="CG10" s="42"/>
      <c r="CH10" s="38">
        <f t="shared" si="12"/>
        <v>0</v>
      </c>
      <c r="CI10" s="42"/>
      <c r="CJ10" s="42"/>
      <c r="CK10" s="42"/>
      <c r="CL10" s="42"/>
      <c r="CM10" s="42"/>
      <c r="CN10" s="42"/>
      <c r="CO10" s="42"/>
      <c r="CP10" s="42"/>
      <c r="CQ10" s="38">
        <f t="shared" si="13"/>
        <v>0</v>
      </c>
      <c r="CR10" s="43"/>
      <c r="CS10" s="43"/>
      <c r="CT10" s="43"/>
      <c r="CU10" s="43"/>
      <c r="CV10" s="43"/>
      <c r="CW10" s="43"/>
      <c r="CX10" s="43"/>
      <c r="CY10" s="43"/>
      <c r="CZ10" s="38">
        <f t="shared" si="14"/>
        <v>0</v>
      </c>
      <c r="DA10" s="43"/>
      <c r="DB10" s="43"/>
      <c r="DC10" s="43"/>
      <c r="DD10" s="43"/>
      <c r="DE10" s="43"/>
      <c r="DF10" s="43"/>
      <c r="DG10" s="43"/>
      <c r="DH10" s="43"/>
      <c r="DI10" s="38">
        <f t="shared" si="15"/>
        <v>0</v>
      </c>
      <c r="DJ10" s="39"/>
      <c r="DK10" s="39"/>
      <c r="DL10" s="39"/>
      <c r="DM10" s="39"/>
      <c r="DN10" s="39"/>
      <c r="DO10" s="39"/>
      <c r="DP10" s="39"/>
      <c r="DQ10" s="39"/>
      <c r="DR10" s="38">
        <f t="shared" si="16"/>
        <v>0</v>
      </c>
      <c r="DS10" s="39"/>
      <c r="DT10" s="39"/>
      <c r="DU10" s="39"/>
      <c r="DV10" s="39"/>
      <c r="DW10" s="39"/>
      <c r="DX10" s="39"/>
      <c r="DY10" s="39"/>
      <c r="DZ10" s="39"/>
      <c r="EA10" s="38">
        <f t="shared" si="17"/>
        <v>0</v>
      </c>
      <c r="EB10" s="44"/>
      <c r="EC10" s="44"/>
      <c r="ED10" s="44"/>
      <c r="EE10" s="44"/>
      <c r="EF10" s="44"/>
      <c r="EG10" s="44"/>
      <c r="EH10" s="44"/>
      <c r="EI10" s="44"/>
      <c r="EJ10" s="38">
        <f t="shared" si="18"/>
        <v>0</v>
      </c>
      <c r="EK10" s="44"/>
      <c r="EL10" s="44"/>
      <c r="EM10" s="44"/>
      <c r="EN10" s="44"/>
      <c r="EO10" s="44"/>
      <c r="EP10" s="44"/>
      <c r="EQ10" s="44"/>
      <c r="ER10" s="44"/>
      <c r="ES10" s="38">
        <f t="shared" si="19"/>
        <v>0</v>
      </c>
      <c r="ET10" s="45"/>
      <c r="EU10" s="45"/>
      <c r="EV10" s="45"/>
      <c r="EW10" s="45"/>
      <c r="EX10" s="45"/>
      <c r="EY10" s="45"/>
      <c r="EZ10" s="45"/>
      <c r="FA10" s="45"/>
      <c r="FB10" s="38">
        <f t="shared" si="0"/>
        <v>0</v>
      </c>
      <c r="FC10" s="45"/>
      <c r="FD10" s="45"/>
      <c r="FE10" s="45"/>
      <c r="FF10" s="45"/>
      <c r="FG10" s="45"/>
      <c r="FH10" s="45"/>
      <c r="FI10" s="45"/>
      <c r="FJ10" s="45"/>
      <c r="FK10" s="38">
        <f t="shared" si="1"/>
        <v>0</v>
      </c>
      <c r="FL10" s="45"/>
      <c r="FM10" s="45"/>
      <c r="FN10" s="45"/>
      <c r="FO10" s="45"/>
      <c r="FP10" s="45"/>
      <c r="FQ10" s="45"/>
      <c r="FR10" s="45"/>
      <c r="FS10" s="45"/>
      <c r="FT10" s="38">
        <f t="shared" si="20"/>
        <v>0</v>
      </c>
      <c r="FU10" s="45"/>
      <c r="FV10" s="45"/>
      <c r="FW10" s="45"/>
      <c r="FX10" s="45"/>
      <c r="FY10" s="45"/>
      <c r="FZ10" s="45"/>
      <c r="GA10" s="45"/>
      <c r="GB10" s="45"/>
      <c r="GC10" s="38">
        <f t="shared" si="21"/>
        <v>0</v>
      </c>
      <c r="GD10" s="45"/>
      <c r="GE10" s="45"/>
      <c r="GF10" s="45"/>
      <c r="GG10" s="45"/>
      <c r="GH10" s="45"/>
      <c r="GI10" s="45"/>
      <c r="GJ10" s="45"/>
      <c r="GK10" s="45"/>
      <c r="GL10" s="38">
        <f t="shared" si="22"/>
        <v>0</v>
      </c>
      <c r="GM10" s="45"/>
      <c r="GN10" s="45"/>
      <c r="GO10" s="45"/>
      <c r="GP10" s="45"/>
      <c r="GQ10" s="45"/>
      <c r="GR10" s="45"/>
      <c r="GS10" s="45"/>
      <c r="GT10" s="45"/>
      <c r="GU10" s="38">
        <f t="shared" si="23"/>
        <v>0</v>
      </c>
      <c r="GV10" s="45"/>
      <c r="GW10" s="45"/>
      <c r="GX10" s="45"/>
      <c r="GY10" s="45"/>
      <c r="GZ10" s="45"/>
      <c r="HA10" s="45"/>
      <c r="HB10" s="45"/>
      <c r="HC10" s="45"/>
      <c r="HD10" s="38">
        <f t="shared" si="24"/>
        <v>0</v>
      </c>
      <c r="HE10" s="45"/>
      <c r="HF10" s="45"/>
      <c r="HG10" s="45"/>
      <c r="HH10" s="45"/>
      <c r="HI10" s="45"/>
      <c r="HJ10" s="45"/>
      <c r="HK10" s="45"/>
      <c r="HL10" s="45"/>
      <c r="HM10" s="38">
        <f t="shared" si="25"/>
        <v>0</v>
      </c>
      <c r="HN10" s="45"/>
      <c r="HO10" s="45"/>
      <c r="HP10" s="45"/>
      <c r="HQ10" s="45"/>
      <c r="HR10" s="45"/>
      <c r="HS10" s="45"/>
      <c r="HT10" s="45"/>
      <c r="HU10" s="45"/>
      <c r="HV10" s="38">
        <f t="shared" si="26"/>
        <v>0</v>
      </c>
      <c r="HW10" s="45"/>
      <c r="HX10" s="45"/>
      <c r="HY10" s="45"/>
      <c r="HZ10" s="45"/>
      <c r="IA10" s="45"/>
      <c r="IB10" s="45"/>
      <c r="IC10" s="45"/>
      <c r="ID10" s="45"/>
      <c r="IE10" s="38">
        <f t="shared" si="27"/>
        <v>0</v>
      </c>
      <c r="IF10" s="136"/>
      <c r="IG10" s="136"/>
      <c r="IH10" s="136"/>
      <c r="II10" s="136"/>
      <c r="IJ10" s="136"/>
      <c r="IK10" s="136"/>
      <c r="IL10" s="136"/>
      <c r="IM10" s="136"/>
      <c r="IN10" s="38">
        <f t="shared" si="28"/>
        <v>0</v>
      </c>
      <c r="IO10" s="136"/>
      <c r="IP10" s="136"/>
      <c r="IQ10" s="136"/>
      <c r="IR10" s="136"/>
      <c r="IS10" s="136"/>
      <c r="IT10" s="136"/>
      <c r="IU10" s="136"/>
      <c r="IV10" s="136"/>
      <c r="IW10" s="38">
        <f t="shared" si="29"/>
        <v>0</v>
      </c>
      <c r="IX10" s="150"/>
      <c r="IY10" s="150"/>
      <c r="IZ10" s="150"/>
      <c r="JA10" s="150"/>
      <c r="JB10" s="150"/>
      <c r="JC10" s="150"/>
      <c r="JD10" s="150"/>
      <c r="JE10" s="150"/>
      <c r="JF10" s="38">
        <f t="shared" si="30"/>
        <v>0</v>
      </c>
      <c r="JG10" s="150"/>
      <c r="JH10" s="150"/>
      <c r="JI10" s="150"/>
      <c r="JJ10" s="150"/>
      <c r="JK10" s="150"/>
      <c r="JL10" s="150"/>
      <c r="JM10" s="150"/>
      <c r="JN10" s="150"/>
      <c r="JO10" s="38">
        <f t="shared" si="31"/>
        <v>0</v>
      </c>
      <c r="JP10" s="14">
        <f t="shared" si="2"/>
        <v>0</v>
      </c>
      <c r="JQ10" s="46">
        <f t="shared" si="3"/>
        <v>0</v>
      </c>
      <c r="JR10" s="172"/>
      <c r="JS10" s="175"/>
      <c r="JT10" s="178"/>
      <c r="JU10" s="129"/>
      <c r="JV10" s="155"/>
    </row>
    <row r="11" spans="1:282" ht="17.149999999999999" customHeight="1" thickBot="1" x14ac:dyDescent="0.55000000000000004">
      <c r="A11" s="183"/>
      <c r="B11" s="19" t="s">
        <v>31</v>
      </c>
      <c r="C11" s="179"/>
      <c r="D11" s="180"/>
      <c r="E11" s="139">
        <v>70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8">
        <f t="shared" ref="N11:N20" si="32">F11+G11+H11+I11+J11+K11+L11+M11</f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8">
        <f t="shared" ref="W11:W20" si="33">O11+P11+Q11+R11+S11+T11+U11+V11</f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8">
        <f t="shared" si="6"/>
        <v>0</v>
      </c>
      <c r="AG11" s="39">
        <v>0</v>
      </c>
      <c r="AH11" s="39">
        <v>0</v>
      </c>
      <c r="AI11" s="39">
        <v>0</v>
      </c>
      <c r="AJ11" s="39">
        <v>0</v>
      </c>
      <c r="AK11" s="39">
        <v>0</v>
      </c>
      <c r="AL11" s="39">
        <v>0</v>
      </c>
      <c r="AM11" s="39">
        <v>0</v>
      </c>
      <c r="AN11" s="39">
        <v>0</v>
      </c>
      <c r="AO11" s="38">
        <f t="shared" si="7"/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38">
        <f t="shared" ref="AX11:AX16" si="34">AP11+AQ11+AR11+AS11+AT11+AU11+AV11+AW11</f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38">
        <f t="shared" si="9"/>
        <v>0</v>
      </c>
      <c r="BH11" s="41"/>
      <c r="BI11" s="41"/>
      <c r="BJ11" s="41"/>
      <c r="BK11" s="41"/>
      <c r="BL11" s="41"/>
      <c r="BM11" s="41"/>
      <c r="BN11" s="41"/>
      <c r="BO11" s="41"/>
      <c r="BP11" s="38">
        <f t="shared" si="10"/>
        <v>0</v>
      </c>
      <c r="BQ11" s="41">
        <v>0</v>
      </c>
      <c r="BR11" s="41">
        <v>0</v>
      </c>
      <c r="BS11" s="41">
        <v>0</v>
      </c>
      <c r="BT11" s="41">
        <v>0</v>
      </c>
      <c r="BU11" s="41">
        <v>0</v>
      </c>
      <c r="BV11" s="41">
        <v>0</v>
      </c>
      <c r="BW11" s="41">
        <v>0</v>
      </c>
      <c r="BX11" s="41">
        <v>0</v>
      </c>
      <c r="BY11" s="38">
        <f t="shared" si="11"/>
        <v>0</v>
      </c>
      <c r="BZ11" s="42">
        <v>0</v>
      </c>
      <c r="CA11" s="42">
        <v>0</v>
      </c>
      <c r="CB11" s="42">
        <v>0</v>
      </c>
      <c r="CC11" s="42">
        <v>0</v>
      </c>
      <c r="CD11" s="42">
        <v>0</v>
      </c>
      <c r="CE11" s="42">
        <v>0</v>
      </c>
      <c r="CF11" s="42">
        <v>0</v>
      </c>
      <c r="CG11" s="42">
        <v>0</v>
      </c>
      <c r="CH11" s="38">
        <f t="shared" si="12"/>
        <v>0</v>
      </c>
      <c r="CI11" s="42">
        <v>0</v>
      </c>
      <c r="CJ11" s="42">
        <v>0</v>
      </c>
      <c r="CK11" s="42">
        <v>0</v>
      </c>
      <c r="CL11" s="42">
        <v>0</v>
      </c>
      <c r="CM11" s="42">
        <v>0</v>
      </c>
      <c r="CN11" s="42">
        <v>0</v>
      </c>
      <c r="CO11" s="42">
        <v>0</v>
      </c>
      <c r="CP11" s="42">
        <v>0</v>
      </c>
      <c r="CQ11" s="38">
        <f t="shared" si="13"/>
        <v>0</v>
      </c>
      <c r="CR11" s="43">
        <v>0</v>
      </c>
      <c r="CS11" s="43">
        <v>0</v>
      </c>
      <c r="CT11" s="43">
        <v>0</v>
      </c>
      <c r="CU11" s="43">
        <v>0</v>
      </c>
      <c r="CV11" s="43">
        <v>0</v>
      </c>
      <c r="CW11" s="43">
        <v>0</v>
      </c>
      <c r="CX11" s="43">
        <v>0</v>
      </c>
      <c r="CY11" s="43">
        <v>0</v>
      </c>
      <c r="CZ11" s="38">
        <f t="shared" si="14"/>
        <v>0</v>
      </c>
      <c r="DA11" s="43">
        <v>0</v>
      </c>
      <c r="DB11" s="43">
        <v>0</v>
      </c>
      <c r="DC11" s="43">
        <v>0</v>
      </c>
      <c r="DD11" s="43">
        <v>0</v>
      </c>
      <c r="DE11" s="43">
        <v>0</v>
      </c>
      <c r="DF11" s="43">
        <v>0</v>
      </c>
      <c r="DG11" s="43">
        <v>0</v>
      </c>
      <c r="DH11" s="43">
        <v>0</v>
      </c>
      <c r="DI11" s="38">
        <f t="shared" si="15"/>
        <v>0</v>
      </c>
      <c r="DJ11" s="39">
        <v>0</v>
      </c>
      <c r="DK11" s="39">
        <v>0</v>
      </c>
      <c r="DL11" s="39">
        <v>0</v>
      </c>
      <c r="DM11" s="39">
        <v>0</v>
      </c>
      <c r="DN11" s="39">
        <v>0</v>
      </c>
      <c r="DO11" s="39">
        <v>0</v>
      </c>
      <c r="DP11" s="39">
        <v>0</v>
      </c>
      <c r="DQ11" s="39">
        <v>0</v>
      </c>
      <c r="DR11" s="38">
        <f t="shared" si="16"/>
        <v>0</v>
      </c>
      <c r="DS11" s="39">
        <v>0</v>
      </c>
      <c r="DT11" s="39">
        <v>0</v>
      </c>
      <c r="DU11" s="39">
        <v>0</v>
      </c>
      <c r="DV11" s="39">
        <v>0</v>
      </c>
      <c r="DW11" s="39">
        <v>0</v>
      </c>
      <c r="DX11" s="39">
        <v>0</v>
      </c>
      <c r="DY11" s="39">
        <v>0</v>
      </c>
      <c r="DZ11" s="39">
        <v>0</v>
      </c>
      <c r="EA11" s="38">
        <f t="shared" si="17"/>
        <v>0</v>
      </c>
      <c r="EB11" s="44"/>
      <c r="EC11" s="44">
        <v>0</v>
      </c>
      <c r="ED11" s="44"/>
      <c r="EE11" s="44"/>
      <c r="EF11" s="44"/>
      <c r="EG11" s="44"/>
      <c r="EH11" s="44"/>
      <c r="EI11" s="44"/>
      <c r="EJ11" s="38">
        <f t="shared" si="18"/>
        <v>0</v>
      </c>
      <c r="EK11" s="44"/>
      <c r="EL11" s="44">
        <v>0</v>
      </c>
      <c r="EM11" s="44"/>
      <c r="EN11" s="44"/>
      <c r="EO11" s="44"/>
      <c r="EP11" s="44"/>
      <c r="EQ11" s="44"/>
      <c r="ER11" s="44"/>
      <c r="ES11" s="38">
        <f t="shared" si="19"/>
        <v>0</v>
      </c>
      <c r="ET11" s="45">
        <v>0</v>
      </c>
      <c r="EU11" s="45">
        <v>0</v>
      </c>
      <c r="EV11" s="45">
        <v>0</v>
      </c>
      <c r="EW11" s="45">
        <v>0</v>
      </c>
      <c r="EX11" s="45">
        <v>0</v>
      </c>
      <c r="EY11" s="45">
        <v>0</v>
      </c>
      <c r="EZ11" s="45">
        <v>0</v>
      </c>
      <c r="FA11" s="45">
        <v>0</v>
      </c>
      <c r="FB11" s="38">
        <f t="shared" si="0"/>
        <v>0</v>
      </c>
      <c r="FC11" s="45">
        <v>0</v>
      </c>
      <c r="FD11" s="45">
        <v>0</v>
      </c>
      <c r="FE11" s="45">
        <v>0</v>
      </c>
      <c r="FF11" s="45">
        <v>0</v>
      </c>
      <c r="FG11" s="45">
        <v>0</v>
      </c>
      <c r="FH11" s="45">
        <v>0</v>
      </c>
      <c r="FI11" s="45">
        <v>0</v>
      </c>
      <c r="FJ11" s="45">
        <v>0</v>
      </c>
      <c r="FK11" s="38">
        <f t="shared" si="1"/>
        <v>0</v>
      </c>
      <c r="FL11" s="45">
        <v>0</v>
      </c>
      <c r="FM11" s="45">
        <v>0</v>
      </c>
      <c r="FN11" s="45">
        <v>0</v>
      </c>
      <c r="FO11" s="45">
        <v>0</v>
      </c>
      <c r="FP11" s="45">
        <v>0</v>
      </c>
      <c r="FQ11" s="45">
        <v>0</v>
      </c>
      <c r="FR11" s="45">
        <v>0</v>
      </c>
      <c r="FS11" s="45">
        <v>0</v>
      </c>
      <c r="FT11" s="38">
        <f t="shared" si="20"/>
        <v>0</v>
      </c>
      <c r="FU11" s="45">
        <v>0</v>
      </c>
      <c r="FV11" s="45">
        <v>0</v>
      </c>
      <c r="FW11" s="45">
        <v>0</v>
      </c>
      <c r="FX11" s="45">
        <v>0</v>
      </c>
      <c r="FY11" s="45">
        <v>0</v>
      </c>
      <c r="FZ11" s="45">
        <v>0</v>
      </c>
      <c r="GA11" s="45">
        <v>0</v>
      </c>
      <c r="GB11" s="45">
        <v>0</v>
      </c>
      <c r="GC11" s="38">
        <f t="shared" si="21"/>
        <v>0</v>
      </c>
      <c r="GD11" s="45">
        <v>0</v>
      </c>
      <c r="GE11" s="45">
        <v>0</v>
      </c>
      <c r="GF11" s="45">
        <v>0</v>
      </c>
      <c r="GG11" s="45">
        <v>0</v>
      </c>
      <c r="GH11" s="45">
        <v>0</v>
      </c>
      <c r="GI11" s="45">
        <v>0</v>
      </c>
      <c r="GJ11" s="45">
        <v>0</v>
      </c>
      <c r="GK11" s="45">
        <v>0</v>
      </c>
      <c r="GL11" s="38">
        <f t="shared" si="22"/>
        <v>0</v>
      </c>
      <c r="GM11" s="45">
        <v>0</v>
      </c>
      <c r="GN11" s="45">
        <v>0</v>
      </c>
      <c r="GO11" s="45">
        <v>0</v>
      </c>
      <c r="GP11" s="45">
        <v>0</v>
      </c>
      <c r="GQ11" s="45">
        <v>0</v>
      </c>
      <c r="GR11" s="45">
        <v>0</v>
      </c>
      <c r="GS11" s="45">
        <v>0</v>
      </c>
      <c r="GT11" s="45">
        <v>0</v>
      </c>
      <c r="GU11" s="38">
        <f t="shared" si="23"/>
        <v>0</v>
      </c>
      <c r="GV11" s="45">
        <v>0</v>
      </c>
      <c r="GW11" s="45">
        <v>0</v>
      </c>
      <c r="GX11" s="45">
        <v>0</v>
      </c>
      <c r="GY11" s="45">
        <v>0</v>
      </c>
      <c r="GZ11" s="45">
        <v>0</v>
      </c>
      <c r="HA11" s="45">
        <v>0</v>
      </c>
      <c r="HB11" s="45">
        <v>0</v>
      </c>
      <c r="HC11" s="45">
        <v>0</v>
      </c>
      <c r="HD11" s="38">
        <f t="shared" si="24"/>
        <v>0</v>
      </c>
      <c r="HE11" s="45">
        <v>0</v>
      </c>
      <c r="HF11" s="45">
        <v>0</v>
      </c>
      <c r="HG11" s="45">
        <v>0</v>
      </c>
      <c r="HH11" s="45">
        <v>0</v>
      </c>
      <c r="HI11" s="45">
        <v>0</v>
      </c>
      <c r="HJ11" s="45">
        <v>0</v>
      </c>
      <c r="HK11" s="45">
        <v>0</v>
      </c>
      <c r="HL11" s="45">
        <v>0</v>
      </c>
      <c r="HM11" s="38">
        <f t="shared" si="25"/>
        <v>0</v>
      </c>
      <c r="HN11" s="45">
        <v>0</v>
      </c>
      <c r="HO11" s="45"/>
      <c r="HP11" s="45"/>
      <c r="HQ11" s="45"/>
      <c r="HR11" s="45"/>
      <c r="HS11" s="45"/>
      <c r="HT11" s="45">
        <v>0</v>
      </c>
      <c r="HU11" s="45">
        <v>0</v>
      </c>
      <c r="HV11" s="38">
        <f t="shared" si="26"/>
        <v>0</v>
      </c>
      <c r="HW11" s="45">
        <v>0</v>
      </c>
      <c r="HX11" s="45"/>
      <c r="HY11" s="45"/>
      <c r="HZ11" s="45"/>
      <c r="IA11" s="45"/>
      <c r="IB11" s="45"/>
      <c r="IC11" s="45"/>
      <c r="ID11" s="45">
        <v>0</v>
      </c>
      <c r="IE11" s="38">
        <f t="shared" si="27"/>
        <v>0</v>
      </c>
      <c r="IF11" s="136">
        <v>0</v>
      </c>
      <c r="IG11" s="136"/>
      <c r="IH11" s="136"/>
      <c r="II11" s="136"/>
      <c r="IJ11" s="136"/>
      <c r="IK11" s="136"/>
      <c r="IL11" s="136">
        <v>0</v>
      </c>
      <c r="IM11" s="136">
        <v>0</v>
      </c>
      <c r="IN11" s="38">
        <f t="shared" si="28"/>
        <v>0</v>
      </c>
      <c r="IO11" s="136">
        <v>0</v>
      </c>
      <c r="IP11" s="136"/>
      <c r="IQ11" s="136"/>
      <c r="IR11" s="136"/>
      <c r="IS11" s="136"/>
      <c r="IT11" s="136"/>
      <c r="IU11" s="136"/>
      <c r="IV11" s="136">
        <v>0</v>
      </c>
      <c r="IW11" s="38">
        <f t="shared" si="29"/>
        <v>0</v>
      </c>
      <c r="IX11" s="150">
        <v>0</v>
      </c>
      <c r="IY11" s="150"/>
      <c r="IZ11" s="150"/>
      <c r="JA11" s="150"/>
      <c r="JB11" s="150"/>
      <c r="JC11" s="150"/>
      <c r="JD11" s="150">
        <v>0</v>
      </c>
      <c r="JE11" s="150">
        <v>0</v>
      </c>
      <c r="JF11" s="38">
        <f t="shared" si="30"/>
        <v>0</v>
      </c>
      <c r="JG11" s="150">
        <v>0</v>
      </c>
      <c r="JH11" s="150"/>
      <c r="JI11" s="150"/>
      <c r="JJ11" s="150"/>
      <c r="JK11" s="150"/>
      <c r="JL11" s="150"/>
      <c r="JM11" s="150"/>
      <c r="JN11" s="150">
        <v>0</v>
      </c>
      <c r="JO11" s="38">
        <f t="shared" si="31"/>
        <v>0</v>
      </c>
      <c r="JP11" s="14">
        <f t="shared" si="2"/>
        <v>0</v>
      </c>
      <c r="JQ11" s="46">
        <f t="shared" si="3"/>
        <v>0</v>
      </c>
      <c r="JR11" s="47">
        <f t="shared" ref="JR11:JR30" si="35">JP11+JQ11</f>
        <v>0</v>
      </c>
      <c r="JS11" s="46">
        <f>IF(E11&gt;0,E11-JR11,"N/A")</f>
        <v>70</v>
      </c>
      <c r="JT11" s="15">
        <f>IF(ISBLANK(E11),"",JR11/E11)</f>
        <v>0</v>
      </c>
    </row>
    <row r="12" spans="1:282" ht="17" thickBot="1" x14ac:dyDescent="0.55000000000000004">
      <c r="A12" s="183"/>
      <c r="B12" s="19" t="s">
        <v>32</v>
      </c>
      <c r="C12" s="179"/>
      <c r="D12" s="180"/>
      <c r="E12" s="130">
        <v>4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3">
        <f t="shared" si="32"/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3">
        <f t="shared" si="33"/>
        <v>0</v>
      </c>
      <c r="X12" s="84">
        <v>0</v>
      </c>
      <c r="Y12" s="84">
        <v>0</v>
      </c>
      <c r="Z12" s="84">
        <v>0</v>
      </c>
      <c r="AA12" s="84">
        <v>0</v>
      </c>
      <c r="AB12" s="84">
        <v>0</v>
      </c>
      <c r="AC12" s="84">
        <v>0</v>
      </c>
      <c r="AD12" s="84">
        <v>0</v>
      </c>
      <c r="AE12" s="84">
        <v>0</v>
      </c>
      <c r="AF12" s="38">
        <f t="shared" si="6"/>
        <v>0</v>
      </c>
      <c r="AG12" s="84">
        <v>0</v>
      </c>
      <c r="AH12" s="84">
        <v>0</v>
      </c>
      <c r="AI12" s="84">
        <v>0</v>
      </c>
      <c r="AJ12" s="84">
        <v>0</v>
      </c>
      <c r="AK12" s="84">
        <v>0</v>
      </c>
      <c r="AL12" s="84">
        <v>0</v>
      </c>
      <c r="AM12" s="84">
        <v>0</v>
      </c>
      <c r="AN12" s="84">
        <v>0</v>
      </c>
      <c r="AO12" s="38">
        <f t="shared" si="7"/>
        <v>0</v>
      </c>
      <c r="AP12" s="85">
        <v>0</v>
      </c>
      <c r="AQ12" s="85">
        <v>0</v>
      </c>
      <c r="AR12" s="85">
        <v>0</v>
      </c>
      <c r="AS12" s="85">
        <v>0</v>
      </c>
      <c r="AT12" s="85">
        <v>0</v>
      </c>
      <c r="AU12" s="85">
        <v>0</v>
      </c>
      <c r="AV12" s="85">
        <v>0</v>
      </c>
      <c r="AW12" s="85">
        <v>0</v>
      </c>
      <c r="AX12" s="83">
        <f t="shared" si="34"/>
        <v>0</v>
      </c>
      <c r="AY12" s="85">
        <v>0</v>
      </c>
      <c r="AZ12" s="85">
        <v>0</v>
      </c>
      <c r="BA12" s="85">
        <v>0</v>
      </c>
      <c r="BB12" s="85">
        <v>0</v>
      </c>
      <c r="BC12" s="85">
        <v>0</v>
      </c>
      <c r="BD12" s="85">
        <v>0</v>
      </c>
      <c r="BE12" s="85">
        <v>0</v>
      </c>
      <c r="BF12" s="85">
        <v>0</v>
      </c>
      <c r="BG12" s="83">
        <f t="shared" ref="BG12:BG23" si="36">AY12+AZ12+BA12+BB12+BC12+BD12+BE12+BF12</f>
        <v>0</v>
      </c>
      <c r="BH12" s="86"/>
      <c r="BI12" s="86"/>
      <c r="BJ12" s="86"/>
      <c r="BK12" s="86"/>
      <c r="BL12" s="86"/>
      <c r="BM12" s="86"/>
      <c r="BN12" s="86"/>
      <c r="BO12" s="86"/>
      <c r="BP12" s="83">
        <f t="shared" ref="BP12:BP23" si="37">BH12+BI12+BJ12+BK12+BL12+BM12+BN12+BO12</f>
        <v>0</v>
      </c>
      <c r="BQ12" s="86">
        <v>0</v>
      </c>
      <c r="BR12" s="86">
        <v>0</v>
      </c>
      <c r="BS12" s="86">
        <v>0</v>
      </c>
      <c r="BT12" s="86">
        <v>0</v>
      </c>
      <c r="BU12" s="86">
        <v>0</v>
      </c>
      <c r="BV12" s="86">
        <v>0</v>
      </c>
      <c r="BW12" s="86">
        <v>0</v>
      </c>
      <c r="BX12" s="86">
        <v>0</v>
      </c>
      <c r="BY12" s="38">
        <f t="shared" si="11"/>
        <v>0</v>
      </c>
      <c r="BZ12" s="87">
        <v>0</v>
      </c>
      <c r="CA12" s="87">
        <v>0</v>
      </c>
      <c r="CB12" s="87">
        <v>0</v>
      </c>
      <c r="CC12" s="87">
        <v>0</v>
      </c>
      <c r="CD12" s="87">
        <v>0</v>
      </c>
      <c r="CE12" s="87">
        <v>0</v>
      </c>
      <c r="CF12" s="87">
        <v>0</v>
      </c>
      <c r="CG12" s="87">
        <v>0</v>
      </c>
      <c r="CH12" s="38">
        <f t="shared" si="12"/>
        <v>0</v>
      </c>
      <c r="CI12" s="87">
        <v>0</v>
      </c>
      <c r="CJ12" s="87">
        <v>0</v>
      </c>
      <c r="CK12" s="87">
        <v>0</v>
      </c>
      <c r="CL12" s="87">
        <v>0</v>
      </c>
      <c r="CM12" s="87">
        <v>0</v>
      </c>
      <c r="CN12" s="87">
        <v>0</v>
      </c>
      <c r="CO12" s="87">
        <v>0</v>
      </c>
      <c r="CP12" s="87">
        <v>0</v>
      </c>
      <c r="CQ12" s="38">
        <f t="shared" si="13"/>
        <v>0</v>
      </c>
      <c r="CR12" s="88">
        <v>0</v>
      </c>
      <c r="CS12" s="88">
        <v>0</v>
      </c>
      <c r="CT12" s="88">
        <v>0</v>
      </c>
      <c r="CU12" s="88">
        <v>0</v>
      </c>
      <c r="CV12" s="88">
        <v>0</v>
      </c>
      <c r="CW12" s="88">
        <v>0</v>
      </c>
      <c r="CX12" s="88">
        <v>0</v>
      </c>
      <c r="CY12" s="88">
        <v>0</v>
      </c>
      <c r="CZ12" s="83">
        <f t="shared" ref="CZ12:CZ23" si="38">CR12+CS12+CT12+CU12+CV12+CW12+CX12+CY12</f>
        <v>0</v>
      </c>
      <c r="DA12" s="88">
        <v>0</v>
      </c>
      <c r="DB12" s="88">
        <v>0</v>
      </c>
      <c r="DC12" s="88">
        <v>0</v>
      </c>
      <c r="DD12" s="88">
        <v>0</v>
      </c>
      <c r="DE12" s="88">
        <v>0</v>
      </c>
      <c r="DF12" s="88">
        <v>0</v>
      </c>
      <c r="DG12" s="88">
        <v>0</v>
      </c>
      <c r="DH12" s="88">
        <v>0</v>
      </c>
      <c r="DI12" s="38">
        <f t="shared" si="15"/>
        <v>0</v>
      </c>
      <c r="DJ12" s="84">
        <v>0</v>
      </c>
      <c r="DK12" s="84">
        <v>0</v>
      </c>
      <c r="DL12" s="84">
        <v>0</v>
      </c>
      <c r="DM12" s="84">
        <v>0</v>
      </c>
      <c r="DN12" s="84">
        <v>0</v>
      </c>
      <c r="DO12" s="84">
        <v>0</v>
      </c>
      <c r="DP12" s="84">
        <v>0</v>
      </c>
      <c r="DQ12" s="84">
        <v>0</v>
      </c>
      <c r="DR12" s="83">
        <f t="shared" ref="DR12:DR23" si="39">DJ12+DK12+DL12+DM12+DN12+DO12+DP12+DQ12</f>
        <v>0</v>
      </c>
      <c r="DS12" s="84">
        <v>0</v>
      </c>
      <c r="DT12" s="84">
        <v>0</v>
      </c>
      <c r="DU12" s="84">
        <v>0</v>
      </c>
      <c r="DV12" s="84">
        <v>0</v>
      </c>
      <c r="DW12" s="84">
        <v>0</v>
      </c>
      <c r="DX12" s="84">
        <v>0</v>
      </c>
      <c r="DY12" s="84">
        <v>0</v>
      </c>
      <c r="DZ12" s="84">
        <v>0</v>
      </c>
      <c r="EA12" s="38">
        <f t="shared" si="17"/>
        <v>0</v>
      </c>
      <c r="EB12" s="89">
        <v>0</v>
      </c>
      <c r="EC12" s="89">
        <v>0</v>
      </c>
      <c r="ED12" s="89">
        <v>0</v>
      </c>
      <c r="EE12" s="89">
        <v>0</v>
      </c>
      <c r="EF12" s="89">
        <v>0</v>
      </c>
      <c r="EG12" s="89">
        <v>0</v>
      </c>
      <c r="EH12" s="89">
        <v>0</v>
      </c>
      <c r="EI12" s="89">
        <v>0</v>
      </c>
      <c r="EJ12" s="38">
        <f t="shared" si="18"/>
        <v>0</v>
      </c>
      <c r="EK12" s="89">
        <v>0</v>
      </c>
      <c r="EL12" s="89">
        <v>0</v>
      </c>
      <c r="EM12" s="89">
        <v>0</v>
      </c>
      <c r="EN12" s="89">
        <v>0</v>
      </c>
      <c r="EO12" s="89">
        <v>0</v>
      </c>
      <c r="EP12" s="89">
        <v>0</v>
      </c>
      <c r="EQ12" s="89">
        <v>0</v>
      </c>
      <c r="ER12" s="89">
        <v>0</v>
      </c>
      <c r="ES12" s="38">
        <f t="shared" si="19"/>
        <v>0</v>
      </c>
      <c r="ET12" s="45">
        <v>0</v>
      </c>
      <c r="EU12" s="45">
        <v>0</v>
      </c>
      <c r="EV12" s="45">
        <v>0</v>
      </c>
      <c r="EW12" s="45">
        <v>0</v>
      </c>
      <c r="EX12" s="45">
        <v>0</v>
      </c>
      <c r="EY12" s="45">
        <v>0</v>
      </c>
      <c r="EZ12" s="45">
        <v>0</v>
      </c>
      <c r="FA12" s="45">
        <v>0</v>
      </c>
      <c r="FB12" s="38">
        <f t="shared" si="0"/>
        <v>0</v>
      </c>
      <c r="FC12" s="45">
        <v>0</v>
      </c>
      <c r="FD12" s="45">
        <v>0</v>
      </c>
      <c r="FE12" s="45">
        <v>0</v>
      </c>
      <c r="FF12" s="45">
        <v>0</v>
      </c>
      <c r="FG12" s="45">
        <v>0</v>
      </c>
      <c r="FH12" s="45">
        <v>0</v>
      </c>
      <c r="FI12" s="45">
        <v>0</v>
      </c>
      <c r="FJ12" s="45">
        <v>0</v>
      </c>
      <c r="FK12" s="38">
        <f t="shared" si="1"/>
        <v>0</v>
      </c>
      <c r="FL12" s="45">
        <v>0</v>
      </c>
      <c r="FM12" s="45">
        <v>0</v>
      </c>
      <c r="FN12" s="45">
        <v>0</v>
      </c>
      <c r="FO12" s="45">
        <v>0</v>
      </c>
      <c r="FP12" s="45">
        <v>0</v>
      </c>
      <c r="FQ12" s="45">
        <v>0</v>
      </c>
      <c r="FR12" s="45">
        <v>0</v>
      </c>
      <c r="FS12" s="45">
        <v>0</v>
      </c>
      <c r="FT12" s="38">
        <f t="shared" si="20"/>
        <v>0</v>
      </c>
      <c r="FU12" s="45">
        <v>0</v>
      </c>
      <c r="FV12" s="45">
        <v>1</v>
      </c>
      <c r="FW12" s="45">
        <v>0</v>
      </c>
      <c r="FX12" s="45">
        <v>0</v>
      </c>
      <c r="FY12" s="45">
        <v>0</v>
      </c>
      <c r="FZ12" s="45">
        <v>0</v>
      </c>
      <c r="GA12" s="45">
        <v>0</v>
      </c>
      <c r="GB12" s="45">
        <v>0</v>
      </c>
      <c r="GC12" s="38">
        <f t="shared" si="21"/>
        <v>1</v>
      </c>
      <c r="GD12" s="45">
        <v>0</v>
      </c>
      <c r="GE12" s="45">
        <v>0</v>
      </c>
      <c r="GF12" s="45">
        <v>0</v>
      </c>
      <c r="GG12" s="45">
        <v>0</v>
      </c>
      <c r="GH12" s="45">
        <v>0</v>
      </c>
      <c r="GI12" s="45">
        <v>0</v>
      </c>
      <c r="GJ12" s="45">
        <v>0</v>
      </c>
      <c r="GK12" s="45">
        <v>0</v>
      </c>
      <c r="GL12" s="38">
        <f t="shared" si="22"/>
        <v>0</v>
      </c>
      <c r="GM12" s="45">
        <v>0</v>
      </c>
      <c r="GN12" s="45">
        <v>0</v>
      </c>
      <c r="GO12" s="45">
        <v>0</v>
      </c>
      <c r="GP12" s="45">
        <v>0</v>
      </c>
      <c r="GQ12" s="45">
        <v>0</v>
      </c>
      <c r="GR12" s="45">
        <v>0</v>
      </c>
      <c r="GS12" s="45">
        <v>0</v>
      </c>
      <c r="GT12" s="45">
        <v>0</v>
      </c>
      <c r="GU12" s="38">
        <f t="shared" si="23"/>
        <v>0</v>
      </c>
      <c r="GV12" s="45">
        <v>0</v>
      </c>
      <c r="GW12" s="45">
        <v>0</v>
      </c>
      <c r="GX12" s="45">
        <v>0</v>
      </c>
      <c r="GY12" s="45">
        <v>0</v>
      </c>
      <c r="GZ12" s="45">
        <v>0</v>
      </c>
      <c r="HA12" s="45">
        <v>0</v>
      </c>
      <c r="HB12" s="45">
        <v>0</v>
      </c>
      <c r="HC12" s="45">
        <v>0</v>
      </c>
      <c r="HD12" s="38">
        <f t="shared" ref="HD12:HD14" si="40">GV12+GW12+GX12+GY12+GZ12+HA12+HB12+HC12</f>
        <v>0</v>
      </c>
      <c r="HE12" s="45">
        <v>0</v>
      </c>
      <c r="HF12" s="45">
        <v>1</v>
      </c>
      <c r="HG12" s="45">
        <v>0</v>
      </c>
      <c r="HH12" s="45">
        <v>0</v>
      </c>
      <c r="HI12" s="45">
        <v>0</v>
      </c>
      <c r="HJ12" s="45">
        <v>0</v>
      </c>
      <c r="HK12" s="45">
        <v>0</v>
      </c>
      <c r="HL12" s="45">
        <v>0</v>
      </c>
      <c r="HM12" s="38">
        <f t="shared" si="25"/>
        <v>1</v>
      </c>
      <c r="HN12" s="45">
        <v>0</v>
      </c>
      <c r="HO12" s="45"/>
      <c r="HP12" s="45"/>
      <c r="HQ12" s="45"/>
      <c r="HR12" s="45"/>
      <c r="HS12" s="45"/>
      <c r="HT12" s="45">
        <v>0</v>
      </c>
      <c r="HU12" s="45">
        <v>0</v>
      </c>
      <c r="HV12" s="38">
        <f t="shared" si="26"/>
        <v>0</v>
      </c>
      <c r="HW12" s="45">
        <v>0</v>
      </c>
      <c r="HX12" s="45"/>
      <c r="HY12" s="45"/>
      <c r="HZ12" s="45"/>
      <c r="IA12" s="45"/>
      <c r="IB12" s="45"/>
      <c r="IC12" s="45"/>
      <c r="ID12" s="45">
        <v>0</v>
      </c>
      <c r="IE12" s="38">
        <f t="shared" si="27"/>
        <v>0</v>
      </c>
      <c r="IF12" s="136">
        <v>0</v>
      </c>
      <c r="IG12" s="136"/>
      <c r="IH12" s="136"/>
      <c r="II12" s="136"/>
      <c r="IJ12" s="136"/>
      <c r="IK12" s="136"/>
      <c r="IL12" s="136">
        <v>0</v>
      </c>
      <c r="IM12" s="136">
        <v>0</v>
      </c>
      <c r="IN12" s="38">
        <f t="shared" si="28"/>
        <v>0</v>
      </c>
      <c r="IO12" s="136">
        <v>0</v>
      </c>
      <c r="IP12" s="136"/>
      <c r="IQ12" s="136"/>
      <c r="IR12" s="136"/>
      <c r="IS12" s="136"/>
      <c r="IT12" s="136"/>
      <c r="IU12" s="136"/>
      <c r="IV12" s="136">
        <v>0</v>
      </c>
      <c r="IW12" s="38">
        <f t="shared" si="29"/>
        <v>0</v>
      </c>
      <c r="IX12" s="150">
        <v>0</v>
      </c>
      <c r="IY12" s="150"/>
      <c r="IZ12" s="150"/>
      <c r="JA12" s="150"/>
      <c r="JB12" s="150"/>
      <c r="JC12" s="150"/>
      <c r="JD12" s="150">
        <v>0</v>
      </c>
      <c r="JE12" s="150">
        <v>0</v>
      </c>
      <c r="JF12" s="38">
        <f t="shared" si="30"/>
        <v>0</v>
      </c>
      <c r="JG12" s="150">
        <v>0</v>
      </c>
      <c r="JH12" s="150"/>
      <c r="JI12" s="150"/>
      <c r="JJ12" s="150"/>
      <c r="JK12" s="150"/>
      <c r="JL12" s="150"/>
      <c r="JM12" s="150"/>
      <c r="JN12" s="150">
        <v>0</v>
      </c>
      <c r="JO12" s="38">
        <f t="shared" si="31"/>
        <v>0</v>
      </c>
      <c r="JP12" s="14">
        <f t="shared" si="2"/>
        <v>0</v>
      </c>
      <c r="JQ12" s="46">
        <f t="shared" si="3"/>
        <v>2</v>
      </c>
      <c r="JR12" s="90">
        <f t="shared" si="35"/>
        <v>2</v>
      </c>
      <c r="JS12" s="91">
        <f>IF(E12&gt;0,E12-JR12,"N/A")</f>
        <v>2</v>
      </c>
      <c r="JT12" s="58">
        <f>IF(ISBLANK(E12),"",JR12/E12)</f>
        <v>0.5</v>
      </c>
    </row>
    <row r="13" spans="1:282" ht="17" thickBot="1" x14ac:dyDescent="0.55000000000000004">
      <c r="A13" s="183"/>
      <c r="B13" s="19" t="s">
        <v>33</v>
      </c>
      <c r="C13" s="179"/>
      <c r="D13" s="180"/>
      <c r="E13" s="131">
        <v>15</v>
      </c>
      <c r="F13" s="92">
        <v>0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3">
        <f t="shared" si="32"/>
        <v>0</v>
      </c>
      <c r="O13" s="92">
        <v>0</v>
      </c>
      <c r="P13" s="92">
        <v>0</v>
      </c>
      <c r="Q13" s="92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3">
        <f t="shared" si="33"/>
        <v>0</v>
      </c>
      <c r="X13" s="94">
        <v>0</v>
      </c>
      <c r="Y13" s="94">
        <v>0</v>
      </c>
      <c r="Z13" s="94">
        <v>0</v>
      </c>
      <c r="AA13" s="94">
        <v>0</v>
      </c>
      <c r="AB13" s="94">
        <v>0</v>
      </c>
      <c r="AC13" s="94">
        <v>0</v>
      </c>
      <c r="AD13" s="94">
        <v>0</v>
      </c>
      <c r="AE13" s="94">
        <v>0</v>
      </c>
      <c r="AF13" s="93">
        <f t="shared" ref="AF13:AF20" si="41">X13+Y13+Z13+AA13+AB13+AC13+AD13+AE13</f>
        <v>0</v>
      </c>
      <c r="AG13" s="94">
        <v>0</v>
      </c>
      <c r="AH13" s="94">
        <v>0</v>
      </c>
      <c r="AI13" s="94">
        <v>0</v>
      </c>
      <c r="AJ13" s="94">
        <v>0</v>
      </c>
      <c r="AK13" s="94">
        <v>0</v>
      </c>
      <c r="AL13" s="94">
        <v>0</v>
      </c>
      <c r="AM13" s="94">
        <v>0</v>
      </c>
      <c r="AN13" s="94">
        <v>0</v>
      </c>
      <c r="AO13" s="93">
        <f t="shared" ref="AO13:AO20" si="42">AG13+AH13+AI13+AJ13+AK13+AL13+AM13+AN13</f>
        <v>0</v>
      </c>
      <c r="AP13" s="95">
        <v>0</v>
      </c>
      <c r="AQ13" s="95">
        <v>0</v>
      </c>
      <c r="AR13" s="95">
        <v>0</v>
      </c>
      <c r="AS13" s="95">
        <v>0</v>
      </c>
      <c r="AT13" s="95">
        <v>0</v>
      </c>
      <c r="AU13" s="95">
        <v>0</v>
      </c>
      <c r="AV13" s="95">
        <v>0</v>
      </c>
      <c r="AW13" s="95">
        <v>0</v>
      </c>
      <c r="AX13" s="93">
        <f t="shared" si="34"/>
        <v>0</v>
      </c>
      <c r="AY13" s="95">
        <v>0</v>
      </c>
      <c r="AZ13" s="95">
        <v>0</v>
      </c>
      <c r="BA13" s="95">
        <v>0</v>
      </c>
      <c r="BB13" s="95">
        <v>0</v>
      </c>
      <c r="BC13" s="95">
        <v>0</v>
      </c>
      <c r="BD13" s="95">
        <v>0</v>
      </c>
      <c r="BE13" s="95">
        <v>0</v>
      </c>
      <c r="BF13" s="95">
        <v>0</v>
      </c>
      <c r="BG13" s="93">
        <f t="shared" si="36"/>
        <v>0</v>
      </c>
      <c r="BH13" s="96"/>
      <c r="BI13" s="96"/>
      <c r="BJ13" s="96"/>
      <c r="BK13" s="96"/>
      <c r="BL13" s="96"/>
      <c r="BM13" s="96"/>
      <c r="BN13" s="96"/>
      <c r="BO13" s="96"/>
      <c r="BP13" s="93">
        <f t="shared" si="37"/>
        <v>0</v>
      </c>
      <c r="BQ13" s="96">
        <v>0</v>
      </c>
      <c r="BR13" s="96">
        <v>0</v>
      </c>
      <c r="BS13" s="96">
        <v>0</v>
      </c>
      <c r="BT13" s="96">
        <v>0</v>
      </c>
      <c r="BU13" s="96">
        <v>0</v>
      </c>
      <c r="BV13" s="96">
        <v>0</v>
      </c>
      <c r="BW13" s="96">
        <v>0</v>
      </c>
      <c r="BX13" s="96">
        <v>0</v>
      </c>
      <c r="BY13" s="93">
        <f t="shared" ref="BY13:BY23" si="43">BQ13+BR13+BS13+BT13+BU13+BV13+BW13+BX13</f>
        <v>0</v>
      </c>
      <c r="BZ13" s="97">
        <v>0</v>
      </c>
      <c r="CA13" s="97">
        <v>0</v>
      </c>
      <c r="CB13" s="97">
        <v>0</v>
      </c>
      <c r="CC13" s="97">
        <v>0</v>
      </c>
      <c r="CD13" s="97">
        <v>0</v>
      </c>
      <c r="CE13" s="97">
        <v>0</v>
      </c>
      <c r="CF13" s="97">
        <v>0</v>
      </c>
      <c r="CG13" s="97">
        <v>0</v>
      </c>
      <c r="CH13" s="38">
        <f t="shared" si="12"/>
        <v>0</v>
      </c>
      <c r="CI13" s="97">
        <v>0</v>
      </c>
      <c r="CJ13" s="97">
        <v>0</v>
      </c>
      <c r="CK13" s="97">
        <v>0</v>
      </c>
      <c r="CL13" s="97">
        <v>0</v>
      </c>
      <c r="CM13" s="97">
        <v>0</v>
      </c>
      <c r="CN13" s="97">
        <v>0</v>
      </c>
      <c r="CO13" s="97">
        <v>0</v>
      </c>
      <c r="CP13" s="97">
        <v>0</v>
      </c>
      <c r="CQ13" s="93">
        <f t="shared" ref="CQ13:CQ23" si="44">CI13+CJ13+CK13+CL13+CM13+CN13+CO13+CP13</f>
        <v>0</v>
      </c>
      <c r="CR13" s="98">
        <v>0</v>
      </c>
      <c r="CS13" s="98">
        <v>0</v>
      </c>
      <c r="CT13" s="98">
        <v>0</v>
      </c>
      <c r="CU13" s="98">
        <v>0</v>
      </c>
      <c r="CV13" s="98">
        <v>0</v>
      </c>
      <c r="CW13" s="98">
        <v>0</v>
      </c>
      <c r="CX13" s="98">
        <v>0</v>
      </c>
      <c r="CY13" s="98">
        <v>0</v>
      </c>
      <c r="CZ13" s="93">
        <f t="shared" si="38"/>
        <v>0</v>
      </c>
      <c r="DA13" s="98">
        <v>0</v>
      </c>
      <c r="DB13" s="98">
        <v>0</v>
      </c>
      <c r="DC13" s="98">
        <v>0</v>
      </c>
      <c r="DD13" s="98">
        <v>0</v>
      </c>
      <c r="DE13" s="98">
        <v>0</v>
      </c>
      <c r="DF13" s="98">
        <v>0</v>
      </c>
      <c r="DG13" s="98">
        <v>0</v>
      </c>
      <c r="DH13" s="98">
        <v>0</v>
      </c>
      <c r="DI13" s="38">
        <f t="shared" si="15"/>
        <v>0</v>
      </c>
      <c r="DJ13" s="94">
        <v>0</v>
      </c>
      <c r="DK13" s="94">
        <v>0</v>
      </c>
      <c r="DL13" s="94">
        <v>0</v>
      </c>
      <c r="DM13" s="94">
        <v>0</v>
      </c>
      <c r="DN13" s="94">
        <v>0</v>
      </c>
      <c r="DO13" s="94">
        <v>0</v>
      </c>
      <c r="DP13" s="94">
        <v>0</v>
      </c>
      <c r="DQ13" s="94">
        <v>0</v>
      </c>
      <c r="DR13" s="93">
        <f t="shared" si="39"/>
        <v>0</v>
      </c>
      <c r="DS13" s="94">
        <v>0</v>
      </c>
      <c r="DT13" s="94">
        <v>0</v>
      </c>
      <c r="DU13" s="94">
        <v>0</v>
      </c>
      <c r="DV13" s="94">
        <v>0</v>
      </c>
      <c r="DW13" s="94">
        <v>0</v>
      </c>
      <c r="DX13" s="94">
        <v>0</v>
      </c>
      <c r="DY13" s="94">
        <v>0</v>
      </c>
      <c r="DZ13" s="94">
        <v>0</v>
      </c>
      <c r="EA13" s="93">
        <f t="shared" ref="EA13:EA23" si="45">DS13+DT13+DU13+DV13+DW13+DX13+DY13+DZ13</f>
        <v>0</v>
      </c>
      <c r="EB13" s="99">
        <v>0</v>
      </c>
      <c r="EC13" s="99">
        <v>0</v>
      </c>
      <c r="ED13" s="99">
        <v>0</v>
      </c>
      <c r="EE13" s="99">
        <v>0</v>
      </c>
      <c r="EF13" s="99">
        <v>0</v>
      </c>
      <c r="EG13" s="99">
        <v>0</v>
      </c>
      <c r="EH13" s="99">
        <v>0</v>
      </c>
      <c r="EI13" s="99">
        <v>0</v>
      </c>
      <c r="EJ13" s="38">
        <f t="shared" si="18"/>
        <v>0</v>
      </c>
      <c r="EK13" s="99">
        <v>0</v>
      </c>
      <c r="EL13" s="99">
        <v>0</v>
      </c>
      <c r="EM13" s="99">
        <v>0</v>
      </c>
      <c r="EN13" s="99">
        <v>0</v>
      </c>
      <c r="EO13" s="99">
        <v>0</v>
      </c>
      <c r="EP13" s="99">
        <v>0</v>
      </c>
      <c r="EQ13" s="99">
        <v>0</v>
      </c>
      <c r="ER13" s="99">
        <v>0</v>
      </c>
      <c r="ES13" s="38">
        <f t="shared" si="19"/>
        <v>0</v>
      </c>
      <c r="ET13" s="45">
        <v>0</v>
      </c>
      <c r="EU13" s="45">
        <v>0</v>
      </c>
      <c r="EV13" s="45">
        <v>0</v>
      </c>
      <c r="EW13" s="45">
        <v>0</v>
      </c>
      <c r="EX13" s="45">
        <v>0</v>
      </c>
      <c r="EY13" s="45">
        <v>0</v>
      </c>
      <c r="EZ13" s="45">
        <v>0</v>
      </c>
      <c r="FA13" s="45">
        <v>0</v>
      </c>
      <c r="FB13" s="38">
        <f t="shared" si="0"/>
        <v>0</v>
      </c>
      <c r="FC13" s="45">
        <v>0</v>
      </c>
      <c r="FD13" s="45">
        <v>0</v>
      </c>
      <c r="FE13" s="45">
        <v>0</v>
      </c>
      <c r="FF13" s="45">
        <v>0</v>
      </c>
      <c r="FG13" s="45">
        <v>0</v>
      </c>
      <c r="FH13" s="45">
        <v>0</v>
      </c>
      <c r="FI13" s="45">
        <v>0</v>
      </c>
      <c r="FJ13" s="45">
        <v>0</v>
      </c>
      <c r="FK13" s="38">
        <f t="shared" si="1"/>
        <v>0</v>
      </c>
      <c r="FL13" s="45">
        <v>0</v>
      </c>
      <c r="FM13" s="45">
        <v>0</v>
      </c>
      <c r="FN13" s="45">
        <v>0</v>
      </c>
      <c r="FO13" s="45">
        <v>0</v>
      </c>
      <c r="FP13" s="45">
        <v>0</v>
      </c>
      <c r="FQ13" s="45">
        <v>0</v>
      </c>
      <c r="FR13" s="45">
        <v>0</v>
      </c>
      <c r="FS13" s="45">
        <v>0</v>
      </c>
      <c r="FT13" s="38">
        <f t="shared" ref="FT13:FT16" si="46">FL13+FM13+FN13+FO13+FP13+FQ13+FR13+FS13</f>
        <v>0</v>
      </c>
      <c r="FU13" s="45">
        <v>0</v>
      </c>
      <c r="FV13" s="45">
        <v>0</v>
      </c>
      <c r="FW13" s="45">
        <v>0</v>
      </c>
      <c r="FX13" s="45">
        <v>0</v>
      </c>
      <c r="FY13" s="45">
        <v>0</v>
      </c>
      <c r="FZ13" s="45">
        <v>0</v>
      </c>
      <c r="GA13" s="45">
        <v>0</v>
      </c>
      <c r="GB13" s="45">
        <v>0</v>
      </c>
      <c r="GC13" s="38">
        <f>FU13+FV13+FW13+FX13+FY13+FZ13+GA13+GB13</f>
        <v>0</v>
      </c>
      <c r="GD13" s="45">
        <v>0</v>
      </c>
      <c r="GE13" s="45">
        <v>0</v>
      </c>
      <c r="GF13" s="45">
        <v>0</v>
      </c>
      <c r="GG13" s="45">
        <v>0</v>
      </c>
      <c r="GH13" s="45">
        <v>0</v>
      </c>
      <c r="GI13" s="45">
        <v>0</v>
      </c>
      <c r="GJ13" s="45">
        <v>0</v>
      </c>
      <c r="GK13" s="45">
        <v>0</v>
      </c>
      <c r="GL13" s="38">
        <f t="shared" ref="GL13:GL14" si="47">GD13+GE13+GF13+GG13+GH13+GI13+GJ13+GK13</f>
        <v>0</v>
      </c>
      <c r="GM13" s="45">
        <v>0</v>
      </c>
      <c r="GN13" s="45">
        <v>0</v>
      </c>
      <c r="GO13" s="45">
        <v>0</v>
      </c>
      <c r="GP13" s="45">
        <v>0</v>
      </c>
      <c r="GQ13" s="45">
        <v>0</v>
      </c>
      <c r="GR13" s="45">
        <v>0</v>
      </c>
      <c r="GS13" s="45">
        <v>0</v>
      </c>
      <c r="GT13" s="45">
        <v>0</v>
      </c>
      <c r="GU13" s="38">
        <f>GM13+GN13+GO13+GP13+GQ13+GR13+GS13+GT13</f>
        <v>0</v>
      </c>
      <c r="GV13" s="45">
        <v>0</v>
      </c>
      <c r="GW13" s="45">
        <v>0</v>
      </c>
      <c r="GX13" s="45">
        <v>0</v>
      </c>
      <c r="GY13" s="45">
        <v>0</v>
      </c>
      <c r="GZ13" s="45">
        <v>0</v>
      </c>
      <c r="HA13" s="45">
        <v>0</v>
      </c>
      <c r="HB13" s="45">
        <v>0</v>
      </c>
      <c r="HC13" s="45">
        <v>0</v>
      </c>
      <c r="HD13" s="38">
        <f t="shared" si="40"/>
        <v>0</v>
      </c>
      <c r="HE13" s="45">
        <v>0</v>
      </c>
      <c r="HF13" s="45">
        <v>0</v>
      </c>
      <c r="HG13" s="45">
        <v>0</v>
      </c>
      <c r="HH13" s="45">
        <v>0</v>
      </c>
      <c r="HI13" s="45">
        <v>0</v>
      </c>
      <c r="HJ13" s="45">
        <v>0</v>
      </c>
      <c r="HK13" s="45">
        <v>0</v>
      </c>
      <c r="HL13" s="45">
        <v>0</v>
      </c>
      <c r="HM13" s="38">
        <f t="shared" si="25"/>
        <v>0</v>
      </c>
      <c r="HN13" s="45">
        <v>0</v>
      </c>
      <c r="HO13" s="45">
        <v>0</v>
      </c>
      <c r="HP13" s="45">
        <v>0</v>
      </c>
      <c r="HQ13" s="45">
        <v>0</v>
      </c>
      <c r="HR13" s="45">
        <v>0</v>
      </c>
      <c r="HS13" s="45">
        <v>0</v>
      </c>
      <c r="HT13" s="45">
        <v>0</v>
      </c>
      <c r="HU13" s="45">
        <v>0</v>
      </c>
      <c r="HV13" s="38">
        <f t="shared" si="26"/>
        <v>0</v>
      </c>
      <c r="HW13" s="45">
        <v>0</v>
      </c>
      <c r="HX13" s="45"/>
      <c r="HY13" s="45"/>
      <c r="HZ13" s="45"/>
      <c r="IA13" s="45"/>
      <c r="IB13" s="45"/>
      <c r="IC13" s="45"/>
      <c r="ID13" s="45">
        <v>0</v>
      </c>
      <c r="IE13" s="38">
        <f t="shared" si="27"/>
        <v>0</v>
      </c>
      <c r="IF13" s="136">
        <v>0</v>
      </c>
      <c r="IG13" s="136">
        <v>0</v>
      </c>
      <c r="IH13" s="136">
        <v>0</v>
      </c>
      <c r="II13" s="136">
        <v>0</v>
      </c>
      <c r="IJ13" s="136">
        <v>0</v>
      </c>
      <c r="IK13" s="136">
        <v>0</v>
      </c>
      <c r="IL13" s="136">
        <v>0</v>
      </c>
      <c r="IM13" s="136">
        <v>0</v>
      </c>
      <c r="IN13" s="38">
        <f t="shared" si="28"/>
        <v>0</v>
      </c>
      <c r="IO13" s="136">
        <v>0</v>
      </c>
      <c r="IP13" s="136"/>
      <c r="IQ13" s="136"/>
      <c r="IR13" s="136"/>
      <c r="IS13" s="136"/>
      <c r="IT13" s="136"/>
      <c r="IU13" s="136"/>
      <c r="IV13" s="136">
        <v>0</v>
      </c>
      <c r="IW13" s="38">
        <f>IO13+IP13+IQ13+IR13+IS13+IT13+IU13+IV13</f>
        <v>0</v>
      </c>
      <c r="IX13" s="150">
        <v>0</v>
      </c>
      <c r="IY13" s="150">
        <v>0</v>
      </c>
      <c r="IZ13" s="150">
        <v>0</v>
      </c>
      <c r="JA13" s="150">
        <v>0</v>
      </c>
      <c r="JB13" s="150">
        <v>0</v>
      </c>
      <c r="JC13" s="150">
        <v>0</v>
      </c>
      <c r="JD13" s="150">
        <v>0</v>
      </c>
      <c r="JE13" s="150">
        <v>0</v>
      </c>
      <c r="JF13" s="38">
        <f t="shared" ref="JF13:JF14" si="48">IX13+IY13+IZ13+JA13+JB13+JC13+JD13+JE13</f>
        <v>0</v>
      </c>
      <c r="JG13" s="150">
        <v>0</v>
      </c>
      <c r="JH13" s="150"/>
      <c r="JI13" s="150"/>
      <c r="JJ13" s="150"/>
      <c r="JK13" s="150"/>
      <c r="JL13" s="150"/>
      <c r="JM13" s="150"/>
      <c r="JN13" s="150">
        <v>0</v>
      </c>
      <c r="JO13" s="38">
        <f>JG13+JH13+JI13+JJ13+JK13+JL13+JM13+JN13</f>
        <v>0</v>
      </c>
      <c r="JP13" s="14">
        <f t="shared" si="2"/>
        <v>0</v>
      </c>
      <c r="JQ13" s="46">
        <f t="shared" si="3"/>
        <v>0</v>
      </c>
      <c r="JR13" s="100">
        <f t="shared" si="35"/>
        <v>0</v>
      </c>
      <c r="JS13" s="101">
        <f>IF(E13&gt;0,E13-JR13,"N/A")</f>
        <v>15</v>
      </c>
      <c r="JT13" s="59">
        <f>IF(ISBLANK(E13),"",JR13/E13)</f>
        <v>0</v>
      </c>
    </row>
    <row r="14" spans="1:282" ht="17" thickBot="1" x14ac:dyDescent="0.55000000000000004">
      <c r="A14" s="183"/>
      <c r="B14" s="19" t="s">
        <v>34</v>
      </c>
      <c r="C14" s="179"/>
      <c r="D14" s="180"/>
      <c r="E14" s="131">
        <v>15</v>
      </c>
      <c r="F14" s="92">
        <v>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3">
        <f t="shared" si="32"/>
        <v>0</v>
      </c>
      <c r="O14" s="92">
        <v>0</v>
      </c>
      <c r="P14" s="92">
        <v>0</v>
      </c>
      <c r="Q14" s="92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3">
        <f t="shared" si="33"/>
        <v>0</v>
      </c>
      <c r="X14" s="94">
        <v>0</v>
      </c>
      <c r="Y14" s="94">
        <v>0</v>
      </c>
      <c r="Z14" s="94">
        <v>0</v>
      </c>
      <c r="AA14" s="94">
        <v>0</v>
      </c>
      <c r="AB14" s="94">
        <v>0</v>
      </c>
      <c r="AC14" s="94">
        <v>0</v>
      </c>
      <c r="AD14" s="94">
        <v>0</v>
      </c>
      <c r="AE14" s="94">
        <v>0</v>
      </c>
      <c r="AF14" s="93">
        <f t="shared" si="41"/>
        <v>0</v>
      </c>
      <c r="AG14" s="94">
        <v>0</v>
      </c>
      <c r="AH14" s="94">
        <v>0</v>
      </c>
      <c r="AI14" s="94">
        <v>0</v>
      </c>
      <c r="AJ14" s="94">
        <v>0</v>
      </c>
      <c r="AK14" s="94">
        <v>0</v>
      </c>
      <c r="AL14" s="94">
        <v>0</v>
      </c>
      <c r="AM14" s="94">
        <v>0</v>
      </c>
      <c r="AN14" s="94">
        <v>0</v>
      </c>
      <c r="AO14" s="93">
        <f t="shared" si="42"/>
        <v>0</v>
      </c>
      <c r="AP14" s="95">
        <v>0</v>
      </c>
      <c r="AQ14" s="95">
        <v>0</v>
      </c>
      <c r="AR14" s="95">
        <v>0</v>
      </c>
      <c r="AS14" s="95">
        <v>0</v>
      </c>
      <c r="AT14" s="95">
        <v>0</v>
      </c>
      <c r="AU14" s="95">
        <v>0</v>
      </c>
      <c r="AV14" s="95">
        <v>0</v>
      </c>
      <c r="AW14" s="95">
        <v>0</v>
      </c>
      <c r="AX14" s="93">
        <f t="shared" si="34"/>
        <v>0</v>
      </c>
      <c r="AY14" s="95">
        <v>0</v>
      </c>
      <c r="AZ14" s="95">
        <v>0</v>
      </c>
      <c r="BA14" s="95">
        <v>0</v>
      </c>
      <c r="BB14" s="95">
        <v>0</v>
      </c>
      <c r="BC14" s="95">
        <v>0</v>
      </c>
      <c r="BD14" s="95">
        <v>0</v>
      </c>
      <c r="BE14" s="95">
        <v>0</v>
      </c>
      <c r="BF14" s="95">
        <v>0</v>
      </c>
      <c r="BG14" s="93">
        <f t="shared" si="36"/>
        <v>0</v>
      </c>
      <c r="BH14" s="96"/>
      <c r="BI14" s="96"/>
      <c r="BJ14" s="96"/>
      <c r="BK14" s="96"/>
      <c r="BL14" s="96"/>
      <c r="BM14" s="96"/>
      <c r="BN14" s="96"/>
      <c r="BO14" s="96"/>
      <c r="BP14" s="93">
        <f t="shared" si="37"/>
        <v>0</v>
      </c>
      <c r="BQ14" s="96">
        <v>0</v>
      </c>
      <c r="BR14" s="96">
        <v>0</v>
      </c>
      <c r="BS14" s="96">
        <v>0</v>
      </c>
      <c r="BT14" s="96">
        <v>0</v>
      </c>
      <c r="BU14" s="96">
        <v>0</v>
      </c>
      <c r="BV14" s="96">
        <v>0</v>
      </c>
      <c r="BW14" s="96">
        <v>0</v>
      </c>
      <c r="BX14" s="96">
        <v>0</v>
      </c>
      <c r="BY14" s="93">
        <f t="shared" si="43"/>
        <v>0</v>
      </c>
      <c r="BZ14" s="97">
        <v>0</v>
      </c>
      <c r="CA14" s="97">
        <v>0</v>
      </c>
      <c r="CB14" s="97">
        <v>0</v>
      </c>
      <c r="CC14" s="97">
        <v>0</v>
      </c>
      <c r="CD14" s="97">
        <v>0</v>
      </c>
      <c r="CE14" s="97">
        <v>0</v>
      </c>
      <c r="CF14" s="97">
        <v>0</v>
      </c>
      <c r="CG14" s="97">
        <v>0</v>
      </c>
      <c r="CH14" s="93">
        <f t="shared" ref="CH14:CH23" si="49">BZ14+CA14+CB14+CC14+CD14+CE14+CF14+CG14</f>
        <v>0</v>
      </c>
      <c r="CI14" s="97">
        <v>0</v>
      </c>
      <c r="CJ14" s="97">
        <v>0</v>
      </c>
      <c r="CK14" s="97">
        <v>0</v>
      </c>
      <c r="CL14" s="97">
        <v>0</v>
      </c>
      <c r="CM14" s="97">
        <v>0</v>
      </c>
      <c r="CN14" s="97">
        <v>0</v>
      </c>
      <c r="CO14" s="97">
        <v>0</v>
      </c>
      <c r="CP14" s="97">
        <v>0</v>
      </c>
      <c r="CQ14" s="93">
        <f t="shared" si="44"/>
        <v>0</v>
      </c>
      <c r="CR14" s="98">
        <v>0</v>
      </c>
      <c r="CS14" s="98">
        <v>0</v>
      </c>
      <c r="CT14" s="98">
        <v>0</v>
      </c>
      <c r="CU14" s="98">
        <v>0</v>
      </c>
      <c r="CV14" s="98">
        <v>0</v>
      </c>
      <c r="CW14" s="98">
        <v>0</v>
      </c>
      <c r="CX14" s="98">
        <v>0</v>
      </c>
      <c r="CY14" s="98">
        <v>0</v>
      </c>
      <c r="CZ14" s="93">
        <f t="shared" si="38"/>
        <v>0</v>
      </c>
      <c r="DA14" s="98">
        <v>0</v>
      </c>
      <c r="DB14" s="98">
        <v>0</v>
      </c>
      <c r="DC14" s="98">
        <v>0</v>
      </c>
      <c r="DD14" s="98">
        <v>0</v>
      </c>
      <c r="DE14" s="98">
        <v>0</v>
      </c>
      <c r="DF14" s="98">
        <v>0</v>
      </c>
      <c r="DG14" s="98">
        <v>0</v>
      </c>
      <c r="DH14" s="98">
        <v>0</v>
      </c>
      <c r="DI14" s="93">
        <f t="shared" ref="DI14:DI20" si="50">DA14+DB14+DC14+DD14+DE14+DF14+DG14+DH14</f>
        <v>0</v>
      </c>
      <c r="DJ14" s="94">
        <v>0</v>
      </c>
      <c r="DK14" s="94">
        <v>0</v>
      </c>
      <c r="DL14" s="94">
        <v>0</v>
      </c>
      <c r="DM14" s="94">
        <v>0</v>
      </c>
      <c r="DN14" s="94">
        <v>0</v>
      </c>
      <c r="DO14" s="94">
        <v>0</v>
      </c>
      <c r="DP14" s="94">
        <v>0</v>
      </c>
      <c r="DQ14" s="94">
        <v>0</v>
      </c>
      <c r="DR14" s="93">
        <f t="shared" si="39"/>
        <v>0</v>
      </c>
      <c r="DS14" s="94">
        <v>0</v>
      </c>
      <c r="DT14" s="94">
        <v>0</v>
      </c>
      <c r="DU14" s="94">
        <v>0</v>
      </c>
      <c r="DV14" s="94">
        <v>0</v>
      </c>
      <c r="DW14" s="94">
        <v>0</v>
      </c>
      <c r="DX14" s="94">
        <v>0</v>
      </c>
      <c r="DY14" s="94">
        <v>0</v>
      </c>
      <c r="DZ14" s="94">
        <v>0</v>
      </c>
      <c r="EA14" s="93">
        <f t="shared" si="45"/>
        <v>0</v>
      </c>
      <c r="EB14" s="99">
        <v>0</v>
      </c>
      <c r="EC14" s="99">
        <v>2</v>
      </c>
      <c r="ED14" s="99">
        <v>0</v>
      </c>
      <c r="EE14" s="99">
        <v>0</v>
      </c>
      <c r="EF14" s="99">
        <v>0</v>
      </c>
      <c r="EG14" s="99">
        <v>0</v>
      </c>
      <c r="EH14" s="99">
        <v>0</v>
      </c>
      <c r="EI14" s="99">
        <v>0</v>
      </c>
      <c r="EJ14" s="93">
        <f t="shared" ref="EJ14:EJ23" si="51">EB14+EC14+ED14+EE14+EF14+EG14+EH14+EI14</f>
        <v>2</v>
      </c>
      <c r="EK14" s="99">
        <v>0</v>
      </c>
      <c r="EL14" s="99">
        <v>2</v>
      </c>
      <c r="EM14" s="99">
        <v>0</v>
      </c>
      <c r="EN14" s="99">
        <v>0</v>
      </c>
      <c r="EO14" s="99">
        <v>0</v>
      </c>
      <c r="EP14" s="99">
        <v>0</v>
      </c>
      <c r="EQ14" s="99">
        <v>0</v>
      </c>
      <c r="ER14" s="99">
        <v>0</v>
      </c>
      <c r="ES14" s="93">
        <f t="shared" ref="ES14:ES23" si="52">EK14+EL14+EM14+EN14+EO14+EP14+EQ14+ER14</f>
        <v>2</v>
      </c>
      <c r="ET14" s="45">
        <v>0</v>
      </c>
      <c r="EU14" s="45">
        <v>0</v>
      </c>
      <c r="EV14" s="45">
        <v>0</v>
      </c>
      <c r="EW14" s="45">
        <v>0</v>
      </c>
      <c r="EX14" s="45">
        <v>0</v>
      </c>
      <c r="EY14" s="45">
        <v>0</v>
      </c>
      <c r="EZ14" s="45">
        <v>0</v>
      </c>
      <c r="FA14" s="45">
        <v>0</v>
      </c>
      <c r="FB14" s="93">
        <f t="shared" si="0"/>
        <v>0</v>
      </c>
      <c r="FC14" s="45">
        <v>0</v>
      </c>
      <c r="FD14" s="45">
        <v>0</v>
      </c>
      <c r="FE14" s="45">
        <v>0</v>
      </c>
      <c r="FF14" s="45">
        <v>0</v>
      </c>
      <c r="FG14" s="45">
        <v>0</v>
      </c>
      <c r="FH14" s="45">
        <v>0</v>
      </c>
      <c r="FI14" s="45">
        <v>0</v>
      </c>
      <c r="FJ14" s="45">
        <v>0</v>
      </c>
      <c r="FK14" s="93">
        <f t="shared" si="1"/>
        <v>0</v>
      </c>
      <c r="FL14" s="45">
        <v>0</v>
      </c>
      <c r="FM14" s="45">
        <v>0</v>
      </c>
      <c r="FN14" s="45">
        <v>0</v>
      </c>
      <c r="FO14" s="45">
        <v>0</v>
      </c>
      <c r="FP14" s="45">
        <v>0</v>
      </c>
      <c r="FQ14" s="45">
        <v>0</v>
      </c>
      <c r="FR14" s="45">
        <v>0</v>
      </c>
      <c r="FS14" s="45">
        <v>0</v>
      </c>
      <c r="FT14" s="38">
        <f t="shared" si="46"/>
        <v>0</v>
      </c>
      <c r="FU14" s="45">
        <v>0</v>
      </c>
      <c r="FV14" s="45">
        <v>0</v>
      </c>
      <c r="FW14" s="45">
        <v>0</v>
      </c>
      <c r="FX14" s="45">
        <v>0</v>
      </c>
      <c r="FY14" s="45">
        <v>0</v>
      </c>
      <c r="FZ14" s="45">
        <v>0</v>
      </c>
      <c r="GA14" s="45">
        <v>0</v>
      </c>
      <c r="GB14" s="45">
        <v>0</v>
      </c>
      <c r="GC14" s="38">
        <f>FU14+FV14+FW14+FX14+FY14+FZ14+GA14+GB14</f>
        <v>0</v>
      </c>
      <c r="GD14" s="45">
        <v>0</v>
      </c>
      <c r="GE14" s="45">
        <v>0</v>
      </c>
      <c r="GF14" s="45">
        <v>0</v>
      </c>
      <c r="GG14" s="45">
        <v>0</v>
      </c>
      <c r="GH14" s="45">
        <v>0</v>
      </c>
      <c r="GI14" s="45">
        <v>0</v>
      </c>
      <c r="GJ14" s="45">
        <v>0</v>
      </c>
      <c r="GK14" s="45">
        <v>0</v>
      </c>
      <c r="GL14" s="38">
        <f t="shared" si="47"/>
        <v>0</v>
      </c>
      <c r="GM14" s="45">
        <v>0</v>
      </c>
      <c r="GN14" s="45">
        <v>0</v>
      </c>
      <c r="GO14" s="45">
        <v>0</v>
      </c>
      <c r="GP14" s="45">
        <v>0</v>
      </c>
      <c r="GQ14" s="45">
        <v>0</v>
      </c>
      <c r="GR14" s="45">
        <v>0</v>
      </c>
      <c r="GS14" s="45">
        <v>0</v>
      </c>
      <c r="GT14" s="45">
        <v>0</v>
      </c>
      <c r="GU14" s="38">
        <f>GM14+GN14+GO14+GP14+GQ14+GR14+GS14+GT14</f>
        <v>0</v>
      </c>
      <c r="GV14" s="45">
        <v>0</v>
      </c>
      <c r="GW14" s="45">
        <v>0</v>
      </c>
      <c r="GX14" s="45">
        <v>0</v>
      </c>
      <c r="GY14" s="45">
        <v>0</v>
      </c>
      <c r="GZ14" s="45">
        <v>0</v>
      </c>
      <c r="HA14" s="45">
        <v>0</v>
      </c>
      <c r="HB14" s="45">
        <v>0</v>
      </c>
      <c r="HC14" s="45">
        <v>0</v>
      </c>
      <c r="HD14" s="38">
        <f t="shared" si="40"/>
        <v>0</v>
      </c>
      <c r="HE14" s="45">
        <v>0</v>
      </c>
      <c r="HF14" s="45">
        <v>0</v>
      </c>
      <c r="HG14" s="45">
        <v>0</v>
      </c>
      <c r="HH14" s="45">
        <v>0</v>
      </c>
      <c r="HI14" s="45">
        <v>0</v>
      </c>
      <c r="HJ14" s="45">
        <v>0</v>
      </c>
      <c r="HK14" s="45">
        <v>0</v>
      </c>
      <c r="HL14" s="45">
        <v>0</v>
      </c>
      <c r="HM14" s="38">
        <f>HE14+HF14+HG14+HH14+HI14+HJ14+HK14+HL14</f>
        <v>0</v>
      </c>
      <c r="HN14" s="45">
        <v>0</v>
      </c>
      <c r="HO14" s="45">
        <v>0</v>
      </c>
      <c r="HP14" s="45">
        <v>0</v>
      </c>
      <c r="HQ14" s="45">
        <v>0</v>
      </c>
      <c r="HR14" s="45">
        <v>0</v>
      </c>
      <c r="HS14" s="45">
        <v>0</v>
      </c>
      <c r="HT14" s="45">
        <v>0</v>
      </c>
      <c r="HU14" s="45">
        <v>0</v>
      </c>
      <c r="HV14" s="38">
        <f t="shared" ref="HV14" si="53">HN14+HO14+HP14+HQ14+HR14+HS14+HT14+HU14</f>
        <v>0</v>
      </c>
      <c r="HW14" s="45">
        <v>0</v>
      </c>
      <c r="HX14" s="45">
        <v>0</v>
      </c>
      <c r="HY14" s="45">
        <v>0</v>
      </c>
      <c r="HZ14" s="45">
        <v>0</v>
      </c>
      <c r="IA14" s="45">
        <v>0</v>
      </c>
      <c r="IB14" s="45">
        <v>0</v>
      </c>
      <c r="IC14" s="45">
        <v>0</v>
      </c>
      <c r="ID14" s="45">
        <v>0</v>
      </c>
      <c r="IE14" s="38">
        <f>HW14+HX14+HY14+HZ14+IA14+IB14+IC14+ID14</f>
        <v>0</v>
      </c>
      <c r="IF14" s="136">
        <v>0</v>
      </c>
      <c r="IG14" s="136">
        <v>0</v>
      </c>
      <c r="IH14" s="136">
        <v>0</v>
      </c>
      <c r="II14" s="136">
        <v>0</v>
      </c>
      <c r="IJ14" s="136">
        <v>0</v>
      </c>
      <c r="IK14" s="136">
        <v>0</v>
      </c>
      <c r="IL14" s="136">
        <v>0</v>
      </c>
      <c r="IM14" s="136">
        <v>0</v>
      </c>
      <c r="IN14" s="38">
        <f t="shared" ref="IN14" si="54">IF14+IG14+IH14+II14+IJ14+IK14+IL14+IM14</f>
        <v>0</v>
      </c>
      <c r="IO14" s="136">
        <v>0</v>
      </c>
      <c r="IP14" s="136">
        <v>0</v>
      </c>
      <c r="IQ14" s="136">
        <v>0</v>
      </c>
      <c r="IR14" s="136">
        <v>0</v>
      </c>
      <c r="IS14" s="136">
        <v>0</v>
      </c>
      <c r="IT14" s="136">
        <v>0</v>
      </c>
      <c r="IU14" s="136">
        <v>0</v>
      </c>
      <c r="IV14" s="136">
        <v>0</v>
      </c>
      <c r="IW14" s="38">
        <f>IO14+IP14+IQ14+IR14+IS14+IT14+IU14+IV14</f>
        <v>0</v>
      </c>
      <c r="IX14" s="150">
        <v>0</v>
      </c>
      <c r="IY14" s="150">
        <v>0</v>
      </c>
      <c r="IZ14" s="150">
        <v>0</v>
      </c>
      <c r="JA14" s="150">
        <v>0</v>
      </c>
      <c r="JB14" s="150">
        <v>0</v>
      </c>
      <c r="JC14" s="150">
        <v>0</v>
      </c>
      <c r="JD14" s="150">
        <v>0</v>
      </c>
      <c r="JE14" s="150">
        <v>0</v>
      </c>
      <c r="JF14" s="38">
        <f t="shared" si="48"/>
        <v>0</v>
      </c>
      <c r="JG14" s="150">
        <v>0</v>
      </c>
      <c r="JH14" s="150">
        <v>0</v>
      </c>
      <c r="JI14" s="150">
        <v>0</v>
      </c>
      <c r="JJ14" s="150">
        <v>0</v>
      </c>
      <c r="JK14" s="150">
        <v>0</v>
      </c>
      <c r="JL14" s="150">
        <v>0</v>
      </c>
      <c r="JM14" s="150">
        <v>0</v>
      </c>
      <c r="JN14" s="150">
        <v>0</v>
      </c>
      <c r="JO14" s="38">
        <f>JG14+JH14+JI14+JJ14+JK14+JL14+JM14+JN14</f>
        <v>0</v>
      </c>
      <c r="JP14" s="14">
        <f t="shared" si="2"/>
        <v>2</v>
      </c>
      <c r="JQ14" s="46">
        <f t="shared" si="3"/>
        <v>2</v>
      </c>
      <c r="JR14" s="100">
        <f t="shared" si="35"/>
        <v>4</v>
      </c>
      <c r="JS14" s="101">
        <f>IF(E14&gt;0,E14-JR14,"N/A")</f>
        <v>11</v>
      </c>
      <c r="JT14" s="59">
        <f>IF(ISBLANK(E14),"",JR14/E14)</f>
        <v>0.26666666666666666</v>
      </c>
    </row>
    <row r="15" spans="1:282" ht="33.5" thickBot="1" x14ac:dyDescent="0.55000000000000004">
      <c r="A15" s="26" t="s">
        <v>35</v>
      </c>
      <c r="B15" s="26" t="s">
        <v>36</v>
      </c>
      <c r="C15" s="184"/>
      <c r="D15" s="185"/>
      <c r="E15" s="246" t="str">
        <f>IF(ISBLANK(JQ15),"",(GB15+GC15)/#REF!)</f>
        <v/>
      </c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/>
      <c r="BL15" s="247"/>
      <c r="BM15" s="247"/>
      <c r="BN15" s="247"/>
      <c r="BO15" s="247"/>
      <c r="BP15" s="247"/>
      <c r="BQ15" s="247"/>
      <c r="BR15" s="247"/>
      <c r="BS15" s="247"/>
      <c r="BT15" s="247"/>
      <c r="BU15" s="247"/>
      <c r="BV15" s="247"/>
      <c r="BW15" s="247"/>
      <c r="BX15" s="247"/>
      <c r="BY15" s="247"/>
      <c r="BZ15" s="247"/>
      <c r="CA15" s="247"/>
      <c r="CB15" s="247"/>
      <c r="CC15" s="247"/>
      <c r="CD15" s="247"/>
      <c r="CE15" s="247"/>
      <c r="CF15" s="247"/>
      <c r="CG15" s="247"/>
      <c r="CH15" s="247"/>
      <c r="CI15" s="247"/>
      <c r="CJ15" s="247"/>
      <c r="CK15" s="247"/>
      <c r="CL15" s="247"/>
      <c r="CM15" s="247"/>
      <c r="CN15" s="247"/>
      <c r="CO15" s="247"/>
      <c r="CP15" s="247"/>
      <c r="CQ15" s="247"/>
      <c r="CR15" s="247"/>
      <c r="CS15" s="247"/>
      <c r="CT15" s="247"/>
      <c r="CU15" s="247"/>
      <c r="CV15" s="247"/>
      <c r="CW15" s="247"/>
      <c r="CX15" s="247"/>
      <c r="CY15" s="247"/>
      <c r="CZ15" s="247"/>
      <c r="DA15" s="247"/>
      <c r="DB15" s="247"/>
      <c r="DC15" s="247"/>
      <c r="DD15" s="247"/>
      <c r="DE15" s="247"/>
      <c r="DF15" s="247"/>
      <c r="DG15" s="247"/>
      <c r="DH15" s="247"/>
      <c r="DI15" s="247"/>
      <c r="DJ15" s="247"/>
      <c r="DK15" s="247"/>
      <c r="DL15" s="247"/>
      <c r="DM15" s="247"/>
      <c r="DN15" s="247"/>
      <c r="DO15" s="247"/>
      <c r="DP15" s="247"/>
      <c r="DQ15" s="247"/>
      <c r="DR15" s="247"/>
      <c r="DS15" s="247"/>
      <c r="DT15" s="247"/>
      <c r="DU15" s="247"/>
      <c r="DV15" s="247"/>
      <c r="DW15" s="247"/>
      <c r="DX15" s="247"/>
      <c r="DY15" s="247"/>
      <c r="DZ15" s="247"/>
      <c r="EA15" s="247"/>
      <c r="EB15" s="247"/>
      <c r="EC15" s="247"/>
      <c r="ED15" s="247"/>
      <c r="EE15" s="247"/>
      <c r="EF15" s="247"/>
      <c r="EG15" s="247"/>
      <c r="EH15" s="247"/>
      <c r="EI15" s="247"/>
      <c r="EJ15" s="247"/>
      <c r="EK15" s="247"/>
      <c r="EL15" s="247"/>
      <c r="EM15" s="247"/>
      <c r="EN15" s="247"/>
      <c r="EO15" s="247"/>
      <c r="EP15" s="247"/>
      <c r="EQ15" s="247"/>
      <c r="ER15" s="247"/>
      <c r="ES15" s="247"/>
      <c r="ET15" s="247"/>
      <c r="EU15" s="247"/>
      <c r="EV15" s="247"/>
      <c r="EW15" s="247"/>
      <c r="EX15" s="247"/>
      <c r="EY15" s="247"/>
      <c r="EZ15" s="247"/>
      <c r="FA15" s="247"/>
      <c r="FB15" s="247"/>
      <c r="FC15" s="247"/>
      <c r="FD15" s="247"/>
      <c r="FE15" s="247"/>
      <c r="FF15" s="247"/>
      <c r="FG15" s="247"/>
      <c r="FH15" s="247"/>
      <c r="FI15" s="247"/>
      <c r="FJ15" s="247"/>
      <c r="FK15" s="247"/>
      <c r="FL15" s="247"/>
      <c r="FM15" s="247"/>
      <c r="FN15" s="247"/>
      <c r="FO15" s="247"/>
      <c r="FP15" s="247"/>
      <c r="FQ15" s="247"/>
      <c r="FR15" s="247"/>
      <c r="FS15" s="247"/>
      <c r="FT15" s="247"/>
      <c r="FU15" s="247"/>
      <c r="FV15" s="247"/>
      <c r="FW15" s="247"/>
      <c r="FX15" s="247"/>
      <c r="FY15" s="247"/>
      <c r="FZ15" s="247"/>
      <c r="GA15" s="247"/>
      <c r="GB15" s="247"/>
      <c r="GC15" s="247"/>
      <c r="GD15" s="247"/>
      <c r="GE15" s="247"/>
      <c r="GF15" s="247"/>
      <c r="GG15" s="247"/>
      <c r="GH15" s="247"/>
      <c r="GI15" s="247"/>
      <c r="GJ15" s="247"/>
      <c r="GK15" s="247"/>
      <c r="GL15" s="247"/>
      <c r="GM15" s="247"/>
      <c r="GN15" s="247"/>
      <c r="GO15" s="247"/>
      <c r="GP15" s="247"/>
      <c r="GQ15" s="247"/>
      <c r="GR15" s="247"/>
      <c r="GS15" s="247"/>
      <c r="GT15" s="247"/>
      <c r="GU15" s="247"/>
      <c r="GV15" s="247"/>
      <c r="GW15" s="247"/>
      <c r="GX15" s="247"/>
      <c r="GY15" s="247"/>
      <c r="GZ15" s="247"/>
      <c r="HA15" s="247"/>
      <c r="HB15" s="247"/>
      <c r="HC15" s="247"/>
      <c r="HD15" s="247"/>
      <c r="HE15" s="247"/>
      <c r="HF15" s="247"/>
      <c r="HG15" s="247"/>
      <c r="HH15" s="247"/>
      <c r="HI15" s="247"/>
      <c r="HJ15" s="247"/>
      <c r="HK15" s="247"/>
      <c r="HL15" s="247"/>
      <c r="HM15" s="247"/>
      <c r="HN15" s="247"/>
      <c r="HO15" s="247"/>
      <c r="HP15" s="247"/>
      <c r="HQ15" s="247"/>
      <c r="HR15" s="247"/>
      <c r="HS15" s="247"/>
      <c r="HT15" s="247"/>
      <c r="HU15" s="247"/>
      <c r="HV15" s="247"/>
      <c r="HW15" s="247"/>
      <c r="HX15" s="247"/>
      <c r="HY15" s="247"/>
      <c r="HZ15" s="247"/>
      <c r="IA15" s="247"/>
      <c r="IB15" s="247"/>
      <c r="IC15" s="247"/>
      <c r="ID15" s="247"/>
      <c r="IE15" s="247"/>
      <c r="IF15" s="247"/>
      <c r="IG15" s="247"/>
      <c r="IH15" s="247"/>
      <c r="II15" s="247"/>
      <c r="IJ15" s="247"/>
      <c r="IK15" s="247"/>
      <c r="IL15" s="247"/>
      <c r="IM15" s="247"/>
      <c r="IN15" s="247"/>
      <c r="IO15" s="247"/>
      <c r="IP15" s="247"/>
      <c r="IQ15" s="247"/>
      <c r="IR15" s="247"/>
      <c r="IS15" s="247"/>
      <c r="IT15" s="247"/>
      <c r="IU15" s="247"/>
      <c r="IV15" s="247"/>
      <c r="IW15" s="247"/>
      <c r="IX15" s="247"/>
      <c r="IY15" s="247"/>
      <c r="IZ15" s="247"/>
      <c r="JA15" s="247"/>
      <c r="JB15" s="247"/>
      <c r="JC15" s="247"/>
      <c r="JD15" s="247"/>
      <c r="JE15" s="247"/>
      <c r="JF15" s="247"/>
      <c r="JG15" s="247"/>
      <c r="JH15" s="247"/>
      <c r="JI15" s="247"/>
      <c r="JJ15" s="247"/>
      <c r="JK15" s="247"/>
      <c r="JL15" s="247"/>
      <c r="JM15" s="247"/>
      <c r="JN15" s="247"/>
      <c r="JO15" s="247"/>
      <c r="JP15" s="247"/>
      <c r="JQ15" s="247"/>
      <c r="JR15" s="247"/>
      <c r="JS15" s="247"/>
      <c r="JT15" s="247"/>
    </row>
    <row r="16" spans="1:282" ht="33.5" thickBot="1" x14ac:dyDescent="0.55000000000000004">
      <c r="A16" s="27" t="s">
        <v>35</v>
      </c>
      <c r="B16" s="19" t="s">
        <v>37</v>
      </c>
      <c r="C16" s="179"/>
      <c r="D16" s="180"/>
      <c r="E16" s="132">
        <v>1200</v>
      </c>
      <c r="F16" s="102">
        <v>0</v>
      </c>
      <c r="G16" s="102">
        <v>0</v>
      </c>
      <c r="H16" s="102">
        <v>0</v>
      </c>
      <c r="I16" s="102">
        <v>0</v>
      </c>
      <c r="J16" s="102">
        <v>0</v>
      </c>
      <c r="K16" s="102">
        <v>0</v>
      </c>
      <c r="L16" s="102">
        <v>0</v>
      </c>
      <c r="M16" s="102">
        <v>0</v>
      </c>
      <c r="N16" s="103">
        <f t="shared" si="32"/>
        <v>0</v>
      </c>
      <c r="O16" s="102">
        <v>0</v>
      </c>
      <c r="P16" s="102">
        <v>0</v>
      </c>
      <c r="Q16" s="102">
        <v>0</v>
      </c>
      <c r="R16" s="102">
        <v>0</v>
      </c>
      <c r="S16" s="102">
        <v>0</v>
      </c>
      <c r="T16" s="102">
        <v>0</v>
      </c>
      <c r="U16" s="102">
        <v>0</v>
      </c>
      <c r="V16" s="102">
        <v>0</v>
      </c>
      <c r="W16" s="103">
        <f t="shared" si="33"/>
        <v>0</v>
      </c>
      <c r="X16" s="104">
        <v>0</v>
      </c>
      <c r="Y16" s="104">
        <v>3</v>
      </c>
      <c r="Z16" s="104">
        <v>0</v>
      </c>
      <c r="AA16" s="104">
        <v>0</v>
      </c>
      <c r="AB16" s="104">
        <v>0</v>
      </c>
      <c r="AC16" s="104">
        <v>0</v>
      </c>
      <c r="AD16" s="104">
        <v>0</v>
      </c>
      <c r="AE16" s="104">
        <v>0</v>
      </c>
      <c r="AF16" s="103">
        <f t="shared" si="41"/>
        <v>3</v>
      </c>
      <c r="AG16" s="104">
        <v>0</v>
      </c>
      <c r="AH16" s="104">
        <v>4</v>
      </c>
      <c r="AI16" s="104">
        <v>0</v>
      </c>
      <c r="AJ16" s="104">
        <v>0</v>
      </c>
      <c r="AK16" s="104">
        <v>0</v>
      </c>
      <c r="AL16" s="104">
        <v>3</v>
      </c>
      <c r="AM16" s="104">
        <v>0</v>
      </c>
      <c r="AN16" s="104">
        <v>0</v>
      </c>
      <c r="AO16" s="103">
        <f t="shared" si="42"/>
        <v>7</v>
      </c>
      <c r="AP16" s="105">
        <v>0</v>
      </c>
      <c r="AQ16" s="105">
        <v>0</v>
      </c>
      <c r="AR16" s="105">
        <v>0</v>
      </c>
      <c r="AS16" s="105">
        <v>0</v>
      </c>
      <c r="AT16" s="105">
        <v>0</v>
      </c>
      <c r="AU16" s="105">
        <v>0</v>
      </c>
      <c r="AV16" s="105">
        <v>0</v>
      </c>
      <c r="AW16" s="105">
        <v>0</v>
      </c>
      <c r="AX16" s="103">
        <f t="shared" si="34"/>
        <v>0</v>
      </c>
      <c r="AY16" s="105">
        <v>0</v>
      </c>
      <c r="AZ16" s="105">
        <v>4</v>
      </c>
      <c r="BA16" s="105">
        <v>0</v>
      </c>
      <c r="BB16" s="105">
        <v>0</v>
      </c>
      <c r="BC16" s="105">
        <v>0</v>
      </c>
      <c r="BD16" s="105">
        <v>0</v>
      </c>
      <c r="BE16" s="105">
        <v>0</v>
      </c>
      <c r="BF16" s="105">
        <v>0</v>
      </c>
      <c r="BG16" s="103">
        <f t="shared" si="36"/>
        <v>4</v>
      </c>
      <c r="BH16" s="106">
        <v>0</v>
      </c>
      <c r="BI16" s="106">
        <v>3</v>
      </c>
      <c r="BJ16" s="106">
        <v>0</v>
      </c>
      <c r="BK16" s="106">
        <v>0</v>
      </c>
      <c r="BL16" s="106">
        <v>0</v>
      </c>
      <c r="BM16" s="106">
        <v>0</v>
      </c>
      <c r="BN16" s="106">
        <v>0</v>
      </c>
      <c r="BO16" s="106">
        <v>0</v>
      </c>
      <c r="BP16" s="103">
        <f t="shared" si="37"/>
        <v>3</v>
      </c>
      <c r="BQ16" s="106">
        <v>0</v>
      </c>
      <c r="BR16" s="106">
        <v>11</v>
      </c>
      <c r="BS16" s="106">
        <v>0</v>
      </c>
      <c r="BT16" s="106">
        <v>0</v>
      </c>
      <c r="BU16" s="106">
        <v>0</v>
      </c>
      <c r="BV16" s="106">
        <v>0</v>
      </c>
      <c r="BW16" s="106">
        <v>0</v>
      </c>
      <c r="BX16" s="106">
        <v>0</v>
      </c>
      <c r="BY16" s="103">
        <f t="shared" si="43"/>
        <v>11</v>
      </c>
      <c r="BZ16" s="107">
        <v>0</v>
      </c>
      <c r="CA16" s="107">
        <v>11</v>
      </c>
      <c r="CB16" s="107">
        <v>0</v>
      </c>
      <c r="CC16" s="107">
        <v>0</v>
      </c>
      <c r="CD16" s="107">
        <v>0</v>
      </c>
      <c r="CE16" s="107">
        <v>0</v>
      </c>
      <c r="CF16" s="107">
        <v>0</v>
      </c>
      <c r="CG16" s="107">
        <v>0</v>
      </c>
      <c r="CH16" s="103">
        <f t="shared" si="49"/>
        <v>11</v>
      </c>
      <c r="CI16" s="107">
        <v>0</v>
      </c>
      <c r="CJ16" s="107">
        <v>12</v>
      </c>
      <c r="CK16" s="107">
        <v>0</v>
      </c>
      <c r="CL16" s="107">
        <v>0</v>
      </c>
      <c r="CM16" s="107">
        <v>0</v>
      </c>
      <c r="CN16" s="107">
        <v>0</v>
      </c>
      <c r="CO16" s="107">
        <v>0</v>
      </c>
      <c r="CP16" s="107">
        <v>0</v>
      </c>
      <c r="CQ16" s="103">
        <f t="shared" si="44"/>
        <v>12</v>
      </c>
      <c r="CR16" s="108">
        <v>0</v>
      </c>
      <c r="CS16" s="108">
        <v>22</v>
      </c>
      <c r="CT16" s="108">
        <v>0</v>
      </c>
      <c r="CU16" s="108">
        <v>0</v>
      </c>
      <c r="CV16" s="108">
        <v>0</v>
      </c>
      <c r="CW16" s="108">
        <v>0</v>
      </c>
      <c r="CX16" s="108">
        <v>0</v>
      </c>
      <c r="CY16" s="108">
        <v>0</v>
      </c>
      <c r="CZ16" s="103">
        <f t="shared" si="38"/>
        <v>22</v>
      </c>
      <c r="DA16" s="108">
        <v>0</v>
      </c>
      <c r="DB16" s="108">
        <v>17</v>
      </c>
      <c r="DC16" s="108">
        <v>0</v>
      </c>
      <c r="DD16" s="108">
        <v>0</v>
      </c>
      <c r="DE16" s="108">
        <v>0</v>
      </c>
      <c r="DF16" s="108">
        <v>0</v>
      </c>
      <c r="DG16" s="108">
        <v>0</v>
      </c>
      <c r="DH16" s="108">
        <v>0</v>
      </c>
      <c r="DI16" s="103">
        <f t="shared" si="50"/>
        <v>17</v>
      </c>
      <c r="DJ16" s="104">
        <v>0</v>
      </c>
      <c r="DK16" s="104">
        <v>8</v>
      </c>
      <c r="DL16" s="104">
        <v>0</v>
      </c>
      <c r="DM16" s="104">
        <v>0</v>
      </c>
      <c r="DN16" s="104">
        <v>0</v>
      </c>
      <c r="DO16" s="104">
        <v>0</v>
      </c>
      <c r="DP16" s="104">
        <v>0</v>
      </c>
      <c r="DQ16" s="104">
        <v>0</v>
      </c>
      <c r="DR16" s="103">
        <f t="shared" si="39"/>
        <v>8</v>
      </c>
      <c r="DS16" s="104">
        <v>0</v>
      </c>
      <c r="DT16" s="104">
        <v>10</v>
      </c>
      <c r="DU16" s="104">
        <v>0</v>
      </c>
      <c r="DV16" s="104">
        <v>0</v>
      </c>
      <c r="DW16" s="104">
        <v>0</v>
      </c>
      <c r="DX16" s="104">
        <v>0</v>
      </c>
      <c r="DY16" s="104">
        <v>0</v>
      </c>
      <c r="DZ16" s="104">
        <v>0</v>
      </c>
      <c r="EA16" s="103">
        <f t="shared" si="45"/>
        <v>10</v>
      </c>
      <c r="EB16" s="109">
        <v>0</v>
      </c>
      <c r="EC16" s="109">
        <f>EC5+EC6</f>
        <v>113</v>
      </c>
      <c r="ED16" s="109">
        <v>0</v>
      </c>
      <c r="EE16" s="109">
        <v>0</v>
      </c>
      <c r="EF16" s="109">
        <v>0</v>
      </c>
      <c r="EG16" s="109">
        <v>0</v>
      </c>
      <c r="EH16" s="109">
        <v>0</v>
      </c>
      <c r="EI16" s="109">
        <v>0</v>
      </c>
      <c r="EJ16" s="103">
        <f t="shared" si="51"/>
        <v>113</v>
      </c>
      <c r="EK16" s="109">
        <v>0</v>
      </c>
      <c r="EL16" s="109">
        <f>EL5+EL6</f>
        <v>84</v>
      </c>
      <c r="EM16" s="109">
        <v>0</v>
      </c>
      <c r="EN16" s="109">
        <v>0</v>
      </c>
      <c r="EO16" s="109">
        <v>0</v>
      </c>
      <c r="EP16" s="109">
        <v>0</v>
      </c>
      <c r="EQ16" s="109">
        <v>0</v>
      </c>
      <c r="ER16" s="109">
        <v>0</v>
      </c>
      <c r="ES16" s="103">
        <f t="shared" si="52"/>
        <v>84</v>
      </c>
      <c r="ET16" s="110">
        <v>0</v>
      </c>
      <c r="EU16" s="110">
        <v>0</v>
      </c>
      <c r="EV16" s="110">
        <v>0</v>
      </c>
      <c r="EW16" s="110">
        <v>0</v>
      </c>
      <c r="EX16" s="110">
        <v>0</v>
      </c>
      <c r="EY16" s="110">
        <v>0</v>
      </c>
      <c r="EZ16" s="110">
        <v>0</v>
      </c>
      <c r="FA16" s="110">
        <v>0</v>
      </c>
      <c r="FB16" s="103">
        <f t="shared" si="0"/>
        <v>0</v>
      </c>
      <c r="FC16" s="110">
        <v>0</v>
      </c>
      <c r="FD16" s="110">
        <f>FD5+FD6</f>
        <v>6</v>
      </c>
      <c r="FE16" s="110">
        <v>0</v>
      </c>
      <c r="FF16" s="110">
        <v>0</v>
      </c>
      <c r="FG16" s="110">
        <v>0</v>
      </c>
      <c r="FH16" s="110">
        <v>0</v>
      </c>
      <c r="FI16" s="110">
        <v>0</v>
      </c>
      <c r="FJ16" s="110">
        <v>0</v>
      </c>
      <c r="FK16" s="103">
        <f t="shared" si="1"/>
        <v>6</v>
      </c>
      <c r="FL16" s="110">
        <v>0</v>
      </c>
      <c r="FM16" s="110">
        <f>FM5+FM6</f>
        <v>13</v>
      </c>
      <c r="FN16" s="110">
        <v>0</v>
      </c>
      <c r="FO16" s="110">
        <v>0</v>
      </c>
      <c r="FP16" s="110">
        <v>0</v>
      </c>
      <c r="FQ16" s="110">
        <v>0</v>
      </c>
      <c r="FR16" s="110">
        <v>0</v>
      </c>
      <c r="FS16" s="110">
        <v>0</v>
      </c>
      <c r="FT16" s="103">
        <f t="shared" si="46"/>
        <v>13</v>
      </c>
      <c r="FU16" s="110">
        <v>0</v>
      </c>
      <c r="FV16" s="110">
        <f>FV5+FV6</f>
        <v>7</v>
      </c>
      <c r="FW16" s="110">
        <v>0</v>
      </c>
      <c r="FX16" s="110">
        <v>0</v>
      </c>
      <c r="FY16" s="110">
        <v>0</v>
      </c>
      <c r="FZ16" s="110">
        <v>0</v>
      </c>
      <c r="GA16" s="110">
        <v>0</v>
      </c>
      <c r="GB16" s="110">
        <v>0</v>
      </c>
      <c r="GC16" s="103">
        <f>FU16+FV16+FW16+FX16+FY16+FZ16+GA16+GB16</f>
        <v>7</v>
      </c>
      <c r="GD16" s="110">
        <v>10</v>
      </c>
      <c r="GE16" s="110">
        <f>150+GE5+GE6</f>
        <v>153</v>
      </c>
      <c r="GF16" s="110">
        <v>0</v>
      </c>
      <c r="GG16" s="110">
        <v>0</v>
      </c>
      <c r="GH16" s="110">
        <v>0</v>
      </c>
      <c r="GI16" s="110">
        <v>0</v>
      </c>
      <c r="GJ16" s="110">
        <v>0</v>
      </c>
      <c r="GK16" s="110">
        <v>0</v>
      </c>
      <c r="GL16" s="103">
        <f t="shared" ref="GL16" si="55">GD16+GE16+GF16+GG16+GH16+GI16+GJ16+GK16</f>
        <v>163</v>
      </c>
      <c r="GM16" s="110">
        <v>11</v>
      </c>
      <c r="GN16" s="110">
        <f>129+GN5+GN6</f>
        <v>133</v>
      </c>
      <c r="GO16" s="110">
        <v>0</v>
      </c>
      <c r="GP16" s="110">
        <v>0</v>
      </c>
      <c r="GQ16" s="110">
        <v>0</v>
      </c>
      <c r="GR16" s="110">
        <v>0</v>
      </c>
      <c r="GS16" s="110">
        <v>0</v>
      </c>
      <c r="GT16" s="110">
        <v>0</v>
      </c>
      <c r="GU16" s="103">
        <f>GM16+GN16+GO16+GP16+GQ16+GR16+GS16+GT16</f>
        <v>144</v>
      </c>
      <c r="GV16" s="110">
        <v>0</v>
      </c>
      <c r="GW16" s="110">
        <f>GW5+GW6</f>
        <v>37</v>
      </c>
      <c r="GX16" s="110">
        <v>0</v>
      </c>
      <c r="GY16" s="110">
        <v>0</v>
      </c>
      <c r="GZ16" s="110">
        <v>0</v>
      </c>
      <c r="HA16" s="110">
        <v>0</v>
      </c>
      <c r="HB16" s="110">
        <v>0</v>
      </c>
      <c r="HC16" s="110">
        <v>0</v>
      </c>
      <c r="HD16" s="103">
        <f t="shared" ref="HD16" si="56">GV16+GW16+GX16+GY16+GZ16+HA16+HB16+HC16</f>
        <v>37</v>
      </c>
      <c r="HE16" s="110">
        <v>0</v>
      </c>
      <c r="HF16" s="110">
        <f>HF5+HF6</f>
        <v>42</v>
      </c>
      <c r="HG16" s="110">
        <v>0</v>
      </c>
      <c r="HH16" s="110">
        <v>0</v>
      </c>
      <c r="HI16" s="110">
        <v>0</v>
      </c>
      <c r="HJ16" s="110">
        <v>0</v>
      </c>
      <c r="HK16" s="110">
        <v>0</v>
      </c>
      <c r="HL16" s="110">
        <v>0</v>
      </c>
      <c r="HM16" s="103">
        <f>HE16+HF16+HG16+HH16+HI16+HJ16+HK16+HL16</f>
        <v>42</v>
      </c>
      <c r="HN16" s="110">
        <v>0</v>
      </c>
      <c r="HO16" s="110">
        <f>HO5+HO6</f>
        <v>66</v>
      </c>
      <c r="HP16" s="110">
        <v>0</v>
      </c>
      <c r="HQ16" s="110">
        <v>0</v>
      </c>
      <c r="HR16" s="110">
        <v>0</v>
      </c>
      <c r="HS16" s="110">
        <v>0</v>
      </c>
      <c r="HT16" s="110">
        <v>0</v>
      </c>
      <c r="HU16" s="110">
        <v>0</v>
      </c>
      <c r="HV16" s="103">
        <f t="shared" ref="HV16" si="57">HN16+HO16+HP16+HQ16+HR16+HS16+HT16+HU16</f>
        <v>66</v>
      </c>
      <c r="HW16" s="110">
        <v>0</v>
      </c>
      <c r="HX16" s="110">
        <f>HX5+HX6</f>
        <v>53</v>
      </c>
      <c r="HY16" s="110">
        <v>0</v>
      </c>
      <c r="HZ16" s="110">
        <v>0</v>
      </c>
      <c r="IA16" s="110">
        <v>0</v>
      </c>
      <c r="IB16" s="110">
        <v>0</v>
      </c>
      <c r="IC16" s="110">
        <v>0</v>
      </c>
      <c r="ID16" s="110">
        <v>0</v>
      </c>
      <c r="IE16" s="103">
        <f>HW16+HX16+HY16+HZ16+IA16+IB16+IC16+ID16</f>
        <v>53</v>
      </c>
      <c r="IF16" s="138">
        <v>0</v>
      </c>
      <c r="IG16" s="138">
        <f>IG5+IG6</f>
        <v>16</v>
      </c>
      <c r="IH16" s="138">
        <v>0</v>
      </c>
      <c r="II16" s="138">
        <v>0</v>
      </c>
      <c r="IJ16" s="138">
        <v>0</v>
      </c>
      <c r="IK16" s="138">
        <v>0</v>
      </c>
      <c r="IL16" s="138">
        <v>0</v>
      </c>
      <c r="IM16" s="138">
        <v>0</v>
      </c>
      <c r="IN16" s="103">
        <f t="shared" ref="IN16" si="58">IF16+IG16+IH16+II16+IJ16+IK16+IL16+IM16</f>
        <v>16</v>
      </c>
      <c r="IO16" s="138">
        <v>0</v>
      </c>
      <c r="IP16" s="138">
        <f>IP5+IP6</f>
        <v>38</v>
      </c>
      <c r="IQ16" s="138">
        <v>0</v>
      </c>
      <c r="IR16" s="138">
        <v>0</v>
      </c>
      <c r="IS16" s="138">
        <v>0</v>
      </c>
      <c r="IT16" s="138">
        <v>0</v>
      </c>
      <c r="IU16" s="138">
        <v>0</v>
      </c>
      <c r="IV16" s="138">
        <v>0</v>
      </c>
      <c r="IW16" s="103">
        <f>IO16+IP16+IQ16+IR16+IS16+IT16+IU16+IV16</f>
        <v>38</v>
      </c>
      <c r="IX16" s="151">
        <v>0</v>
      </c>
      <c r="IY16" s="151">
        <v>0</v>
      </c>
      <c r="IZ16" s="151">
        <v>0</v>
      </c>
      <c r="JA16" s="151">
        <v>0</v>
      </c>
      <c r="JB16" s="151">
        <v>0</v>
      </c>
      <c r="JC16" s="151">
        <v>0</v>
      </c>
      <c r="JD16" s="151">
        <v>0</v>
      </c>
      <c r="JE16" s="151">
        <v>0</v>
      </c>
      <c r="JF16" s="103">
        <f t="shared" ref="JF16" si="59">IX16+IY16+IZ16+JA16+JB16+JC16+JD16+JE16</f>
        <v>0</v>
      </c>
      <c r="JG16" s="151">
        <v>0</v>
      </c>
      <c r="JH16" s="151">
        <v>0</v>
      </c>
      <c r="JI16" s="151">
        <v>0</v>
      </c>
      <c r="JJ16" s="151">
        <v>0</v>
      </c>
      <c r="JK16" s="151">
        <v>0</v>
      </c>
      <c r="JL16" s="151">
        <v>0</v>
      </c>
      <c r="JM16" s="151">
        <v>0</v>
      </c>
      <c r="JN16" s="151">
        <v>0</v>
      </c>
      <c r="JO16" s="103">
        <f>JG16+JH16+JI16+JJ16+JK16+JL16+JM16+JN16</f>
        <v>0</v>
      </c>
      <c r="JP16" s="60">
        <f>N16+AF16+AX16+BP16+CH16+CZ16+DR16+EJ16+FB16+FT16+GL16+HD16+HV16+IN16</f>
        <v>455</v>
      </c>
      <c r="JQ16" s="111">
        <f>W16+AO16+BG16+BY16+CQ16+DI16+EA16+ES16+FK16+GC16+GU16+HM16+IE16+IW16</f>
        <v>435</v>
      </c>
      <c r="JR16" s="112">
        <f t="shared" si="35"/>
        <v>890</v>
      </c>
      <c r="JS16" s="111">
        <f>IF(E16&gt;0,E16-JR16,"N/A")</f>
        <v>310</v>
      </c>
      <c r="JT16" s="61">
        <f>IF(ISBLANK(E16),"",JR16/E16)</f>
        <v>0.7416666666666667</v>
      </c>
    </row>
    <row r="17" spans="1:282" ht="50" thickBot="1" x14ac:dyDescent="0.55000000000000004">
      <c r="A17" s="20" t="s">
        <v>38</v>
      </c>
      <c r="B17" s="133" t="s">
        <v>39</v>
      </c>
      <c r="C17" s="184"/>
      <c r="D17" s="185"/>
      <c r="E17" s="248" t="str">
        <f>IF(ISBLANK(JQ17),"",JP17/#REF!)</f>
        <v/>
      </c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49"/>
      <c r="AO17" s="249"/>
      <c r="AP17" s="249"/>
      <c r="AQ17" s="249"/>
      <c r="AR17" s="249"/>
      <c r="AS17" s="249"/>
      <c r="AT17" s="249"/>
      <c r="AU17" s="249"/>
      <c r="AV17" s="249"/>
      <c r="AW17" s="249"/>
      <c r="AX17" s="249"/>
      <c r="AY17" s="249"/>
      <c r="AZ17" s="249"/>
      <c r="BA17" s="249"/>
      <c r="BB17" s="249"/>
      <c r="BC17" s="249"/>
      <c r="BD17" s="249"/>
      <c r="BE17" s="249"/>
      <c r="BF17" s="249"/>
      <c r="BG17" s="249"/>
      <c r="BH17" s="249"/>
      <c r="BI17" s="249"/>
      <c r="BJ17" s="249"/>
      <c r="BK17" s="249"/>
      <c r="BL17" s="249"/>
      <c r="BM17" s="249"/>
      <c r="BN17" s="249"/>
      <c r="BO17" s="249"/>
      <c r="BP17" s="249"/>
      <c r="BQ17" s="249"/>
      <c r="BR17" s="249"/>
      <c r="BS17" s="249"/>
      <c r="BT17" s="249"/>
      <c r="BU17" s="249"/>
      <c r="BV17" s="249"/>
      <c r="BW17" s="249"/>
      <c r="BX17" s="249"/>
      <c r="BY17" s="249"/>
      <c r="BZ17" s="249"/>
      <c r="CA17" s="249"/>
      <c r="CB17" s="249"/>
      <c r="CC17" s="249"/>
      <c r="CD17" s="249"/>
      <c r="CE17" s="249"/>
      <c r="CF17" s="249"/>
      <c r="CG17" s="249"/>
      <c r="CH17" s="249"/>
      <c r="CI17" s="249"/>
      <c r="CJ17" s="249"/>
      <c r="CK17" s="249"/>
      <c r="CL17" s="249"/>
      <c r="CM17" s="249"/>
      <c r="CN17" s="249"/>
      <c r="CO17" s="249"/>
      <c r="CP17" s="249"/>
      <c r="CQ17" s="249"/>
      <c r="CR17" s="249"/>
      <c r="CS17" s="249"/>
      <c r="CT17" s="249"/>
      <c r="CU17" s="249"/>
      <c r="CV17" s="249"/>
      <c r="CW17" s="249"/>
      <c r="CX17" s="249"/>
      <c r="CY17" s="249"/>
      <c r="CZ17" s="249"/>
      <c r="DA17" s="249"/>
      <c r="DB17" s="249"/>
      <c r="DC17" s="249"/>
      <c r="DD17" s="249"/>
      <c r="DE17" s="249"/>
      <c r="DF17" s="249"/>
      <c r="DG17" s="249"/>
      <c r="DH17" s="249"/>
      <c r="DI17" s="249"/>
      <c r="DJ17" s="249"/>
      <c r="DK17" s="249"/>
      <c r="DL17" s="249"/>
      <c r="DM17" s="249"/>
      <c r="DN17" s="249"/>
      <c r="DO17" s="249"/>
      <c r="DP17" s="249"/>
      <c r="DQ17" s="249"/>
      <c r="DR17" s="249"/>
      <c r="DS17" s="249"/>
      <c r="DT17" s="249"/>
      <c r="DU17" s="249"/>
      <c r="DV17" s="249"/>
      <c r="DW17" s="249"/>
      <c r="DX17" s="249"/>
      <c r="DY17" s="249"/>
      <c r="DZ17" s="249"/>
      <c r="EA17" s="249"/>
      <c r="EB17" s="249"/>
      <c r="EC17" s="249"/>
      <c r="ED17" s="249"/>
      <c r="EE17" s="249"/>
      <c r="EF17" s="249"/>
      <c r="EG17" s="249"/>
      <c r="EH17" s="249"/>
      <c r="EI17" s="249"/>
      <c r="EJ17" s="249"/>
      <c r="EK17" s="249"/>
      <c r="EL17" s="249"/>
      <c r="EM17" s="249"/>
      <c r="EN17" s="249"/>
      <c r="EO17" s="249"/>
      <c r="EP17" s="249"/>
      <c r="EQ17" s="249"/>
      <c r="ER17" s="249"/>
      <c r="ES17" s="249"/>
      <c r="ET17" s="249"/>
      <c r="EU17" s="249"/>
      <c r="EV17" s="249"/>
      <c r="EW17" s="249"/>
      <c r="EX17" s="249"/>
      <c r="EY17" s="249"/>
      <c r="EZ17" s="249"/>
      <c r="FA17" s="249"/>
      <c r="FB17" s="249"/>
      <c r="FC17" s="249"/>
      <c r="FD17" s="249"/>
      <c r="FE17" s="249"/>
      <c r="FF17" s="249"/>
      <c r="FG17" s="249"/>
      <c r="FH17" s="249"/>
      <c r="FI17" s="249"/>
      <c r="FJ17" s="249"/>
      <c r="FK17" s="249"/>
      <c r="FL17" s="249"/>
      <c r="FM17" s="249"/>
      <c r="FN17" s="249"/>
      <c r="FO17" s="249"/>
      <c r="FP17" s="249"/>
      <c r="FQ17" s="249"/>
      <c r="FR17" s="249"/>
      <c r="FS17" s="249"/>
      <c r="FT17" s="249"/>
      <c r="FU17" s="249"/>
      <c r="FV17" s="249"/>
      <c r="FW17" s="249"/>
      <c r="FX17" s="249"/>
      <c r="FY17" s="249"/>
      <c r="FZ17" s="249"/>
      <c r="GA17" s="249"/>
      <c r="GB17" s="249"/>
      <c r="GC17" s="249"/>
      <c r="GD17" s="249"/>
      <c r="GE17" s="249"/>
      <c r="GF17" s="249"/>
      <c r="GG17" s="249"/>
      <c r="GH17" s="249"/>
      <c r="GI17" s="249"/>
      <c r="GJ17" s="249"/>
      <c r="GK17" s="249"/>
      <c r="GL17" s="249"/>
      <c r="GM17" s="249"/>
      <c r="GN17" s="249"/>
      <c r="GO17" s="249"/>
      <c r="GP17" s="249"/>
      <c r="GQ17" s="249"/>
      <c r="GR17" s="249"/>
      <c r="GS17" s="249"/>
      <c r="GT17" s="249"/>
      <c r="GU17" s="249"/>
      <c r="GV17" s="249"/>
      <c r="GW17" s="249"/>
      <c r="GX17" s="249"/>
      <c r="GY17" s="249"/>
      <c r="GZ17" s="249"/>
      <c r="HA17" s="249"/>
      <c r="HB17" s="249"/>
      <c r="HC17" s="249"/>
      <c r="HD17" s="249"/>
      <c r="HE17" s="249"/>
      <c r="HF17" s="249"/>
      <c r="HG17" s="249"/>
      <c r="HH17" s="249"/>
      <c r="HI17" s="249"/>
      <c r="HJ17" s="249"/>
      <c r="HK17" s="249"/>
      <c r="HL17" s="249"/>
      <c r="HM17" s="249"/>
      <c r="HN17" s="249"/>
      <c r="HO17" s="249"/>
      <c r="HP17" s="249"/>
      <c r="HQ17" s="249"/>
      <c r="HR17" s="249"/>
      <c r="HS17" s="249"/>
      <c r="HT17" s="249"/>
      <c r="HU17" s="249"/>
      <c r="HV17" s="249"/>
      <c r="HW17" s="249"/>
      <c r="HX17" s="249"/>
      <c r="HY17" s="249"/>
      <c r="HZ17" s="249"/>
      <c r="IA17" s="249"/>
      <c r="IB17" s="249"/>
      <c r="IC17" s="249"/>
      <c r="ID17" s="249"/>
      <c r="IE17" s="249"/>
      <c r="IF17" s="249"/>
      <c r="IG17" s="249"/>
      <c r="IH17" s="249"/>
      <c r="II17" s="249"/>
      <c r="IJ17" s="249"/>
      <c r="IK17" s="249"/>
      <c r="IL17" s="249"/>
      <c r="IM17" s="249"/>
      <c r="IN17" s="249"/>
      <c r="IO17" s="249"/>
      <c r="IP17" s="249"/>
      <c r="IQ17" s="249"/>
      <c r="IR17" s="249"/>
      <c r="IS17" s="249"/>
      <c r="IT17" s="249"/>
      <c r="IU17" s="249"/>
      <c r="IV17" s="249"/>
      <c r="IW17" s="249"/>
      <c r="IX17" s="249"/>
      <c r="IY17" s="249"/>
      <c r="IZ17" s="249"/>
      <c r="JA17" s="249"/>
      <c r="JB17" s="249"/>
      <c r="JC17" s="249"/>
      <c r="JD17" s="249"/>
      <c r="JE17" s="249"/>
      <c r="JF17" s="249"/>
      <c r="JG17" s="249"/>
      <c r="JH17" s="249"/>
      <c r="JI17" s="249"/>
      <c r="JJ17" s="249"/>
      <c r="JK17" s="249"/>
      <c r="JL17" s="249"/>
      <c r="JM17" s="249"/>
      <c r="JN17" s="249"/>
      <c r="JO17" s="249"/>
      <c r="JP17" s="249"/>
      <c r="JQ17" s="249"/>
      <c r="JR17" s="249"/>
      <c r="JS17" s="249"/>
      <c r="JT17" s="249"/>
    </row>
    <row r="18" spans="1:282" ht="33.5" thickBot="1" x14ac:dyDescent="0.55000000000000004">
      <c r="A18" s="28" t="s">
        <v>38</v>
      </c>
      <c r="B18" s="19" t="s">
        <v>40</v>
      </c>
      <c r="C18" s="179"/>
      <c r="D18" s="180"/>
      <c r="E18" s="22">
        <v>100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8">
        <f t="shared" si="32"/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8">
        <f t="shared" si="33"/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/>
      <c r="AE18" s="39">
        <v>0</v>
      </c>
      <c r="AF18" s="38">
        <f t="shared" si="41"/>
        <v>0</v>
      </c>
      <c r="AG18" s="39">
        <v>0</v>
      </c>
      <c r="AH18" s="39">
        <v>0</v>
      </c>
      <c r="AI18" s="39">
        <v>0</v>
      </c>
      <c r="AJ18" s="39">
        <v>0</v>
      </c>
      <c r="AK18" s="39">
        <v>0</v>
      </c>
      <c r="AL18" s="39">
        <v>0</v>
      </c>
      <c r="AM18" s="39">
        <v>0</v>
      </c>
      <c r="AN18" s="39">
        <v>0</v>
      </c>
      <c r="AO18" s="38">
        <f t="shared" si="42"/>
        <v>0</v>
      </c>
      <c r="AP18" s="40">
        <v>0</v>
      </c>
      <c r="AQ18" s="40">
        <v>0</v>
      </c>
      <c r="AR18" s="40">
        <v>23</v>
      </c>
      <c r="AS18" s="40">
        <v>0</v>
      </c>
      <c r="AT18" s="40">
        <v>0</v>
      </c>
      <c r="AU18" s="40">
        <v>0</v>
      </c>
      <c r="AV18" s="40">
        <v>4</v>
      </c>
      <c r="AW18" s="40">
        <v>0</v>
      </c>
      <c r="AX18" s="38">
        <f t="shared" ref="AX18" si="60">AP18+AQ18+AR18+AS18+AT18+AU18+AV18+AW18</f>
        <v>27</v>
      </c>
      <c r="AY18" s="40">
        <v>0</v>
      </c>
      <c r="AZ18" s="40">
        <v>0</v>
      </c>
      <c r="BA18" s="40">
        <v>10</v>
      </c>
      <c r="BB18" s="40">
        <v>0</v>
      </c>
      <c r="BC18" s="40">
        <v>0</v>
      </c>
      <c r="BD18" s="40">
        <v>0</v>
      </c>
      <c r="BE18" s="40">
        <v>7</v>
      </c>
      <c r="BF18" s="40">
        <v>0</v>
      </c>
      <c r="BG18" s="38">
        <f t="shared" si="36"/>
        <v>17</v>
      </c>
      <c r="BH18" s="41"/>
      <c r="BI18" s="41"/>
      <c r="BJ18" s="41"/>
      <c r="BK18" s="41"/>
      <c r="BL18" s="41"/>
      <c r="BM18" s="41"/>
      <c r="BN18" s="41"/>
      <c r="BO18" s="41"/>
      <c r="BP18" s="38">
        <f t="shared" si="37"/>
        <v>0</v>
      </c>
      <c r="BQ18" s="41">
        <v>0</v>
      </c>
      <c r="BR18" s="41">
        <v>0</v>
      </c>
      <c r="BS18" s="41">
        <v>0</v>
      </c>
      <c r="BT18" s="41">
        <v>0</v>
      </c>
      <c r="BU18" s="41">
        <v>0</v>
      </c>
      <c r="BV18" s="41">
        <v>0</v>
      </c>
      <c r="BW18" s="41">
        <v>0</v>
      </c>
      <c r="BX18" s="41">
        <v>0</v>
      </c>
      <c r="BY18" s="38">
        <f t="shared" si="43"/>
        <v>0</v>
      </c>
      <c r="BZ18" s="42">
        <v>0</v>
      </c>
      <c r="CA18" s="42">
        <v>0</v>
      </c>
      <c r="CB18" s="42">
        <v>0</v>
      </c>
      <c r="CC18" s="42">
        <v>0</v>
      </c>
      <c r="CD18" s="42">
        <v>0</v>
      </c>
      <c r="CE18" s="42">
        <v>0</v>
      </c>
      <c r="CF18" s="42">
        <v>0</v>
      </c>
      <c r="CG18" s="42">
        <v>0</v>
      </c>
      <c r="CH18" s="38">
        <f t="shared" si="49"/>
        <v>0</v>
      </c>
      <c r="CI18" s="42">
        <v>0</v>
      </c>
      <c r="CJ18" s="42">
        <v>0</v>
      </c>
      <c r="CK18" s="42">
        <v>0</v>
      </c>
      <c r="CL18" s="42">
        <v>0</v>
      </c>
      <c r="CM18" s="42">
        <v>0</v>
      </c>
      <c r="CN18" s="42">
        <v>0</v>
      </c>
      <c r="CO18" s="42">
        <v>0</v>
      </c>
      <c r="CP18" s="42">
        <v>0</v>
      </c>
      <c r="CQ18" s="38">
        <f t="shared" si="44"/>
        <v>0</v>
      </c>
      <c r="CR18" s="43">
        <v>0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0</v>
      </c>
      <c r="CZ18" s="38">
        <f t="shared" si="38"/>
        <v>0</v>
      </c>
      <c r="DA18" s="43">
        <v>0</v>
      </c>
      <c r="DB18" s="43">
        <v>0</v>
      </c>
      <c r="DC18" s="43">
        <v>0</v>
      </c>
      <c r="DD18" s="43">
        <v>0</v>
      </c>
      <c r="DE18" s="43">
        <v>0</v>
      </c>
      <c r="DF18" s="43">
        <v>0</v>
      </c>
      <c r="DG18" s="43">
        <v>0</v>
      </c>
      <c r="DH18" s="43">
        <v>0</v>
      </c>
      <c r="DI18" s="38">
        <f t="shared" si="50"/>
        <v>0</v>
      </c>
      <c r="DJ18" s="39">
        <v>0</v>
      </c>
      <c r="DK18" s="39">
        <v>0</v>
      </c>
      <c r="DL18" s="39">
        <v>0</v>
      </c>
      <c r="DM18" s="39">
        <v>0</v>
      </c>
      <c r="DN18" s="39">
        <v>0</v>
      </c>
      <c r="DO18" s="39">
        <v>0</v>
      </c>
      <c r="DP18" s="39">
        <v>0</v>
      </c>
      <c r="DQ18" s="39">
        <v>0</v>
      </c>
      <c r="DR18" s="38">
        <f t="shared" si="39"/>
        <v>0</v>
      </c>
      <c r="DS18" s="39">
        <v>0</v>
      </c>
      <c r="DT18" s="39">
        <v>0</v>
      </c>
      <c r="DU18" s="39">
        <v>0</v>
      </c>
      <c r="DV18" s="39">
        <v>0</v>
      </c>
      <c r="DW18" s="39">
        <v>0</v>
      </c>
      <c r="DX18" s="39">
        <v>0</v>
      </c>
      <c r="DY18" s="39">
        <v>0</v>
      </c>
      <c r="DZ18" s="39">
        <v>0</v>
      </c>
      <c r="EA18" s="38">
        <f t="shared" si="45"/>
        <v>0</v>
      </c>
      <c r="EB18" s="44">
        <v>0</v>
      </c>
      <c r="EC18" s="44">
        <v>0</v>
      </c>
      <c r="ED18" s="44">
        <v>54</v>
      </c>
      <c r="EE18" s="44">
        <v>0</v>
      </c>
      <c r="EF18" s="44">
        <v>0</v>
      </c>
      <c r="EG18" s="44">
        <v>0</v>
      </c>
      <c r="EH18" s="44">
        <v>0</v>
      </c>
      <c r="EI18" s="44">
        <v>0</v>
      </c>
      <c r="EJ18" s="38">
        <f t="shared" si="51"/>
        <v>54</v>
      </c>
      <c r="EK18" s="44">
        <v>0</v>
      </c>
      <c r="EL18" s="44">
        <v>0</v>
      </c>
      <c r="EM18" s="44">
        <v>52</v>
      </c>
      <c r="EN18" s="44">
        <v>0</v>
      </c>
      <c r="EO18" s="44">
        <v>0</v>
      </c>
      <c r="EP18" s="44">
        <v>0</v>
      </c>
      <c r="EQ18" s="44">
        <v>0</v>
      </c>
      <c r="ER18" s="44">
        <v>0</v>
      </c>
      <c r="ES18" s="38">
        <f t="shared" si="52"/>
        <v>52</v>
      </c>
      <c r="ET18" s="48">
        <v>0</v>
      </c>
      <c r="EU18" s="48">
        <v>0</v>
      </c>
      <c r="EV18" s="48">
        <v>0</v>
      </c>
      <c r="EW18" s="48">
        <v>0</v>
      </c>
      <c r="EX18" s="48">
        <v>0</v>
      </c>
      <c r="EY18" s="48">
        <v>0</v>
      </c>
      <c r="EZ18" s="48">
        <v>0</v>
      </c>
      <c r="FA18" s="48">
        <v>0</v>
      </c>
      <c r="FB18" s="38">
        <f t="shared" si="0"/>
        <v>0</v>
      </c>
      <c r="FC18" s="48">
        <v>0</v>
      </c>
      <c r="FD18" s="48">
        <v>0</v>
      </c>
      <c r="FE18" s="48">
        <v>0</v>
      </c>
      <c r="FF18" s="48">
        <v>0</v>
      </c>
      <c r="FG18" s="48">
        <v>0</v>
      </c>
      <c r="FH18" s="48">
        <v>0</v>
      </c>
      <c r="FI18" s="48">
        <v>0</v>
      </c>
      <c r="FJ18" s="48">
        <v>0</v>
      </c>
      <c r="FK18" s="38">
        <f t="shared" si="1"/>
        <v>0</v>
      </c>
      <c r="FL18" s="48">
        <v>0</v>
      </c>
      <c r="FM18" s="48">
        <v>0</v>
      </c>
      <c r="FN18" s="48">
        <v>0</v>
      </c>
      <c r="FO18" s="48">
        <v>0</v>
      </c>
      <c r="FP18" s="48">
        <v>0</v>
      </c>
      <c r="FQ18" s="48">
        <v>0</v>
      </c>
      <c r="FR18" s="48">
        <v>0</v>
      </c>
      <c r="FS18" s="48">
        <v>0</v>
      </c>
      <c r="FT18" s="38">
        <f>FL18+FM18+FN18+FO18+FP18+FQ18+FR18+FS18</f>
        <v>0</v>
      </c>
      <c r="FU18" s="48">
        <v>0</v>
      </c>
      <c r="FV18" s="48">
        <v>0</v>
      </c>
      <c r="FW18" s="48">
        <v>0</v>
      </c>
      <c r="FX18" s="48">
        <v>0</v>
      </c>
      <c r="FY18" s="48">
        <v>0</v>
      </c>
      <c r="FZ18" s="48">
        <v>0</v>
      </c>
      <c r="GA18" s="48">
        <v>0</v>
      </c>
      <c r="GB18" s="48">
        <v>0</v>
      </c>
      <c r="GC18" s="38">
        <f>FU18+FV18+FW18+FX18+FY18+FZ18+GA18+GB18</f>
        <v>0</v>
      </c>
      <c r="GD18" s="48">
        <v>0</v>
      </c>
      <c r="GE18" s="48">
        <v>0</v>
      </c>
      <c r="GF18" s="48">
        <v>0</v>
      </c>
      <c r="GG18" s="48">
        <v>0</v>
      </c>
      <c r="GH18" s="48">
        <v>0</v>
      </c>
      <c r="GI18" s="48">
        <v>0</v>
      </c>
      <c r="GJ18" s="48">
        <v>0</v>
      </c>
      <c r="GK18" s="48">
        <v>0</v>
      </c>
      <c r="GL18" s="38">
        <f>GD18+GE18+GF18+GG18+GH18+GI18+GJ18+GK18</f>
        <v>0</v>
      </c>
      <c r="GM18" s="48">
        <v>0</v>
      </c>
      <c r="GN18" s="48">
        <v>0</v>
      </c>
      <c r="GO18" s="48">
        <v>0</v>
      </c>
      <c r="GP18" s="48">
        <v>0</v>
      </c>
      <c r="GQ18" s="48">
        <v>0</v>
      </c>
      <c r="GR18" s="48">
        <v>0</v>
      </c>
      <c r="GS18" s="48">
        <v>0</v>
      </c>
      <c r="GT18" s="48">
        <v>0</v>
      </c>
      <c r="GU18" s="38">
        <f>GM18+GN18+GO18+GP18+GQ18+GR18+GS18+GT18</f>
        <v>0</v>
      </c>
      <c r="GV18" s="48">
        <v>0</v>
      </c>
      <c r="GW18" s="48">
        <v>0</v>
      </c>
      <c r="GX18" s="48">
        <v>0</v>
      </c>
      <c r="GY18" s="48">
        <v>0</v>
      </c>
      <c r="GZ18" s="48">
        <v>0</v>
      </c>
      <c r="HA18" s="48">
        <v>0</v>
      </c>
      <c r="HB18" s="48">
        <v>0</v>
      </c>
      <c r="HC18" s="48">
        <v>0</v>
      </c>
      <c r="HD18" s="38">
        <f>GV18+GW18+GX18+GY18+GZ18+HA18+HB18+HC18</f>
        <v>0</v>
      </c>
      <c r="HE18" s="48">
        <v>0</v>
      </c>
      <c r="HF18" s="48">
        <v>0</v>
      </c>
      <c r="HG18" s="48">
        <v>0</v>
      </c>
      <c r="HH18" s="48">
        <v>0</v>
      </c>
      <c r="HI18" s="48">
        <v>0</v>
      </c>
      <c r="HJ18" s="48">
        <v>0</v>
      </c>
      <c r="HK18" s="48">
        <v>0</v>
      </c>
      <c r="HL18" s="48">
        <v>0</v>
      </c>
      <c r="HM18" s="38">
        <f>HE18+HF18+HG18+HH18+HI18+HJ18+HK18+HL18</f>
        <v>0</v>
      </c>
      <c r="HN18" s="48">
        <v>0</v>
      </c>
      <c r="HO18" s="48">
        <v>0</v>
      </c>
      <c r="HP18" s="48">
        <v>0</v>
      </c>
      <c r="HQ18" s="48">
        <v>0</v>
      </c>
      <c r="HR18" s="48">
        <v>0</v>
      </c>
      <c r="HS18" s="48">
        <v>0</v>
      </c>
      <c r="HT18" s="48">
        <v>0</v>
      </c>
      <c r="HU18" s="48">
        <v>0</v>
      </c>
      <c r="HV18" s="38">
        <f>HN18+HO18+HP18+HQ18+HR18+HS18+HT18+HU18</f>
        <v>0</v>
      </c>
      <c r="HW18" s="48">
        <v>0</v>
      </c>
      <c r="HX18" s="48">
        <v>0</v>
      </c>
      <c r="HY18" s="48">
        <v>0</v>
      </c>
      <c r="HZ18" s="48">
        <v>0</v>
      </c>
      <c r="IA18" s="48">
        <v>0</v>
      </c>
      <c r="IB18" s="48">
        <v>0</v>
      </c>
      <c r="IC18" s="48">
        <v>0</v>
      </c>
      <c r="ID18" s="48">
        <v>0</v>
      </c>
      <c r="IE18" s="38">
        <f>HW18+HX18+HY18+HZ18+IA18+IB18+IC18+ID18</f>
        <v>0</v>
      </c>
      <c r="IF18" s="137">
        <v>0</v>
      </c>
      <c r="IG18" s="137">
        <v>0</v>
      </c>
      <c r="IH18" s="137">
        <v>0</v>
      </c>
      <c r="II18" s="137">
        <v>0</v>
      </c>
      <c r="IJ18" s="137">
        <v>0</v>
      </c>
      <c r="IK18" s="137">
        <v>0</v>
      </c>
      <c r="IL18" s="137">
        <v>0</v>
      </c>
      <c r="IM18" s="137">
        <v>0</v>
      </c>
      <c r="IN18" s="38">
        <f>IF18+IG18+IH18+II18+IJ18+IK18+IL18+IM18</f>
        <v>0</v>
      </c>
      <c r="IO18" s="137">
        <v>0</v>
      </c>
      <c r="IP18" s="137">
        <v>0</v>
      </c>
      <c r="IQ18" s="137">
        <v>0</v>
      </c>
      <c r="IR18" s="137">
        <v>0</v>
      </c>
      <c r="IS18" s="137">
        <v>0</v>
      </c>
      <c r="IT18" s="137">
        <v>0</v>
      </c>
      <c r="IU18" s="137">
        <v>0</v>
      </c>
      <c r="IV18" s="137">
        <v>0</v>
      </c>
      <c r="IW18" s="38">
        <f>IO18+IP18+IQ18+IR18+IS18+IT18+IU18+IV18</f>
        <v>0</v>
      </c>
      <c r="IX18" s="152">
        <v>0</v>
      </c>
      <c r="IY18" s="152">
        <v>0</v>
      </c>
      <c r="IZ18" s="152">
        <v>0</v>
      </c>
      <c r="JA18" s="152">
        <v>0</v>
      </c>
      <c r="JB18" s="152">
        <v>0</v>
      </c>
      <c r="JC18" s="152">
        <v>0</v>
      </c>
      <c r="JD18" s="152">
        <v>0</v>
      </c>
      <c r="JE18" s="152">
        <v>0</v>
      </c>
      <c r="JF18" s="38">
        <f>IX18+IY18+IZ18+JA18+JB18+JC18+JD18+JE18</f>
        <v>0</v>
      </c>
      <c r="JG18" s="152">
        <v>0</v>
      </c>
      <c r="JH18" s="152">
        <v>0</v>
      </c>
      <c r="JI18" s="152">
        <v>0</v>
      </c>
      <c r="JJ18" s="152">
        <v>0</v>
      </c>
      <c r="JK18" s="152">
        <v>0</v>
      </c>
      <c r="JL18" s="152">
        <v>0</v>
      </c>
      <c r="JM18" s="152">
        <v>0</v>
      </c>
      <c r="JN18" s="152">
        <v>0</v>
      </c>
      <c r="JO18" s="38">
        <f>JG18+JH18+JI18+JJ18+JK18+JL18+JM18+JN18</f>
        <v>0</v>
      </c>
      <c r="JP18" s="14">
        <f>N18+AF18+AX18+BP18+CH18+CZ18+DR18+EJ18+FB18+FT18+GL18+HD18+HV18+IN18</f>
        <v>81</v>
      </c>
      <c r="JQ18" s="46">
        <f>W18+AO18+BG18+BY18+CQ18+DI18+EA18+ES18+FK18+GC18+GU18+HM18+IE18+IW18</f>
        <v>69</v>
      </c>
      <c r="JR18" s="47">
        <f t="shared" si="35"/>
        <v>150</v>
      </c>
      <c r="JS18" s="46">
        <f>IF(E18&gt;0,E18-JR18,"N/A")</f>
        <v>-50</v>
      </c>
      <c r="JT18" s="15">
        <f>IF(ISBLANK(E18),"",JR18/E18)</f>
        <v>1.5</v>
      </c>
    </row>
    <row r="19" spans="1:282" ht="17" thickBot="1" x14ac:dyDescent="0.55000000000000004">
      <c r="A19" s="28" t="s">
        <v>38</v>
      </c>
      <c r="B19" s="19" t="s">
        <v>41</v>
      </c>
      <c r="C19" s="179"/>
      <c r="D19" s="180"/>
      <c r="E19" s="22">
        <v>2000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8">
        <f t="shared" si="32"/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8">
        <f t="shared" si="33"/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8">
        <f t="shared" si="41"/>
        <v>0</v>
      </c>
      <c r="AG19" s="39">
        <v>0</v>
      </c>
      <c r="AH19" s="39">
        <v>0</v>
      </c>
      <c r="AI19" s="39">
        <v>0</v>
      </c>
      <c r="AJ19" s="39">
        <v>0</v>
      </c>
      <c r="AK19" s="39">
        <v>0</v>
      </c>
      <c r="AL19" s="39">
        <v>0</v>
      </c>
      <c r="AM19" s="39">
        <v>0</v>
      </c>
      <c r="AN19" s="39">
        <v>0</v>
      </c>
      <c r="AO19" s="38">
        <f t="shared" si="42"/>
        <v>0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0</v>
      </c>
      <c r="AW19" s="40">
        <v>0</v>
      </c>
      <c r="AX19" s="38">
        <f t="shared" ref="AX19:AX30" si="61">AP19+AQ19+AR19+AS19+AT19+AU19+AV19+AW19</f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38">
        <f t="shared" si="36"/>
        <v>0</v>
      </c>
      <c r="BH19" s="41"/>
      <c r="BI19" s="41"/>
      <c r="BJ19" s="41"/>
      <c r="BK19" s="41"/>
      <c r="BL19" s="41"/>
      <c r="BM19" s="41"/>
      <c r="BN19" s="41"/>
      <c r="BO19" s="41"/>
      <c r="BP19" s="38">
        <f t="shared" si="37"/>
        <v>0</v>
      </c>
      <c r="BQ19" s="41">
        <v>0</v>
      </c>
      <c r="BR19" s="41">
        <v>0</v>
      </c>
      <c r="BS19" s="41">
        <v>0</v>
      </c>
      <c r="BT19" s="41">
        <v>0</v>
      </c>
      <c r="BU19" s="41">
        <v>0</v>
      </c>
      <c r="BV19" s="41">
        <v>0</v>
      </c>
      <c r="BW19" s="41">
        <v>0</v>
      </c>
      <c r="BX19" s="41">
        <v>0</v>
      </c>
      <c r="BY19" s="38">
        <f t="shared" si="43"/>
        <v>0</v>
      </c>
      <c r="BZ19" s="42">
        <v>0</v>
      </c>
      <c r="CA19" s="42">
        <v>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38">
        <f t="shared" si="49"/>
        <v>0</v>
      </c>
      <c r="CI19" s="42">
        <v>0</v>
      </c>
      <c r="CJ19" s="42">
        <v>0</v>
      </c>
      <c r="CK19" s="42">
        <v>0</v>
      </c>
      <c r="CL19" s="42">
        <v>0</v>
      </c>
      <c r="CM19" s="42">
        <v>0</v>
      </c>
      <c r="CN19" s="42">
        <v>0</v>
      </c>
      <c r="CO19" s="42">
        <v>0</v>
      </c>
      <c r="CP19" s="42">
        <v>0</v>
      </c>
      <c r="CQ19" s="38">
        <f t="shared" si="44"/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38">
        <f t="shared" si="38"/>
        <v>0</v>
      </c>
      <c r="DA19" s="43">
        <v>0</v>
      </c>
      <c r="DB19" s="43">
        <v>0</v>
      </c>
      <c r="DC19" s="43">
        <v>0</v>
      </c>
      <c r="DD19" s="43">
        <v>0</v>
      </c>
      <c r="DE19" s="43">
        <v>0</v>
      </c>
      <c r="DF19" s="43">
        <v>0</v>
      </c>
      <c r="DG19" s="43">
        <v>0</v>
      </c>
      <c r="DH19" s="43">
        <v>0</v>
      </c>
      <c r="DI19" s="38">
        <f t="shared" si="50"/>
        <v>0</v>
      </c>
      <c r="DJ19" s="39">
        <v>0</v>
      </c>
      <c r="DK19" s="39">
        <v>0</v>
      </c>
      <c r="DL19" s="39">
        <v>0</v>
      </c>
      <c r="DM19" s="39">
        <v>0</v>
      </c>
      <c r="DN19" s="39">
        <v>0</v>
      </c>
      <c r="DO19" s="39">
        <v>0</v>
      </c>
      <c r="DP19" s="39">
        <v>0</v>
      </c>
      <c r="DQ19" s="39">
        <v>0</v>
      </c>
      <c r="DR19" s="38">
        <f t="shared" si="39"/>
        <v>0</v>
      </c>
      <c r="DS19" s="39">
        <v>0</v>
      </c>
      <c r="DT19" s="39">
        <v>0</v>
      </c>
      <c r="DU19" s="39">
        <v>0</v>
      </c>
      <c r="DV19" s="39">
        <v>0</v>
      </c>
      <c r="DW19" s="39">
        <v>0</v>
      </c>
      <c r="DX19" s="39">
        <v>0</v>
      </c>
      <c r="DY19" s="39">
        <v>0</v>
      </c>
      <c r="DZ19" s="39">
        <v>0</v>
      </c>
      <c r="EA19" s="38">
        <f t="shared" si="45"/>
        <v>0</v>
      </c>
      <c r="EB19" s="44">
        <v>0</v>
      </c>
      <c r="EC19" s="44">
        <v>0</v>
      </c>
      <c r="ED19" s="44">
        <v>0</v>
      </c>
      <c r="EE19" s="44">
        <v>0</v>
      </c>
      <c r="EF19" s="44">
        <v>0</v>
      </c>
      <c r="EG19" s="44">
        <v>0</v>
      </c>
      <c r="EH19" s="44">
        <v>0</v>
      </c>
      <c r="EI19" s="44">
        <v>0</v>
      </c>
      <c r="EJ19" s="38">
        <f t="shared" si="51"/>
        <v>0</v>
      </c>
      <c r="EK19" s="44">
        <v>0</v>
      </c>
      <c r="EL19" s="44">
        <v>0</v>
      </c>
      <c r="EM19" s="44">
        <v>0</v>
      </c>
      <c r="EN19" s="44">
        <v>0</v>
      </c>
      <c r="EO19" s="44">
        <v>0</v>
      </c>
      <c r="EP19" s="44">
        <v>0</v>
      </c>
      <c r="EQ19" s="44">
        <v>0</v>
      </c>
      <c r="ER19" s="44">
        <v>0</v>
      </c>
      <c r="ES19" s="38">
        <f t="shared" si="52"/>
        <v>0</v>
      </c>
      <c r="ET19" s="48">
        <v>0</v>
      </c>
      <c r="EU19" s="48">
        <v>0</v>
      </c>
      <c r="EV19" s="48">
        <v>0</v>
      </c>
      <c r="EW19" s="48">
        <v>0</v>
      </c>
      <c r="EX19" s="48">
        <v>0</v>
      </c>
      <c r="EY19" s="48">
        <v>0</v>
      </c>
      <c r="EZ19" s="48">
        <v>0</v>
      </c>
      <c r="FA19" s="48">
        <v>0</v>
      </c>
      <c r="FB19" s="38">
        <f t="shared" si="0"/>
        <v>0</v>
      </c>
      <c r="FC19" s="48">
        <v>0</v>
      </c>
      <c r="FD19" s="48">
        <v>0</v>
      </c>
      <c r="FE19" s="48">
        <v>0</v>
      </c>
      <c r="FF19" s="48">
        <v>0</v>
      </c>
      <c r="FG19" s="48">
        <v>0</v>
      </c>
      <c r="FH19" s="48">
        <v>0</v>
      </c>
      <c r="FI19" s="48">
        <v>0</v>
      </c>
      <c r="FJ19" s="48">
        <v>0</v>
      </c>
      <c r="FK19" s="38">
        <f t="shared" si="1"/>
        <v>0</v>
      </c>
      <c r="FL19" s="48">
        <v>0</v>
      </c>
      <c r="FM19" s="48">
        <v>0</v>
      </c>
      <c r="FN19" s="48">
        <v>0</v>
      </c>
      <c r="FO19" s="48">
        <v>0</v>
      </c>
      <c r="FP19" s="48">
        <v>0</v>
      </c>
      <c r="FQ19" s="48">
        <v>0</v>
      </c>
      <c r="FR19" s="48">
        <v>0</v>
      </c>
      <c r="FS19" s="48">
        <v>0</v>
      </c>
      <c r="FT19" s="38">
        <f t="shared" ref="FT19:FT20" si="62">FL19+FM19+FN19+FO19+FP19+FQ19+FR19+FS19</f>
        <v>0</v>
      </c>
      <c r="FU19" s="48">
        <v>0</v>
      </c>
      <c r="FV19" s="48">
        <v>0</v>
      </c>
      <c r="FW19" s="48">
        <v>0</v>
      </c>
      <c r="FX19" s="48">
        <v>0</v>
      </c>
      <c r="FY19" s="48">
        <v>0</v>
      </c>
      <c r="FZ19" s="48">
        <v>0</v>
      </c>
      <c r="GA19" s="48">
        <v>0</v>
      </c>
      <c r="GB19" s="48">
        <v>0</v>
      </c>
      <c r="GC19" s="38">
        <f>FU19+FV19+FW19+FX19+FY19+FZ19+GA19+GB19</f>
        <v>0</v>
      </c>
      <c r="GD19" s="48">
        <v>0</v>
      </c>
      <c r="GE19" s="48">
        <v>0</v>
      </c>
      <c r="GF19" s="48">
        <v>0</v>
      </c>
      <c r="GG19" s="48">
        <v>0</v>
      </c>
      <c r="GH19" s="48">
        <v>0</v>
      </c>
      <c r="GI19" s="48">
        <v>0</v>
      </c>
      <c r="GJ19" s="48">
        <v>0</v>
      </c>
      <c r="GK19" s="48">
        <v>0</v>
      </c>
      <c r="GL19" s="38">
        <f t="shared" ref="GL19:GL20" si="63">GD19+GE19+GF19+GG19+GH19+GI19+GJ19+GK19</f>
        <v>0</v>
      </c>
      <c r="GM19" s="48">
        <v>0</v>
      </c>
      <c r="GN19" s="48">
        <v>0</v>
      </c>
      <c r="GO19" s="48">
        <v>0</v>
      </c>
      <c r="GP19" s="48">
        <v>0</v>
      </c>
      <c r="GQ19" s="48">
        <v>0</v>
      </c>
      <c r="GR19" s="48">
        <v>0</v>
      </c>
      <c r="GS19" s="48">
        <v>0</v>
      </c>
      <c r="GT19" s="48">
        <v>0</v>
      </c>
      <c r="GU19" s="38">
        <f>GM19+GN19+GO19+GP19+GQ19+GR19+GS19+GT19</f>
        <v>0</v>
      </c>
      <c r="GV19" s="48">
        <v>0</v>
      </c>
      <c r="GW19" s="48">
        <v>0</v>
      </c>
      <c r="GX19" s="48">
        <v>0</v>
      </c>
      <c r="GY19" s="48">
        <v>0</v>
      </c>
      <c r="GZ19" s="48">
        <v>0</v>
      </c>
      <c r="HA19" s="48">
        <v>0</v>
      </c>
      <c r="HB19" s="48">
        <v>0</v>
      </c>
      <c r="HC19" s="48">
        <v>0</v>
      </c>
      <c r="HD19" s="38">
        <f t="shared" ref="HD19:HD20" si="64">GV19+GW19+GX19+GY19+GZ19+HA19+HB19+HC19</f>
        <v>0</v>
      </c>
      <c r="HE19" s="48">
        <v>0</v>
      </c>
      <c r="HF19" s="48">
        <v>0</v>
      </c>
      <c r="HG19" s="48">
        <v>0</v>
      </c>
      <c r="HH19" s="48">
        <v>0</v>
      </c>
      <c r="HI19" s="48">
        <v>0</v>
      </c>
      <c r="HJ19" s="48">
        <v>0</v>
      </c>
      <c r="HK19" s="48">
        <v>0</v>
      </c>
      <c r="HL19" s="48">
        <v>0</v>
      </c>
      <c r="HM19" s="38">
        <f>HE19+HF19+HG19+HH19+HI19+HJ19+HK19+HL19</f>
        <v>0</v>
      </c>
      <c r="HN19" s="48">
        <v>0</v>
      </c>
      <c r="HO19" s="48">
        <v>0</v>
      </c>
      <c r="HP19" s="48">
        <v>0</v>
      </c>
      <c r="HQ19" s="48">
        <v>0</v>
      </c>
      <c r="HR19" s="48">
        <v>0</v>
      </c>
      <c r="HS19" s="48">
        <v>0</v>
      </c>
      <c r="HT19" s="48">
        <v>0</v>
      </c>
      <c r="HU19" s="48">
        <v>0</v>
      </c>
      <c r="HV19" s="38">
        <f t="shared" ref="HV19:HV20" si="65">HN19+HO19+HP19+HQ19+HR19+HS19+HT19+HU19</f>
        <v>0</v>
      </c>
      <c r="HW19" s="48">
        <v>0</v>
      </c>
      <c r="HX19" s="48">
        <v>0</v>
      </c>
      <c r="HY19" s="48">
        <v>0</v>
      </c>
      <c r="HZ19" s="48">
        <v>0</v>
      </c>
      <c r="IA19" s="48">
        <v>0</v>
      </c>
      <c r="IB19" s="48">
        <v>0</v>
      </c>
      <c r="IC19" s="48">
        <v>0</v>
      </c>
      <c r="ID19" s="48">
        <v>0</v>
      </c>
      <c r="IE19" s="38">
        <f>HW19+HX19+HY19+HZ19+IA19+IB19+IC19+ID19</f>
        <v>0</v>
      </c>
      <c r="IF19" s="137">
        <v>0</v>
      </c>
      <c r="IG19" s="137">
        <v>17</v>
      </c>
      <c r="IH19" s="137">
        <v>0</v>
      </c>
      <c r="II19" s="137">
        <v>0</v>
      </c>
      <c r="IJ19" s="137">
        <v>0</v>
      </c>
      <c r="IK19" s="137">
        <v>0</v>
      </c>
      <c r="IL19" s="137">
        <v>0</v>
      </c>
      <c r="IM19" s="137">
        <v>0</v>
      </c>
      <c r="IN19" s="38">
        <f t="shared" ref="IN19:IN20" si="66">IF19+IG19+IH19+II19+IJ19+IK19+IL19+IM19</f>
        <v>17</v>
      </c>
      <c r="IO19" s="137">
        <v>0</v>
      </c>
      <c r="IP19" s="137">
        <v>17</v>
      </c>
      <c r="IQ19" s="137">
        <v>0</v>
      </c>
      <c r="IR19" s="137">
        <v>0</v>
      </c>
      <c r="IS19" s="137">
        <v>0</v>
      </c>
      <c r="IT19" s="137">
        <v>0</v>
      </c>
      <c r="IU19" s="137">
        <v>0</v>
      </c>
      <c r="IV19" s="137">
        <v>0</v>
      </c>
      <c r="IW19" s="38">
        <f>IO19+IP19+IQ19+IR19+IS19+IT19+IU19+IV19</f>
        <v>17</v>
      </c>
      <c r="IX19" s="152">
        <v>0</v>
      </c>
      <c r="IY19" s="152">
        <v>71</v>
      </c>
      <c r="IZ19" s="152">
        <v>0</v>
      </c>
      <c r="JA19" s="152">
        <v>0</v>
      </c>
      <c r="JB19" s="152">
        <v>0</v>
      </c>
      <c r="JC19" s="152">
        <v>0</v>
      </c>
      <c r="JD19" s="152">
        <v>0</v>
      </c>
      <c r="JE19" s="152">
        <v>0</v>
      </c>
      <c r="JF19" s="38">
        <f t="shared" ref="JF19:JF20" si="67">IX19+IY19+IZ19+JA19+JB19+JC19+JD19+JE19</f>
        <v>71</v>
      </c>
      <c r="JG19" s="152">
        <v>0</v>
      </c>
      <c r="JH19" s="152">
        <v>78</v>
      </c>
      <c r="JI19" s="152">
        <v>0</v>
      </c>
      <c r="JJ19" s="152">
        <v>0</v>
      </c>
      <c r="JK19" s="152">
        <v>0</v>
      </c>
      <c r="JL19" s="152">
        <v>0</v>
      </c>
      <c r="JM19" s="152">
        <v>0</v>
      </c>
      <c r="JN19" s="152">
        <v>0</v>
      </c>
      <c r="JO19" s="38">
        <f>JG19+JH19+JI19+JJ19+JK19+JL19+JM19+JN19</f>
        <v>78</v>
      </c>
      <c r="JP19" s="14">
        <f>N19+AF19+AX19+BP19+CH19+CZ19+DR19+EJ19+FB19+FT19+GL19+HD19+HV19+IN19</f>
        <v>17</v>
      </c>
      <c r="JQ19" s="46">
        <f>W19+AO19+BG19+BY19+CQ19+DI19+EA19+ES19+FK19+GC19+GU19+HM19+IE19+IW19</f>
        <v>17</v>
      </c>
      <c r="JR19" s="47">
        <f t="shared" si="35"/>
        <v>34</v>
      </c>
      <c r="JS19" s="46">
        <f>IF(E19&gt;0,E19-JR19,"N/A")</f>
        <v>1966</v>
      </c>
      <c r="JT19" s="15">
        <f>IF(ISBLANK(E19),"",JR19/E19)</f>
        <v>1.7000000000000001E-2</v>
      </c>
    </row>
    <row r="20" spans="1:282" ht="17" thickBot="1" x14ac:dyDescent="0.55000000000000004">
      <c r="A20" s="27" t="s">
        <v>38</v>
      </c>
      <c r="B20" s="19" t="s">
        <v>42</v>
      </c>
      <c r="C20" s="179"/>
      <c r="D20" s="180"/>
      <c r="E20" s="22">
        <v>3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8">
        <f t="shared" si="32"/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8">
        <f t="shared" si="33"/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8">
        <f t="shared" si="41"/>
        <v>0</v>
      </c>
      <c r="AG20" s="39">
        <v>0</v>
      </c>
      <c r="AH20" s="39">
        <v>0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9">
        <v>0</v>
      </c>
      <c r="AO20" s="38">
        <f t="shared" si="42"/>
        <v>0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0</v>
      </c>
      <c r="AV20" s="40">
        <v>0</v>
      </c>
      <c r="AW20" s="40">
        <v>0</v>
      </c>
      <c r="AX20" s="38">
        <f t="shared" si="61"/>
        <v>0</v>
      </c>
      <c r="AY20" s="40">
        <v>0</v>
      </c>
      <c r="AZ20" s="40">
        <v>0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38">
        <f t="shared" si="36"/>
        <v>0</v>
      </c>
      <c r="BH20" s="41"/>
      <c r="BI20" s="41"/>
      <c r="BJ20" s="41"/>
      <c r="BK20" s="41"/>
      <c r="BL20" s="41"/>
      <c r="BM20" s="41"/>
      <c r="BN20" s="41"/>
      <c r="BO20" s="41"/>
      <c r="BP20" s="38">
        <f t="shared" si="37"/>
        <v>0</v>
      </c>
      <c r="BQ20" s="41">
        <v>0</v>
      </c>
      <c r="BR20" s="41">
        <v>0</v>
      </c>
      <c r="BS20" s="41"/>
      <c r="BT20" s="41">
        <v>0</v>
      </c>
      <c r="BU20" s="41">
        <v>0</v>
      </c>
      <c r="BV20" s="41">
        <v>0</v>
      </c>
      <c r="BW20" s="41">
        <v>0</v>
      </c>
      <c r="BX20" s="41">
        <v>0</v>
      </c>
      <c r="BY20" s="38">
        <f t="shared" si="43"/>
        <v>0</v>
      </c>
      <c r="BZ20" s="42">
        <v>0</v>
      </c>
      <c r="CA20" s="42">
        <v>0</v>
      </c>
      <c r="CB20" s="42">
        <v>0</v>
      </c>
      <c r="CC20" s="42">
        <v>0</v>
      </c>
      <c r="CD20" s="42">
        <v>0</v>
      </c>
      <c r="CE20" s="42">
        <v>0</v>
      </c>
      <c r="CF20" s="42">
        <v>0</v>
      </c>
      <c r="CG20" s="42">
        <v>0</v>
      </c>
      <c r="CH20" s="38">
        <f t="shared" si="49"/>
        <v>0</v>
      </c>
      <c r="CI20" s="42">
        <v>0</v>
      </c>
      <c r="CJ20" s="42">
        <v>0</v>
      </c>
      <c r="CK20" s="42">
        <v>0</v>
      </c>
      <c r="CL20" s="42">
        <v>0</v>
      </c>
      <c r="CM20" s="42">
        <v>0</v>
      </c>
      <c r="CN20" s="42">
        <v>0</v>
      </c>
      <c r="CO20" s="42">
        <v>0</v>
      </c>
      <c r="CP20" s="42">
        <v>0</v>
      </c>
      <c r="CQ20" s="38">
        <f t="shared" si="44"/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38">
        <f t="shared" si="38"/>
        <v>0</v>
      </c>
      <c r="DA20" s="43">
        <v>0</v>
      </c>
      <c r="DB20" s="43">
        <v>0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38">
        <f t="shared" si="50"/>
        <v>0</v>
      </c>
      <c r="DJ20" s="39">
        <v>0</v>
      </c>
      <c r="DK20" s="39">
        <v>0</v>
      </c>
      <c r="DL20" s="39">
        <v>0</v>
      </c>
      <c r="DM20" s="39">
        <v>0</v>
      </c>
      <c r="DN20" s="39">
        <v>0</v>
      </c>
      <c r="DO20" s="39">
        <v>0</v>
      </c>
      <c r="DP20" s="39">
        <v>0</v>
      </c>
      <c r="DQ20" s="39">
        <v>0</v>
      </c>
      <c r="DR20" s="38">
        <f t="shared" si="39"/>
        <v>0</v>
      </c>
      <c r="DS20" s="39">
        <v>0</v>
      </c>
      <c r="DT20" s="39">
        <v>0</v>
      </c>
      <c r="DU20" s="39">
        <v>0</v>
      </c>
      <c r="DV20" s="39">
        <v>0</v>
      </c>
      <c r="DW20" s="39">
        <v>0</v>
      </c>
      <c r="DX20" s="39">
        <v>0</v>
      </c>
      <c r="DY20" s="39">
        <v>0</v>
      </c>
      <c r="DZ20" s="39">
        <v>0</v>
      </c>
      <c r="EA20" s="38">
        <f t="shared" si="45"/>
        <v>0</v>
      </c>
      <c r="EB20" s="44">
        <v>0</v>
      </c>
      <c r="EC20" s="44">
        <v>0</v>
      </c>
      <c r="ED20" s="44">
        <v>0</v>
      </c>
      <c r="EE20" s="44">
        <v>0</v>
      </c>
      <c r="EF20" s="44">
        <v>0</v>
      </c>
      <c r="EG20" s="44">
        <v>0</v>
      </c>
      <c r="EH20" s="44">
        <v>0</v>
      </c>
      <c r="EI20" s="44">
        <v>0</v>
      </c>
      <c r="EJ20" s="38">
        <f t="shared" si="51"/>
        <v>0</v>
      </c>
      <c r="EK20" s="44">
        <v>0</v>
      </c>
      <c r="EL20" s="44">
        <v>0</v>
      </c>
      <c r="EM20" s="44">
        <v>0</v>
      </c>
      <c r="EN20" s="44">
        <v>0</v>
      </c>
      <c r="EO20" s="44">
        <v>0</v>
      </c>
      <c r="EP20" s="44">
        <v>0</v>
      </c>
      <c r="EQ20" s="44">
        <v>0</v>
      </c>
      <c r="ER20" s="44">
        <v>0</v>
      </c>
      <c r="ES20" s="38">
        <f t="shared" si="52"/>
        <v>0</v>
      </c>
      <c r="ET20" s="48">
        <v>0</v>
      </c>
      <c r="EU20" s="48">
        <v>0</v>
      </c>
      <c r="EV20" s="48">
        <v>0</v>
      </c>
      <c r="EW20" s="48">
        <v>0</v>
      </c>
      <c r="EX20" s="48">
        <v>0</v>
      </c>
      <c r="EY20" s="48">
        <v>0</v>
      </c>
      <c r="EZ20" s="48">
        <v>0</v>
      </c>
      <c r="FA20" s="48">
        <v>0</v>
      </c>
      <c r="FB20" s="38">
        <f t="shared" si="0"/>
        <v>0</v>
      </c>
      <c r="FC20" s="48">
        <v>0</v>
      </c>
      <c r="FD20" s="48">
        <v>0</v>
      </c>
      <c r="FE20" s="48">
        <v>0</v>
      </c>
      <c r="FF20" s="48">
        <v>0</v>
      </c>
      <c r="FG20" s="48">
        <v>0</v>
      </c>
      <c r="FH20" s="48">
        <v>0</v>
      </c>
      <c r="FI20" s="48">
        <v>0</v>
      </c>
      <c r="FJ20" s="48">
        <v>0</v>
      </c>
      <c r="FK20" s="38">
        <f t="shared" si="1"/>
        <v>0</v>
      </c>
      <c r="FL20" s="48">
        <v>0</v>
      </c>
      <c r="FM20" s="48">
        <v>0</v>
      </c>
      <c r="FN20" s="48">
        <v>0</v>
      </c>
      <c r="FO20" s="48">
        <v>0</v>
      </c>
      <c r="FP20" s="48">
        <v>0</v>
      </c>
      <c r="FQ20" s="48">
        <v>0</v>
      </c>
      <c r="FR20" s="48">
        <v>0</v>
      </c>
      <c r="FS20" s="48">
        <v>0</v>
      </c>
      <c r="FT20" s="38">
        <f t="shared" si="62"/>
        <v>0</v>
      </c>
      <c r="FU20" s="48">
        <v>0</v>
      </c>
      <c r="FV20" s="48">
        <v>0</v>
      </c>
      <c r="FW20" s="48">
        <v>0</v>
      </c>
      <c r="FX20" s="48">
        <v>0</v>
      </c>
      <c r="FY20" s="48">
        <v>0</v>
      </c>
      <c r="FZ20" s="48">
        <v>0</v>
      </c>
      <c r="GA20" s="48">
        <v>0</v>
      </c>
      <c r="GB20" s="48">
        <v>0</v>
      </c>
      <c r="GC20" s="38">
        <f>FU20+FV20+FW20+FX20+FY20+FZ20+GA20+GB20</f>
        <v>0</v>
      </c>
      <c r="GD20" s="48">
        <v>0</v>
      </c>
      <c r="GE20" s="48">
        <v>0</v>
      </c>
      <c r="GF20" s="48">
        <v>0</v>
      </c>
      <c r="GG20" s="48">
        <v>0</v>
      </c>
      <c r="GH20" s="48">
        <v>0</v>
      </c>
      <c r="GI20" s="48">
        <v>0</v>
      </c>
      <c r="GJ20" s="48">
        <v>0</v>
      </c>
      <c r="GK20" s="48">
        <v>0</v>
      </c>
      <c r="GL20" s="38">
        <f t="shared" si="63"/>
        <v>0</v>
      </c>
      <c r="GM20" s="48">
        <v>0</v>
      </c>
      <c r="GN20" s="48">
        <v>0</v>
      </c>
      <c r="GO20" s="48">
        <v>0</v>
      </c>
      <c r="GP20" s="48">
        <v>0</v>
      </c>
      <c r="GQ20" s="48">
        <v>0</v>
      </c>
      <c r="GR20" s="48">
        <v>0</v>
      </c>
      <c r="GS20" s="48">
        <v>0</v>
      </c>
      <c r="GT20" s="48">
        <v>0</v>
      </c>
      <c r="GU20" s="38">
        <f>GM20+GN20+GO20+GP20+GQ20+GR20+GS20+GT20</f>
        <v>0</v>
      </c>
      <c r="GV20" s="48">
        <v>0</v>
      </c>
      <c r="GW20" s="48">
        <v>0</v>
      </c>
      <c r="GX20" s="48">
        <v>0</v>
      </c>
      <c r="GY20" s="48">
        <v>0</v>
      </c>
      <c r="GZ20" s="48">
        <v>0</v>
      </c>
      <c r="HA20" s="48">
        <v>0</v>
      </c>
      <c r="HB20" s="48">
        <v>0</v>
      </c>
      <c r="HC20" s="48">
        <v>0</v>
      </c>
      <c r="HD20" s="38">
        <f t="shared" si="64"/>
        <v>0</v>
      </c>
      <c r="HE20" s="48">
        <v>0</v>
      </c>
      <c r="HF20" s="48">
        <v>3</v>
      </c>
      <c r="HG20" s="48">
        <v>0</v>
      </c>
      <c r="HH20" s="48">
        <v>0</v>
      </c>
      <c r="HI20" s="48">
        <v>0</v>
      </c>
      <c r="HJ20" s="48">
        <v>0</v>
      </c>
      <c r="HK20" s="48">
        <v>0</v>
      </c>
      <c r="HL20" s="48">
        <v>0</v>
      </c>
      <c r="HM20" s="38">
        <f>HE20+HF20+HG20+HH20+HI20+HJ20+HK20+HL20</f>
        <v>3</v>
      </c>
      <c r="HN20" s="48">
        <v>0</v>
      </c>
      <c r="HO20" s="48">
        <v>0</v>
      </c>
      <c r="HP20" s="48">
        <v>0</v>
      </c>
      <c r="HQ20" s="48">
        <v>0</v>
      </c>
      <c r="HR20" s="48">
        <v>0</v>
      </c>
      <c r="HS20" s="48">
        <v>0</v>
      </c>
      <c r="HT20" s="48">
        <v>0</v>
      </c>
      <c r="HU20" s="48">
        <v>0</v>
      </c>
      <c r="HV20" s="38">
        <f t="shared" si="65"/>
        <v>0</v>
      </c>
      <c r="HW20" s="48">
        <v>0</v>
      </c>
      <c r="HX20" s="48">
        <v>0</v>
      </c>
      <c r="HY20" s="48">
        <v>0</v>
      </c>
      <c r="HZ20" s="48">
        <v>0</v>
      </c>
      <c r="IA20" s="48">
        <v>0</v>
      </c>
      <c r="IB20" s="48">
        <v>0</v>
      </c>
      <c r="IC20" s="48">
        <v>0</v>
      </c>
      <c r="ID20" s="48">
        <v>0</v>
      </c>
      <c r="IE20" s="38">
        <f>HW20+HX20+HY20+HZ20+IA20+IB20+IC20+ID20</f>
        <v>0</v>
      </c>
      <c r="IF20" s="137">
        <v>0</v>
      </c>
      <c r="IG20" s="137">
        <v>0</v>
      </c>
      <c r="IH20" s="137">
        <v>0</v>
      </c>
      <c r="II20" s="137">
        <v>0</v>
      </c>
      <c r="IJ20" s="137">
        <v>0</v>
      </c>
      <c r="IK20" s="137">
        <v>0</v>
      </c>
      <c r="IL20" s="137">
        <v>0</v>
      </c>
      <c r="IM20" s="137">
        <v>0</v>
      </c>
      <c r="IN20" s="38">
        <f t="shared" si="66"/>
        <v>0</v>
      </c>
      <c r="IO20" s="137">
        <v>0</v>
      </c>
      <c r="IP20" s="137">
        <v>0</v>
      </c>
      <c r="IQ20" s="137">
        <v>0</v>
      </c>
      <c r="IR20" s="137">
        <v>0</v>
      </c>
      <c r="IS20" s="137">
        <v>0</v>
      </c>
      <c r="IT20" s="137">
        <v>0</v>
      </c>
      <c r="IU20" s="137">
        <v>0</v>
      </c>
      <c r="IV20" s="137">
        <v>0</v>
      </c>
      <c r="IW20" s="38">
        <f>IO20+IP20+IQ20+IR20+IS20+IT20+IU20+IV20</f>
        <v>0</v>
      </c>
      <c r="IX20" s="152">
        <v>0</v>
      </c>
      <c r="IY20" s="152">
        <v>0</v>
      </c>
      <c r="IZ20" s="152">
        <v>0</v>
      </c>
      <c r="JA20" s="152">
        <v>0</v>
      </c>
      <c r="JB20" s="152">
        <v>0</v>
      </c>
      <c r="JC20" s="152">
        <v>0</v>
      </c>
      <c r="JD20" s="152">
        <v>0</v>
      </c>
      <c r="JE20" s="152">
        <v>0</v>
      </c>
      <c r="JF20" s="38">
        <f t="shared" si="67"/>
        <v>0</v>
      </c>
      <c r="JG20" s="152">
        <v>0</v>
      </c>
      <c r="JH20" s="152">
        <v>0</v>
      </c>
      <c r="JI20" s="152">
        <v>0</v>
      </c>
      <c r="JJ20" s="152">
        <v>0</v>
      </c>
      <c r="JK20" s="152">
        <v>0</v>
      </c>
      <c r="JL20" s="152">
        <v>0</v>
      </c>
      <c r="JM20" s="152">
        <v>0</v>
      </c>
      <c r="JN20" s="152">
        <v>0</v>
      </c>
      <c r="JO20" s="38">
        <f>JG20+JH20+JI20+JJ20+JK20+JL20+JM20+JN20</f>
        <v>0</v>
      </c>
      <c r="JP20" s="14">
        <f>N20+AF20+AX20+BP20+CH20+CZ20+DR20+EJ20+FB20+FT20+GL20+HD20+HV20+IN20</f>
        <v>0</v>
      </c>
      <c r="JQ20" s="46">
        <f>W20+AO20+BG20+BY20+CQ20+DI20+EA20+ES20+FK20+GC20+GU20+HM20+IE20+IW20</f>
        <v>3</v>
      </c>
      <c r="JR20" s="47">
        <f t="shared" si="35"/>
        <v>3</v>
      </c>
      <c r="JS20" s="46">
        <f>IF(E20&gt;0,E20-JR20,"N/A")</f>
        <v>0</v>
      </c>
      <c r="JT20" s="15">
        <f>IF(ISBLANK(E20),"",JR20/E20)</f>
        <v>1</v>
      </c>
    </row>
    <row r="21" spans="1:282" ht="33.5" thickBot="1" x14ac:dyDescent="0.55000000000000004">
      <c r="A21" s="20"/>
      <c r="B21" s="20" t="s">
        <v>43</v>
      </c>
      <c r="C21" s="181"/>
      <c r="D21" s="182"/>
      <c r="E21" s="245" t="str">
        <f>IF(ISBLANK(JQ21),"",JP21/#REF!)</f>
        <v/>
      </c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245"/>
      <c r="AV21" s="245"/>
      <c r="AW21" s="245"/>
      <c r="AX21" s="245"/>
      <c r="AY21" s="245"/>
      <c r="AZ21" s="245"/>
      <c r="BA21" s="245"/>
      <c r="BB21" s="245"/>
      <c r="BC21" s="245"/>
      <c r="BD21" s="245"/>
      <c r="BE21" s="245"/>
      <c r="BF21" s="245"/>
      <c r="BG21" s="245"/>
      <c r="BH21" s="245"/>
      <c r="BI21" s="245"/>
      <c r="BJ21" s="245"/>
      <c r="BK21" s="245"/>
      <c r="BL21" s="245"/>
      <c r="BM21" s="245"/>
      <c r="BN21" s="245"/>
      <c r="BO21" s="245"/>
      <c r="BP21" s="245"/>
      <c r="BQ21" s="245"/>
      <c r="BR21" s="245"/>
      <c r="BS21" s="245"/>
      <c r="BT21" s="245"/>
      <c r="BU21" s="245"/>
      <c r="BV21" s="245"/>
      <c r="BW21" s="245"/>
      <c r="BX21" s="245"/>
      <c r="BY21" s="245"/>
      <c r="BZ21" s="245"/>
      <c r="CA21" s="245"/>
      <c r="CB21" s="245"/>
      <c r="CC21" s="245"/>
      <c r="CD21" s="245"/>
      <c r="CE21" s="245"/>
      <c r="CF21" s="245"/>
      <c r="CG21" s="245"/>
      <c r="CH21" s="245"/>
      <c r="CI21" s="245"/>
      <c r="CJ21" s="245"/>
      <c r="CK21" s="245"/>
      <c r="CL21" s="245"/>
      <c r="CM21" s="245"/>
      <c r="CN21" s="245"/>
      <c r="CO21" s="245"/>
      <c r="CP21" s="245"/>
      <c r="CQ21" s="245"/>
      <c r="CR21" s="245"/>
      <c r="CS21" s="245"/>
      <c r="CT21" s="245"/>
      <c r="CU21" s="245"/>
      <c r="CV21" s="245"/>
      <c r="CW21" s="245"/>
      <c r="CX21" s="245"/>
      <c r="CY21" s="245"/>
      <c r="CZ21" s="245"/>
      <c r="DA21" s="245"/>
      <c r="DB21" s="245"/>
      <c r="DC21" s="245"/>
      <c r="DD21" s="245"/>
      <c r="DE21" s="245"/>
      <c r="DF21" s="245"/>
      <c r="DG21" s="245"/>
      <c r="DH21" s="245"/>
      <c r="DI21" s="245"/>
      <c r="DJ21" s="245"/>
      <c r="DK21" s="245"/>
      <c r="DL21" s="245"/>
      <c r="DM21" s="245"/>
      <c r="DN21" s="245"/>
      <c r="DO21" s="245"/>
      <c r="DP21" s="245"/>
      <c r="DQ21" s="245"/>
      <c r="DR21" s="245"/>
      <c r="DS21" s="245"/>
      <c r="DT21" s="245"/>
      <c r="DU21" s="245"/>
      <c r="DV21" s="245"/>
      <c r="DW21" s="245"/>
      <c r="DX21" s="245"/>
      <c r="DY21" s="245"/>
      <c r="DZ21" s="245"/>
      <c r="EA21" s="245"/>
      <c r="EB21" s="245"/>
      <c r="EC21" s="245"/>
      <c r="ED21" s="245"/>
      <c r="EE21" s="245"/>
      <c r="EF21" s="245"/>
      <c r="EG21" s="245"/>
      <c r="EH21" s="245"/>
      <c r="EI21" s="245"/>
      <c r="EJ21" s="245"/>
      <c r="EK21" s="245"/>
      <c r="EL21" s="245"/>
      <c r="EM21" s="245"/>
      <c r="EN21" s="245"/>
      <c r="EO21" s="245"/>
      <c r="EP21" s="245"/>
      <c r="EQ21" s="245"/>
      <c r="ER21" s="245"/>
      <c r="ES21" s="245"/>
      <c r="ET21" s="245"/>
      <c r="EU21" s="245"/>
      <c r="EV21" s="245"/>
      <c r="EW21" s="245"/>
      <c r="EX21" s="245"/>
      <c r="EY21" s="245"/>
      <c r="EZ21" s="245"/>
      <c r="FA21" s="245"/>
      <c r="FB21" s="245"/>
      <c r="FC21" s="245"/>
      <c r="FD21" s="245"/>
      <c r="FE21" s="245"/>
      <c r="FF21" s="245"/>
      <c r="FG21" s="245"/>
      <c r="FH21" s="245"/>
      <c r="FI21" s="245"/>
      <c r="FJ21" s="245"/>
      <c r="FK21" s="245"/>
      <c r="FL21" s="245"/>
      <c r="FM21" s="245"/>
      <c r="FN21" s="245"/>
      <c r="FO21" s="245"/>
      <c r="FP21" s="245"/>
      <c r="FQ21" s="245"/>
      <c r="FR21" s="245"/>
      <c r="FS21" s="245"/>
      <c r="FT21" s="245"/>
      <c r="FU21" s="245"/>
      <c r="FV21" s="245"/>
      <c r="FW21" s="245"/>
      <c r="FX21" s="245"/>
      <c r="FY21" s="245"/>
      <c r="FZ21" s="245"/>
      <c r="GA21" s="245"/>
      <c r="GB21" s="245"/>
      <c r="GC21" s="245"/>
      <c r="GD21" s="245"/>
      <c r="GE21" s="245"/>
      <c r="GF21" s="245"/>
      <c r="GG21" s="245"/>
      <c r="GH21" s="245"/>
      <c r="GI21" s="245"/>
      <c r="GJ21" s="245"/>
      <c r="GK21" s="245"/>
      <c r="GL21" s="245"/>
      <c r="GM21" s="245"/>
      <c r="GN21" s="245"/>
      <c r="GO21" s="245"/>
      <c r="GP21" s="245"/>
      <c r="GQ21" s="245"/>
      <c r="GR21" s="245"/>
      <c r="GS21" s="245"/>
      <c r="GT21" s="245"/>
      <c r="GU21" s="245"/>
      <c r="GV21" s="245"/>
      <c r="GW21" s="245"/>
      <c r="GX21" s="245"/>
      <c r="GY21" s="245"/>
      <c r="GZ21" s="245"/>
      <c r="HA21" s="245"/>
      <c r="HB21" s="245"/>
      <c r="HC21" s="245"/>
      <c r="HD21" s="245"/>
      <c r="HE21" s="245"/>
      <c r="HF21" s="245"/>
      <c r="HG21" s="245"/>
      <c r="HH21" s="245"/>
      <c r="HI21" s="245"/>
      <c r="HJ21" s="245"/>
      <c r="HK21" s="245"/>
      <c r="HL21" s="245"/>
      <c r="HM21" s="245"/>
      <c r="HN21" s="245"/>
      <c r="HO21" s="245"/>
      <c r="HP21" s="245"/>
      <c r="HQ21" s="245"/>
      <c r="HR21" s="245"/>
      <c r="HS21" s="245"/>
      <c r="HT21" s="245"/>
      <c r="HU21" s="245"/>
      <c r="HV21" s="245"/>
      <c r="HW21" s="245"/>
      <c r="HX21" s="245"/>
      <c r="HY21" s="245"/>
      <c r="HZ21" s="245"/>
      <c r="IA21" s="245"/>
      <c r="IB21" s="245"/>
      <c r="IC21" s="245"/>
      <c r="ID21" s="245"/>
      <c r="IE21" s="245"/>
      <c r="IF21" s="245"/>
      <c r="IG21" s="245"/>
      <c r="IH21" s="245"/>
      <c r="II21" s="245"/>
      <c r="IJ21" s="245"/>
      <c r="IK21" s="245"/>
      <c r="IL21" s="245"/>
      <c r="IM21" s="245"/>
      <c r="IN21" s="245"/>
      <c r="IO21" s="245"/>
      <c r="IP21" s="245"/>
      <c r="IQ21" s="245"/>
      <c r="IR21" s="245"/>
      <c r="IS21" s="245"/>
      <c r="IT21" s="245"/>
      <c r="IU21" s="245"/>
      <c r="IV21" s="245"/>
      <c r="IW21" s="245"/>
      <c r="IX21" s="245"/>
      <c r="IY21" s="245"/>
      <c r="IZ21" s="245"/>
      <c r="JA21" s="245"/>
      <c r="JB21" s="245"/>
      <c r="JC21" s="245"/>
      <c r="JD21" s="245"/>
      <c r="JE21" s="245"/>
      <c r="JF21" s="245"/>
      <c r="JG21" s="245"/>
      <c r="JH21" s="245"/>
      <c r="JI21" s="245"/>
      <c r="JJ21" s="245"/>
      <c r="JK21" s="245"/>
      <c r="JL21" s="245"/>
      <c r="JM21" s="245"/>
      <c r="JN21" s="245"/>
      <c r="JO21" s="245"/>
      <c r="JP21" s="245"/>
      <c r="JQ21" s="245"/>
      <c r="JR21" s="245"/>
      <c r="JS21" s="245"/>
      <c r="JT21" s="245"/>
    </row>
    <row r="22" spans="1:282" ht="33.5" thickBot="1" x14ac:dyDescent="0.55000000000000004">
      <c r="A22" s="28" t="s">
        <v>44</v>
      </c>
      <c r="B22" s="19" t="s">
        <v>45</v>
      </c>
      <c r="C22" s="179"/>
      <c r="D22" s="180"/>
      <c r="E22" s="22">
        <v>1350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8">
        <f t="shared" ref="N22:N30" si="68">F22+G22+H22+I22+J22+K22+L22+M22</f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8">
        <f t="shared" ref="W22:W30" si="69">O22+P22+Q22+R22+S22+T22+U22+V22</f>
        <v>0</v>
      </c>
      <c r="X22" s="39">
        <v>0</v>
      </c>
      <c r="Y22" s="39">
        <v>0</v>
      </c>
      <c r="Z22" s="39">
        <v>94</v>
      </c>
      <c r="AA22" s="39">
        <v>0</v>
      </c>
      <c r="AB22" s="39">
        <v>0</v>
      </c>
      <c r="AC22" s="39">
        <v>0</v>
      </c>
      <c r="AD22" s="39">
        <v>19</v>
      </c>
      <c r="AE22" s="39">
        <v>0</v>
      </c>
      <c r="AF22" s="38">
        <f t="shared" ref="AF22:AF30" si="70">X22+Y22+Z22+AA22+AB22+AC22+AD22+AE22</f>
        <v>113</v>
      </c>
      <c r="AG22" s="39">
        <v>0</v>
      </c>
      <c r="AH22" s="39">
        <v>0</v>
      </c>
      <c r="AI22" s="39">
        <v>63</v>
      </c>
      <c r="AJ22" s="39">
        <v>0</v>
      </c>
      <c r="AK22" s="39">
        <v>0</v>
      </c>
      <c r="AL22" s="39">
        <v>0</v>
      </c>
      <c r="AM22" s="39">
        <v>26</v>
      </c>
      <c r="AN22" s="39">
        <v>0</v>
      </c>
      <c r="AO22" s="38">
        <f t="shared" ref="AO22:AO30" si="71">AG22+AH22+AI22+AJ22+AK22+AL22+AM22+AN22</f>
        <v>89</v>
      </c>
      <c r="AP22" s="40">
        <v>0</v>
      </c>
      <c r="AQ22" s="40">
        <v>0</v>
      </c>
      <c r="AR22" s="40">
        <v>0</v>
      </c>
      <c r="AS22" s="40">
        <v>0</v>
      </c>
      <c r="AT22" s="40">
        <v>0</v>
      </c>
      <c r="AU22" s="40">
        <v>0</v>
      </c>
      <c r="AV22" s="40">
        <v>0</v>
      </c>
      <c r="AW22" s="40">
        <v>0</v>
      </c>
      <c r="AX22" s="38">
        <f t="shared" si="61"/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38">
        <f t="shared" ref="BG22" si="72">AY22+AZ22+BA22+BB22+BC22+BD22+BE22+BF22</f>
        <v>0</v>
      </c>
      <c r="BH22" s="41"/>
      <c r="BI22" s="41"/>
      <c r="BJ22" s="41">
        <v>80</v>
      </c>
      <c r="BK22" s="41"/>
      <c r="BL22" s="41"/>
      <c r="BM22" s="41"/>
      <c r="BN22" s="41"/>
      <c r="BO22" s="41"/>
      <c r="BP22" s="38">
        <f t="shared" ref="BP22" si="73">BH22+BI22+BJ22+BK22+BL22+BM22+BN22+BO22</f>
        <v>80</v>
      </c>
      <c r="BQ22" s="41">
        <v>0</v>
      </c>
      <c r="BR22" s="41">
        <v>0</v>
      </c>
      <c r="BS22" s="41">
        <v>167</v>
      </c>
      <c r="BT22" s="41">
        <v>0</v>
      </c>
      <c r="BU22" s="41">
        <v>0</v>
      </c>
      <c r="BV22" s="41">
        <v>0</v>
      </c>
      <c r="BW22" s="41">
        <v>0</v>
      </c>
      <c r="BX22" s="41">
        <v>0</v>
      </c>
      <c r="BY22" s="38">
        <f t="shared" ref="BY22" si="74">BQ22+BR22+BS22+BT22+BU22+BV22+BW22+BX22</f>
        <v>167</v>
      </c>
      <c r="BZ22" s="42">
        <v>0</v>
      </c>
      <c r="CA22" s="42">
        <v>0</v>
      </c>
      <c r="CB22" s="42">
        <v>258</v>
      </c>
      <c r="CC22" s="42">
        <v>46</v>
      </c>
      <c r="CD22" s="42">
        <v>0</v>
      </c>
      <c r="CE22" s="42">
        <v>0</v>
      </c>
      <c r="CF22" s="42">
        <v>0</v>
      </c>
      <c r="CG22" s="42">
        <v>0</v>
      </c>
      <c r="CH22" s="38">
        <f t="shared" ref="CH22" si="75">BZ22+CA22+CB22+CC22+CD22+CE22+CF22+CG22</f>
        <v>304</v>
      </c>
      <c r="CI22" s="42">
        <v>0</v>
      </c>
      <c r="CJ22" s="42">
        <v>0</v>
      </c>
      <c r="CK22" s="42">
        <v>427</v>
      </c>
      <c r="CL22" s="42">
        <v>30</v>
      </c>
      <c r="CM22" s="42">
        <v>0</v>
      </c>
      <c r="CN22" s="42">
        <v>0</v>
      </c>
      <c r="CO22" s="42">
        <v>0</v>
      </c>
      <c r="CP22" s="42">
        <v>0</v>
      </c>
      <c r="CQ22" s="38">
        <f t="shared" ref="CQ22" si="76">CI22+CJ22+CK22+CL22+CM22+CN22+CO22+CP22</f>
        <v>457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38">
        <f t="shared" ref="CZ22" si="77">CR22+CS22+CT22+CU22+CV22+CW22+CX22+CY22</f>
        <v>0</v>
      </c>
      <c r="DA22" s="43"/>
      <c r="DB22" s="43"/>
      <c r="DC22" s="43"/>
      <c r="DD22" s="43"/>
      <c r="DE22" s="43"/>
      <c r="DF22" s="43"/>
      <c r="DG22" s="43"/>
      <c r="DH22" s="43"/>
      <c r="DI22" s="38"/>
      <c r="DJ22" s="39">
        <v>0</v>
      </c>
      <c r="DK22" s="39">
        <v>0</v>
      </c>
      <c r="DL22" s="39">
        <v>22</v>
      </c>
      <c r="DM22" s="39">
        <v>0</v>
      </c>
      <c r="DN22" s="39">
        <v>0</v>
      </c>
      <c r="DO22" s="39">
        <v>0</v>
      </c>
      <c r="DP22" s="39">
        <v>0</v>
      </c>
      <c r="DQ22" s="39">
        <v>0</v>
      </c>
      <c r="DR22" s="38">
        <f t="shared" ref="DR22" si="78">DJ22+DK22+DL22+DM22+DN22+DO22+DP22+DQ22</f>
        <v>22</v>
      </c>
      <c r="DS22" s="39">
        <v>0</v>
      </c>
      <c r="DT22" s="39">
        <v>0</v>
      </c>
      <c r="DU22" s="39">
        <v>46</v>
      </c>
      <c r="DV22" s="39">
        <v>0</v>
      </c>
      <c r="DW22" s="39">
        <v>0</v>
      </c>
      <c r="DX22" s="39">
        <v>0</v>
      </c>
      <c r="DY22" s="39">
        <v>0</v>
      </c>
      <c r="DZ22" s="39">
        <v>0</v>
      </c>
      <c r="EA22" s="38">
        <f t="shared" ref="EA22" si="79">DS22+DT22+DU22+DV22+DW22+DX22+DY22+DZ22</f>
        <v>46</v>
      </c>
      <c r="EB22" s="44">
        <v>0</v>
      </c>
      <c r="EC22" s="44">
        <v>0</v>
      </c>
      <c r="ED22" s="44">
        <v>0</v>
      </c>
      <c r="EE22" s="44">
        <v>0</v>
      </c>
      <c r="EF22" s="44">
        <v>0</v>
      </c>
      <c r="EG22" s="44">
        <v>0</v>
      </c>
      <c r="EH22" s="44">
        <v>0</v>
      </c>
      <c r="EI22" s="44">
        <v>0</v>
      </c>
      <c r="EJ22" s="38">
        <f t="shared" si="51"/>
        <v>0</v>
      </c>
      <c r="EK22" s="44">
        <v>0</v>
      </c>
      <c r="EL22" s="44">
        <v>0</v>
      </c>
      <c r="EM22" s="44">
        <v>0</v>
      </c>
      <c r="EN22" s="44">
        <v>0</v>
      </c>
      <c r="EO22" s="44">
        <v>0</v>
      </c>
      <c r="EP22" s="44">
        <v>0</v>
      </c>
      <c r="EQ22" s="44">
        <v>0</v>
      </c>
      <c r="ER22" s="44">
        <v>0</v>
      </c>
      <c r="ES22" s="38">
        <f t="shared" si="52"/>
        <v>0</v>
      </c>
      <c r="ET22" s="48">
        <v>0</v>
      </c>
      <c r="EU22" s="48">
        <v>0</v>
      </c>
      <c r="EV22" s="48">
        <v>0</v>
      </c>
      <c r="EW22" s="48">
        <v>0</v>
      </c>
      <c r="EX22" s="48">
        <v>0</v>
      </c>
      <c r="EY22" s="48">
        <v>0</v>
      </c>
      <c r="EZ22" s="48">
        <v>0</v>
      </c>
      <c r="FA22" s="48">
        <v>0</v>
      </c>
      <c r="FB22" s="38">
        <f t="shared" si="0"/>
        <v>0</v>
      </c>
      <c r="FC22" s="48">
        <v>0</v>
      </c>
      <c r="FD22" s="48">
        <v>0</v>
      </c>
      <c r="FE22" s="48">
        <v>0</v>
      </c>
      <c r="FF22" s="48">
        <v>0</v>
      </c>
      <c r="FG22" s="48">
        <v>0</v>
      </c>
      <c r="FH22" s="48">
        <v>0</v>
      </c>
      <c r="FI22" s="48">
        <v>0</v>
      </c>
      <c r="FJ22" s="48">
        <v>0</v>
      </c>
      <c r="FK22" s="38">
        <f>FC22+FD22+FE22+FF22+FG22+FH22+FI22+FJ22</f>
        <v>0</v>
      </c>
      <c r="FL22" s="48">
        <v>0</v>
      </c>
      <c r="FM22" s="48">
        <v>0</v>
      </c>
      <c r="FN22" s="48">
        <v>0</v>
      </c>
      <c r="FO22" s="48">
        <v>0</v>
      </c>
      <c r="FP22" s="48">
        <v>0</v>
      </c>
      <c r="FQ22" s="48">
        <v>0</v>
      </c>
      <c r="FR22" s="48">
        <v>0</v>
      </c>
      <c r="FS22" s="48">
        <v>0</v>
      </c>
      <c r="FT22" s="38">
        <f t="shared" ref="FT22:FT30" si="80">FL22+FM22+FN22+FO22+FP22+FQ22+FR22+FS22</f>
        <v>0</v>
      </c>
      <c r="FU22" s="48">
        <v>0</v>
      </c>
      <c r="FV22" s="48">
        <v>0</v>
      </c>
      <c r="FW22" s="48">
        <v>0</v>
      </c>
      <c r="FX22" s="48">
        <v>0</v>
      </c>
      <c r="FY22" s="48">
        <v>0</v>
      </c>
      <c r="FZ22" s="48">
        <v>0</v>
      </c>
      <c r="GA22" s="48">
        <v>0</v>
      </c>
      <c r="GB22" s="48">
        <v>0</v>
      </c>
      <c r="GC22" s="38">
        <f t="shared" ref="GC22:GC30" si="81">FU22+FV22+FW22+FX22+FY22+FZ22+GA22+GB22</f>
        <v>0</v>
      </c>
      <c r="GD22" s="48">
        <v>0</v>
      </c>
      <c r="GE22" s="48">
        <v>0</v>
      </c>
      <c r="GF22" s="48">
        <v>0</v>
      </c>
      <c r="GG22" s="48">
        <v>0</v>
      </c>
      <c r="GH22" s="48">
        <v>0</v>
      </c>
      <c r="GI22" s="48">
        <v>0</v>
      </c>
      <c r="GJ22" s="48">
        <v>0</v>
      </c>
      <c r="GK22" s="48">
        <v>0</v>
      </c>
      <c r="GL22" s="38">
        <f t="shared" ref="GL22:GL30" si="82">GD22+GE22+GF22+GG22+GH22+GI22+GJ22+GK22</f>
        <v>0</v>
      </c>
      <c r="GM22" s="48">
        <v>0</v>
      </c>
      <c r="GN22" s="48">
        <v>0</v>
      </c>
      <c r="GO22" s="48">
        <v>0</v>
      </c>
      <c r="GP22" s="48">
        <v>0</v>
      </c>
      <c r="GQ22" s="48">
        <v>0</v>
      </c>
      <c r="GR22" s="48">
        <v>0</v>
      </c>
      <c r="GS22" s="48">
        <v>0</v>
      </c>
      <c r="GT22" s="48">
        <v>0</v>
      </c>
      <c r="GU22" s="38">
        <f t="shared" ref="GU22:GU30" si="83">GM22+GN22+GO22+GP22+GQ22+GR22+GS22+GT22</f>
        <v>0</v>
      </c>
      <c r="GV22" s="48">
        <v>0</v>
      </c>
      <c r="GW22" s="48">
        <v>0</v>
      </c>
      <c r="GX22" s="48">
        <v>0</v>
      </c>
      <c r="GY22" s="48">
        <v>0</v>
      </c>
      <c r="GZ22" s="48">
        <v>0</v>
      </c>
      <c r="HA22" s="48">
        <v>0</v>
      </c>
      <c r="HB22" s="48">
        <v>0</v>
      </c>
      <c r="HC22" s="48">
        <v>0</v>
      </c>
      <c r="HD22" s="38">
        <f t="shared" ref="HD22:HD30" si="84">GV22+GW22+GX22+GY22+GZ22+HA22+HB22+HC22</f>
        <v>0</v>
      </c>
      <c r="HE22" s="48">
        <v>0</v>
      </c>
      <c r="HF22" s="48">
        <v>0</v>
      </c>
      <c r="HG22" s="48">
        <v>0</v>
      </c>
      <c r="HH22" s="48">
        <v>0</v>
      </c>
      <c r="HI22" s="48">
        <v>0</v>
      </c>
      <c r="HJ22" s="48">
        <v>0</v>
      </c>
      <c r="HK22" s="48">
        <v>0</v>
      </c>
      <c r="HL22" s="48">
        <v>0</v>
      </c>
      <c r="HM22" s="38">
        <f t="shared" ref="HM22:HM30" si="85">HE22+HF22+HG22+HH22+HI22+HJ22+HK22+HL22</f>
        <v>0</v>
      </c>
      <c r="HN22" s="48">
        <v>0</v>
      </c>
      <c r="HO22" s="48">
        <v>0</v>
      </c>
      <c r="HP22" s="48">
        <v>43</v>
      </c>
      <c r="HQ22" s="48">
        <v>0</v>
      </c>
      <c r="HR22" s="48">
        <v>0</v>
      </c>
      <c r="HS22" s="48">
        <v>0</v>
      </c>
      <c r="HT22" s="48">
        <v>0</v>
      </c>
      <c r="HU22" s="48">
        <v>0</v>
      </c>
      <c r="HV22" s="38">
        <f t="shared" ref="HV22:HV30" si="86">HN22+HO22+HP22+HQ22+HR22+HS22+HT22+HU22</f>
        <v>43</v>
      </c>
      <c r="HW22" s="48">
        <v>0</v>
      </c>
      <c r="HX22" s="48">
        <v>0</v>
      </c>
      <c r="HY22" s="48">
        <v>168</v>
      </c>
      <c r="HZ22" s="48">
        <v>0</v>
      </c>
      <c r="IA22" s="48">
        <v>0</v>
      </c>
      <c r="IB22" s="48">
        <v>0</v>
      </c>
      <c r="IC22" s="48">
        <v>0</v>
      </c>
      <c r="ID22" s="48">
        <v>0</v>
      </c>
      <c r="IE22" s="38">
        <f t="shared" ref="IE22:IE30" si="87">HW22+HX22+HY22+HZ22+IA22+IB22+IC22+ID22</f>
        <v>168</v>
      </c>
      <c r="IF22" s="137">
        <v>0</v>
      </c>
      <c r="IG22" s="137">
        <v>0</v>
      </c>
      <c r="IH22" s="137">
        <v>121</v>
      </c>
      <c r="II22" s="137">
        <v>0</v>
      </c>
      <c r="IJ22" s="137">
        <v>0</v>
      </c>
      <c r="IK22" s="137">
        <v>0</v>
      </c>
      <c r="IL22" s="137">
        <v>0</v>
      </c>
      <c r="IM22" s="137">
        <v>0</v>
      </c>
      <c r="IN22" s="38">
        <f t="shared" ref="IN22:IN30" si="88">IF22+IG22+IH22+II22+IJ22+IK22+IL22+IM22</f>
        <v>121</v>
      </c>
      <c r="IO22" s="137"/>
      <c r="IP22" s="137"/>
      <c r="IQ22" s="137">
        <v>375</v>
      </c>
      <c r="IR22" s="137"/>
      <c r="IS22" s="137"/>
      <c r="IT22" s="137"/>
      <c r="IU22" s="137"/>
      <c r="IV22" s="137"/>
      <c r="IW22" s="38">
        <f t="shared" ref="IW22:IW30" si="89">IO22+IP22+IQ22+IR22+IS22+IT22+IU22+IV22</f>
        <v>375</v>
      </c>
      <c r="IX22" s="152">
        <v>0</v>
      </c>
      <c r="IY22" s="152">
        <v>0</v>
      </c>
      <c r="IZ22" s="152">
        <v>15</v>
      </c>
      <c r="JA22" s="152">
        <v>0</v>
      </c>
      <c r="JB22" s="152">
        <v>0</v>
      </c>
      <c r="JC22" s="152">
        <v>0</v>
      </c>
      <c r="JD22" s="152">
        <v>0</v>
      </c>
      <c r="JE22" s="152">
        <v>0</v>
      </c>
      <c r="JF22" s="38">
        <f t="shared" ref="JF22:JF30" si="90">IX22+IY22+IZ22+JA22+JB22+JC22+JD22+JE22</f>
        <v>15</v>
      </c>
      <c r="JG22" s="152"/>
      <c r="JH22" s="152"/>
      <c r="JI22" s="152">
        <v>126</v>
      </c>
      <c r="JJ22" s="152"/>
      <c r="JK22" s="152"/>
      <c r="JL22" s="152"/>
      <c r="JM22" s="152"/>
      <c r="JN22" s="152"/>
      <c r="JO22" s="38">
        <f t="shared" ref="JO22:JO30" si="91">JG22+JH22+JI22+JJ22+JK22+JL22+JM22+JN22</f>
        <v>126</v>
      </c>
      <c r="JP22" s="14">
        <f t="shared" ref="JP22:JP30" si="92">N22+AF22+AX22+BP22+CH22+CZ22+DR22+EJ22+FB22+FT22+GL22+HD22+HV22+IN22</f>
        <v>683</v>
      </c>
      <c r="JQ22" s="46">
        <f t="shared" ref="JQ22:JQ30" si="93">W22+AO22+BG22+BY22+CQ22+DI22+EA22+ES22+FK22+GC22+GU22+HM22+IE22+IW22</f>
        <v>1302</v>
      </c>
      <c r="JR22" s="47">
        <f t="shared" si="35"/>
        <v>1985</v>
      </c>
      <c r="JS22" s="46">
        <f t="shared" ref="JS22:JS30" si="94">IF(E22&gt;0,E22-JR22,"N/A")</f>
        <v>-635</v>
      </c>
      <c r="JT22" s="15">
        <f t="shared" ref="JT22:JT30" si="95">IF(ISBLANK(E22),"",JR22/E22)</f>
        <v>1.4703703703703703</v>
      </c>
    </row>
    <row r="23" spans="1:282" ht="17" thickBot="1" x14ac:dyDescent="0.55000000000000004">
      <c r="A23" s="28" t="s">
        <v>44</v>
      </c>
      <c r="B23" s="19" t="s">
        <v>46</v>
      </c>
      <c r="C23" s="179"/>
      <c r="D23" s="180"/>
      <c r="E23" s="22">
        <v>50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8">
        <f t="shared" si="68"/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8">
        <f t="shared" si="69"/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8">
        <f t="shared" si="70"/>
        <v>0</v>
      </c>
      <c r="AG23" s="39">
        <v>0</v>
      </c>
      <c r="AH23" s="39">
        <v>0</v>
      </c>
      <c r="AI23" s="39">
        <v>0</v>
      </c>
      <c r="AJ23" s="39">
        <v>0</v>
      </c>
      <c r="AK23" s="39">
        <v>0</v>
      </c>
      <c r="AL23" s="39">
        <v>0</v>
      </c>
      <c r="AM23" s="39">
        <v>0</v>
      </c>
      <c r="AN23" s="39">
        <v>0</v>
      </c>
      <c r="AO23" s="38">
        <f t="shared" si="71"/>
        <v>0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0</v>
      </c>
      <c r="AV23" s="40">
        <v>0</v>
      </c>
      <c r="AW23" s="40">
        <v>0</v>
      </c>
      <c r="AX23" s="38">
        <f t="shared" si="61"/>
        <v>0</v>
      </c>
      <c r="AY23" s="40">
        <v>0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38">
        <f t="shared" si="36"/>
        <v>0</v>
      </c>
      <c r="BH23" s="41"/>
      <c r="BI23" s="41"/>
      <c r="BJ23" s="41"/>
      <c r="BK23" s="41"/>
      <c r="BL23" s="41"/>
      <c r="BM23" s="41"/>
      <c r="BN23" s="41"/>
      <c r="BO23" s="41"/>
      <c r="BP23" s="38">
        <f t="shared" si="37"/>
        <v>0</v>
      </c>
      <c r="BQ23" s="41">
        <v>0</v>
      </c>
      <c r="BR23" s="41">
        <v>0</v>
      </c>
      <c r="BS23" s="41"/>
      <c r="BT23" s="41">
        <v>0</v>
      </c>
      <c r="BU23" s="41">
        <v>0</v>
      </c>
      <c r="BV23" s="41">
        <v>0</v>
      </c>
      <c r="BW23" s="41">
        <v>0</v>
      </c>
      <c r="BX23" s="41">
        <v>0</v>
      </c>
      <c r="BY23" s="38">
        <f t="shared" si="43"/>
        <v>0</v>
      </c>
      <c r="BZ23" s="42">
        <v>0</v>
      </c>
      <c r="CA23" s="42">
        <v>0</v>
      </c>
      <c r="CB23" s="42">
        <v>0</v>
      </c>
      <c r="CC23" s="42">
        <v>0</v>
      </c>
      <c r="CD23" s="42">
        <v>0</v>
      </c>
      <c r="CE23" s="42">
        <v>0</v>
      </c>
      <c r="CF23" s="42">
        <v>0</v>
      </c>
      <c r="CG23" s="42">
        <v>0</v>
      </c>
      <c r="CH23" s="38">
        <f t="shared" si="49"/>
        <v>0</v>
      </c>
      <c r="CI23" s="42">
        <v>0</v>
      </c>
      <c r="CJ23" s="42">
        <v>0</v>
      </c>
      <c r="CK23" s="42">
        <v>0</v>
      </c>
      <c r="CL23" s="42">
        <v>0</v>
      </c>
      <c r="CM23" s="42">
        <v>0</v>
      </c>
      <c r="CN23" s="42">
        <v>0</v>
      </c>
      <c r="CO23" s="42">
        <v>0</v>
      </c>
      <c r="CP23" s="42">
        <v>0</v>
      </c>
      <c r="CQ23" s="38">
        <f t="shared" si="44"/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38">
        <f t="shared" si="38"/>
        <v>0</v>
      </c>
      <c r="DA23" s="43"/>
      <c r="DB23" s="43"/>
      <c r="DC23" s="43"/>
      <c r="DD23" s="43"/>
      <c r="DE23" s="43"/>
      <c r="DF23" s="43"/>
      <c r="DG23" s="43"/>
      <c r="DH23" s="43"/>
      <c r="DI23" s="38"/>
      <c r="DJ23" s="39">
        <v>0</v>
      </c>
      <c r="DK23" s="39">
        <v>0</v>
      </c>
      <c r="DL23" s="39"/>
      <c r="DM23" s="39">
        <v>0</v>
      </c>
      <c r="DN23" s="39">
        <v>0</v>
      </c>
      <c r="DO23" s="39">
        <v>0</v>
      </c>
      <c r="DP23" s="39">
        <v>0</v>
      </c>
      <c r="DQ23" s="39">
        <v>0</v>
      </c>
      <c r="DR23" s="38">
        <f t="shared" si="39"/>
        <v>0</v>
      </c>
      <c r="DS23" s="39">
        <v>0</v>
      </c>
      <c r="DT23" s="39">
        <v>0</v>
      </c>
      <c r="DU23" s="39"/>
      <c r="DV23" s="39">
        <v>0</v>
      </c>
      <c r="DW23" s="39">
        <v>0</v>
      </c>
      <c r="DX23" s="39">
        <v>0</v>
      </c>
      <c r="DY23" s="39">
        <v>0</v>
      </c>
      <c r="DZ23" s="39">
        <v>0</v>
      </c>
      <c r="EA23" s="38">
        <f t="shared" si="45"/>
        <v>0</v>
      </c>
      <c r="EB23" s="44"/>
      <c r="EC23" s="44"/>
      <c r="ED23" s="44"/>
      <c r="EE23" s="44"/>
      <c r="EF23" s="44"/>
      <c r="EG23" s="44"/>
      <c r="EH23" s="44"/>
      <c r="EI23" s="44"/>
      <c r="EJ23" s="38">
        <f t="shared" si="51"/>
        <v>0</v>
      </c>
      <c r="EK23" s="44"/>
      <c r="EL23" s="44"/>
      <c r="EM23" s="44"/>
      <c r="EN23" s="44"/>
      <c r="EO23" s="44"/>
      <c r="EP23" s="44"/>
      <c r="EQ23" s="44"/>
      <c r="ER23" s="44"/>
      <c r="ES23" s="38">
        <f t="shared" si="52"/>
        <v>0</v>
      </c>
      <c r="ET23" s="48">
        <v>0</v>
      </c>
      <c r="EU23" s="48">
        <v>0</v>
      </c>
      <c r="EV23" s="48">
        <v>0</v>
      </c>
      <c r="EW23" s="48">
        <v>0</v>
      </c>
      <c r="EX23" s="48">
        <v>0</v>
      </c>
      <c r="EY23" s="48">
        <v>0</v>
      </c>
      <c r="EZ23" s="48">
        <v>0</v>
      </c>
      <c r="FA23" s="48">
        <v>0</v>
      </c>
      <c r="FB23" s="38">
        <f t="shared" si="0"/>
        <v>0</v>
      </c>
      <c r="FC23" s="48">
        <v>0</v>
      </c>
      <c r="FD23" s="48">
        <v>0</v>
      </c>
      <c r="FE23" s="48">
        <v>0</v>
      </c>
      <c r="FF23" s="48">
        <v>0</v>
      </c>
      <c r="FG23" s="48">
        <v>0</v>
      </c>
      <c r="FH23" s="48">
        <v>0</v>
      </c>
      <c r="FI23" s="48">
        <v>0</v>
      </c>
      <c r="FJ23" s="48">
        <v>0</v>
      </c>
      <c r="FK23" s="38">
        <f t="shared" si="1"/>
        <v>0</v>
      </c>
      <c r="FL23" s="48">
        <v>0</v>
      </c>
      <c r="FM23" s="48">
        <v>0</v>
      </c>
      <c r="FN23" s="48">
        <v>0</v>
      </c>
      <c r="FO23" s="48">
        <v>0</v>
      </c>
      <c r="FP23" s="48">
        <v>0</v>
      </c>
      <c r="FQ23" s="48">
        <v>0</v>
      </c>
      <c r="FR23" s="48">
        <v>0</v>
      </c>
      <c r="FS23" s="48">
        <v>0</v>
      </c>
      <c r="FT23" s="38">
        <f t="shared" si="80"/>
        <v>0</v>
      </c>
      <c r="FU23" s="48">
        <v>0</v>
      </c>
      <c r="FV23" s="48">
        <v>0</v>
      </c>
      <c r="FW23" s="48">
        <v>0</v>
      </c>
      <c r="FX23" s="48">
        <v>0</v>
      </c>
      <c r="FY23" s="48">
        <v>0</v>
      </c>
      <c r="FZ23" s="48">
        <v>0</v>
      </c>
      <c r="GA23" s="48">
        <v>0</v>
      </c>
      <c r="GB23" s="48">
        <v>0</v>
      </c>
      <c r="GC23" s="38">
        <f t="shared" si="81"/>
        <v>0</v>
      </c>
      <c r="GD23" s="48">
        <v>0</v>
      </c>
      <c r="GE23" s="48">
        <v>0</v>
      </c>
      <c r="GF23" s="48">
        <v>0</v>
      </c>
      <c r="GG23" s="48">
        <v>0</v>
      </c>
      <c r="GH23" s="48">
        <v>0</v>
      </c>
      <c r="GI23" s="48">
        <v>0</v>
      </c>
      <c r="GJ23" s="48">
        <v>0</v>
      </c>
      <c r="GK23" s="48">
        <v>0</v>
      </c>
      <c r="GL23" s="38">
        <f t="shared" si="82"/>
        <v>0</v>
      </c>
      <c r="GM23" s="48">
        <v>0</v>
      </c>
      <c r="GN23" s="48">
        <v>0</v>
      </c>
      <c r="GO23" s="48">
        <v>0</v>
      </c>
      <c r="GP23" s="48">
        <v>0</v>
      </c>
      <c r="GQ23" s="48">
        <v>0</v>
      </c>
      <c r="GR23" s="48">
        <v>0</v>
      </c>
      <c r="GS23" s="48">
        <v>0</v>
      </c>
      <c r="GT23" s="48">
        <v>0</v>
      </c>
      <c r="GU23" s="38">
        <f t="shared" si="83"/>
        <v>0</v>
      </c>
      <c r="GV23" s="48">
        <v>0</v>
      </c>
      <c r="GW23" s="48">
        <v>0</v>
      </c>
      <c r="GX23" s="48">
        <v>10</v>
      </c>
      <c r="GY23" s="48">
        <v>0</v>
      </c>
      <c r="GZ23" s="48">
        <v>0</v>
      </c>
      <c r="HA23" s="48">
        <v>0</v>
      </c>
      <c r="HB23" s="48">
        <v>0</v>
      </c>
      <c r="HC23" s="48">
        <v>0</v>
      </c>
      <c r="HD23" s="38">
        <f t="shared" si="84"/>
        <v>10</v>
      </c>
      <c r="HE23" s="48">
        <v>0</v>
      </c>
      <c r="HF23" s="48">
        <v>0</v>
      </c>
      <c r="HG23" s="48">
        <v>40</v>
      </c>
      <c r="HH23" s="48">
        <v>0</v>
      </c>
      <c r="HI23" s="48">
        <v>0</v>
      </c>
      <c r="HJ23" s="48">
        <v>0</v>
      </c>
      <c r="HK23" s="48">
        <v>0</v>
      </c>
      <c r="HL23" s="48">
        <v>0</v>
      </c>
      <c r="HM23" s="38">
        <f t="shared" si="85"/>
        <v>40</v>
      </c>
      <c r="HN23" s="48">
        <v>0</v>
      </c>
      <c r="HO23" s="48"/>
      <c r="HP23" s="48"/>
      <c r="HQ23" s="48"/>
      <c r="HR23" s="48"/>
      <c r="HS23" s="48"/>
      <c r="HT23" s="48"/>
      <c r="HU23" s="48">
        <v>0</v>
      </c>
      <c r="HV23" s="38">
        <f t="shared" si="86"/>
        <v>0</v>
      </c>
      <c r="HW23" s="48">
        <v>0</v>
      </c>
      <c r="HX23" s="48">
        <v>0</v>
      </c>
      <c r="HY23" s="48">
        <v>0</v>
      </c>
      <c r="HZ23" s="48">
        <v>0</v>
      </c>
      <c r="IA23" s="48">
        <v>0</v>
      </c>
      <c r="IB23" s="48">
        <v>0</v>
      </c>
      <c r="IC23" s="48">
        <v>0</v>
      </c>
      <c r="ID23" s="48">
        <v>0</v>
      </c>
      <c r="IE23" s="38">
        <f t="shared" si="87"/>
        <v>0</v>
      </c>
      <c r="IF23" s="137">
        <v>0</v>
      </c>
      <c r="IG23" s="137"/>
      <c r="IH23" s="137"/>
      <c r="II23" s="137"/>
      <c r="IJ23" s="137"/>
      <c r="IK23" s="137"/>
      <c r="IL23" s="137"/>
      <c r="IM23" s="137">
        <v>0</v>
      </c>
      <c r="IN23" s="38">
        <f t="shared" si="88"/>
        <v>0</v>
      </c>
      <c r="IO23" s="137"/>
      <c r="IP23" s="137"/>
      <c r="IQ23" s="137"/>
      <c r="IR23" s="137"/>
      <c r="IS23" s="137"/>
      <c r="IT23" s="137"/>
      <c r="IU23" s="137"/>
      <c r="IV23" s="137"/>
      <c r="IW23" s="38">
        <f t="shared" si="89"/>
        <v>0</v>
      </c>
      <c r="IX23" s="152">
        <v>0</v>
      </c>
      <c r="IY23" s="152"/>
      <c r="IZ23" s="152"/>
      <c r="JA23" s="152"/>
      <c r="JB23" s="152"/>
      <c r="JC23" s="152"/>
      <c r="JD23" s="152"/>
      <c r="JE23" s="152">
        <v>0</v>
      </c>
      <c r="JF23" s="38">
        <f t="shared" si="90"/>
        <v>0</v>
      </c>
      <c r="JG23" s="152"/>
      <c r="JH23" s="152"/>
      <c r="JI23" s="152"/>
      <c r="JJ23" s="152"/>
      <c r="JK23" s="152"/>
      <c r="JL23" s="152"/>
      <c r="JM23" s="152"/>
      <c r="JN23" s="152"/>
      <c r="JO23" s="38">
        <f t="shared" si="91"/>
        <v>0</v>
      </c>
      <c r="JP23" s="14">
        <f t="shared" si="92"/>
        <v>10</v>
      </c>
      <c r="JQ23" s="46">
        <f t="shared" si="93"/>
        <v>40</v>
      </c>
      <c r="JR23" s="47">
        <f t="shared" si="35"/>
        <v>50</v>
      </c>
      <c r="JS23" s="46">
        <f t="shared" si="94"/>
        <v>0</v>
      </c>
      <c r="JT23" s="15">
        <f t="shared" si="95"/>
        <v>1</v>
      </c>
    </row>
    <row r="24" spans="1:282" ht="17" thickBot="1" x14ac:dyDescent="0.55000000000000004">
      <c r="A24" s="20" t="s">
        <v>38</v>
      </c>
      <c r="B24" s="20" t="s">
        <v>47</v>
      </c>
      <c r="C24" s="181"/>
      <c r="D24" s="182"/>
      <c r="E24" s="18"/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8">
        <f t="shared" si="68"/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8">
        <f t="shared" si="69"/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8">
        <f t="shared" si="70"/>
        <v>0</v>
      </c>
      <c r="AG24" s="39">
        <v>0</v>
      </c>
      <c r="AH24" s="39">
        <v>0</v>
      </c>
      <c r="AI24" s="39">
        <v>0</v>
      </c>
      <c r="AJ24" s="39">
        <v>0</v>
      </c>
      <c r="AK24" s="39">
        <v>0</v>
      </c>
      <c r="AL24" s="39">
        <v>0</v>
      </c>
      <c r="AM24" s="39">
        <v>0</v>
      </c>
      <c r="AN24" s="39">
        <v>0</v>
      </c>
      <c r="AO24" s="38">
        <f t="shared" si="71"/>
        <v>0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40">
        <v>0</v>
      </c>
      <c r="AX24" s="38">
        <f t="shared" si="61"/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38">
        <f t="shared" ref="BG24:BG30" si="96">AY24+AZ24+BA24+BB24+BC24+BD24+BE24+BF24</f>
        <v>0</v>
      </c>
      <c r="BH24" s="41"/>
      <c r="BI24" s="41"/>
      <c r="BJ24" s="41"/>
      <c r="BK24" s="41"/>
      <c r="BL24" s="41"/>
      <c r="BM24" s="41"/>
      <c r="BN24" s="41"/>
      <c r="BO24" s="41"/>
      <c r="BP24" s="38">
        <f t="shared" ref="BP24:BP30" si="97">BH24+BI24+BJ24+BK24+BL24+BM24+BN24+BO24</f>
        <v>0</v>
      </c>
      <c r="BQ24" s="41">
        <v>0</v>
      </c>
      <c r="BR24" s="41">
        <v>0</v>
      </c>
      <c r="BS24" s="41"/>
      <c r="BT24" s="41">
        <v>0</v>
      </c>
      <c r="BU24" s="41">
        <v>0</v>
      </c>
      <c r="BV24" s="41">
        <v>0</v>
      </c>
      <c r="BW24" s="41">
        <v>0</v>
      </c>
      <c r="BX24" s="41">
        <v>0</v>
      </c>
      <c r="BY24" s="38">
        <f t="shared" ref="BY24:BY30" si="98">BQ24+BR24+BS24+BT24+BU24+BV24+BW24+BX24</f>
        <v>0</v>
      </c>
      <c r="BZ24" s="42">
        <v>0</v>
      </c>
      <c r="CA24" s="42">
        <v>0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42">
        <v>0</v>
      </c>
      <c r="CH24" s="38">
        <f t="shared" ref="CH24:CH30" si="99">BZ24+CA24+CB24+CC24+CD24+CE24+CF24+CG24</f>
        <v>0</v>
      </c>
      <c r="CI24" s="42">
        <v>0</v>
      </c>
      <c r="CJ24" s="42">
        <v>0</v>
      </c>
      <c r="CK24" s="42">
        <v>0</v>
      </c>
      <c r="CL24" s="42">
        <v>0</v>
      </c>
      <c r="CM24" s="42">
        <v>0</v>
      </c>
      <c r="CN24" s="42">
        <v>0</v>
      </c>
      <c r="CO24" s="42">
        <v>0</v>
      </c>
      <c r="CP24" s="42">
        <v>0</v>
      </c>
      <c r="CQ24" s="38">
        <f t="shared" ref="CQ24:CQ30" si="100">CI24+CJ24+CK24+CL24+CM24+CN24+CO24+CP24</f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38">
        <f t="shared" ref="CZ24:CZ30" si="101">CR24+CS24+CT24+CU24+CV24+CW24+CX24+CY24</f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0</v>
      </c>
      <c r="DF24" s="43">
        <v>0</v>
      </c>
      <c r="DG24" s="43">
        <v>0</v>
      </c>
      <c r="DH24" s="43">
        <v>0</v>
      </c>
      <c r="DI24" s="38">
        <f t="shared" ref="DI24:DI30" si="102">DA24+DB24+DC24+DD24+DE24+DF24+DG24+DH24</f>
        <v>0</v>
      </c>
      <c r="DJ24" s="39">
        <v>0</v>
      </c>
      <c r="DK24" s="39">
        <v>0</v>
      </c>
      <c r="DL24" s="39"/>
      <c r="DM24" s="39">
        <v>0</v>
      </c>
      <c r="DN24" s="39">
        <v>0</v>
      </c>
      <c r="DO24" s="39">
        <v>0</v>
      </c>
      <c r="DP24" s="39">
        <v>0</v>
      </c>
      <c r="DQ24" s="39">
        <v>0</v>
      </c>
      <c r="DR24" s="38">
        <f t="shared" ref="DR24:DR30" si="103">DJ24+DK24+DL24+DM24+DN24+DO24+DP24+DQ24</f>
        <v>0</v>
      </c>
      <c r="DS24" s="39">
        <v>0</v>
      </c>
      <c r="DT24" s="39">
        <v>0</v>
      </c>
      <c r="DU24" s="39"/>
      <c r="DV24" s="39">
        <v>0</v>
      </c>
      <c r="DW24" s="39">
        <v>0</v>
      </c>
      <c r="DX24" s="39">
        <v>0</v>
      </c>
      <c r="DY24" s="39">
        <v>0</v>
      </c>
      <c r="DZ24" s="39">
        <v>0</v>
      </c>
      <c r="EA24" s="38">
        <f t="shared" ref="EA24:EA30" si="104">DS24+DT24+DU24+DV24+DW24+DX24+DY24+DZ24</f>
        <v>0</v>
      </c>
      <c r="EB24" s="44"/>
      <c r="EC24" s="44"/>
      <c r="ED24" s="44"/>
      <c r="EE24" s="44"/>
      <c r="EF24" s="44"/>
      <c r="EG24" s="44"/>
      <c r="EH24" s="44"/>
      <c r="EI24" s="44"/>
      <c r="EJ24" s="38">
        <f t="shared" ref="EJ24:EJ30" si="105">EB24+EC24+ED24+EE24+EF24+EG24+EH24+EI24</f>
        <v>0</v>
      </c>
      <c r="EK24" s="44"/>
      <c r="EL24" s="44"/>
      <c r="EM24" s="44"/>
      <c r="EN24" s="44"/>
      <c r="EO24" s="44"/>
      <c r="EP24" s="44"/>
      <c r="EQ24" s="44"/>
      <c r="ER24" s="44"/>
      <c r="ES24" s="38">
        <f t="shared" ref="ES24:ES30" si="106">EK24+EL24+EM24+EN24+EO24+EP24+EQ24+ER24</f>
        <v>0</v>
      </c>
      <c r="ET24" s="48">
        <v>0</v>
      </c>
      <c r="EU24" s="48">
        <v>0</v>
      </c>
      <c r="EV24" s="48">
        <v>0</v>
      </c>
      <c r="EW24" s="48">
        <v>0</v>
      </c>
      <c r="EX24" s="48">
        <v>0</v>
      </c>
      <c r="EY24" s="48">
        <v>0</v>
      </c>
      <c r="EZ24" s="48">
        <v>0</v>
      </c>
      <c r="FA24" s="48">
        <v>0</v>
      </c>
      <c r="FB24" s="38">
        <f t="shared" si="0"/>
        <v>0</v>
      </c>
      <c r="FC24" s="48">
        <v>0</v>
      </c>
      <c r="FD24" s="48">
        <v>0</v>
      </c>
      <c r="FE24" s="48">
        <v>0</v>
      </c>
      <c r="FF24" s="48">
        <v>0</v>
      </c>
      <c r="FG24" s="48">
        <v>0</v>
      </c>
      <c r="FH24" s="48">
        <v>0</v>
      </c>
      <c r="FI24" s="48">
        <v>0</v>
      </c>
      <c r="FJ24" s="48">
        <v>0</v>
      </c>
      <c r="FK24" s="38">
        <f t="shared" si="1"/>
        <v>0</v>
      </c>
      <c r="FL24" s="48">
        <v>0</v>
      </c>
      <c r="FM24" s="48">
        <v>0</v>
      </c>
      <c r="FN24" s="48">
        <v>0</v>
      </c>
      <c r="FO24" s="48">
        <v>0</v>
      </c>
      <c r="FP24" s="48">
        <v>0</v>
      </c>
      <c r="FQ24" s="48">
        <v>0</v>
      </c>
      <c r="FR24" s="48">
        <v>0</v>
      </c>
      <c r="FS24" s="48">
        <v>0</v>
      </c>
      <c r="FT24" s="38">
        <f t="shared" si="80"/>
        <v>0</v>
      </c>
      <c r="FU24" s="48">
        <v>0</v>
      </c>
      <c r="FV24" s="48">
        <v>0</v>
      </c>
      <c r="FW24" s="48">
        <v>0</v>
      </c>
      <c r="FX24" s="48">
        <v>0</v>
      </c>
      <c r="FY24" s="48">
        <v>0</v>
      </c>
      <c r="FZ24" s="48">
        <v>0</v>
      </c>
      <c r="GA24" s="48">
        <v>0</v>
      </c>
      <c r="GB24" s="48">
        <v>0</v>
      </c>
      <c r="GC24" s="38">
        <f t="shared" si="81"/>
        <v>0</v>
      </c>
      <c r="GD24" s="48">
        <v>0</v>
      </c>
      <c r="GE24" s="48">
        <v>0</v>
      </c>
      <c r="GF24" s="48">
        <v>0</v>
      </c>
      <c r="GG24" s="48">
        <v>0</v>
      </c>
      <c r="GH24" s="48">
        <v>0</v>
      </c>
      <c r="GI24" s="48">
        <v>0</v>
      </c>
      <c r="GJ24" s="48">
        <v>0</v>
      </c>
      <c r="GK24" s="48">
        <v>0</v>
      </c>
      <c r="GL24" s="38">
        <f t="shared" si="82"/>
        <v>0</v>
      </c>
      <c r="GM24" s="48">
        <v>0</v>
      </c>
      <c r="GN24" s="48">
        <v>0</v>
      </c>
      <c r="GO24" s="48">
        <v>0</v>
      </c>
      <c r="GP24" s="48">
        <v>0</v>
      </c>
      <c r="GQ24" s="48">
        <v>0</v>
      </c>
      <c r="GR24" s="48">
        <v>0</v>
      </c>
      <c r="GS24" s="48">
        <v>0</v>
      </c>
      <c r="GT24" s="48">
        <v>0</v>
      </c>
      <c r="GU24" s="38">
        <f t="shared" si="83"/>
        <v>0</v>
      </c>
      <c r="GV24" s="48">
        <v>0</v>
      </c>
      <c r="GW24" s="48">
        <v>0</v>
      </c>
      <c r="GX24" s="48">
        <v>0</v>
      </c>
      <c r="GY24" s="48">
        <v>0</v>
      </c>
      <c r="GZ24" s="48">
        <v>0</v>
      </c>
      <c r="HA24" s="48">
        <v>0</v>
      </c>
      <c r="HB24" s="48">
        <v>0</v>
      </c>
      <c r="HC24" s="48">
        <v>0</v>
      </c>
      <c r="HD24" s="38">
        <f t="shared" si="84"/>
        <v>0</v>
      </c>
      <c r="HE24" s="48">
        <v>0</v>
      </c>
      <c r="HF24" s="48">
        <v>0</v>
      </c>
      <c r="HG24" s="48">
        <v>0</v>
      </c>
      <c r="HH24" s="48">
        <v>0</v>
      </c>
      <c r="HI24" s="48">
        <v>0</v>
      </c>
      <c r="HJ24" s="48">
        <v>0</v>
      </c>
      <c r="HK24" s="48">
        <v>0</v>
      </c>
      <c r="HL24" s="48">
        <v>0</v>
      </c>
      <c r="HM24" s="38">
        <f t="shared" si="85"/>
        <v>0</v>
      </c>
      <c r="HN24" s="48">
        <v>0</v>
      </c>
      <c r="HO24" s="48"/>
      <c r="HP24" s="48"/>
      <c r="HQ24" s="48"/>
      <c r="HR24" s="48"/>
      <c r="HS24" s="48"/>
      <c r="HT24" s="48"/>
      <c r="HU24" s="48">
        <v>0</v>
      </c>
      <c r="HV24" s="38">
        <f t="shared" si="86"/>
        <v>0</v>
      </c>
      <c r="HW24" s="48">
        <v>0</v>
      </c>
      <c r="HX24" s="48"/>
      <c r="HY24" s="48"/>
      <c r="HZ24" s="48"/>
      <c r="IA24" s="48"/>
      <c r="IB24" s="48"/>
      <c r="IC24" s="48"/>
      <c r="ID24" s="48">
        <v>0</v>
      </c>
      <c r="IE24" s="38">
        <f t="shared" si="87"/>
        <v>0</v>
      </c>
      <c r="IF24" s="137">
        <v>0</v>
      </c>
      <c r="IG24" s="137"/>
      <c r="IH24" s="137"/>
      <c r="II24" s="137"/>
      <c r="IJ24" s="137"/>
      <c r="IK24" s="137"/>
      <c r="IL24" s="137"/>
      <c r="IM24" s="137">
        <v>0</v>
      </c>
      <c r="IN24" s="38">
        <f t="shared" si="88"/>
        <v>0</v>
      </c>
      <c r="IO24" s="137"/>
      <c r="IP24" s="137"/>
      <c r="IQ24" s="137"/>
      <c r="IR24" s="137"/>
      <c r="IS24" s="137"/>
      <c r="IT24" s="137"/>
      <c r="IU24" s="137"/>
      <c r="IV24" s="137"/>
      <c r="IW24" s="38">
        <f t="shared" si="89"/>
        <v>0</v>
      </c>
      <c r="IX24" s="152">
        <v>0</v>
      </c>
      <c r="IY24" s="152"/>
      <c r="IZ24" s="152"/>
      <c r="JA24" s="152"/>
      <c r="JB24" s="152"/>
      <c r="JC24" s="152"/>
      <c r="JD24" s="152"/>
      <c r="JE24" s="152">
        <v>0</v>
      </c>
      <c r="JF24" s="38">
        <f t="shared" si="90"/>
        <v>0</v>
      </c>
      <c r="JG24" s="152"/>
      <c r="JH24" s="152"/>
      <c r="JI24" s="152"/>
      <c r="JJ24" s="152"/>
      <c r="JK24" s="152"/>
      <c r="JL24" s="152"/>
      <c r="JM24" s="152"/>
      <c r="JN24" s="152"/>
      <c r="JO24" s="38">
        <f t="shared" si="91"/>
        <v>0</v>
      </c>
      <c r="JP24" s="14">
        <f t="shared" si="92"/>
        <v>0</v>
      </c>
      <c r="JQ24" s="46">
        <f t="shared" si="93"/>
        <v>0</v>
      </c>
      <c r="JR24" s="47">
        <f t="shared" si="35"/>
        <v>0</v>
      </c>
      <c r="JS24" s="46" t="str">
        <f t="shared" si="94"/>
        <v>N/A</v>
      </c>
      <c r="JT24" s="15" t="str">
        <f t="shared" si="95"/>
        <v/>
      </c>
    </row>
    <row r="25" spans="1:282" ht="17" thickBot="1" x14ac:dyDescent="0.55000000000000004">
      <c r="A25" s="28" t="s">
        <v>38</v>
      </c>
      <c r="B25" s="19" t="s">
        <v>48</v>
      </c>
      <c r="C25" s="179"/>
      <c r="D25" s="180"/>
      <c r="E25" s="22">
        <v>2800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8">
        <f t="shared" si="68"/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8">
        <f t="shared" si="69"/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8">
        <f t="shared" si="70"/>
        <v>0</v>
      </c>
      <c r="AG25" s="39">
        <v>0</v>
      </c>
      <c r="AH25" s="39">
        <v>0</v>
      </c>
      <c r="AI25" s="39">
        <v>0</v>
      </c>
      <c r="AJ25" s="39">
        <v>0</v>
      </c>
      <c r="AK25" s="39">
        <v>0</v>
      </c>
      <c r="AL25" s="39">
        <v>0</v>
      </c>
      <c r="AM25" s="39">
        <v>0</v>
      </c>
      <c r="AN25" s="39">
        <v>0</v>
      </c>
      <c r="AO25" s="38">
        <f t="shared" si="71"/>
        <v>0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38">
        <f t="shared" si="61"/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38">
        <f t="shared" si="96"/>
        <v>0</v>
      </c>
      <c r="BH25" s="41"/>
      <c r="BI25" s="41">
        <v>254</v>
      </c>
      <c r="BJ25" s="41"/>
      <c r="BK25" s="41"/>
      <c r="BL25" s="41"/>
      <c r="BM25" s="41"/>
      <c r="BN25" s="41"/>
      <c r="BO25" s="41"/>
      <c r="BP25" s="38">
        <f t="shared" si="97"/>
        <v>254</v>
      </c>
      <c r="BQ25" s="41">
        <v>0</v>
      </c>
      <c r="BR25" s="41">
        <v>226</v>
      </c>
      <c r="BS25" s="41"/>
      <c r="BT25" s="41">
        <v>0</v>
      </c>
      <c r="BU25" s="41">
        <v>0</v>
      </c>
      <c r="BV25" s="41">
        <v>0</v>
      </c>
      <c r="BW25" s="41">
        <v>0</v>
      </c>
      <c r="BX25" s="41">
        <v>0</v>
      </c>
      <c r="BY25" s="38">
        <f t="shared" si="98"/>
        <v>226</v>
      </c>
      <c r="BZ25" s="42">
        <v>0</v>
      </c>
      <c r="CA25" s="42">
        <v>0</v>
      </c>
      <c r="CB25" s="42">
        <v>0</v>
      </c>
      <c r="CC25" s="42">
        <v>0</v>
      </c>
      <c r="CD25" s="42">
        <v>0</v>
      </c>
      <c r="CE25" s="42">
        <v>0</v>
      </c>
      <c r="CF25" s="42">
        <v>0</v>
      </c>
      <c r="CG25" s="42">
        <v>0</v>
      </c>
      <c r="CH25" s="38">
        <f t="shared" si="99"/>
        <v>0</v>
      </c>
      <c r="CI25" s="42">
        <v>0</v>
      </c>
      <c r="CJ25" s="42">
        <v>0</v>
      </c>
      <c r="CK25" s="42">
        <v>0</v>
      </c>
      <c r="CL25" s="42">
        <v>0</v>
      </c>
      <c r="CM25" s="42">
        <v>0</v>
      </c>
      <c r="CN25" s="42">
        <v>0</v>
      </c>
      <c r="CO25" s="42">
        <v>0</v>
      </c>
      <c r="CP25" s="42">
        <v>0</v>
      </c>
      <c r="CQ25" s="38">
        <f t="shared" si="100"/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38">
        <f t="shared" si="101"/>
        <v>0</v>
      </c>
      <c r="DA25" s="43">
        <v>0</v>
      </c>
      <c r="DB25" s="43">
        <v>0</v>
      </c>
      <c r="DC25" s="43">
        <v>0</v>
      </c>
      <c r="DD25" s="43">
        <v>0</v>
      </c>
      <c r="DE25" s="43">
        <v>0</v>
      </c>
      <c r="DF25" s="43">
        <v>0</v>
      </c>
      <c r="DG25" s="43">
        <v>0</v>
      </c>
      <c r="DH25" s="43">
        <v>0</v>
      </c>
      <c r="DI25" s="38">
        <f t="shared" si="102"/>
        <v>0</v>
      </c>
      <c r="DJ25" s="39">
        <v>0</v>
      </c>
      <c r="DK25" s="39">
        <v>0</v>
      </c>
      <c r="DL25" s="39"/>
      <c r="DM25" s="39">
        <v>0</v>
      </c>
      <c r="DN25" s="39">
        <v>0</v>
      </c>
      <c r="DO25" s="39">
        <v>0</v>
      </c>
      <c r="DP25" s="39">
        <v>0</v>
      </c>
      <c r="DQ25" s="39">
        <v>0</v>
      </c>
      <c r="DR25" s="38">
        <f t="shared" si="103"/>
        <v>0</v>
      </c>
      <c r="DS25" s="39">
        <v>0</v>
      </c>
      <c r="DT25" s="39">
        <v>0</v>
      </c>
      <c r="DU25" s="39"/>
      <c r="DV25" s="39">
        <v>0</v>
      </c>
      <c r="DW25" s="39">
        <v>0</v>
      </c>
      <c r="DX25" s="39">
        <v>0</v>
      </c>
      <c r="DY25" s="39">
        <v>0</v>
      </c>
      <c r="DZ25" s="39">
        <v>0</v>
      </c>
      <c r="EA25" s="38">
        <f t="shared" si="104"/>
        <v>0</v>
      </c>
      <c r="EB25" s="44"/>
      <c r="EC25" s="44"/>
      <c r="ED25" s="44"/>
      <c r="EE25" s="44"/>
      <c r="EF25" s="44"/>
      <c r="EG25" s="44"/>
      <c r="EH25" s="44"/>
      <c r="EI25" s="44"/>
      <c r="EJ25" s="38">
        <f t="shared" si="105"/>
        <v>0</v>
      </c>
      <c r="EK25" s="44"/>
      <c r="EL25" s="44">
        <v>0</v>
      </c>
      <c r="EM25" s="44"/>
      <c r="EN25" s="44"/>
      <c r="EO25" s="44"/>
      <c r="EP25" s="44"/>
      <c r="EQ25" s="44"/>
      <c r="ER25" s="44"/>
      <c r="ES25" s="38">
        <f t="shared" si="106"/>
        <v>0</v>
      </c>
      <c r="ET25" s="48">
        <v>0</v>
      </c>
      <c r="EU25" s="48">
        <v>0</v>
      </c>
      <c r="EV25" s="48">
        <v>0</v>
      </c>
      <c r="EW25" s="48">
        <v>0</v>
      </c>
      <c r="EX25" s="48">
        <v>0</v>
      </c>
      <c r="EY25" s="48">
        <v>0</v>
      </c>
      <c r="EZ25" s="48">
        <v>0</v>
      </c>
      <c r="FA25" s="48">
        <v>0</v>
      </c>
      <c r="FB25" s="38">
        <f t="shared" si="0"/>
        <v>0</v>
      </c>
      <c r="FC25" s="48">
        <v>0</v>
      </c>
      <c r="FD25" s="48">
        <v>0</v>
      </c>
      <c r="FE25" s="48">
        <v>0</v>
      </c>
      <c r="FF25" s="48">
        <v>0</v>
      </c>
      <c r="FG25" s="48">
        <v>0</v>
      </c>
      <c r="FH25" s="48">
        <v>0</v>
      </c>
      <c r="FI25" s="48">
        <v>0</v>
      </c>
      <c r="FJ25" s="48">
        <v>0</v>
      </c>
      <c r="FK25" s="38">
        <f t="shared" si="1"/>
        <v>0</v>
      </c>
      <c r="FL25" s="48">
        <v>0</v>
      </c>
      <c r="FM25" s="48">
        <v>0</v>
      </c>
      <c r="FN25" s="48">
        <v>0</v>
      </c>
      <c r="FO25" s="48">
        <v>0</v>
      </c>
      <c r="FP25" s="48">
        <v>0</v>
      </c>
      <c r="FQ25" s="48">
        <v>0</v>
      </c>
      <c r="FR25" s="48">
        <v>0</v>
      </c>
      <c r="FS25" s="48">
        <v>0</v>
      </c>
      <c r="FT25" s="38">
        <f t="shared" si="80"/>
        <v>0</v>
      </c>
      <c r="FU25" s="48">
        <v>0</v>
      </c>
      <c r="FV25" s="48">
        <v>0</v>
      </c>
      <c r="FW25" s="48">
        <v>0</v>
      </c>
      <c r="FX25" s="48">
        <v>0</v>
      </c>
      <c r="FY25" s="48">
        <v>0</v>
      </c>
      <c r="FZ25" s="48">
        <v>0</v>
      </c>
      <c r="GA25" s="48">
        <v>0</v>
      </c>
      <c r="GB25" s="48">
        <v>0</v>
      </c>
      <c r="GC25" s="38">
        <f t="shared" si="81"/>
        <v>0</v>
      </c>
      <c r="GD25" s="48">
        <v>0</v>
      </c>
      <c r="GE25" s="48">
        <v>2</v>
      </c>
      <c r="GF25" s="48">
        <v>14</v>
      </c>
      <c r="GG25" s="48">
        <v>9</v>
      </c>
      <c r="GH25" s="48">
        <v>0</v>
      </c>
      <c r="GI25" s="48">
        <v>0</v>
      </c>
      <c r="GJ25" s="48">
        <v>0</v>
      </c>
      <c r="GK25" s="48">
        <v>0</v>
      </c>
      <c r="GL25" s="38">
        <f t="shared" si="82"/>
        <v>25</v>
      </c>
      <c r="GM25" s="48">
        <v>0</v>
      </c>
      <c r="GN25" s="48">
        <v>0</v>
      </c>
      <c r="GO25" s="48">
        <v>0</v>
      </c>
      <c r="GP25" s="48">
        <v>0</v>
      </c>
      <c r="GQ25" s="48">
        <v>0</v>
      </c>
      <c r="GR25" s="48">
        <v>0</v>
      </c>
      <c r="GS25" s="48">
        <v>18</v>
      </c>
      <c r="GT25" s="48">
        <v>2</v>
      </c>
      <c r="GU25" s="38">
        <f t="shared" si="83"/>
        <v>20</v>
      </c>
      <c r="GV25" s="48">
        <v>0</v>
      </c>
      <c r="GW25" s="48">
        <v>33</v>
      </c>
      <c r="GX25" s="48">
        <v>0</v>
      </c>
      <c r="GY25" s="48">
        <v>0</v>
      </c>
      <c r="GZ25" s="48">
        <v>0</v>
      </c>
      <c r="HA25" s="48">
        <v>25</v>
      </c>
      <c r="HB25" s="48">
        <v>0</v>
      </c>
      <c r="HC25" s="48">
        <v>0</v>
      </c>
      <c r="HD25" s="38">
        <f t="shared" si="84"/>
        <v>58</v>
      </c>
      <c r="HE25" s="48">
        <v>0</v>
      </c>
      <c r="HF25" s="48">
        <v>33</v>
      </c>
      <c r="HG25" s="48">
        <v>0</v>
      </c>
      <c r="HH25" s="48">
        <v>0</v>
      </c>
      <c r="HI25" s="48">
        <v>0</v>
      </c>
      <c r="HJ25" s="48">
        <v>21</v>
      </c>
      <c r="HK25" s="48">
        <v>0</v>
      </c>
      <c r="HL25" s="48">
        <v>0</v>
      </c>
      <c r="HM25" s="38">
        <f t="shared" si="85"/>
        <v>54</v>
      </c>
      <c r="HN25" s="48">
        <v>0</v>
      </c>
      <c r="HO25" s="48"/>
      <c r="HP25" s="48"/>
      <c r="HQ25" s="48"/>
      <c r="HR25" s="48"/>
      <c r="HS25" s="48"/>
      <c r="HT25" s="48"/>
      <c r="HU25" s="48">
        <v>0</v>
      </c>
      <c r="HV25" s="38">
        <f t="shared" si="86"/>
        <v>0</v>
      </c>
      <c r="HW25" s="48">
        <v>0</v>
      </c>
      <c r="HX25" s="48"/>
      <c r="HY25" s="48"/>
      <c r="HZ25" s="48"/>
      <c r="IA25" s="48"/>
      <c r="IB25" s="48"/>
      <c r="IC25" s="48"/>
      <c r="ID25" s="48">
        <v>0</v>
      </c>
      <c r="IE25" s="38">
        <f t="shared" si="87"/>
        <v>0</v>
      </c>
      <c r="IF25" s="137">
        <v>0</v>
      </c>
      <c r="IG25" s="137"/>
      <c r="IH25" s="137"/>
      <c r="II25" s="137">
        <v>136</v>
      </c>
      <c r="IJ25" s="137"/>
      <c r="IK25" s="137"/>
      <c r="IL25" s="137"/>
      <c r="IM25" s="137">
        <v>0</v>
      </c>
      <c r="IN25" s="38">
        <f t="shared" si="88"/>
        <v>136</v>
      </c>
      <c r="IO25" s="137"/>
      <c r="IP25" s="137">
        <v>206</v>
      </c>
      <c r="IQ25" s="137"/>
      <c r="IR25" s="137"/>
      <c r="IS25" s="137"/>
      <c r="IT25" s="137"/>
      <c r="IU25" s="137"/>
      <c r="IV25" s="137"/>
      <c r="IW25" s="38">
        <f t="shared" si="89"/>
        <v>206</v>
      </c>
      <c r="IX25" s="152">
        <v>0</v>
      </c>
      <c r="IY25" s="152">
        <v>454</v>
      </c>
      <c r="IZ25" s="152"/>
      <c r="JA25" s="152"/>
      <c r="JB25" s="152"/>
      <c r="JC25" s="152"/>
      <c r="JD25" s="152"/>
      <c r="JE25" s="152">
        <v>0</v>
      </c>
      <c r="JF25" s="38">
        <f t="shared" si="90"/>
        <v>454</v>
      </c>
      <c r="JG25" s="152"/>
      <c r="JH25" s="152">
        <v>233</v>
      </c>
      <c r="JI25" s="152"/>
      <c r="JJ25" s="152"/>
      <c r="JK25" s="152"/>
      <c r="JL25" s="152"/>
      <c r="JM25" s="152"/>
      <c r="JN25" s="152"/>
      <c r="JO25" s="38">
        <f t="shared" si="91"/>
        <v>233</v>
      </c>
      <c r="JP25" s="14">
        <f t="shared" si="92"/>
        <v>473</v>
      </c>
      <c r="JQ25" s="46">
        <f t="shared" si="93"/>
        <v>506</v>
      </c>
      <c r="JR25" s="47">
        <f t="shared" si="35"/>
        <v>979</v>
      </c>
      <c r="JS25" s="46">
        <f t="shared" si="94"/>
        <v>1821</v>
      </c>
      <c r="JT25" s="15">
        <f t="shared" si="95"/>
        <v>0.34964285714285714</v>
      </c>
    </row>
    <row r="26" spans="1:282" ht="30" customHeight="1" thickBot="1" x14ac:dyDescent="0.55000000000000004">
      <c r="A26" s="20" t="s">
        <v>49</v>
      </c>
      <c r="B26" s="241" t="s">
        <v>50</v>
      </c>
      <c r="C26" s="241"/>
      <c r="D26" s="241"/>
      <c r="E26" s="241"/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8">
        <f t="shared" si="68"/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8">
        <f t="shared" si="69"/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8">
        <f t="shared" si="70"/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0</v>
      </c>
      <c r="AL26" s="39">
        <v>0</v>
      </c>
      <c r="AM26" s="39">
        <v>0</v>
      </c>
      <c r="AN26" s="39">
        <v>0</v>
      </c>
      <c r="AO26" s="38">
        <f t="shared" si="71"/>
        <v>0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0</v>
      </c>
      <c r="AV26" s="40">
        <v>0</v>
      </c>
      <c r="AW26" s="40">
        <v>0</v>
      </c>
      <c r="AX26" s="38">
        <f t="shared" si="61"/>
        <v>0</v>
      </c>
      <c r="AY26" s="40"/>
      <c r="AZ26" s="40"/>
      <c r="BA26" s="40"/>
      <c r="BB26" s="40"/>
      <c r="BC26" s="40"/>
      <c r="BD26" s="40"/>
      <c r="BE26" s="40"/>
      <c r="BF26" s="40"/>
      <c r="BG26" s="38"/>
      <c r="BH26" s="41"/>
      <c r="BI26" s="41"/>
      <c r="BJ26" s="41"/>
      <c r="BK26" s="41"/>
      <c r="BL26" s="41"/>
      <c r="BM26" s="41"/>
      <c r="BN26" s="41"/>
      <c r="BO26" s="41"/>
      <c r="BP26" s="38"/>
      <c r="BQ26" s="41"/>
      <c r="BR26" s="41"/>
      <c r="BS26" s="41"/>
      <c r="BT26" s="41"/>
      <c r="BU26" s="41"/>
      <c r="BV26" s="41"/>
      <c r="BW26" s="41"/>
      <c r="BX26" s="41"/>
      <c r="BY26" s="38"/>
      <c r="BZ26" s="42"/>
      <c r="CA26" s="42"/>
      <c r="CB26" s="42"/>
      <c r="CC26" s="42"/>
      <c r="CD26" s="42"/>
      <c r="CE26" s="42"/>
      <c r="CF26" s="42"/>
      <c r="CG26" s="42"/>
      <c r="CH26" s="38"/>
      <c r="CI26" s="42"/>
      <c r="CJ26" s="42"/>
      <c r="CK26" s="42"/>
      <c r="CL26" s="42"/>
      <c r="CM26" s="42"/>
      <c r="CN26" s="42"/>
      <c r="CO26" s="42"/>
      <c r="CP26" s="42"/>
      <c r="CQ26" s="38"/>
      <c r="CR26" s="43"/>
      <c r="CS26" s="43"/>
      <c r="CT26" s="43"/>
      <c r="CU26" s="43"/>
      <c r="CV26" s="43"/>
      <c r="CW26" s="43"/>
      <c r="CX26" s="43"/>
      <c r="CY26" s="43"/>
      <c r="CZ26" s="38"/>
      <c r="DA26" s="43"/>
      <c r="DB26" s="43"/>
      <c r="DC26" s="43"/>
      <c r="DD26" s="43"/>
      <c r="DE26" s="43"/>
      <c r="DF26" s="43"/>
      <c r="DG26" s="43"/>
      <c r="DH26" s="43"/>
      <c r="DI26" s="38"/>
      <c r="DJ26" s="39"/>
      <c r="DK26" s="39"/>
      <c r="DL26" s="39"/>
      <c r="DM26" s="39"/>
      <c r="DN26" s="39"/>
      <c r="DO26" s="39"/>
      <c r="DP26" s="39"/>
      <c r="DQ26" s="39"/>
      <c r="DR26" s="38"/>
      <c r="DS26" s="39"/>
      <c r="DT26" s="39"/>
      <c r="DU26" s="39"/>
      <c r="DV26" s="39"/>
      <c r="DW26" s="39"/>
      <c r="DX26" s="39"/>
      <c r="DY26" s="39"/>
      <c r="DZ26" s="39"/>
      <c r="EA26" s="38"/>
      <c r="EB26" s="44"/>
      <c r="EC26" s="44"/>
      <c r="ED26" s="44"/>
      <c r="EE26" s="44"/>
      <c r="EF26" s="44"/>
      <c r="EG26" s="44"/>
      <c r="EH26" s="44"/>
      <c r="EI26" s="44"/>
      <c r="EJ26" s="38"/>
      <c r="EK26" s="44"/>
      <c r="EL26" s="44">
        <v>0</v>
      </c>
      <c r="EM26" s="44"/>
      <c r="EN26" s="44"/>
      <c r="EO26" s="44"/>
      <c r="EP26" s="44"/>
      <c r="EQ26" s="44"/>
      <c r="ER26" s="44"/>
      <c r="ES26" s="38"/>
      <c r="ET26" s="48">
        <v>0</v>
      </c>
      <c r="EU26" s="48">
        <v>0</v>
      </c>
      <c r="EV26" s="48">
        <v>0</v>
      </c>
      <c r="EW26" s="48">
        <v>0</v>
      </c>
      <c r="EX26" s="48">
        <v>0</v>
      </c>
      <c r="EY26" s="48">
        <v>0</v>
      </c>
      <c r="EZ26" s="48">
        <v>0</v>
      </c>
      <c r="FA26" s="48">
        <v>0</v>
      </c>
      <c r="FB26" s="38">
        <f t="shared" si="0"/>
        <v>0</v>
      </c>
      <c r="FC26" s="48">
        <v>0</v>
      </c>
      <c r="FD26" s="48">
        <v>0</v>
      </c>
      <c r="FE26" s="48">
        <v>0</v>
      </c>
      <c r="FF26" s="48">
        <v>0</v>
      </c>
      <c r="FG26" s="48">
        <v>0</v>
      </c>
      <c r="FH26" s="48">
        <v>0</v>
      </c>
      <c r="FI26" s="48">
        <v>0</v>
      </c>
      <c r="FJ26" s="48">
        <v>0</v>
      </c>
      <c r="FK26" s="38">
        <f t="shared" si="1"/>
        <v>0</v>
      </c>
      <c r="FL26" s="48">
        <v>0</v>
      </c>
      <c r="FM26" s="48">
        <v>0</v>
      </c>
      <c r="FN26" s="48">
        <v>0</v>
      </c>
      <c r="FO26" s="48">
        <v>0</v>
      </c>
      <c r="FP26" s="48">
        <v>0</v>
      </c>
      <c r="FQ26" s="48">
        <v>0</v>
      </c>
      <c r="FR26" s="48">
        <v>0</v>
      </c>
      <c r="FS26" s="48">
        <v>0</v>
      </c>
      <c r="FT26" s="38">
        <f t="shared" si="80"/>
        <v>0</v>
      </c>
      <c r="FU26" s="48">
        <v>0</v>
      </c>
      <c r="FV26" s="48">
        <v>0</v>
      </c>
      <c r="FW26" s="48">
        <v>0</v>
      </c>
      <c r="FX26" s="48">
        <v>0</v>
      </c>
      <c r="FY26" s="48">
        <v>0</v>
      </c>
      <c r="FZ26" s="48">
        <v>0</v>
      </c>
      <c r="GA26" s="48">
        <v>0</v>
      </c>
      <c r="GB26" s="48">
        <v>0</v>
      </c>
      <c r="GC26" s="38">
        <f t="shared" si="81"/>
        <v>0</v>
      </c>
      <c r="GD26" s="48">
        <v>0</v>
      </c>
      <c r="GE26" s="48">
        <v>0</v>
      </c>
      <c r="GF26" s="48">
        <v>0</v>
      </c>
      <c r="GG26" s="48">
        <v>0</v>
      </c>
      <c r="GH26" s="48">
        <v>0</v>
      </c>
      <c r="GI26" s="48">
        <v>0</v>
      </c>
      <c r="GJ26" s="48">
        <v>0</v>
      </c>
      <c r="GK26" s="48">
        <v>0</v>
      </c>
      <c r="GL26" s="38">
        <f t="shared" si="82"/>
        <v>0</v>
      </c>
      <c r="GM26" s="48">
        <v>0</v>
      </c>
      <c r="GN26" s="48">
        <v>0</v>
      </c>
      <c r="GO26" s="48">
        <v>0</v>
      </c>
      <c r="GP26" s="48">
        <v>0</v>
      </c>
      <c r="GQ26" s="48">
        <v>0</v>
      </c>
      <c r="GR26" s="48">
        <v>0</v>
      </c>
      <c r="GS26" s="48">
        <v>0</v>
      </c>
      <c r="GT26" s="48">
        <v>0</v>
      </c>
      <c r="GU26" s="38">
        <f t="shared" si="83"/>
        <v>0</v>
      </c>
      <c r="GV26" s="48">
        <v>0</v>
      </c>
      <c r="GW26" s="48">
        <v>0</v>
      </c>
      <c r="GX26" s="48">
        <v>0</v>
      </c>
      <c r="GY26" s="48">
        <v>0</v>
      </c>
      <c r="GZ26" s="48">
        <v>0</v>
      </c>
      <c r="HA26" s="48">
        <v>0</v>
      </c>
      <c r="HB26" s="48">
        <v>0</v>
      </c>
      <c r="HC26" s="48">
        <v>0</v>
      </c>
      <c r="HD26" s="38">
        <f t="shared" si="84"/>
        <v>0</v>
      </c>
      <c r="HE26" s="48">
        <v>0</v>
      </c>
      <c r="HF26" s="48">
        <v>0</v>
      </c>
      <c r="HG26" s="48">
        <v>0</v>
      </c>
      <c r="HH26" s="48">
        <v>0</v>
      </c>
      <c r="HI26" s="48">
        <v>0</v>
      </c>
      <c r="HJ26" s="48">
        <v>0</v>
      </c>
      <c r="HK26" s="48">
        <v>0</v>
      </c>
      <c r="HL26" s="48">
        <v>0</v>
      </c>
      <c r="HM26" s="38">
        <f t="shared" si="85"/>
        <v>0</v>
      </c>
      <c r="HN26" s="48">
        <v>0</v>
      </c>
      <c r="HO26" s="48"/>
      <c r="HP26" s="48"/>
      <c r="HQ26" s="48"/>
      <c r="HR26" s="48"/>
      <c r="HS26" s="48"/>
      <c r="HT26" s="48"/>
      <c r="HU26" s="48">
        <v>0</v>
      </c>
      <c r="HV26" s="38">
        <f t="shared" si="86"/>
        <v>0</v>
      </c>
      <c r="HW26" s="48">
        <v>0</v>
      </c>
      <c r="HX26" s="48"/>
      <c r="HY26" s="48"/>
      <c r="HZ26" s="48"/>
      <c r="IA26" s="48"/>
      <c r="IB26" s="48"/>
      <c r="IC26" s="48"/>
      <c r="ID26" s="48">
        <v>0</v>
      </c>
      <c r="IE26" s="38">
        <f t="shared" si="87"/>
        <v>0</v>
      </c>
      <c r="IF26" s="137">
        <v>0</v>
      </c>
      <c r="IG26" s="137"/>
      <c r="IH26" s="137"/>
      <c r="II26" s="137"/>
      <c r="IJ26" s="137"/>
      <c r="IK26" s="137"/>
      <c r="IL26" s="137"/>
      <c r="IM26" s="137">
        <v>0</v>
      </c>
      <c r="IN26" s="38">
        <f t="shared" si="88"/>
        <v>0</v>
      </c>
      <c r="IO26" s="137"/>
      <c r="IP26" s="137"/>
      <c r="IQ26" s="137"/>
      <c r="IR26" s="137"/>
      <c r="IS26" s="137"/>
      <c r="IT26" s="137"/>
      <c r="IU26" s="137"/>
      <c r="IV26" s="137"/>
      <c r="IW26" s="38">
        <f t="shared" si="89"/>
        <v>0</v>
      </c>
      <c r="IX26" s="152">
        <v>0</v>
      </c>
      <c r="IY26" s="152"/>
      <c r="IZ26" s="152"/>
      <c r="JA26" s="152"/>
      <c r="JB26" s="152"/>
      <c r="JC26" s="152"/>
      <c r="JD26" s="152"/>
      <c r="JE26" s="152">
        <v>0</v>
      </c>
      <c r="JF26" s="38">
        <f t="shared" si="90"/>
        <v>0</v>
      </c>
      <c r="JG26" s="152"/>
      <c r="JH26" s="152"/>
      <c r="JI26" s="152"/>
      <c r="JJ26" s="152"/>
      <c r="JK26" s="152"/>
      <c r="JL26" s="152"/>
      <c r="JM26" s="152"/>
      <c r="JN26" s="152"/>
      <c r="JO26" s="38">
        <f t="shared" si="91"/>
        <v>0</v>
      </c>
      <c r="JP26" s="14">
        <f t="shared" si="92"/>
        <v>0</v>
      </c>
      <c r="JQ26" s="46">
        <f t="shared" si="93"/>
        <v>0</v>
      </c>
      <c r="JR26" s="47">
        <f t="shared" si="35"/>
        <v>0</v>
      </c>
      <c r="JS26" s="46" t="str">
        <f t="shared" si="94"/>
        <v>N/A</v>
      </c>
      <c r="JT26" s="15" t="str">
        <f t="shared" si="95"/>
        <v/>
      </c>
    </row>
    <row r="27" spans="1:282" ht="17" thickBot="1" x14ac:dyDescent="0.55000000000000004">
      <c r="A27" s="222" t="s">
        <v>49</v>
      </c>
      <c r="B27" s="21" t="s">
        <v>51</v>
      </c>
      <c r="C27" s="168"/>
      <c r="D27" s="169"/>
      <c r="E27" s="23">
        <v>2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8">
        <f t="shared" si="68"/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8">
        <f t="shared" si="69"/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8">
        <f t="shared" si="70"/>
        <v>0</v>
      </c>
      <c r="AG27" s="39">
        <v>0</v>
      </c>
      <c r="AH27" s="39">
        <v>0</v>
      </c>
      <c r="AI27" s="39">
        <v>0</v>
      </c>
      <c r="AJ27" s="39">
        <v>0</v>
      </c>
      <c r="AK27" s="39">
        <v>0</v>
      </c>
      <c r="AL27" s="39">
        <v>0</v>
      </c>
      <c r="AM27" s="39">
        <v>0</v>
      </c>
      <c r="AN27" s="39">
        <v>0</v>
      </c>
      <c r="AO27" s="38">
        <f t="shared" si="71"/>
        <v>0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0</v>
      </c>
      <c r="AV27" s="40">
        <v>0</v>
      </c>
      <c r="AW27" s="40">
        <v>0</v>
      </c>
      <c r="AX27" s="38">
        <f t="shared" si="61"/>
        <v>0</v>
      </c>
      <c r="AY27" s="40"/>
      <c r="AZ27" s="40"/>
      <c r="BA27" s="40"/>
      <c r="BB27" s="40"/>
      <c r="BC27" s="40"/>
      <c r="BD27" s="40"/>
      <c r="BE27" s="40"/>
      <c r="BF27" s="40"/>
      <c r="BG27" s="38"/>
      <c r="BH27" s="41"/>
      <c r="BI27" s="41"/>
      <c r="BJ27" s="41"/>
      <c r="BK27" s="41"/>
      <c r="BL27" s="41"/>
      <c r="BM27" s="41"/>
      <c r="BN27" s="41"/>
      <c r="BO27" s="41"/>
      <c r="BP27" s="38"/>
      <c r="BQ27" s="41"/>
      <c r="BR27" s="41"/>
      <c r="BS27" s="41"/>
      <c r="BT27" s="41"/>
      <c r="BU27" s="41"/>
      <c r="BV27" s="41"/>
      <c r="BW27" s="41"/>
      <c r="BX27" s="41"/>
      <c r="BY27" s="38"/>
      <c r="BZ27" s="42"/>
      <c r="CA27" s="42"/>
      <c r="CB27" s="42"/>
      <c r="CC27" s="42"/>
      <c r="CD27" s="42"/>
      <c r="CE27" s="42"/>
      <c r="CF27" s="42"/>
      <c r="CG27" s="42"/>
      <c r="CH27" s="38"/>
      <c r="CI27" s="42"/>
      <c r="CJ27" s="42"/>
      <c r="CK27" s="42"/>
      <c r="CL27" s="42"/>
      <c r="CM27" s="42"/>
      <c r="CN27" s="42"/>
      <c r="CO27" s="42"/>
      <c r="CP27" s="42"/>
      <c r="CQ27" s="38"/>
      <c r="CR27" s="43"/>
      <c r="CS27" s="43"/>
      <c r="CT27" s="43"/>
      <c r="CU27" s="43"/>
      <c r="CV27" s="43"/>
      <c r="CW27" s="43"/>
      <c r="CX27" s="43"/>
      <c r="CY27" s="43"/>
      <c r="CZ27" s="38"/>
      <c r="DA27" s="43"/>
      <c r="DB27" s="43"/>
      <c r="DC27" s="43"/>
      <c r="DD27" s="43"/>
      <c r="DE27" s="43"/>
      <c r="DF27" s="43"/>
      <c r="DG27" s="43"/>
      <c r="DH27" s="43"/>
      <c r="DI27" s="38"/>
      <c r="DJ27" s="39"/>
      <c r="DK27" s="39"/>
      <c r="DL27" s="39"/>
      <c r="DM27" s="39"/>
      <c r="DN27" s="39"/>
      <c r="DO27" s="39"/>
      <c r="DP27" s="39"/>
      <c r="DQ27" s="39"/>
      <c r="DR27" s="38"/>
      <c r="DS27" s="39"/>
      <c r="DT27" s="39"/>
      <c r="DU27" s="39"/>
      <c r="DV27" s="39"/>
      <c r="DW27" s="39"/>
      <c r="DX27" s="39"/>
      <c r="DY27" s="39"/>
      <c r="DZ27" s="39"/>
      <c r="EA27" s="38"/>
      <c r="EB27" s="44"/>
      <c r="EC27" s="44"/>
      <c r="ED27" s="44"/>
      <c r="EE27" s="44"/>
      <c r="EF27" s="44"/>
      <c r="EG27" s="44"/>
      <c r="EH27" s="44"/>
      <c r="EI27" s="44"/>
      <c r="EJ27" s="38"/>
      <c r="EK27" s="44"/>
      <c r="EL27" s="44"/>
      <c r="EM27" s="44"/>
      <c r="EN27" s="44"/>
      <c r="EO27" s="44"/>
      <c r="EP27" s="44"/>
      <c r="EQ27" s="44"/>
      <c r="ER27" s="44"/>
      <c r="ES27" s="38"/>
      <c r="ET27" s="48">
        <v>0</v>
      </c>
      <c r="EU27" s="48">
        <v>0</v>
      </c>
      <c r="EV27" s="48">
        <v>0</v>
      </c>
      <c r="EW27" s="48">
        <v>0</v>
      </c>
      <c r="EX27" s="48">
        <v>0</v>
      </c>
      <c r="EY27" s="48">
        <v>0</v>
      </c>
      <c r="EZ27" s="48">
        <v>0</v>
      </c>
      <c r="FA27" s="48">
        <v>0</v>
      </c>
      <c r="FB27" s="38">
        <f t="shared" si="0"/>
        <v>0</v>
      </c>
      <c r="FC27" s="48">
        <v>0</v>
      </c>
      <c r="FD27" s="48">
        <v>0</v>
      </c>
      <c r="FE27" s="48">
        <v>0</v>
      </c>
      <c r="FF27" s="48">
        <v>0</v>
      </c>
      <c r="FG27" s="48">
        <v>0</v>
      </c>
      <c r="FH27" s="48">
        <v>0</v>
      </c>
      <c r="FI27" s="48">
        <v>0</v>
      </c>
      <c r="FJ27" s="48">
        <v>0</v>
      </c>
      <c r="FK27" s="38">
        <f t="shared" si="1"/>
        <v>0</v>
      </c>
      <c r="FL27" s="48">
        <v>0</v>
      </c>
      <c r="FM27" s="48">
        <v>0</v>
      </c>
      <c r="FN27" s="48">
        <v>0</v>
      </c>
      <c r="FO27" s="48">
        <v>0</v>
      </c>
      <c r="FP27" s="48">
        <v>0</v>
      </c>
      <c r="FQ27" s="48">
        <v>0</v>
      </c>
      <c r="FR27" s="48">
        <v>0</v>
      </c>
      <c r="FS27" s="48">
        <v>0</v>
      </c>
      <c r="FT27" s="38">
        <f t="shared" si="80"/>
        <v>0</v>
      </c>
      <c r="FU27" s="48">
        <v>0</v>
      </c>
      <c r="FV27" s="48">
        <v>0</v>
      </c>
      <c r="FW27" s="48">
        <v>0</v>
      </c>
      <c r="FX27" s="48">
        <v>0</v>
      </c>
      <c r="FY27" s="48">
        <v>0</v>
      </c>
      <c r="FZ27" s="48">
        <v>0</v>
      </c>
      <c r="GA27" s="48">
        <v>0</v>
      </c>
      <c r="GB27" s="48">
        <v>0</v>
      </c>
      <c r="GC27" s="38">
        <f t="shared" si="81"/>
        <v>0</v>
      </c>
      <c r="GD27" s="48">
        <v>0</v>
      </c>
      <c r="GE27" s="48">
        <v>0</v>
      </c>
      <c r="GF27" s="48">
        <v>0</v>
      </c>
      <c r="GG27" s="48">
        <v>0</v>
      </c>
      <c r="GH27" s="48">
        <v>0</v>
      </c>
      <c r="GI27" s="48">
        <v>0</v>
      </c>
      <c r="GJ27" s="48">
        <v>0</v>
      </c>
      <c r="GK27" s="48">
        <v>0</v>
      </c>
      <c r="GL27" s="38">
        <f t="shared" si="82"/>
        <v>0</v>
      </c>
      <c r="GM27" s="48">
        <v>0</v>
      </c>
      <c r="GN27" s="48">
        <v>0</v>
      </c>
      <c r="GO27" s="48">
        <v>0</v>
      </c>
      <c r="GP27" s="48">
        <v>0</v>
      </c>
      <c r="GQ27" s="48">
        <v>0</v>
      </c>
      <c r="GR27" s="48">
        <v>0</v>
      </c>
      <c r="GS27" s="48">
        <v>0</v>
      </c>
      <c r="GT27" s="48">
        <v>0</v>
      </c>
      <c r="GU27" s="38">
        <f t="shared" si="83"/>
        <v>0</v>
      </c>
      <c r="GV27" s="48">
        <v>0</v>
      </c>
      <c r="GW27" s="48">
        <v>0</v>
      </c>
      <c r="GX27" s="48">
        <v>0</v>
      </c>
      <c r="GY27" s="48">
        <v>0</v>
      </c>
      <c r="GZ27" s="48">
        <v>0</v>
      </c>
      <c r="HA27" s="48">
        <v>0</v>
      </c>
      <c r="HB27" s="48">
        <v>0</v>
      </c>
      <c r="HC27" s="48">
        <v>0</v>
      </c>
      <c r="HD27" s="38">
        <f t="shared" si="84"/>
        <v>0</v>
      </c>
      <c r="HE27" s="48">
        <v>0</v>
      </c>
      <c r="HF27" s="48">
        <v>1</v>
      </c>
      <c r="HG27" s="48">
        <v>0</v>
      </c>
      <c r="HH27" s="48">
        <v>0</v>
      </c>
      <c r="HI27" s="48">
        <v>0</v>
      </c>
      <c r="HJ27" s="48">
        <v>0</v>
      </c>
      <c r="HK27" s="48">
        <v>0</v>
      </c>
      <c r="HL27" s="48">
        <v>0</v>
      </c>
      <c r="HM27" s="38">
        <f t="shared" si="85"/>
        <v>1</v>
      </c>
      <c r="HN27" s="48">
        <v>0</v>
      </c>
      <c r="HO27" s="48">
        <v>0</v>
      </c>
      <c r="HP27" s="48">
        <v>0</v>
      </c>
      <c r="HQ27" s="48">
        <v>0</v>
      </c>
      <c r="HR27" s="48">
        <v>0</v>
      </c>
      <c r="HS27" s="48">
        <v>0</v>
      </c>
      <c r="HT27" s="48">
        <v>0</v>
      </c>
      <c r="HU27" s="48">
        <v>0</v>
      </c>
      <c r="HV27" s="38">
        <f t="shared" si="86"/>
        <v>0</v>
      </c>
      <c r="HW27" s="48">
        <v>0</v>
      </c>
      <c r="HX27" s="48">
        <v>0</v>
      </c>
      <c r="HY27" s="48">
        <v>0</v>
      </c>
      <c r="HZ27" s="48">
        <v>0</v>
      </c>
      <c r="IA27" s="48">
        <v>0</v>
      </c>
      <c r="IB27" s="48">
        <v>0</v>
      </c>
      <c r="IC27" s="48">
        <v>0</v>
      </c>
      <c r="ID27" s="48">
        <v>0</v>
      </c>
      <c r="IE27" s="38">
        <f t="shared" si="87"/>
        <v>0</v>
      </c>
      <c r="IF27" s="137">
        <v>0</v>
      </c>
      <c r="IG27" s="137">
        <v>0</v>
      </c>
      <c r="IH27" s="137">
        <v>0</v>
      </c>
      <c r="II27" s="137">
        <v>0</v>
      </c>
      <c r="IJ27" s="137">
        <v>0</v>
      </c>
      <c r="IK27" s="137">
        <v>0</v>
      </c>
      <c r="IL27" s="137">
        <v>0</v>
      </c>
      <c r="IM27" s="137">
        <v>0</v>
      </c>
      <c r="IN27" s="38">
        <f t="shared" si="88"/>
        <v>0</v>
      </c>
      <c r="IO27" s="137"/>
      <c r="IP27" s="137"/>
      <c r="IQ27" s="137"/>
      <c r="IR27" s="137"/>
      <c r="IS27" s="137"/>
      <c r="IT27" s="137"/>
      <c r="IU27" s="137"/>
      <c r="IV27" s="137"/>
      <c r="IW27" s="38">
        <f t="shared" si="89"/>
        <v>0</v>
      </c>
      <c r="IX27" s="152">
        <v>0</v>
      </c>
      <c r="IY27" s="152">
        <v>0</v>
      </c>
      <c r="IZ27" s="152">
        <v>0</v>
      </c>
      <c r="JA27" s="152">
        <v>0</v>
      </c>
      <c r="JB27" s="152">
        <v>0</v>
      </c>
      <c r="JC27" s="152">
        <v>0</v>
      </c>
      <c r="JD27" s="152">
        <v>0</v>
      </c>
      <c r="JE27" s="152">
        <v>0</v>
      </c>
      <c r="JF27" s="38">
        <f t="shared" si="90"/>
        <v>0</v>
      </c>
      <c r="JG27" s="152"/>
      <c r="JH27" s="152"/>
      <c r="JI27" s="152"/>
      <c r="JJ27" s="152"/>
      <c r="JK27" s="152"/>
      <c r="JL27" s="152"/>
      <c r="JM27" s="152"/>
      <c r="JN27" s="152"/>
      <c r="JO27" s="38">
        <f t="shared" si="91"/>
        <v>0</v>
      </c>
      <c r="JP27" s="14">
        <f t="shared" si="92"/>
        <v>0</v>
      </c>
      <c r="JQ27" s="46">
        <f t="shared" si="93"/>
        <v>1</v>
      </c>
      <c r="JR27" s="47">
        <f t="shared" si="35"/>
        <v>1</v>
      </c>
      <c r="JS27" s="46">
        <f t="shared" si="94"/>
        <v>1</v>
      </c>
      <c r="JT27" s="15">
        <f t="shared" si="95"/>
        <v>0.5</v>
      </c>
    </row>
    <row r="28" spans="1:282" ht="17" thickBot="1" x14ac:dyDescent="0.55000000000000004">
      <c r="A28" s="222"/>
      <c r="B28" s="21" t="s">
        <v>52</v>
      </c>
      <c r="C28" s="168"/>
      <c r="D28" s="169"/>
      <c r="E28" s="24">
        <v>4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8">
        <f t="shared" si="68"/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8">
        <f t="shared" si="69"/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8">
        <f t="shared" si="70"/>
        <v>0</v>
      </c>
      <c r="AG28" s="39">
        <v>0</v>
      </c>
      <c r="AH28" s="39">
        <v>0</v>
      </c>
      <c r="AI28" s="39">
        <v>0</v>
      </c>
      <c r="AJ28" s="39">
        <v>0</v>
      </c>
      <c r="AK28" s="39">
        <v>0</v>
      </c>
      <c r="AL28" s="39">
        <v>0</v>
      </c>
      <c r="AM28" s="39">
        <v>0</v>
      </c>
      <c r="AN28" s="39">
        <v>0</v>
      </c>
      <c r="AO28" s="38">
        <f t="shared" si="71"/>
        <v>0</v>
      </c>
      <c r="AP28" s="40">
        <v>0</v>
      </c>
      <c r="AQ28" s="40">
        <v>0</v>
      </c>
      <c r="AR28" s="40">
        <v>0</v>
      </c>
      <c r="AS28" s="40">
        <v>0</v>
      </c>
      <c r="AT28" s="40">
        <v>0</v>
      </c>
      <c r="AU28" s="40">
        <v>0</v>
      </c>
      <c r="AV28" s="40">
        <v>0</v>
      </c>
      <c r="AW28" s="40">
        <v>0</v>
      </c>
      <c r="AX28" s="38">
        <f t="shared" si="61"/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38">
        <f t="shared" si="96"/>
        <v>0</v>
      </c>
      <c r="BH28" s="41"/>
      <c r="BI28" s="41"/>
      <c r="BJ28" s="41"/>
      <c r="BK28" s="41"/>
      <c r="BL28" s="41"/>
      <c r="BM28" s="41"/>
      <c r="BN28" s="41"/>
      <c r="BO28" s="41"/>
      <c r="BP28" s="38">
        <f t="shared" si="97"/>
        <v>0</v>
      </c>
      <c r="BQ28" s="41">
        <v>0</v>
      </c>
      <c r="BR28" s="41">
        <v>0</v>
      </c>
      <c r="BS28" s="41"/>
      <c r="BT28" s="41">
        <v>0</v>
      </c>
      <c r="BU28" s="41">
        <v>0</v>
      </c>
      <c r="BV28" s="41">
        <v>0</v>
      </c>
      <c r="BW28" s="41">
        <v>0</v>
      </c>
      <c r="BX28" s="41">
        <v>0</v>
      </c>
      <c r="BY28" s="38">
        <f t="shared" si="98"/>
        <v>0</v>
      </c>
      <c r="BZ28" s="42">
        <v>0</v>
      </c>
      <c r="CA28" s="42">
        <v>0</v>
      </c>
      <c r="CB28" s="42">
        <v>0</v>
      </c>
      <c r="CC28" s="42">
        <v>0</v>
      </c>
      <c r="CD28" s="42">
        <v>0</v>
      </c>
      <c r="CE28" s="42">
        <v>0</v>
      </c>
      <c r="CF28" s="42">
        <v>0</v>
      </c>
      <c r="CG28" s="42">
        <v>0</v>
      </c>
      <c r="CH28" s="38">
        <f t="shared" si="99"/>
        <v>0</v>
      </c>
      <c r="CI28" s="42">
        <v>0</v>
      </c>
      <c r="CJ28" s="42">
        <v>0</v>
      </c>
      <c r="CK28" s="42">
        <v>0</v>
      </c>
      <c r="CL28" s="42">
        <v>0</v>
      </c>
      <c r="CM28" s="42">
        <v>0</v>
      </c>
      <c r="CN28" s="42">
        <v>0</v>
      </c>
      <c r="CO28" s="42">
        <v>0</v>
      </c>
      <c r="CP28" s="42">
        <v>0</v>
      </c>
      <c r="CQ28" s="38">
        <f t="shared" si="100"/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38">
        <f t="shared" si="101"/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38">
        <f t="shared" si="102"/>
        <v>0</v>
      </c>
      <c r="DJ28" s="39">
        <v>0</v>
      </c>
      <c r="DK28" s="39">
        <v>0</v>
      </c>
      <c r="DL28" s="39"/>
      <c r="DM28" s="39">
        <v>0</v>
      </c>
      <c r="DN28" s="39">
        <v>0</v>
      </c>
      <c r="DO28" s="39">
        <v>0</v>
      </c>
      <c r="DP28" s="39">
        <v>0</v>
      </c>
      <c r="DQ28" s="39">
        <v>0</v>
      </c>
      <c r="DR28" s="38">
        <f t="shared" si="103"/>
        <v>0</v>
      </c>
      <c r="DS28" s="39">
        <v>0</v>
      </c>
      <c r="DT28" s="39">
        <v>0</v>
      </c>
      <c r="DU28" s="39"/>
      <c r="DV28" s="39">
        <v>0</v>
      </c>
      <c r="DW28" s="39">
        <v>0</v>
      </c>
      <c r="DX28" s="39">
        <v>0</v>
      </c>
      <c r="DY28" s="39">
        <v>0</v>
      </c>
      <c r="DZ28" s="39">
        <v>0</v>
      </c>
      <c r="EA28" s="38">
        <f t="shared" si="104"/>
        <v>0</v>
      </c>
      <c r="EB28" s="44"/>
      <c r="EC28" s="44"/>
      <c r="ED28" s="44"/>
      <c r="EE28" s="44"/>
      <c r="EF28" s="44"/>
      <c r="EG28" s="44"/>
      <c r="EH28" s="44"/>
      <c r="EI28" s="44"/>
      <c r="EJ28" s="38">
        <f t="shared" si="105"/>
        <v>0</v>
      </c>
      <c r="EK28" s="44"/>
      <c r="EL28" s="44"/>
      <c r="EM28" s="44"/>
      <c r="EN28" s="44"/>
      <c r="EO28" s="44"/>
      <c r="EP28" s="44"/>
      <c r="EQ28" s="44"/>
      <c r="ER28" s="44"/>
      <c r="ES28" s="38">
        <f t="shared" si="106"/>
        <v>0</v>
      </c>
      <c r="ET28" s="48">
        <v>0</v>
      </c>
      <c r="EU28" s="48">
        <v>0</v>
      </c>
      <c r="EV28" s="48">
        <v>0</v>
      </c>
      <c r="EW28" s="48">
        <v>0</v>
      </c>
      <c r="EX28" s="48">
        <v>0</v>
      </c>
      <c r="EY28" s="48">
        <v>0</v>
      </c>
      <c r="EZ28" s="48">
        <v>0</v>
      </c>
      <c r="FA28" s="48">
        <v>0</v>
      </c>
      <c r="FB28" s="38">
        <f t="shared" si="0"/>
        <v>0</v>
      </c>
      <c r="FC28" s="48">
        <v>0</v>
      </c>
      <c r="FD28" s="48">
        <v>0</v>
      </c>
      <c r="FE28" s="48">
        <v>0</v>
      </c>
      <c r="FF28" s="48">
        <v>0</v>
      </c>
      <c r="FG28" s="48">
        <v>0</v>
      </c>
      <c r="FH28" s="48">
        <v>0</v>
      </c>
      <c r="FI28" s="48">
        <v>0</v>
      </c>
      <c r="FJ28" s="48">
        <v>0</v>
      </c>
      <c r="FK28" s="38">
        <f t="shared" si="1"/>
        <v>0</v>
      </c>
      <c r="FL28" s="48">
        <v>0</v>
      </c>
      <c r="FM28" s="48">
        <v>0</v>
      </c>
      <c r="FN28" s="48">
        <v>0</v>
      </c>
      <c r="FO28" s="48">
        <v>0</v>
      </c>
      <c r="FP28" s="48">
        <v>0</v>
      </c>
      <c r="FQ28" s="48">
        <v>0</v>
      </c>
      <c r="FR28" s="48">
        <v>0</v>
      </c>
      <c r="FS28" s="48">
        <v>0</v>
      </c>
      <c r="FT28" s="38">
        <f t="shared" si="80"/>
        <v>0</v>
      </c>
      <c r="FU28" s="48">
        <v>0</v>
      </c>
      <c r="FV28" s="48">
        <v>0</v>
      </c>
      <c r="FW28" s="48">
        <v>0</v>
      </c>
      <c r="FX28" s="48">
        <v>0</v>
      </c>
      <c r="FY28" s="48">
        <v>0</v>
      </c>
      <c r="FZ28" s="48">
        <v>0</v>
      </c>
      <c r="GA28" s="48">
        <v>0</v>
      </c>
      <c r="GB28" s="48">
        <v>0</v>
      </c>
      <c r="GC28" s="38">
        <f t="shared" si="81"/>
        <v>0</v>
      </c>
      <c r="GD28" s="48">
        <v>0</v>
      </c>
      <c r="GE28" s="48">
        <v>0</v>
      </c>
      <c r="GF28" s="48">
        <v>0</v>
      </c>
      <c r="GG28" s="48">
        <v>0</v>
      </c>
      <c r="GH28" s="48">
        <v>0</v>
      </c>
      <c r="GI28" s="48">
        <v>0</v>
      </c>
      <c r="GJ28" s="48">
        <v>0</v>
      </c>
      <c r="GK28" s="48">
        <v>0</v>
      </c>
      <c r="GL28" s="38">
        <f t="shared" si="82"/>
        <v>0</v>
      </c>
      <c r="GM28" s="48">
        <v>0</v>
      </c>
      <c r="GN28" s="48">
        <v>0</v>
      </c>
      <c r="GO28" s="48">
        <v>0</v>
      </c>
      <c r="GP28" s="48">
        <v>0</v>
      </c>
      <c r="GQ28" s="48">
        <v>0</v>
      </c>
      <c r="GR28" s="48">
        <v>0</v>
      </c>
      <c r="GS28" s="48">
        <v>0</v>
      </c>
      <c r="GT28" s="48">
        <v>0</v>
      </c>
      <c r="GU28" s="38">
        <f t="shared" si="83"/>
        <v>0</v>
      </c>
      <c r="GV28" s="48">
        <v>0</v>
      </c>
      <c r="GW28" s="48">
        <v>0</v>
      </c>
      <c r="GX28" s="48">
        <v>0</v>
      </c>
      <c r="GY28" s="48">
        <v>0</v>
      </c>
      <c r="GZ28" s="48">
        <v>0</v>
      </c>
      <c r="HA28" s="48">
        <v>0</v>
      </c>
      <c r="HB28" s="48">
        <v>0</v>
      </c>
      <c r="HC28" s="48">
        <v>0</v>
      </c>
      <c r="HD28" s="38">
        <f t="shared" si="84"/>
        <v>0</v>
      </c>
      <c r="HE28" s="48">
        <v>0</v>
      </c>
      <c r="HF28" s="48">
        <v>1</v>
      </c>
      <c r="HG28" s="48">
        <v>0</v>
      </c>
      <c r="HH28" s="48">
        <v>0</v>
      </c>
      <c r="HI28" s="48">
        <v>0</v>
      </c>
      <c r="HJ28" s="48">
        <v>0</v>
      </c>
      <c r="HK28" s="48">
        <v>0</v>
      </c>
      <c r="HL28" s="48">
        <v>0</v>
      </c>
      <c r="HM28" s="38">
        <f t="shared" si="85"/>
        <v>1</v>
      </c>
      <c r="HN28" s="48">
        <v>0</v>
      </c>
      <c r="HO28" s="48">
        <v>0</v>
      </c>
      <c r="HP28" s="48">
        <v>0</v>
      </c>
      <c r="HQ28" s="48">
        <v>0</v>
      </c>
      <c r="HR28" s="48">
        <v>0</v>
      </c>
      <c r="HS28" s="48">
        <v>0</v>
      </c>
      <c r="HT28" s="48">
        <v>0</v>
      </c>
      <c r="HU28" s="48">
        <v>0</v>
      </c>
      <c r="HV28" s="38">
        <f t="shared" si="86"/>
        <v>0</v>
      </c>
      <c r="HW28" s="48">
        <v>0</v>
      </c>
      <c r="HX28" s="48">
        <v>0</v>
      </c>
      <c r="HY28" s="48">
        <v>0</v>
      </c>
      <c r="HZ28" s="48">
        <v>0</v>
      </c>
      <c r="IA28" s="48">
        <v>0</v>
      </c>
      <c r="IB28" s="48">
        <v>0</v>
      </c>
      <c r="IC28" s="48">
        <v>0</v>
      </c>
      <c r="ID28" s="48">
        <v>0</v>
      </c>
      <c r="IE28" s="38">
        <f t="shared" si="87"/>
        <v>0</v>
      </c>
      <c r="IF28" s="137">
        <v>0</v>
      </c>
      <c r="IG28" s="137">
        <v>0</v>
      </c>
      <c r="IH28" s="137">
        <v>0</v>
      </c>
      <c r="II28" s="137">
        <v>0</v>
      </c>
      <c r="IJ28" s="137">
        <v>0</v>
      </c>
      <c r="IK28" s="137">
        <v>0</v>
      </c>
      <c r="IL28" s="137">
        <v>0</v>
      </c>
      <c r="IM28" s="137">
        <v>0</v>
      </c>
      <c r="IN28" s="38">
        <f t="shared" si="88"/>
        <v>0</v>
      </c>
      <c r="IO28" s="137"/>
      <c r="IP28" s="137"/>
      <c r="IQ28" s="137"/>
      <c r="IR28" s="137"/>
      <c r="IS28" s="137"/>
      <c r="IT28" s="137"/>
      <c r="IU28" s="137"/>
      <c r="IV28" s="137"/>
      <c r="IW28" s="38">
        <f t="shared" si="89"/>
        <v>0</v>
      </c>
      <c r="IX28" s="152">
        <v>0</v>
      </c>
      <c r="IY28" s="152">
        <v>0</v>
      </c>
      <c r="IZ28" s="152">
        <v>0</v>
      </c>
      <c r="JA28" s="152">
        <v>0</v>
      </c>
      <c r="JB28" s="152">
        <v>0</v>
      </c>
      <c r="JC28" s="152">
        <v>0</v>
      </c>
      <c r="JD28" s="152">
        <v>0</v>
      </c>
      <c r="JE28" s="152">
        <v>0</v>
      </c>
      <c r="JF28" s="38">
        <f t="shared" si="90"/>
        <v>0</v>
      </c>
      <c r="JG28" s="152"/>
      <c r="JH28" s="152"/>
      <c r="JI28" s="152"/>
      <c r="JJ28" s="152"/>
      <c r="JK28" s="152"/>
      <c r="JL28" s="152"/>
      <c r="JM28" s="152"/>
      <c r="JN28" s="152"/>
      <c r="JO28" s="38">
        <f t="shared" si="91"/>
        <v>0</v>
      </c>
      <c r="JP28" s="14">
        <f t="shared" si="92"/>
        <v>0</v>
      </c>
      <c r="JQ28" s="46">
        <f t="shared" si="93"/>
        <v>1</v>
      </c>
      <c r="JR28" s="47">
        <f t="shared" si="35"/>
        <v>1</v>
      </c>
      <c r="JS28" s="46">
        <f t="shared" si="94"/>
        <v>3</v>
      </c>
      <c r="JT28" s="15">
        <f t="shared" si="95"/>
        <v>0.25</v>
      </c>
    </row>
    <row r="29" spans="1:282" ht="17" thickBot="1" x14ac:dyDescent="0.55000000000000004">
      <c r="A29" s="222"/>
      <c r="B29" s="21" t="s">
        <v>53</v>
      </c>
      <c r="C29" s="168"/>
      <c r="D29" s="169"/>
      <c r="E29" s="24">
        <v>2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8">
        <f t="shared" si="68"/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8">
        <f t="shared" si="69"/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8">
        <f t="shared" si="70"/>
        <v>0</v>
      </c>
      <c r="AG29" s="39">
        <v>0</v>
      </c>
      <c r="AH29" s="39">
        <v>0</v>
      </c>
      <c r="AI29" s="39">
        <v>0</v>
      </c>
      <c r="AJ29" s="39">
        <v>0</v>
      </c>
      <c r="AK29" s="39">
        <v>0</v>
      </c>
      <c r="AL29" s="39">
        <v>0</v>
      </c>
      <c r="AM29" s="39">
        <v>0</v>
      </c>
      <c r="AN29" s="39">
        <v>0</v>
      </c>
      <c r="AO29" s="38">
        <f t="shared" si="71"/>
        <v>0</v>
      </c>
      <c r="AP29" s="40">
        <v>0</v>
      </c>
      <c r="AQ29" s="40">
        <v>0</v>
      </c>
      <c r="AR29" s="40">
        <v>0</v>
      </c>
      <c r="AS29" s="40">
        <v>0</v>
      </c>
      <c r="AT29" s="40">
        <v>0</v>
      </c>
      <c r="AU29" s="40">
        <v>0</v>
      </c>
      <c r="AV29" s="40">
        <v>0</v>
      </c>
      <c r="AW29" s="40">
        <v>0</v>
      </c>
      <c r="AX29" s="38">
        <f t="shared" si="61"/>
        <v>0</v>
      </c>
      <c r="AY29" s="40">
        <v>0</v>
      </c>
      <c r="AZ29" s="40">
        <v>0</v>
      </c>
      <c r="BA29" s="40">
        <v>0</v>
      </c>
      <c r="BB29" s="40">
        <v>0</v>
      </c>
      <c r="BC29" s="40">
        <v>0</v>
      </c>
      <c r="BD29" s="40">
        <v>0</v>
      </c>
      <c r="BE29" s="40">
        <v>0</v>
      </c>
      <c r="BF29" s="40">
        <v>0</v>
      </c>
      <c r="BG29" s="38">
        <f t="shared" si="96"/>
        <v>0</v>
      </c>
      <c r="BH29" s="41"/>
      <c r="BI29" s="41"/>
      <c r="BJ29" s="41"/>
      <c r="BK29" s="41"/>
      <c r="BL29" s="41"/>
      <c r="BM29" s="41"/>
      <c r="BN29" s="41"/>
      <c r="BO29" s="41"/>
      <c r="BP29" s="38">
        <f t="shared" si="97"/>
        <v>0</v>
      </c>
      <c r="BQ29" s="41">
        <v>0</v>
      </c>
      <c r="BR29" s="41">
        <v>0</v>
      </c>
      <c r="BS29" s="41"/>
      <c r="BT29" s="41">
        <v>0</v>
      </c>
      <c r="BU29" s="41">
        <v>0</v>
      </c>
      <c r="BV29" s="41">
        <v>0</v>
      </c>
      <c r="BW29" s="41">
        <v>0</v>
      </c>
      <c r="BX29" s="41">
        <v>0</v>
      </c>
      <c r="BY29" s="38">
        <f t="shared" si="98"/>
        <v>0</v>
      </c>
      <c r="BZ29" s="42">
        <v>0</v>
      </c>
      <c r="CA29" s="42">
        <v>0</v>
      </c>
      <c r="CB29" s="42">
        <v>0</v>
      </c>
      <c r="CC29" s="42">
        <v>0</v>
      </c>
      <c r="CD29" s="42">
        <v>0</v>
      </c>
      <c r="CE29" s="42">
        <v>0</v>
      </c>
      <c r="CF29" s="42">
        <v>0</v>
      </c>
      <c r="CG29" s="42">
        <v>0</v>
      </c>
      <c r="CH29" s="38">
        <f t="shared" si="99"/>
        <v>0</v>
      </c>
      <c r="CI29" s="42">
        <v>0</v>
      </c>
      <c r="CJ29" s="42">
        <v>0</v>
      </c>
      <c r="CK29" s="42">
        <v>0</v>
      </c>
      <c r="CL29" s="42">
        <v>0</v>
      </c>
      <c r="CM29" s="42">
        <v>0</v>
      </c>
      <c r="CN29" s="42">
        <v>0</v>
      </c>
      <c r="CO29" s="42">
        <v>0</v>
      </c>
      <c r="CP29" s="42">
        <v>0</v>
      </c>
      <c r="CQ29" s="38">
        <f t="shared" si="100"/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38">
        <f t="shared" si="101"/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38">
        <f t="shared" si="102"/>
        <v>0</v>
      </c>
      <c r="DJ29" s="39">
        <v>0</v>
      </c>
      <c r="DK29" s="39">
        <v>0</v>
      </c>
      <c r="DL29" s="39"/>
      <c r="DM29" s="39">
        <v>0</v>
      </c>
      <c r="DN29" s="39">
        <v>0</v>
      </c>
      <c r="DO29" s="39">
        <v>0</v>
      </c>
      <c r="DP29" s="39">
        <v>0</v>
      </c>
      <c r="DQ29" s="39">
        <v>0</v>
      </c>
      <c r="DR29" s="38">
        <f t="shared" si="103"/>
        <v>0</v>
      </c>
      <c r="DS29" s="39">
        <v>0</v>
      </c>
      <c r="DT29" s="39">
        <v>0</v>
      </c>
      <c r="DU29" s="39"/>
      <c r="DV29" s="39">
        <v>0</v>
      </c>
      <c r="DW29" s="39">
        <v>0</v>
      </c>
      <c r="DX29" s="39">
        <v>0</v>
      </c>
      <c r="DY29" s="39">
        <v>0</v>
      </c>
      <c r="DZ29" s="39">
        <v>0</v>
      </c>
      <c r="EA29" s="38">
        <f t="shared" si="104"/>
        <v>0</v>
      </c>
      <c r="EB29" s="44"/>
      <c r="EC29" s="44"/>
      <c r="ED29" s="44"/>
      <c r="EE29" s="44"/>
      <c r="EF29" s="44"/>
      <c r="EG29" s="44"/>
      <c r="EH29" s="44"/>
      <c r="EI29" s="44"/>
      <c r="EJ29" s="38">
        <f t="shared" si="105"/>
        <v>0</v>
      </c>
      <c r="EK29" s="44"/>
      <c r="EL29" s="44"/>
      <c r="EM29" s="44"/>
      <c r="EN29" s="44"/>
      <c r="EO29" s="44"/>
      <c r="EP29" s="44"/>
      <c r="EQ29" s="44"/>
      <c r="ER29" s="44"/>
      <c r="ES29" s="38">
        <f t="shared" si="106"/>
        <v>0</v>
      </c>
      <c r="ET29" s="48">
        <v>0</v>
      </c>
      <c r="EU29" s="48">
        <v>0</v>
      </c>
      <c r="EV29" s="48">
        <v>0</v>
      </c>
      <c r="EW29" s="48">
        <v>0</v>
      </c>
      <c r="EX29" s="48">
        <v>0</v>
      </c>
      <c r="EY29" s="48">
        <v>0</v>
      </c>
      <c r="EZ29" s="48">
        <v>0</v>
      </c>
      <c r="FA29" s="48">
        <v>0</v>
      </c>
      <c r="FB29" s="38">
        <f t="shared" si="0"/>
        <v>0</v>
      </c>
      <c r="FC29" s="48">
        <v>0</v>
      </c>
      <c r="FD29" s="48">
        <v>0</v>
      </c>
      <c r="FE29" s="48">
        <v>0</v>
      </c>
      <c r="FF29" s="48">
        <v>0</v>
      </c>
      <c r="FG29" s="48">
        <v>0</v>
      </c>
      <c r="FH29" s="48">
        <v>0</v>
      </c>
      <c r="FI29" s="48">
        <v>0</v>
      </c>
      <c r="FJ29" s="48">
        <v>0</v>
      </c>
      <c r="FK29" s="38">
        <f t="shared" si="1"/>
        <v>0</v>
      </c>
      <c r="FL29" s="48">
        <v>0</v>
      </c>
      <c r="FM29" s="48">
        <v>0</v>
      </c>
      <c r="FN29" s="48">
        <v>0</v>
      </c>
      <c r="FO29" s="48">
        <v>0</v>
      </c>
      <c r="FP29" s="48">
        <v>0</v>
      </c>
      <c r="FQ29" s="48">
        <v>0</v>
      </c>
      <c r="FR29" s="48">
        <v>0</v>
      </c>
      <c r="FS29" s="48">
        <v>0</v>
      </c>
      <c r="FT29" s="38">
        <f t="shared" si="80"/>
        <v>0</v>
      </c>
      <c r="FU29" s="48">
        <v>0</v>
      </c>
      <c r="FV29" s="48">
        <v>0</v>
      </c>
      <c r="FW29" s="48">
        <v>0</v>
      </c>
      <c r="FX29" s="48">
        <v>0</v>
      </c>
      <c r="FY29" s="48">
        <v>0</v>
      </c>
      <c r="FZ29" s="48">
        <v>0</v>
      </c>
      <c r="GA29" s="48">
        <v>0</v>
      </c>
      <c r="GB29" s="48">
        <v>0</v>
      </c>
      <c r="GC29" s="38">
        <f t="shared" si="81"/>
        <v>0</v>
      </c>
      <c r="GD29" s="48">
        <v>0</v>
      </c>
      <c r="GE29" s="48">
        <v>0</v>
      </c>
      <c r="GF29" s="48">
        <v>0</v>
      </c>
      <c r="GG29" s="48">
        <v>0</v>
      </c>
      <c r="GH29" s="48">
        <v>0</v>
      </c>
      <c r="GI29" s="48">
        <v>0</v>
      </c>
      <c r="GJ29" s="48">
        <v>0</v>
      </c>
      <c r="GK29" s="48">
        <v>0</v>
      </c>
      <c r="GL29" s="38">
        <f t="shared" si="82"/>
        <v>0</v>
      </c>
      <c r="GM29" s="48">
        <v>0</v>
      </c>
      <c r="GN29" s="48">
        <v>0</v>
      </c>
      <c r="GO29" s="48">
        <v>0</v>
      </c>
      <c r="GP29" s="48">
        <v>0</v>
      </c>
      <c r="GQ29" s="48">
        <v>0</v>
      </c>
      <c r="GR29" s="48">
        <v>0</v>
      </c>
      <c r="GS29" s="48">
        <v>0</v>
      </c>
      <c r="GT29" s="48">
        <v>0</v>
      </c>
      <c r="GU29" s="38">
        <f t="shared" si="83"/>
        <v>0</v>
      </c>
      <c r="GV29" s="48">
        <v>0</v>
      </c>
      <c r="GW29" s="48">
        <v>0</v>
      </c>
      <c r="GX29" s="48">
        <v>0</v>
      </c>
      <c r="GY29" s="48">
        <v>0</v>
      </c>
      <c r="GZ29" s="48">
        <v>0</v>
      </c>
      <c r="HA29" s="48">
        <v>0</v>
      </c>
      <c r="HB29" s="48">
        <v>0</v>
      </c>
      <c r="HC29" s="48">
        <v>0</v>
      </c>
      <c r="HD29" s="38">
        <f t="shared" si="84"/>
        <v>0</v>
      </c>
      <c r="HE29" s="48">
        <v>0</v>
      </c>
      <c r="HF29" s="48">
        <v>0</v>
      </c>
      <c r="HG29" s="48">
        <v>0</v>
      </c>
      <c r="HH29" s="48">
        <v>0</v>
      </c>
      <c r="HI29" s="48">
        <v>0</v>
      </c>
      <c r="HJ29" s="48">
        <v>0</v>
      </c>
      <c r="HK29" s="48">
        <v>0</v>
      </c>
      <c r="HL29" s="48">
        <v>0</v>
      </c>
      <c r="HM29" s="38">
        <f t="shared" si="85"/>
        <v>0</v>
      </c>
      <c r="HN29" s="48">
        <v>0</v>
      </c>
      <c r="HO29" s="48">
        <v>0</v>
      </c>
      <c r="HP29" s="48">
        <v>0</v>
      </c>
      <c r="HQ29" s="48">
        <v>0</v>
      </c>
      <c r="HR29" s="48">
        <v>0</v>
      </c>
      <c r="HS29" s="48">
        <v>0</v>
      </c>
      <c r="HT29" s="48">
        <v>0</v>
      </c>
      <c r="HU29" s="48">
        <v>0</v>
      </c>
      <c r="HV29" s="38">
        <f t="shared" si="86"/>
        <v>0</v>
      </c>
      <c r="HW29" s="48">
        <v>0</v>
      </c>
      <c r="HX29" s="48">
        <v>0</v>
      </c>
      <c r="HY29" s="48">
        <v>0</v>
      </c>
      <c r="HZ29" s="48">
        <v>0</v>
      </c>
      <c r="IA29" s="48">
        <v>0</v>
      </c>
      <c r="IB29" s="48">
        <v>0</v>
      </c>
      <c r="IC29" s="48">
        <v>0</v>
      </c>
      <c r="ID29" s="48">
        <v>0</v>
      </c>
      <c r="IE29" s="38">
        <f t="shared" si="87"/>
        <v>0</v>
      </c>
      <c r="IF29" s="137">
        <v>0</v>
      </c>
      <c r="IG29" s="137">
        <v>0</v>
      </c>
      <c r="IH29" s="137">
        <v>0</v>
      </c>
      <c r="II29" s="137">
        <v>0</v>
      </c>
      <c r="IJ29" s="137">
        <v>0</v>
      </c>
      <c r="IK29" s="137">
        <v>0</v>
      </c>
      <c r="IL29" s="137">
        <v>0</v>
      </c>
      <c r="IM29" s="137">
        <v>0</v>
      </c>
      <c r="IN29" s="38">
        <f t="shared" si="88"/>
        <v>0</v>
      </c>
      <c r="IO29" s="137"/>
      <c r="IP29" s="137"/>
      <c r="IQ29" s="137"/>
      <c r="IR29" s="137"/>
      <c r="IS29" s="137"/>
      <c r="IT29" s="137"/>
      <c r="IU29" s="137"/>
      <c r="IV29" s="137"/>
      <c r="IW29" s="38">
        <f t="shared" si="89"/>
        <v>0</v>
      </c>
      <c r="IX29" s="152">
        <v>0</v>
      </c>
      <c r="IY29" s="152">
        <v>0</v>
      </c>
      <c r="IZ29" s="152">
        <v>0</v>
      </c>
      <c r="JA29" s="152">
        <v>0</v>
      </c>
      <c r="JB29" s="152">
        <v>0</v>
      </c>
      <c r="JC29" s="152">
        <v>0</v>
      </c>
      <c r="JD29" s="152">
        <v>0</v>
      </c>
      <c r="JE29" s="152">
        <v>0</v>
      </c>
      <c r="JF29" s="38">
        <f t="shared" si="90"/>
        <v>0</v>
      </c>
      <c r="JG29" s="152"/>
      <c r="JH29" s="152"/>
      <c r="JI29" s="152"/>
      <c r="JJ29" s="152"/>
      <c r="JK29" s="152"/>
      <c r="JL29" s="152"/>
      <c r="JM29" s="152"/>
      <c r="JN29" s="152"/>
      <c r="JO29" s="38">
        <f t="shared" si="91"/>
        <v>0</v>
      </c>
      <c r="JP29" s="14">
        <f t="shared" si="92"/>
        <v>0</v>
      </c>
      <c r="JQ29" s="46">
        <f t="shared" si="93"/>
        <v>0</v>
      </c>
      <c r="JR29" s="47">
        <f t="shared" si="35"/>
        <v>0</v>
      </c>
      <c r="JS29" s="46">
        <f t="shared" si="94"/>
        <v>2</v>
      </c>
      <c r="JT29" s="15">
        <f t="shared" si="95"/>
        <v>0</v>
      </c>
    </row>
    <row r="30" spans="1:282" ht="33.5" thickBot="1" x14ac:dyDescent="0.55000000000000004">
      <c r="A30" s="222"/>
      <c r="B30" s="21" t="s">
        <v>54</v>
      </c>
      <c r="C30" s="168"/>
      <c r="D30" s="169"/>
      <c r="E30" s="22">
        <v>120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8">
        <f t="shared" si="68"/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8">
        <f t="shared" si="69"/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8">
        <f t="shared" si="70"/>
        <v>0</v>
      </c>
      <c r="AG30" s="39">
        <v>0</v>
      </c>
      <c r="AH30" s="39">
        <v>0</v>
      </c>
      <c r="AI30" s="39">
        <v>0</v>
      </c>
      <c r="AJ30" s="39">
        <v>0</v>
      </c>
      <c r="AK30" s="39">
        <v>0</v>
      </c>
      <c r="AL30" s="39">
        <v>0</v>
      </c>
      <c r="AM30" s="39">
        <v>0</v>
      </c>
      <c r="AN30" s="39">
        <v>0</v>
      </c>
      <c r="AO30" s="38">
        <f t="shared" si="71"/>
        <v>0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0</v>
      </c>
      <c r="AV30" s="40">
        <v>0</v>
      </c>
      <c r="AW30" s="40">
        <v>0</v>
      </c>
      <c r="AX30" s="38">
        <f t="shared" si="61"/>
        <v>0</v>
      </c>
      <c r="AY30" s="40">
        <v>0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38">
        <f t="shared" si="96"/>
        <v>0</v>
      </c>
      <c r="BH30" s="41"/>
      <c r="BI30" s="41"/>
      <c r="BJ30" s="41"/>
      <c r="BK30" s="41"/>
      <c r="BL30" s="41"/>
      <c r="BM30" s="41"/>
      <c r="BN30" s="41"/>
      <c r="BO30" s="41"/>
      <c r="BP30" s="38">
        <f t="shared" si="97"/>
        <v>0</v>
      </c>
      <c r="BQ30" s="41">
        <v>0</v>
      </c>
      <c r="BR30" s="41">
        <v>0</v>
      </c>
      <c r="BS30" s="41"/>
      <c r="BT30" s="41">
        <v>0</v>
      </c>
      <c r="BU30" s="41">
        <v>0</v>
      </c>
      <c r="BV30" s="41">
        <v>0</v>
      </c>
      <c r="BW30" s="41">
        <v>0</v>
      </c>
      <c r="BX30" s="41">
        <v>0</v>
      </c>
      <c r="BY30" s="38">
        <f t="shared" si="98"/>
        <v>0</v>
      </c>
      <c r="BZ30" s="42">
        <v>0</v>
      </c>
      <c r="CA30" s="42">
        <v>0</v>
      </c>
      <c r="CB30" s="42">
        <v>0</v>
      </c>
      <c r="CC30" s="42">
        <v>0</v>
      </c>
      <c r="CD30" s="42">
        <v>0</v>
      </c>
      <c r="CE30" s="42">
        <v>0</v>
      </c>
      <c r="CF30" s="42">
        <v>0</v>
      </c>
      <c r="CG30" s="42">
        <v>0</v>
      </c>
      <c r="CH30" s="38">
        <f t="shared" si="99"/>
        <v>0</v>
      </c>
      <c r="CI30" s="42">
        <v>0</v>
      </c>
      <c r="CJ30" s="42">
        <v>0</v>
      </c>
      <c r="CK30" s="42">
        <v>0</v>
      </c>
      <c r="CL30" s="42">
        <v>0</v>
      </c>
      <c r="CM30" s="42">
        <v>0</v>
      </c>
      <c r="CN30" s="42">
        <v>0</v>
      </c>
      <c r="CO30" s="42">
        <v>0</v>
      </c>
      <c r="CP30" s="42">
        <v>0</v>
      </c>
      <c r="CQ30" s="38">
        <f t="shared" si="100"/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38">
        <f t="shared" si="101"/>
        <v>0</v>
      </c>
      <c r="DA30" s="43">
        <v>0</v>
      </c>
      <c r="DB30" s="43">
        <v>0</v>
      </c>
      <c r="DC30" s="43">
        <v>0</v>
      </c>
      <c r="DD30" s="43">
        <v>0</v>
      </c>
      <c r="DE30" s="43">
        <v>0</v>
      </c>
      <c r="DF30" s="43">
        <v>0</v>
      </c>
      <c r="DG30" s="43">
        <v>0</v>
      </c>
      <c r="DH30" s="43">
        <v>0</v>
      </c>
      <c r="DI30" s="38">
        <f t="shared" si="102"/>
        <v>0</v>
      </c>
      <c r="DJ30" s="39">
        <v>0</v>
      </c>
      <c r="DK30" s="39">
        <v>0</v>
      </c>
      <c r="DL30" s="39"/>
      <c r="DM30" s="39">
        <v>0</v>
      </c>
      <c r="DN30" s="39">
        <v>0</v>
      </c>
      <c r="DO30" s="39">
        <v>0</v>
      </c>
      <c r="DP30" s="39">
        <v>0</v>
      </c>
      <c r="DQ30" s="39">
        <v>0</v>
      </c>
      <c r="DR30" s="38">
        <f t="shared" si="103"/>
        <v>0</v>
      </c>
      <c r="DS30" s="39">
        <v>0</v>
      </c>
      <c r="DT30" s="39">
        <v>0</v>
      </c>
      <c r="DU30" s="39"/>
      <c r="DV30" s="39">
        <v>0</v>
      </c>
      <c r="DW30" s="39">
        <v>0</v>
      </c>
      <c r="DX30" s="39">
        <v>0</v>
      </c>
      <c r="DY30" s="39">
        <v>0</v>
      </c>
      <c r="DZ30" s="39">
        <v>0</v>
      </c>
      <c r="EA30" s="38">
        <f t="shared" si="104"/>
        <v>0</v>
      </c>
      <c r="EB30" s="44"/>
      <c r="EC30" s="44"/>
      <c r="ED30" s="44"/>
      <c r="EE30" s="44"/>
      <c r="EF30" s="44"/>
      <c r="EG30" s="44"/>
      <c r="EH30" s="44"/>
      <c r="EI30" s="44"/>
      <c r="EJ30" s="38">
        <f t="shared" si="105"/>
        <v>0</v>
      </c>
      <c r="EK30" s="44"/>
      <c r="EL30" s="44"/>
      <c r="EM30" s="44"/>
      <c r="EN30" s="44"/>
      <c r="EO30" s="44"/>
      <c r="EP30" s="44"/>
      <c r="EQ30" s="44"/>
      <c r="ER30" s="44"/>
      <c r="ES30" s="38">
        <f t="shared" si="106"/>
        <v>0</v>
      </c>
      <c r="ET30" s="48">
        <v>0</v>
      </c>
      <c r="EU30" s="48">
        <v>0</v>
      </c>
      <c r="EV30" s="48">
        <v>0</v>
      </c>
      <c r="EW30" s="48">
        <v>0</v>
      </c>
      <c r="EX30" s="48">
        <v>0</v>
      </c>
      <c r="EY30" s="48">
        <v>0</v>
      </c>
      <c r="EZ30" s="48">
        <v>0</v>
      </c>
      <c r="FA30" s="48">
        <v>0</v>
      </c>
      <c r="FB30" s="38">
        <f t="shared" si="0"/>
        <v>0</v>
      </c>
      <c r="FC30" s="48">
        <v>0</v>
      </c>
      <c r="FD30" s="48">
        <v>0</v>
      </c>
      <c r="FE30" s="48">
        <v>0</v>
      </c>
      <c r="FF30" s="48">
        <v>0</v>
      </c>
      <c r="FG30" s="48">
        <v>0</v>
      </c>
      <c r="FH30" s="48">
        <v>0</v>
      </c>
      <c r="FI30" s="48">
        <v>0</v>
      </c>
      <c r="FJ30" s="48">
        <v>0</v>
      </c>
      <c r="FK30" s="38">
        <f t="shared" si="1"/>
        <v>0</v>
      </c>
      <c r="FL30" s="48">
        <v>0</v>
      </c>
      <c r="FM30" s="48">
        <v>0</v>
      </c>
      <c r="FN30" s="48">
        <v>0</v>
      </c>
      <c r="FO30" s="48">
        <v>0</v>
      </c>
      <c r="FP30" s="48">
        <v>0</v>
      </c>
      <c r="FQ30" s="48">
        <v>0</v>
      </c>
      <c r="FR30" s="48">
        <v>0</v>
      </c>
      <c r="FS30" s="48">
        <v>0</v>
      </c>
      <c r="FT30" s="38">
        <f t="shared" si="80"/>
        <v>0</v>
      </c>
      <c r="FU30" s="48">
        <v>0</v>
      </c>
      <c r="FV30" s="48">
        <v>0</v>
      </c>
      <c r="FW30" s="48">
        <v>0</v>
      </c>
      <c r="FX30" s="48">
        <v>0</v>
      </c>
      <c r="FY30" s="48">
        <v>0</v>
      </c>
      <c r="FZ30" s="48">
        <v>0</v>
      </c>
      <c r="GA30" s="48">
        <v>0</v>
      </c>
      <c r="GB30" s="48">
        <v>0</v>
      </c>
      <c r="GC30" s="38">
        <f t="shared" si="81"/>
        <v>0</v>
      </c>
      <c r="GD30" s="48">
        <v>0</v>
      </c>
      <c r="GE30" s="48">
        <v>0</v>
      </c>
      <c r="GF30" s="48">
        <v>0</v>
      </c>
      <c r="GG30" s="48">
        <v>0</v>
      </c>
      <c r="GH30" s="48">
        <v>0</v>
      </c>
      <c r="GI30" s="48">
        <v>0</v>
      </c>
      <c r="GJ30" s="48">
        <v>0</v>
      </c>
      <c r="GK30" s="48">
        <v>0</v>
      </c>
      <c r="GL30" s="38">
        <f t="shared" si="82"/>
        <v>0</v>
      </c>
      <c r="GM30" s="48">
        <v>0</v>
      </c>
      <c r="GN30" s="48">
        <v>0</v>
      </c>
      <c r="GO30" s="48">
        <v>0</v>
      </c>
      <c r="GP30" s="48">
        <v>0</v>
      </c>
      <c r="GQ30" s="48">
        <v>0</v>
      </c>
      <c r="GR30" s="48">
        <v>0</v>
      </c>
      <c r="GS30" s="48">
        <v>0</v>
      </c>
      <c r="GT30" s="48">
        <v>0</v>
      </c>
      <c r="GU30" s="38">
        <f t="shared" si="83"/>
        <v>0</v>
      </c>
      <c r="GV30" s="48">
        <v>0</v>
      </c>
      <c r="GW30" s="48">
        <v>0</v>
      </c>
      <c r="GX30" s="48">
        <v>0</v>
      </c>
      <c r="GY30" s="48">
        <v>0</v>
      </c>
      <c r="GZ30" s="48">
        <v>0</v>
      </c>
      <c r="HA30" s="48">
        <v>0</v>
      </c>
      <c r="HB30" s="48">
        <v>0</v>
      </c>
      <c r="HC30" s="48">
        <v>0</v>
      </c>
      <c r="HD30" s="38">
        <f t="shared" si="84"/>
        <v>0</v>
      </c>
      <c r="HE30" s="48">
        <v>0</v>
      </c>
      <c r="HF30" s="48">
        <v>0</v>
      </c>
      <c r="HG30" s="48">
        <v>0</v>
      </c>
      <c r="HH30" s="48">
        <v>0</v>
      </c>
      <c r="HI30" s="48">
        <v>0</v>
      </c>
      <c r="HJ30" s="48">
        <v>0</v>
      </c>
      <c r="HK30" s="48">
        <v>0</v>
      </c>
      <c r="HL30" s="48">
        <v>0</v>
      </c>
      <c r="HM30" s="38">
        <f t="shared" si="85"/>
        <v>0</v>
      </c>
      <c r="HN30" s="48">
        <v>0</v>
      </c>
      <c r="HO30" s="48">
        <v>0</v>
      </c>
      <c r="HP30" s="48">
        <v>0</v>
      </c>
      <c r="HQ30" s="48">
        <v>0</v>
      </c>
      <c r="HR30" s="48">
        <v>0</v>
      </c>
      <c r="HS30" s="48">
        <v>0</v>
      </c>
      <c r="HT30" s="48">
        <v>0</v>
      </c>
      <c r="HU30" s="48">
        <v>0</v>
      </c>
      <c r="HV30" s="38">
        <f t="shared" si="86"/>
        <v>0</v>
      </c>
      <c r="HW30" s="48">
        <v>0</v>
      </c>
      <c r="HX30" s="48">
        <v>0</v>
      </c>
      <c r="HY30" s="48">
        <v>0</v>
      </c>
      <c r="HZ30" s="48">
        <v>0</v>
      </c>
      <c r="IA30" s="48">
        <v>0</v>
      </c>
      <c r="IB30" s="48">
        <v>0</v>
      </c>
      <c r="IC30" s="48">
        <v>0</v>
      </c>
      <c r="ID30" s="48">
        <v>0</v>
      </c>
      <c r="IE30" s="38">
        <f t="shared" si="87"/>
        <v>0</v>
      </c>
      <c r="IF30" s="137">
        <v>0</v>
      </c>
      <c r="IG30" s="137">
        <v>0</v>
      </c>
      <c r="IH30" s="137">
        <v>0</v>
      </c>
      <c r="II30" s="137">
        <v>0</v>
      </c>
      <c r="IJ30" s="137">
        <v>0</v>
      </c>
      <c r="IK30" s="137">
        <v>0</v>
      </c>
      <c r="IL30" s="137">
        <v>0</v>
      </c>
      <c r="IM30" s="137">
        <v>0</v>
      </c>
      <c r="IN30" s="38">
        <f t="shared" si="88"/>
        <v>0</v>
      </c>
      <c r="IO30" s="137"/>
      <c r="IP30" s="137"/>
      <c r="IQ30" s="137"/>
      <c r="IR30" s="137"/>
      <c r="IS30" s="137"/>
      <c r="IT30" s="137"/>
      <c r="IU30" s="137"/>
      <c r="IV30" s="137"/>
      <c r="IW30" s="38">
        <f t="shared" si="89"/>
        <v>0</v>
      </c>
      <c r="IX30" s="152">
        <v>0</v>
      </c>
      <c r="IY30" s="152">
        <v>0</v>
      </c>
      <c r="IZ30" s="152">
        <v>0</v>
      </c>
      <c r="JA30" s="152">
        <v>0</v>
      </c>
      <c r="JB30" s="152">
        <v>0</v>
      </c>
      <c r="JC30" s="152">
        <v>0</v>
      </c>
      <c r="JD30" s="152">
        <v>0</v>
      </c>
      <c r="JE30" s="152">
        <v>0</v>
      </c>
      <c r="JF30" s="38">
        <f t="shared" si="90"/>
        <v>0</v>
      </c>
      <c r="JG30" s="152"/>
      <c r="JH30" s="152"/>
      <c r="JI30" s="152"/>
      <c r="JJ30" s="152"/>
      <c r="JK30" s="152"/>
      <c r="JL30" s="152"/>
      <c r="JM30" s="152"/>
      <c r="JN30" s="152"/>
      <c r="JO30" s="38">
        <f t="shared" si="91"/>
        <v>0</v>
      </c>
      <c r="JP30" s="14">
        <f t="shared" si="92"/>
        <v>0</v>
      </c>
      <c r="JQ30" s="46">
        <f t="shared" si="93"/>
        <v>0</v>
      </c>
      <c r="JR30" s="47">
        <f t="shared" si="35"/>
        <v>0</v>
      </c>
      <c r="JS30" s="46">
        <f t="shared" si="94"/>
        <v>120</v>
      </c>
      <c r="JT30" s="15">
        <f t="shared" si="95"/>
        <v>0</v>
      </c>
      <c r="JU30" s="17"/>
      <c r="JV30" s="17"/>
    </row>
    <row r="31" spans="1:282" s="17" customFormat="1" ht="18.5" thickBot="1" x14ac:dyDescent="0.7">
      <c r="D31" s="140"/>
      <c r="F31" s="16">
        <f>SUM(F5:F30)</f>
        <v>0</v>
      </c>
      <c r="G31" s="16">
        <f t="shared" ref="G31:BR31" si="107">SUM(G5:G30)</f>
        <v>0</v>
      </c>
      <c r="H31" s="16">
        <f t="shared" si="107"/>
        <v>0</v>
      </c>
      <c r="I31" s="16">
        <f t="shared" si="107"/>
        <v>0</v>
      </c>
      <c r="J31" s="16">
        <f t="shared" si="107"/>
        <v>0</v>
      </c>
      <c r="K31" s="16">
        <f t="shared" si="107"/>
        <v>0</v>
      </c>
      <c r="L31" s="16">
        <f t="shared" si="107"/>
        <v>0</v>
      </c>
      <c r="M31" s="16">
        <f t="shared" si="107"/>
        <v>0</v>
      </c>
      <c r="N31" s="16">
        <f t="shared" si="107"/>
        <v>0</v>
      </c>
      <c r="O31" s="16">
        <f t="shared" si="107"/>
        <v>0</v>
      </c>
      <c r="P31" s="16">
        <f t="shared" si="107"/>
        <v>0</v>
      </c>
      <c r="Q31" s="16">
        <f t="shared" si="107"/>
        <v>0</v>
      </c>
      <c r="R31" s="16">
        <f t="shared" si="107"/>
        <v>0</v>
      </c>
      <c r="S31" s="16">
        <f t="shared" si="107"/>
        <v>0</v>
      </c>
      <c r="T31" s="16">
        <f t="shared" si="107"/>
        <v>0</v>
      </c>
      <c r="U31" s="16">
        <f t="shared" si="107"/>
        <v>0</v>
      </c>
      <c r="V31" s="16">
        <f t="shared" si="107"/>
        <v>0</v>
      </c>
      <c r="W31" s="16">
        <f t="shared" si="107"/>
        <v>0</v>
      </c>
      <c r="X31" s="16">
        <f t="shared" si="107"/>
        <v>0</v>
      </c>
      <c r="Y31" s="16">
        <f t="shared" si="107"/>
        <v>6</v>
      </c>
      <c r="Z31" s="16">
        <f t="shared" si="107"/>
        <v>94</v>
      </c>
      <c r="AA31" s="16">
        <f t="shared" si="107"/>
        <v>0</v>
      </c>
      <c r="AB31" s="16">
        <f t="shared" si="107"/>
        <v>0</v>
      </c>
      <c r="AC31" s="16">
        <f t="shared" si="107"/>
        <v>0</v>
      </c>
      <c r="AD31" s="16">
        <f t="shared" si="107"/>
        <v>19</v>
      </c>
      <c r="AE31" s="16">
        <f t="shared" si="107"/>
        <v>0</v>
      </c>
      <c r="AF31" s="16">
        <f t="shared" si="107"/>
        <v>119</v>
      </c>
      <c r="AG31" s="16">
        <f t="shared" si="107"/>
        <v>0</v>
      </c>
      <c r="AH31" s="16">
        <f t="shared" si="107"/>
        <v>8</v>
      </c>
      <c r="AI31" s="16">
        <f t="shared" si="107"/>
        <v>63</v>
      </c>
      <c r="AJ31" s="16">
        <f t="shared" si="107"/>
        <v>0</v>
      </c>
      <c r="AK31" s="16">
        <f t="shared" si="107"/>
        <v>0</v>
      </c>
      <c r="AL31" s="16">
        <f t="shared" si="107"/>
        <v>6</v>
      </c>
      <c r="AM31" s="16">
        <f t="shared" si="107"/>
        <v>26</v>
      </c>
      <c r="AN31" s="16">
        <f t="shared" si="107"/>
        <v>0</v>
      </c>
      <c r="AO31" s="16">
        <f t="shared" si="107"/>
        <v>103</v>
      </c>
      <c r="AP31" s="16">
        <f t="shared" si="107"/>
        <v>0</v>
      </c>
      <c r="AQ31" s="16">
        <f t="shared" si="107"/>
        <v>0</v>
      </c>
      <c r="AR31" s="16">
        <f t="shared" si="107"/>
        <v>23</v>
      </c>
      <c r="AS31" s="16">
        <f t="shared" si="107"/>
        <v>0</v>
      </c>
      <c r="AT31" s="16">
        <f t="shared" si="107"/>
        <v>0</v>
      </c>
      <c r="AU31" s="16">
        <f t="shared" si="107"/>
        <v>0</v>
      </c>
      <c r="AV31" s="16">
        <f t="shared" si="107"/>
        <v>4</v>
      </c>
      <c r="AW31" s="16">
        <f t="shared" si="107"/>
        <v>0</v>
      </c>
      <c r="AX31" s="16">
        <f t="shared" si="107"/>
        <v>27</v>
      </c>
      <c r="AY31" s="16">
        <f t="shared" si="107"/>
        <v>0</v>
      </c>
      <c r="AZ31" s="16">
        <f t="shared" si="107"/>
        <v>8</v>
      </c>
      <c r="BA31" s="16">
        <f t="shared" si="107"/>
        <v>10</v>
      </c>
      <c r="BB31" s="16">
        <f t="shared" si="107"/>
        <v>0</v>
      </c>
      <c r="BC31" s="16">
        <f t="shared" si="107"/>
        <v>0</v>
      </c>
      <c r="BD31" s="16">
        <f t="shared" si="107"/>
        <v>0</v>
      </c>
      <c r="BE31" s="16">
        <f t="shared" si="107"/>
        <v>7</v>
      </c>
      <c r="BF31" s="16">
        <f t="shared" si="107"/>
        <v>0</v>
      </c>
      <c r="BG31" s="16">
        <f t="shared" si="107"/>
        <v>25</v>
      </c>
      <c r="BH31" s="16">
        <f t="shared" si="107"/>
        <v>0</v>
      </c>
      <c r="BI31" s="16">
        <f t="shared" si="107"/>
        <v>260</v>
      </c>
      <c r="BJ31" s="16">
        <f t="shared" si="107"/>
        <v>80</v>
      </c>
      <c r="BK31" s="16">
        <f t="shared" si="107"/>
        <v>0</v>
      </c>
      <c r="BL31" s="16">
        <f t="shared" si="107"/>
        <v>0</v>
      </c>
      <c r="BM31" s="16">
        <f t="shared" si="107"/>
        <v>0</v>
      </c>
      <c r="BN31" s="16">
        <f t="shared" si="107"/>
        <v>0</v>
      </c>
      <c r="BO31" s="16">
        <f t="shared" si="107"/>
        <v>0</v>
      </c>
      <c r="BP31" s="16">
        <f t="shared" si="107"/>
        <v>340</v>
      </c>
      <c r="BQ31" s="16">
        <f t="shared" si="107"/>
        <v>0</v>
      </c>
      <c r="BR31" s="16">
        <f t="shared" si="107"/>
        <v>248</v>
      </c>
      <c r="BS31" s="16">
        <f t="shared" ref="BS31:ED31" si="108">SUM(BS5:BS30)</f>
        <v>167</v>
      </c>
      <c r="BT31" s="16">
        <f t="shared" si="108"/>
        <v>0</v>
      </c>
      <c r="BU31" s="16">
        <f t="shared" si="108"/>
        <v>0</v>
      </c>
      <c r="BV31" s="16">
        <f t="shared" si="108"/>
        <v>0</v>
      </c>
      <c r="BW31" s="16">
        <f t="shared" si="108"/>
        <v>0</v>
      </c>
      <c r="BX31" s="16">
        <f t="shared" si="108"/>
        <v>0</v>
      </c>
      <c r="BY31" s="16">
        <f t="shared" si="108"/>
        <v>415</v>
      </c>
      <c r="BZ31" s="16">
        <f t="shared" si="108"/>
        <v>0</v>
      </c>
      <c r="CA31" s="16">
        <f t="shared" si="108"/>
        <v>22</v>
      </c>
      <c r="CB31" s="16">
        <f t="shared" si="108"/>
        <v>258</v>
      </c>
      <c r="CC31" s="16">
        <f t="shared" si="108"/>
        <v>46</v>
      </c>
      <c r="CD31" s="16">
        <f t="shared" si="108"/>
        <v>0</v>
      </c>
      <c r="CE31" s="16">
        <f t="shared" si="108"/>
        <v>0</v>
      </c>
      <c r="CF31" s="16">
        <f t="shared" si="108"/>
        <v>0</v>
      </c>
      <c r="CG31" s="16">
        <f t="shared" si="108"/>
        <v>0</v>
      </c>
      <c r="CH31" s="16">
        <f t="shared" si="108"/>
        <v>326</v>
      </c>
      <c r="CI31" s="16">
        <f t="shared" si="108"/>
        <v>0</v>
      </c>
      <c r="CJ31" s="16">
        <f t="shared" si="108"/>
        <v>24</v>
      </c>
      <c r="CK31" s="16">
        <f t="shared" si="108"/>
        <v>427</v>
      </c>
      <c r="CL31" s="16">
        <f t="shared" si="108"/>
        <v>30</v>
      </c>
      <c r="CM31" s="16">
        <f t="shared" si="108"/>
        <v>0</v>
      </c>
      <c r="CN31" s="16">
        <f t="shared" si="108"/>
        <v>0</v>
      </c>
      <c r="CO31" s="16">
        <f t="shared" si="108"/>
        <v>0</v>
      </c>
      <c r="CP31" s="16">
        <f t="shared" si="108"/>
        <v>0</v>
      </c>
      <c r="CQ31" s="16">
        <f t="shared" si="108"/>
        <v>481</v>
      </c>
      <c r="CR31" s="16">
        <f t="shared" si="108"/>
        <v>0</v>
      </c>
      <c r="CS31" s="16">
        <f t="shared" si="108"/>
        <v>44</v>
      </c>
      <c r="CT31" s="16">
        <f t="shared" si="108"/>
        <v>0</v>
      </c>
      <c r="CU31" s="16">
        <f t="shared" si="108"/>
        <v>0</v>
      </c>
      <c r="CV31" s="16">
        <f t="shared" si="108"/>
        <v>0</v>
      </c>
      <c r="CW31" s="16">
        <f t="shared" si="108"/>
        <v>0</v>
      </c>
      <c r="CX31" s="16">
        <f t="shared" si="108"/>
        <v>0</v>
      </c>
      <c r="CY31" s="16">
        <f t="shared" si="108"/>
        <v>0</v>
      </c>
      <c r="CZ31" s="16">
        <f t="shared" si="108"/>
        <v>44</v>
      </c>
      <c r="DA31" s="16">
        <f t="shared" si="108"/>
        <v>0</v>
      </c>
      <c r="DB31" s="16">
        <f t="shared" si="108"/>
        <v>34</v>
      </c>
      <c r="DC31" s="16">
        <f t="shared" si="108"/>
        <v>0</v>
      </c>
      <c r="DD31" s="16">
        <f t="shared" si="108"/>
        <v>0</v>
      </c>
      <c r="DE31" s="16">
        <f t="shared" si="108"/>
        <v>0</v>
      </c>
      <c r="DF31" s="16">
        <f t="shared" si="108"/>
        <v>0</v>
      </c>
      <c r="DG31" s="16">
        <f t="shared" si="108"/>
        <v>0</v>
      </c>
      <c r="DH31" s="16">
        <f t="shared" si="108"/>
        <v>0</v>
      </c>
      <c r="DI31" s="16">
        <f t="shared" si="108"/>
        <v>34</v>
      </c>
      <c r="DJ31" s="16">
        <f t="shared" si="108"/>
        <v>0</v>
      </c>
      <c r="DK31" s="16">
        <f t="shared" si="108"/>
        <v>16</v>
      </c>
      <c r="DL31" s="16">
        <f t="shared" si="108"/>
        <v>22</v>
      </c>
      <c r="DM31" s="16">
        <f t="shared" si="108"/>
        <v>0</v>
      </c>
      <c r="DN31" s="16">
        <f t="shared" si="108"/>
        <v>0</v>
      </c>
      <c r="DO31" s="16">
        <f t="shared" si="108"/>
        <v>0</v>
      </c>
      <c r="DP31" s="16">
        <f t="shared" si="108"/>
        <v>0</v>
      </c>
      <c r="DQ31" s="16">
        <f t="shared" si="108"/>
        <v>0</v>
      </c>
      <c r="DR31" s="16">
        <f t="shared" si="108"/>
        <v>38</v>
      </c>
      <c r="DS31" s="16">
        <f t="shared" si="108"/>
        <v>0</v>
      </c>
      <c r="DT31" s="16">
        <f t="shared" si="108"/>
        <v>20</v>
      </c>
      <c r="DU31" s="16">
        <f t="shared" si="108"/>
        <v>46</v>
      </c>
      <c r="DV31" s="16">
        <f t="shared" si="108"/>
        <v>0</v>
      </c>
      <c r="DW31" s="16">
        <f t="shared" si="108"/>
        <v>0</v>
      </c>
      <c r="DX31" s="16">
        <f t="shared" si="108"/>
        <v>0</v>
      </c>
      <c r="DY31" s="16">
        <f t="shared" si="108"/>
        <v>0</v>
      </c>
      <c r="DZ31" s="16">
        <f t="shared" si="108"/>
        <v>0</v>
      </c>
      <c r="EA31" s="16">
        <f t="shared" si="108"/>
        <v>66</v>
      </c>
      <c r="EB31" s="16">
        <f t="shared" si="108"/>
        <v>0</v>
      </c>
      <c r="EC31" s="16">
        <f t="shared" si="108"/>
        <v>256</v>
      </c>
      <c r="ED31" s="16">
        <f t="shared" si="108"/>
        <v>54</v>
      </c>
      <c r="EE31" s="16">
        <f t="shared" ref="EE31:GC31" si="109">SUM(EE5:EE30)</f>
        <v>0</v>
      </c>
      <c r="EF31" s="16">
        <f t="shared" si="109"/>
        <v>0</v>
      </c>
      <c r="EG31" s="16">
        <f t="shared" si="109"/>
        <v>0</v>
      </c>
      <c r="EH31" s="16">
        <f t="shared" si="109"/>
        <v>0</v>
      </c>
      <c r="EI31" s="16">
        <f t="shared" si="109"/>
        <v>0</v>
      </c>
      <c r="EJ31" s="16">
        <f t="shared" si="109"/>
        <v>310</v>
      </c>
      <c r="EK31" s="16">
        <f t="shared" si="109"/>
        <v>0</v>
      </c>
      <c r="EL31" s="16">
        <f t="shared" si="109"/>
        <v>179</v>
      </c>
      <c r="EM31" s="16">
        <f t="shared" si="109"/>
        <v>52</v>
      </c>
      <c r="EN31" s="16">
        <f t="shared" si="109"/>
        <v>0</v>
      </c>
      <c r="EO31" s="16">
        <f t="shared" si="109"/>
        <v>0</v>
      </c>
      <c r="EP31" s="16">
        <f t="shared" si="109"/>
        <v>0</v>
      </c>
      <c r="EQ31" s="16">
        <f t="shared" si="109"/>
        <v>0</v>
      </c>
      <c r="ER31" s="16">
        <f t="shared" si="109"/>
        <v>0</v>
      </c>
      <c r="ES31" s="16">
        <f t="shared" si="109"/>
        <v>231</v>
      </c>
      <c r="ET31" s="16">
        <f t="shared" si="109"/>
        <v>0</v>
      </c>
      <c r="EU31" s="16">
        <f t="shared" si="109"/>
        <v>49</v>
      </c>
      <c r="EV31" s="16">
        <f t="shared" si="109"/>
        <v>0</v>
      </c>
      <c r="EW31" s="16">
        <f t="shared" si="109"/>
        <v>0</v>
      </c>
      <c r="EX31" s="16">
        <f t="shared" si="109"/>
        <v>0</v>
      </c>
      <c r="EY31" s="16">
        <f t="shared" si="109"/>
        <v>0</v>
      </c>
      <c r="EZ31" s="16">
        <f t="shared" si="109"/>
        <v>0</v>
      </c>
      <c r="FA31" s="16">
        <f t="shared" si="109"/>
        <v>0</v>
      </c>
      <c r="FB31" s="16">
        <f t="shared" si="109"/>
        <v>49</v>
      </c>
      <c r="FC31" s="16">
        <f t="shared" si="109"/>
        <v>0</v>
      </c>
      <c r="FD31" s="16">
        <f t="shared" si="109"/>
        <v>34</v>
      </c>
      <c r="FE31" s="16">
        <f t="shared" si="109"/>
        <v>0</v>
      </c>
      <c r="FF31" s="16">
        <f t="shared" si="109"/>
        <v>0</v>
      </c>
      <c r="FG31" s="16">
        <f t="shared" si="109"/>
        <v>0</v>
      </c>
      <c r="FH31" s="16">
        <f t="shared" si="109"/>
        <v>0</v>
      </c>
      <c r="FI31" s="16">
        <f t="shared" si="109"/>
        <v>0</v>
      </c>
      <c r="FJ31" s="16">
        <f t="shared" si="109"/>
        <v>0</v>
      </c>
      <c r="FK31" s="16">
        <f t="shared" si="109"/>
        <v>34</v>
      </c>
      <c r="FL31" s="16">
        <f t="shared" si="109"/>
        <v>0</v>
      </c>
      <c r="FM31" s="16">
        <f t="shared" si="109"/>
        <v>88</v>
      </c>
      <c r="FN31" s="16">
        <f t="shared" si="109"/>
        <v>0</v>
      </c>
      <c r="FO31" s="16">
        <f t="shared" si="109"/>
        <v>0</v>
      </c>
      <c r="FP31" s="16">
        <f t="shared" si="109"/>
        <v>0</v>
      </c>
      <c r="FQ31" s="16">
        <f t="shared" si="109"/>
        <v>0</v>
      </c>
      <c r="FR31" s="16">
        <f t="shared" si="109"/>
        <v>0</v>
      </c>
      <c r="FS31" s="16">
        <f t="shared" si="109"/>
        <v>0</v>
      </c>
      <c r="FT31" s="16">
        <f t="shared" si="109"/>
        <v>88</v>
      </c>
      <c r="FU31" s="16">
        <f t="shared" si="109"/>
        <v>0</v>
      </c>
      <c r="FV31" s="16">
        <f t="shared" si="109"/>
        <v>51</v>
      </c>
      <c r="FW31" s="16">
        <f t="shared" si="109"/>
        <v>0</v>
      </c>
      <c r="FX31" s="16">
        <f t="shared" si="109"/>
        <v>0</v>
      </c>
      <c r="FY31" s="16">
        <f t="shared" si="109"/>
        <v>0</v>
      </c>
      <c r="FZ31" s="16">
        <f t="shared" si="109"/>
        <v>0</v>
      </c>
      <c r="GA31" s="16">
        <f t="shared" si="109"/>
        <v>0</v>
      </c>
      <c r="GB31" s="16">
        <f t="shared" si="109"/>
        <v>0</v>
      </c>
      <c r="GC31" s="16">
        <f t="shared" si="109"/>
        <v>51</v>
      </c>
      <c r="GD31" s="16">
        <f t="shared" ref="GD31:GU31" si="110">SUM(GD5:GD30)</f>
        <v>10</v>
      </c>
      <c r="GE31" s="16">
        <f t="shared" si="110"/>
        <v>209</v>
      </c>
      <c r="GF31" s="16">
        <f t="shared" si="110"/>
        <v>14</v>
      </c>
      <c r="GG31" s="16">
        <f t="shared" si="110"/>
        <v>9</v>
      </c>
      <c r="GH31" s="16">
        <f t="shared" si="110"/>
        <v>0</v>
      </c>
      <c r="GI31" s="16">
        <f t="shared" si="110"/>
        <v>0</v>
      </c>
      <c r="GJ31" s="16">
        <f t="shared" si="110"/>
        <v>0</v>
      </c>
      <c r="GK31" s="16">
        <f t="shared" si="110"/>
        <v>0</v>
      </c>
      <c r="GL31" s="16">
        <f t="shared" si="110"/>
        <v>242</v>
      </c>
      <c r="GM31" s="16">
        <f t="shared" si="110"/>
        <v>11</v>
      </c>
      <c r="GN31" s="16">
        <f t="shared" si="110"/>
        <v>174</v>
      </c>
      <c r="GO31" s="16">
        <f t="shared" si="110"/>
        <v>0</v>
      </c>
      <c r="GP31" s="16">
        <f t="shared" si="110"/>
        <v>0</v>
      </c>
      <c r="GQ31" s="16">
        <f t="shared" si="110"/>
        <v>0</v>
      </c>
      <c r="GR31" s="16">
        <f t="shared" si="110"/>
        <v>0</v>
      </c>
      <c r="GS31" s="16">
        <f t="shared" si="110"/>
        <v>18</v>
      </c>
      <c r="GT31" s="16">
        <f t="shared" si="110"/>
        <v>2</v>
      </c>
      <c r="GU31" s="16">
        <f t="shared" si="110"/>
        <v>205</v>
      </c>
      <c r="GV31" s="16">
        <f t="shared" ref="GV31:HM31" si="111">SUM(GV5:GV30)</f>
        <v>0</v>
      </c>
      <c r="GW31" s="16">
        <f t="shared" si="111"/>
        <v>121</v>
      </c>
      <c r="GX31" s="16">
        <f t="shared" si="111"/>
        <v>10</v>
      </c>
      <c r="GY31" s="16">
        <f t="shared" si="111"/>
        <v>0</v>
      </c>
      <c r="GZ31" s="16">
        <f t="shared" si="111"/>
        <v>0</v>
      </c>
      <c r="HA31" s="16">
        <f t="shared" si="111"/>
        <v>25</v>
      </c>
      <c r="HB31" s="16">
        <f t="shared" si="111"/>
        <v>0</v>
      </c>
      <c r="HC31" s="16">
        <f t="shared" si="111"/>
        <v>0</v>
      </c>
      <c r="HD31" s="16">
        <f t="shared" si="111"/>
        <v>156</v>
      </c>
      <c r="HE31" s="16">
        <f t="shared" si="111"/>
        <v>0</v>
      </c>
      <c r="HF31" s="16">
        <f t="shared" si="111"/>
        <v>132</v>
      </c>
      <c r="HG31" s="16">
        <f t="shared" si="111"/>
        <v>40</v>
      </c>
      <c r="HH31" s="16">
        <f t="shared" si="111"/>
        <v>0</v>
      </c>
      <c r="HI31" s="16">
        <f t="shared" si="111"/>
        <v>0</v>
      </c>
      <c r="HJ31" s="16">
        <f t="shared" si="111"/>
        <v>21</v>
      </c>
      <c r="HK31" s="16">
        <f t="shared" si="111"/>
        <v>0</v>
      </c>
      <c r="HL31" s="16">
        <f t="shared" si="111"/>
        <v>0</v>
      </c>
      <c r="HM31" s="16">
        <f t="shared" si="111"/>
        <v>193</v>
      </c>
      <c r="HN31" s="16">
        <f t="shared" ref="HN31:IE31" si="112">SUM(HN5:HN30)</f>
        <v>0</v>
      </c>
      <c r="HO31" s="16">
        <f t="shared" si="112"/>
        <v>146</v>
      </c>
      <c r="HP31" s="16">
        <f t="shared" si="112"/>
        <v>43</v>
      </c>
      <c r="HQ31" s="16">
        <f t="shared" si="112"/>
        <v>0</v>
      </c>
      <c r="HR31" s="16">
        <f t="shared" si="112"/>
        <v>0</v>
      </c>
      <c r="HS31" s="16">
        <f t="shared" si="112"/>
        <v>0</v>
      </c>
      <c r="HT31" s="16">
        <f t="shared" si="112"/>
        <v>0</v>
      </c>
      <c r="HU31" s="16">
        <f t="shared" si="112"/>
        <v>0</v>
      </c>
      <c r="HV31" s="16">
        <f t="shared" si="112"/>
        <v>189</v>
      </c>
      <c r="HW31" s="16">
        <f t="shared" si="112"/>
        <v>0</v>
      </c>
      <c r="HX31" s="16">
        <f t="shared" si="112"/>
        <v>109</v>
      </c>
      <c r="HY31" s="16">
        <f t="shared" si="112"/>
        <v>168</v>
      </c>
      <c r="HZ31" s="16">
        <f t="shared" si="112"/>
        <v>0</v>
      </c>
      <c r="IA31" s="16">
        <f t="shared" si="112"/>
        <v>0</v>
      </c>
      <c r="IB31" s="16">
        <f t="shared" si="112"/>
        <v>0</v>
      </c>
      <c r="IC31" s="16">
        <f t="shared" si="112"/>
        <v>0</v>
      </c>
      <c r="ID31" s="16">
        <f t="shared" si="112"/>
        <v>0</v>
      </c>
      <c r="IE31" s="16">
        <f t="shared" si="112"/>
        <v>277</v>
      </c>
      <c r="IF31" s="16">
        <f t="shared" ref="IF31:IW31" si="113">SUM(IF5:IF30)</f>
        <v>0</v>
      </c>
      <c r="IG31" s="16">
        <f t="shared" si="113"/>
        <v>68</v>
      </c>
      <c r="IH31" s="16">
        <f t="shared" si="113"/>
        <v>121</v>
      </c>
      <c r="II31" s="16">
        <f t="shared" si="113"/>
        <v>136</v>
      </c>
      <c r="IJ31" s="16">
        <f t="shared" si="113"/>
        <v>0</v>
      </c>
      <c r="IK31" s="16">
        <f t="shared" si="113"/>
        <v>0</v>
      </c>
      <c r="IL31" s="16">
        <f t="shared" si="113"/>
        <v>0</v>
      </c>
      <c r="IM31" s="16">
        <f t="shared" si="113"/>
        <v>0</v>
      </c>
      <c r="IN31" s="16">
        <f t="shared" si="113"/>
        <v>325</v>
      </c>
      <c r="IO31" s="16">
        <f t="shared" si="113"/>
        <v>0</v>
      </c>
      <c r="IP31" s="16">
        <f t="shared" si="113"/>
        <v>318</v>
      </c>
      <c r="IQ31" s="16">
        <f t="shared" si="113"/>
        <v>375</v>
      </c>
      <c r="IR31" s="16">
        <f t="shared" si="113"/>
        <v>0</v>
      </c>
      <c r="IS31" s="16">
        <f t="shared" si="113"/>
        <v>0</v>
      </c>
      <c r="IT31" s="16">
        <f t="shared" si="113"/>
        <v>0</v>
      </c>
      <c r="IU31" s="16">
        <f t="shared" si="113"/>
        <v>0</v>
      </c>
      <c r="IV31" s="16">
        <f t="shared" si="113"/>
        <v>0</v>
      </c>
      <c r="IW31" s="16">
        <f t="shared" si="113"/>
        <v>693</v>
      </c>
      <c r="IX31" s="16">
        <f t="shared" ref="IX31:JO31" si="114">SUM(IX5:IX30)</f>
        <v>0</v>
      </c>
      <c r="IY31" s="16">
        <f t="shared" si="114"/>
        <v>598</v>
      </c>
      <c r="IZ31" s="16">
        <f t="shared" si="114"/>
        <v>15</v>
      </c>
      <c r="JA31" s="16">
        <f t="shared" si="114"/>
        <v>0</v>
      </c>
      <c r="JB31" s="16">
        <f t="shared" si="114"/>
        <v>0</v>
      </c>
      <c r="JC31" s="16">
        <f t="shared" si="114"/>
        <v>0</v>
      </c>
      <c r="JD31" s="16">
        <f t="shared" si="114"/>
        <v>0</v>
      </c>
      <c r="JE31" s="16">
        <f t="shared" si="114"/>
        <v>0</v>
      </c>
      <c r="JF31" s="16">
        <f t="shared" si="114"/>
        <v>613</v>
      </c>
      <c r="JG31" s="16">
        <f t="shared" si="114"/>
        <v>0</v>
      </c>
      <c r="JH31" s="16">
        <f t="shared" si="114"/>
        <v>389</v>
      </c>
      <c r="JI31" s="16">
        <f t="shared" si="114"/>
        <v>126</v>
      </c>
      <c r="JJ31" s="16">
        <f t="shared" si="114"/>
        <v>0</v>
      </c>
      <c r="JK31" s="16">
        <f t="shared" si="114"/>
        <v>0</v>
      </c>
      <c r="JL31" s="16">
        <f t="shared" si="114"/>
        <v>0</v>
      </c>
      <c r="JM31" s="16">
        <f t="shared" si="114"/>
        <v>0</v>
      </c>
      <c r="JN31" s="16">
        <f t="shared" si="114"/>
        <v>0</v>
      </c>
      <c r="JO31" s="16">
        <f t="shared" si="114"/>
        <v>515</v>
      </c>
      <c r="JP31" s="29"/>
      <c r="JS31" s="1"/>
      <c r="JT31" s="1"/>
    </row>
  </sheetData>
  <mergeCells count="174">
    <mergeCell ref="IF1:IW1"/>
    <mergeCell ref="IF2:IN2"/>
    <mergeCell ref="IO2:IW2"/>
    <mergeCell ref="IF3:II3"/>
    <mergeCell ref="IJ3:IM3"/>
    <mergeCell ref="IN3:IN4"/>
    <mergeCell ref="IO3:IR3"/>
    <mergeCell ref="IS3:IV3"/>
    <mergeCell ref="IW3:IW4"/>
    <mergeCell ref="B4:E4"/>
    <mergeCell ref="B26:E26"/>
    <mergeCell ref="DI3:DI4"/>
    <mergeCell ref="DJ3:DM3"/>
    <mergeCell ref="CD3:CG3"/>
    <mergeCell ref="CH3:CH4"/>
    <mergeCell ref="CI3:CL3"/>
    <mergeCell ref="CM3:CP3"/>
    <mergeCell ref="AX3:AX4"/>
    <mergeCell ref="BC3:BF3"/>
    <mergeCell ref="BG3:BG4"/>
    <mergeCell ref="AT3:AW3"/>
    <mergeCell ref="AB3:AE3"/>
    <mergeCell ref="E21:JT21"/>
    <mergeCell ref="E15:JT15"/>
    <mergeCell ref="E17:JT17"/>
    <mergeCell ref="CR3:CU3"/>
    <mergeCell ref="BQ3:BT3"/>
    <mergeCell ref="BU3:BX3"/>
    <mergeCell ref="BY3:BY4"/>
    <mergeCell ref="BZ3:CC3"/>
    <mergeCell ref="B5:B10"/>
    <mergeCell ref="E5:E10"/>
    <mergeCell ref="C5:C7"/>
    <mergeCell ref="A27:A30"/>
    <mergeCell ref="EB1:ES1"/>
    <mergeCell ref="CI2:CQ2"/>
    <mergeCell ref="CR2:CZ2"/>
    <mergeCell ref="DA2:DI2"/>
    <mergeCell ref="DJ2:DR2"/>
    <mergeCell ref="BZ1:CQ1"/>
    <mergeCell ref="CR1:DI1"/>
    <mergeCell ref="DS2:EA2"/>
    <mergeCell ref="A5:A14"/>
    <mergeCell ref="AF3:AF4"/>
    <mergeCell ref="AG3:AJ3"/>
    <mergeCell ref="AK3:AN3"/>
    <mergeCell ref="AO3:AO4"/>
    <mergeCell ref="AP3:AS3"/>
    <mergeCell ref="A1:A3"/>
    <mergeCell ref="B1:E3"/>
    <mergeCell ref="AY3:BB3"/>
    <mergeCell ref="O3:R3"/>
    <mergeCell ref="S3:V3"/>
    <mergeCell ref="W3:W4"/>
    <mergeCell ref="X3:AA3"/>
    <mergeCell ref="F2:N2"/>
    <mergeCell ref="O2:W2"/>
    <mergeCell ref="JU1:JV3"/>
    <mergeCell ref="ES3:ES4"/>
    <mergeCell ref="EF3:EI3"/>
    <mergeCell ref="EJ3:EJ4"/>
    <mergeCell ref="EK3:EN3"/>
    <mergeCell ref="DN3:DQ3"/>
    <mergeCell ref="DR3:DR4"/>
    <mergeCell ref="DS3:DV3"/>
    <mergeCell ref="DW3:DZ3"/>
    <mergeCell ref="EA3:EA4"/>
    <mergeCell ref="EB3:EE3"/>
    <mergeCell ref="JP1:JR3"/>
    <mergeCell ref="JS1:JS4"/>
    <mergeCell ref="JT1:JT4"/>
    <mergeCell ref="FL1:GC1"/>
    <mergeCell ref="FL2:FT2"/>
    <mergeCell ref="FU2:GC2"/>
    <mergeCell ref="FL3:FO3"/>
    <mergeCell ref="FP3:FS3"/>
    <mergeCell ref="FT3:FT4"/>
    <mergeCell ref="FU3:FX3"/>
    <mergeCell ref="FY3:GB3"/>
    <mergeCell ref="GC3:GC4"/>
    <mergeCell ref="FK3:FK4"/>
    <mergeCell ref="BH1:BY1"/>
    <mergeCell ref="BZ2:CH2"/>
    <mergeCell ref="F1:W1"/>
    <mergeCell ref="EO3:ER3"/>
    <mergeCell ref="DJ1:EA1"/>
    <mergeCell ref="ET1:FK1"/>
    <mergeCell ref="F3:I3"/>
    <mergeCell ref="J3:M3"/>
    <mergeCell ref="N3:N4"/>
    <mergeCell ref="AP1:BG1"/>
    <mergeCell ref="X1:AO1"/>
    <mergeCell ref="X2:AF2"/>
    <mergeCell ref="AP2:AX2"/>
    <mergeCell ref="AG2:AO2"/>
    <mergeCell ref="FC2:FK2"/>
    <mergeCell ref="ET2:FB2"/>
    <mergeCell ref="FG3:FJ3"/>
    <mergeCell ref="FC3:FF3"/>
    <mergeCell ref="FB3:FB4"/>
    <mergeCell ref="EX3:FA3"/>
    <mergeCell ref="AY2:BG2"/>
    <mergeCell ref="DE3:DH3"/>
    <mergeCell ref="BL3:BO3"/>
    <mergeCell ref="BP3:BP4"/>
    <mergeCell ref="BQ2:BY2"/>
    <mergeCell ref="BH2:BP2"/>
    <mergeCell ref="BH3:BK3"/>
    <mergeCell ref="EK2:ES2"/>
    <mergeCell ref="CQ3:CQ4"/>
    <mergeCell ref="CV3:CY3"/>
    <mergeCell ref="CZ3:CZ4"/>
    <mergeCell ref="DA3:DD3"/>
    <mergeCell ref="ET3:EW3"/>
    <mergeCell ref="EB2:EJ2"/>
    <mergeCell ref="GD1:GU1"/>
    <mergeCell ref="GD2:GL2"/>
    <mergeCell ref="GM2:GU2"/>
    <mergeCell ref="GD3:GG3"/>
    <mergeCell ref="GH3:GK3"/>
    <mergeCell ref="GL3:GL4"/>
    <mergeCell ref="GM3:GP3"/>
    <mergeCell ref="GQ3:GT3"/>
    <mergeCell ref="GU3:GU4"/>
    <mergeCell ref="GV1:HM1"/>
    <mergeCell ref="GV2:HD2"/>
    <mergeCell ref="HE2:HM2"/>
    <mergeCell ref="GV3:GY3"/>
    <mergeCell ref="GZ3:HC3"/>
    <mergeCell ref="HD3:HD4"/>
    <mergeCell ref="HE3:HH3"/>
    <mergeCell ref="HI3:HL3"/>
    <mergeCell ref="HM3:HM4"/>
    <mergeCell ref="HN1:IE1"/>
    <mergeCell ref="HN2:HV2"/>
    <mergeCell ref="HW2:IE2"/>
    <mergeCell ref="HN3:HQ3"/>
    <mergeCell ref="HR3:HU3"/>
    <mergeCell ref="HV3:HV4"/>
    <mergeCell ref="HW3:HZ3"/>
    <mergeCell ref="IA3:ID3"/>
    <mergeCell ref="IE3:IE4"/>
    <mergeCell ref="C29:D29"/>
    <mergeCell ref="C30:D30"/>
    <mergeCell ref="JR5:JR10"/>
    <mergeCell ref="JS5:JS10"/>
    <mergeCell ref="JT5:JT10"/>
    <mergeCell ref="C19:D19"/>
    <mergeCell ref="C20:D20"/>
    <mergeCell ref="C21:D21"/>
    <mergeCell ref="C22:D22"/>
    <mergeCell ref="C23:D23"/>
    <mergeCell ref="C24:D24"/>
    <mergeCell ref="C25:D25"/>
    <mergeCell ref="C27:D27"/>
    <mergeCell ref="C28:D28"/>
    <mergeCell ref="C8:C10"/>
    <mergeCell ref="C11:D11"/>
    <mergeCell ref="C12:D12"/>
    <mergeCell ref="C13:D13"/>
    <mergeCell ref="C14:D14"/>
    <mergeCell ref="C15:D15"/>
    <mergeCell ref="C16:D16"/>
    <mergeCell ref="C17:D17"/>
    <mergeCell ref="C18:D18"/>
    <mergeCell ref="IX1:JO1"/>
    <mergeCell ref="IX2:JF2"/>
    <mergeCell ref="JG2:JO2"/>
    <mergeCell ref="IX3:JA3"/>
    <mergeCell ref="JB3:JE3"/>
    <mergeCell ref="JF3:JF4"/>
    <mergeCell ref="JG3:JJ3"/>
    <mergeCell ref="JK3:JN3"/>
    <mergeCell ref="JO3:JO4"/>
  </mergeCells>
  <conditionalFormatting sqref="JS16 JS22:JS30 JS5 JS18:JS20 JS11:JS14">
    <cfRule type="containsText" dxfId="1" priority="1" operator="containsText" text="N/A">
      <formula>NOT(ISERROR(SEARCH("N/A",JS5)))</formula>
    </cfRule>
  </conditionalFormatting>
  <pageMargins left="0.46" right="0.38" top="0.6" bottom="0.75" header="0.3" footer="0.3"/>
  <pageSetup paperSize="9" scale="3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V27"/>
  <sheetViews>
    <sheetView topLeftCell="B1" zoomScale="50" zoomScaleNormal="50" workbookViewId="0">
      <pane xSplit="11" ySplit="4" topLeftCell="HL5" activePane="bottomRight" state="frozen"/>
      <selection activeCell="B1" sqref="B1"/>
      <selection pane="topRight" activeCell="M1" sqref="M1"/>
      <selection pane="bottomLeft" activeCell="B5" sqref="B5"/>
      <selection pane="bottomRight" activeCell="HL11" sqref="HL11"/>
    </sheetView>
  </sheetViews>
  <sheetFormatPr defaultColWidth="8.7265625" defaultRowHeight="21" x14ac:dyDescent="0.5"/>
  <cols>
    <col min="1" max="1" width="17.81640625" style="53" customWidth="1"/>
    <col min="2" max="2" width="137.1796875" style="36" customWidth="1"/>
    <col min="3" max="3" width="20.81640625" style="49" bestFit="1" customWidth="1"/>
    <col min="4" max="4" width="11.1796875" style="49" bestFit="1" customWidth="1"/>
    <col min="5" max="12" width="8.7265625" hidden="1" customWidth="1"/>
    <col min="13" max="13" width="8.7265625" bestFit="1" customWidth="1"/>
    <col min="14" max="21" width="8.7265625" hidden="1" customWidth="1"/>
    <col min="22" max="22" width="8.7265625" bestFit="1" customWidth="1"/>
    <col min="23" max="30" width="8.7265625" hidden="1" customWidth="1"/>
    <col min="31" max="31" width="8.7265625" customWidth="1"/>
    <col min="32" max="39" width="8.7265625" hidden="1" customWidth="1"/>
    <col min="40" max="40" width="8.7265625" customWidth="1"/>
    <col min="41" max="48" width="8.7265625" hidden="1" customWidth="1"/>
    <col min="49" max="49" width="8.7265625" bestFit="1" customWidth="1"/>
    <col min="50" max="57" width="8.7265625" hidden="1" customWidth="1"/>
    <col min="58" max="58" width="8.7265625" bestFit="1" customWidth="1"/>
    <col min="59" max="66" width="8.7265625" hidden="1" customWidth="1"/>
    <col min="67" max="67" width="8.7265625" bestFit="1" customWidth="1"/>
    <col min="68" max="75" width="8.7265625" hidden="1" customWidth="1"/>
    <col min="76" max="76" width="8.7265625" bestFit="1" customWidth="1"/>
    <col min="77" max="84" width="8.7265625" hidden="1" customWidth="1"/>
    <col min="85" max="85" width="8.7265625" bestFit="1" customWidth="1"/>
    <col min="86" max="93" width="8.7265625" hidden="1" customWidth="1"/>
    <col min="94" max="94" width="8.7265625" bestFit="1" customWidth="1"/>
    <col min="95" max="102" width="8.7265625" hidden="1" customWidth="1"/>
    <col min="103" max="103" width="8.7265625" bestFit="1" customWidth="1"/>
    <col min="104" max="111" width="8.7265625" hidden="1" customWidth="1"/>
    <col min="112" max="112" width="8.7265625" bestFit="1" customWidth="1"/>
    <col min="113" max="120" width="8.7265625" hidden="1" customWidth="1"/>
    <col min="121" max="121" width="8.7265625" customWidth="1"/>
    <col min="122" max="129" width="8.7265625" hidden="1" customWidth="1"/>
    <col min="130" max="130" width="8.7265625" bestFit="1" customWidth="1"/>
    <col min="131" max="138" width="8.7265625" hidden="1" customWidth="1"/>
    <col min="139" max="139" width="8.7265625" bestFit="1" customWidth="1"/>
    <col min="140" max="147" width="8.7265625" hidden="1" customWidth="1"/>
    <col min="148" max="148" width="8.7265625" bestFit="1" customWidth="1"/>
    <col min="149" max="156" width="8.7265625" hidden="1" customWidth="1"/>
    <col min="157" max="157" width="8.7265625" bestFit="1" customWidth="1"/>
    <col min="158" max="165" width="8.7265625" hidden="1" customWidth="1"/>
    <col min="166" max="166" width="8.7265625" bestFit="1" customWidth="1"/>
    <col min="167" max="174" width="8.7265625" hidden="1" customWidth="1"/>
    <col min="175" max="175" width="8.7265625" customWidth="1"/>
    <col min="176" max="183" width="8.7265625" hidden="1" customWidth="1"/>
    <col min="184" max="184" width="8.7265625" customWidth="1"/>
    <col min="185" max="192" width="8.7265625" style="114" hidden="1" customWidth="1"/>
    <col min="193" max="193" width="8.7265625" style="114" customWidth="1"/>
    <col min="194" max="201" width="8.7265625" style="114" hidden="1" customWidth="1"/>
    <col min="202" max="202" width="8.7265625" style="114" customWidth="1"/>
    <col min="203" max="210" width="8.7265625" style="114" hidden="1" customWidth="1"/>
    <col min="211" max="211" width="8.7265625" style="114" customWidth="1"/>
    <col min="212" max="219" width="8.7265625" style="114" hidden="1" customWidth="1"/>
    <col min="220" max="220" width="8.7265625" style="114" customWidth="1"/>
    <col min="221" max="228" width="8.7265625" style="114" hidden="1" customWidth="1"/>
    <col min="229" max="229" width="8.7265625" style="114" customWidth="1"/>
    <col min="230" max="237" width="8.7265625" style="114" hidden="1" customWidth="1"/>
    <col min="238" max="238" width="8.7265625" style="114" customWidth="1"/>
    <col min="239" max="246" width="8.7265625" style="114" hidden="1" customWidth="1"/>
    <col min="247" max="247" width="8.7265625" style="114" customWidth="1"/>
    <col min="248" max="255" width="8.7265625" style="114" hidden="1" customWidth="1"/>
    <col min="256" max="256" width="8.7265625" style="114" customWidth="1"/>
    <col min="257" max="264" width="8.7265625" style="114" hidden="1" customWidth="1"/>
    <col min="265" max="265" width="9.7265625" style="114" customWidth="1"/>
    <col min="266" max="273" width="8.7265625" style="114" hidden="1" customWidth="1"/>
    <col min="274" max="274" width="11.81640625" style="114" customWidth="1"/>
    <col min="275" max="275" width="8.7265625" bestFit="1" customWidth="1"/>
    <col min="276" max="276" width="12.81640625" customWidth="1"/>
    <col min="277" max="277" width="13" customWidth="1"/>
    <col min="278" max="278" width="11.453125" bestFit="1" customWidth="1"/>
    <col min="279" max="279" width="14.81640625" bestFit="1" customWidth="1"/>
    <col min="280" max="281" width="14.1796875" style="36" customWidth="1"/>
    <col min="282" max="16384" width="8.7265625" style="36"/>
  </cols>
  <sheetData>
    <row r="1" spans="1:282" ht="24.5" customHeight="1" thickBot="1" x14ac:dyDescent="0.55000000000000004">
      <c r="A1" s="294" t="s">
        <v>55</v>
      </c>
      <c r="B1" s="297" t="s">
        <v>56</v>
      </c>
      <c r="C1" s="297"/>
      <c r="D1" s="297"/>
      <c r="E1" s="292" t="s">
        <v>57</v>
      </c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 t="s">
        <v>58</v>
      </c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2" t="s">
        <v>59</v>
      </c>
      <c r="AP1" s="292"/>
      <c r="AQ1" s="292"/>
      <c r="AR1" s="292"/>
      <c r="AS1" s="292"/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 t="s">
        <v>60</v>
      </c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 t="s">
        <v>61</v>
      </c>
      <c r="BZ1" s="292"/>
      <c r="CA1" s="292"/>
      <c r="CB1" s="292"/>
      <c r="CC1" s="292"/>
      <c r="CD1" s="292"/>
      <c r="CE1" s="292"/>
      <c r="CF1" s="292"/>
      <c r="CG1" s="292"/>
      <c r="CH1" s="292"/>
      <c r="CI1" s="292"/>
      <c r="CJ1" s="292"/>
      <c r="CK1" s="292"/>
      <c r="CL1" s="292"/>
      <c r="CM1" s="292"/>
      <c r="CN1" s="292"/>
      <c r="CO1" s="292"/>
      <c r="CP1" s="292"/>
      <c r="CQ1" s="292" t="s">
        <v>7</v>
      </c>
      <c r="CR1" s="292"/>
      <c r="CS1" s="292"/>
      <c r="CT1" s="292"/>
      <c r="CU1" s="292"/>
      <c r="CV1" s="292"/>
      <c r="CW1" s="292"/>
      <c r="CX1" s="292"/>
      <c r="CY1" s="292"/>
      <c r="CZ1" s="292"/>
      <c r="DA1" s="292"/>
      <c r="DB1" s="292"/>
      <c r="DC1" s="292"/>
      <c r="DD1" s="292"/>
      <c r="DE1" s="292"/>
      <c r="DF1" s="292"/>
      <c r="DG1" s="292"/>
      <c r="DH1" s="292"/>
      <c r="DI1" s="292" t="s">
        <v>8</v>
      </c>
      <c r="DJ1" s="292"/>
      <c r="DK1" s="292"/>
      <c r="DL1" s="292"/>
      <c r="DM1" s="292"/>
      <c r="DN1" s="292"/>
      <c r="DO1" s="292"/>
      <c r="DP1" s="292"/>
      <c r="DQ1" s="292"/>
      <c r="DR1" s="292"/>
      <c r="DS1" s="292"/>
      <c r="DT1" s="292"/>
      <c r="DU1" s="292"/>
      <c r="DV1" s="292"/>
      <c r="DW1" s="292"/>
      <c r="DX1" s="292"/>
      <c r="DY1" s="292"/>
      <c r="DZ1" s="292"/>
      <c r="EA1" s="292" t="s">
        <v>9</v>
      </c>
      <c r="EB1" s="292"/>
      <c r="EC1" s="292"/>
      <c r="ED1" s="292"/>
      <c r="EE1" s="292"/>
      <c r="EF1" s="292"/>
      <c r="EG1" s="292"/>
      <c r="EH1" s="292"/>
      <c r="EI1" s="292"/>
      <c r="EJ1" s="292"/>
      <c r="EK1" s="292"/>
      <c r="EL1" s="292"/>
      <c r="EM1" s="292"/>
      <c r="EN1" s="292"/>
      <c r="EO1" s="292"/>
      <c r="EP1" s="292"/>
      <c r="EQ1" s="292"/>
      <c r="ER1" s="292"/>
      <c r="ES1" s="292" t="s">
        <v>10</v>
      </c>
      <c r="ET1" s="292"/>
      <c r="EU1" s="292"/>
      <c r="EV1" s="292"/>
      <c r="EW1" s="292"/>
      <c r="EX1" s="292"/>
      <c r="EY1" s="292"/>
      <c r="EZ1" s="292"/>
      <c r="FA1" s="292"/>
      <c r="FB1" s="292"/>
      <c r="FC1" s="292"/>
      <c r="FD1" s="292"/>
      <c r="FE1" s="292"/>
      <c r="FF1" s="292"/>
      <c r="FG1" s="292"/>
      <c r="FH1" s="292"/>
      <c r="FI1" s="292"/>
      <c r="FJ1" s="292"/>
      <c r="FK1" s="157" t="s">
        <v>11</v>
      </c>
      <c r="FL1" s="158"/>
      <c r="FM1" s="158"/>
      <c r="FN1" s="158"/>
      <c r="FO1" s="158"/>
      <c r="FP1" s="158"/>
      <c r="FQ1" s="158"/>
      <c r="FR1" s="158"/>
      <c r="FS1" s="158"/>
      <c r="FT1" s="158"/>
      <c r="FU1" s="158"/>
      <c r="FV1" s="158"/>
      <c r="FW1" s="158"/>
      <c r="FX1" s="158"/>
      <c r="FY1" s="158"/>
      <c r="FZ1" s="158"/>
      <c r="GA1" s="158"/>
      <c r="GB1" s="159"/>
      <c r="GC1" s="157" t="s">
        <v>89</v>
      </c>
      <c r="GD1" s="158"/>
      <c r="GE1" s="158"/>
      <c r="GF1" s="158"/>
      <c r="GG1" s="158"/>
      <c r="GH1" s="158"/>
      <c r="GI1" s="158"/>
      <c r="GJ1" s="158"/>
      <c r="GK1" s="158"/>
      <c r="GL1" s="158"/>
      <c r="GM1" s="158"/>
      <c r="GN1" s="158"/>
      <c r="GO1" s="158"/>
      <c r="GP1" s="158"/>
      <c r="GQ1" s="158"/>
      <c r="GR1" s="158"/>
      <c r="GS1" s="158"/>
      <c r="GT1" s="159"/>
      <c r="GU1" s="157" t="s">
        <v>94</v>
      </c>
      <c r="GV1" s="158"/>
      <c r="GW1" s="158"/>
      <c r="GX1" s="158"/>
      <c r="GY1" s="158"/>
      <c r="GZ1" s="158"/>
      <c r="HA1" s="158"/>
      <c r="HB1" s="158"/>
      <c r="HC1" s="158"/>
      <c r="HD1" s="158"/>
      <c r="HE1" s="158"/>
      <c r="HF1" s="158"/>
      <c r="HG1" s="158"/>
      <c r="HH1" s="158"/>
      <c r="HI1" s="158"/>
      <c r="HJ1" s="158"/>
      <c r="HK1" s="158"/>
      <c r="HL1" s="159"/>
      <c r="HM1" s="157" t="s">
        <v>95</v>
      </c>
      <c r="HN1" s="158"/>
      <c r="HO1" s="158"/>
      <c r="HP1" s="158"/>
      <c r="HQ1" s="158"/>
      <c r="HR1" s="158"/>
      <c r="HS1" s="158"/>
      <c r="HT1" s="158"/>
      <c r="HU1" s="158"/>
      <c r="HV1" s="158"/>
      <c r="HW1" s="158"/>
      <c r="HX1" s="158"/>
      <c r="HY1" s="158"/>
      <c r="HZ1" s="158"/>
      <c r="IA1" s="158"/>
      <c r="IB1" s="158"/>
      <c r="IC1" s="158"/>
      <c r="ID1" s="159"/>
      <c r="IE1" s="157" t="s">
        <v>96</v>
      </c>
      <c r="IF1" s="158"/>
      <c r="IG1" s="158"/>
      <c r="IH1" s="158"/>
      <c r="II1" s="158"/>
      <c r="IJ1" s="158"/>
      <c r="IK1" s="158"/>
      <c r="IL1" s="158"/>
      <c r="IM1" s="158"/>
      <c r="IN1" s="158"/>
      <c r="IO1" s="158"/>
      <c r="IP1" s="158"/>
      <c r="IQ1" s="158"/>
      <c r="IR1" s="158"/>
      <c r="IS1" s="158"/>
      <c r="IT1" s="158"/>
      <c r="IU1" s="158"/>
      <c r="IV1" s="159"/>
      <c r="IW1" s="157" t="s">
        <v>103</v>
      </c>
      <c r="IX1" s="158"/>
      <c r="IY1" s="158"/>
      <c r="IZ1" s="158"/>
      <c r="JA1" s="158"/>
      <c r="JB1" s="158"/>
      <c r="JC1" s="158"/>
      <c r="JD1" s="158"/>
      <c r="JE1" s="158"/>
      <c r="JF1" s="158"/>
      <c r="JG1" s="158"/>
      <c r="JH1" s="158"/>
      <c r="JI1" s="158"/>
      <c r="JJ1" s="158"/>
      <c r="JK1" s="158"/>
      <c r="JL1" s="158"/>
      <c r="JM1" s="158"/>
      <c r="JN1" s="159"/>
      <c r="JO1" s="210" t="s">
        <v>12</v>
      </c>
      <c r="JP1" s="211"/>
      <c r="JQ1" s="212"/>
      <c r="JR1" s="219" t="s">
        <v>13</v>
      </c>
      <c r="JS1" s="219" t="s">
        <v>14</v>
      </c>
    </row>
    <row r="2" spans="1:282" ht="21.5" customHeight="1" thickBot="1" x14ac:dyDescent="0.55000000000000004">
      <c r="A2" s="294"/>
      <c r="B2" s="297"/>
      <c r="C2" s="297"/>
      <c r="D2" s="297"/>
      <c r="E2" s="257" t="s">
        <v>15</v>
      </c>
      <c r="F2" s="257"/>
      <c r="G2" s="257"/>
      <c r="H2" s="257"/>
      <c r="I2" s="257"/>
      <c r="J2" s="257"/>
      <c r="K2" s="257"/>
      <c r="L2" s="257"/>
      <c r="M2" s="257"/>
      <c r="N2" s="257" t="s">
        <v>16</v>
      </c>
      <c r="O2" s="257"/>
      <c r="P2" s="257"/>
      <c r="Q2" s="257"/>
      <c r="R2" s="257"/>
      <c r="S2" s="257"/>
      <c r="T2" s="257"/>
      <c r="U2" s="257"/>
      <c r="V2" s="257"/>
      <c r="W2" s="257" t="s">
        <v>15</v>
      </c>
      <c r="X2" s="257"/>
      <c r="Y2" s="257"/>
      <c r="Z2" s="257"/>
      <c r="AA2" s="257"/>
      <c r="AB2" s="257"/>
      <c r="AC2" s="257"/>
      <c r="AD2" s="257"/>
      <c r="AE2" s="257"/>
      <c r="AF2" s="257" t="s">
        <v>16</v>
      </c>
      <c r="AG2" s="257"/>
      <c r="AH2" s="257"/>
      <c r="AI2" s="257"/>
      <c r="AJ2" s="257"/>
      <c r="AK2" s="257"/>
      <c r="AL2" s="257"/>
      <c r="AM2" s="257"/>
      <c r="AN2" s="257"/>
      <c r="AO2" s="257" t="s">
        <v>15</v>
      </c>
      <c r="AP2" s="257"/>
      <c r="AQ2" s="257"/>
      <c r="AR2" s="257"/>
      <c r="AS2" s="257"/>
      <c r="AT2" s="257"/>
      <c r="AU2" s="257"/>
      <c r="AV2" s="257"/>
      <c r="AW2" s="257"/>
      <c r="AX2" s="257" t="s">
        <v>16</v>
      </c>
      <c r="AY2" s="257"/>
      <c r="AZ2" s="257"/>
      <c r="BA2" s="257"/>
      <c r="BB2" s="257"/>
      <c r="BC2" s="257"/>
      <c r="BD2" s="257"/>
      <c r="BE2" s="257"/>
      <c r="BF2" s="257"/>
      <c r="BG2" s="257" t="s">
        <v>15</v>
      </c>
      <c r="BH2" s="257"/>
      <c r="BI2" s="257"/>
      <c r="BJ2" s="257"/>
      <c r="BK2" s="257"/>
      <c r="BL2" s="257"/>
      <c r="BM2" s="257"/>
      <c r="BN2" s="257"/>
      <c r="BO2" s="257"/>
      <c r="BP2" s="257" t="s">
        <v>16</v>
      </c>
      <c r="BQ2" s="257"/>
      <c r="BR2" s="257"/>
      <c r="BS2" s="257"/>
      <c r="BT2" s="257"/>
      <c r="BU2" s="257"/>
      <c r="BV2" s="257"/>
      <c r="BW2" s="257"/>
      <c r="BX2" s="257"/>
      <c r="BY2" s="257" t="s">
        <v>15</v>
      </c>
      <c r="BZ2" s="257"/>
      <c r="CA2" s="257"/>
      <c r="CB2" s="257"/>
      <c r="CC2" s="257"/>
      <c r="CD2" s="257"/>
      <c r="CE2" s="257"/>
      <c r="CF2" s="257"/>
      <c r="CG2" s="257"/>
      <c r="CH2" s="257" t="s">
        <v>16</v>
      </c>
      <c r="CI2" s="257"/>
      <c r="CJ2" s="257"/>
      <c r="CK2" s="257"/>
      <c r="CL2" s="257"/>
      <c r="CM2" s="257"/>
      <c r="CN2" s="257"/>
      <c r="CO2" s="257"/>
      <c r="CP2" s="257"/>
      <c r="CQ2" s="257" t="s">
        <v>15</v>
      </c>
      <c r="CR2" s="257"/>
      <c r="CS2" s="257"/>
      <c r="CT2" s="257"/>
      <c r="CU2" s="257"/>
      <c r="CV2" s="257"/>
      <c r="CW2" s="257"/>
      <c r="CX2" s="257"/>
      <c r="CY2" s="257"/>
      <c r="CZ2" s="257" t="s">
        <v>16</v>
      </c>
      <c r="DA2" s="257"/>
      <c r="DB2" s="257"/>
      <c r="DC2" s="257"/>
      <c r="DD2" s="257"/>
      <c r="DE2" s="257"/>
      <c r="DF2" s="257"/>
      <c r="DG2" s="257"/>
      <c r="DH2" s="257"/>
      <c r="DI2" s="257" t="s">
        <v>15</v>
      </c>
      <c r="DJ2" s="257"/>
      <c r="DK2" s="257"/>
      <c r="DL2" s="257"/>
      <c r="DM2" s="257"/>
      <c r="DN2" s="257"/>
      <c r="DO2" s="257"/>
      <c r="DP2" s="257"/>
      <c r="DQ2" s="257"/>
      <c r="DR2" s="257" t="s">
        <v>16</v>
      </c>
      <c r="DS2" s="257"/>
      <c r="DT2" s="257"/>
      <c r="DU2" s="257"/>
      <c r="DV2" s="257"/>
      <c r="DW2" s="257"/>
      <c r="DX2" s="257"/>
      <c r="DY2" s="257"/>
      <c r="DZ2" s="257"/>
      <c r="EA2" s="257" t="s">
        <v>15</v>
      </c>
      <c r="EB2" s="257"/>
      <c r="EC2" s="257"/>
      <c r="ED2" s="257"/>
      <c r="EE2" s="257"/>
      <c r="EF2" s="257"/>
      <c r="EG2" s="257"/>
      <c r="EH2" s="257"/>
      <c r="EI2" s="257"/>
      <c r="EJ2" s="257" t="s">
        <v>16</v>
      </c>
      <c r="EK2" s="257"/>
      <c r="EL2" s="257"/>
      <c r="EM2" s="257"/>
      <c r="EN2" s="257"/>
      <c r="EO2" s="257"/>
      <c r="EP2" s="257"/>
      <c r="EQ2" s="257"/>
      <c r="ER2" s="257"/>
      <c r="ES2" s="257" t="s">
        <v>15</v>
      </c>
      <c r="ET2" s="257"/>
      <c r="EU2" s="257"/>
      <c r="EV2" s="257"/>
      <c r="EW2" s="257"/>
      <c r="EX2" s="257"/>
      <c r="EY2" s="257"/>
      <c r="EZ2" s="257"/>
      <c r="FA2" s="257"/>
      <c r="FB2" s="257" t="s">
        <v>16</v>
      </c>
      <c r="FC2" s="257"/>
      <c r="FD2" s="257"/>
      <c r="FE2" s="257"/>
      <c r="FF2" s="257"/>
      <c r="FG2" s="257"/>
      <c r="FH2" s="257"/>
      <c r="FI2" s="257"/>
      <c r="FJ2" s="257"/>
      <c r="FK2" s="257" t="s">
        <v>15</v>
      </c>
      <c r="FL2" s="257"/>
      <c r="FM2" s="257"/>
      <c r="FN2" s="257"/>
      <c r="FO2" s="257"/>
      <c r="FP2" s="257"/>
      <c r="FQ2" s="257"/>
      <c r="FR2" s="257"/>
      <c r="FS2" s="257"/>
      <c r="FT2" s="257" t="s">
        <v>16</v>
      </c>
      <c r="FU2" s="257"/>
      <c r="FV2" s="257"/>
      <c r="FW2" s="257"/>
      <c r="FX2" s="257"/>
      <c r="FY2" s="257"/>
      <c r="FZ2" s="257"/>
      <c r="GA2" s="257"/>
      <c r="GB2" s="257"/>
      <c r="GC2" s="257" t="s">
        <v>15</v>
      </c>
      <c r="GD2" s="257"/>
      <c r="GE2" s="257"/>
      <c r="GF2" s="257"/>
      <c r="GG2" s="257"/>
      <c r="GH2" s="257"/>
      <c r="GI2" s="257"/>
      <c r="GJ2" s="257"/>
      <c r="GK2" s="257"/>
      <c r="GL2" s="257" t="s">
        <v>16</v>
      </c>
      <c r="GM2" s="257"/>
      <c r="GN2" s="257"/>
      <c r="GO2" s="257"/>
      <c r="GP2" s="257"/>
      <c r="GQ2" s="257"/>
      <c r="GR2" s="257"/>
      <c r="GS2" s="257"/>
      <c r="GT2" s="257"/>
      <c r="GU2" s="257" t="s">
        <v>15</v>
      </c>
      <c r="GV2" s="257"/>
      <c r="GW2" s="257"/>
      <c r="GX2" s="257"/>
      <c r="GY2" s="257"/>
      <c r="GZ2" s="257"/>
      <c r="HA2" s="257"/>
      <c r="HB2" s="257"/>
      <c r="HC2" s="257"/>
      <c r="HD2" s="257" t="s">
        <v>16</v>
      </c>
      <c r="HE2" s="257"/>
      <c r="HF2" s="257"/>
      <c r="HG2" s="257"/>
      <c r="HH2" s="257"/>
      <c r="HI2" s="257"/>
      <c r="HJ2" s="257"/>
      <c r="HK2" s="257"/>
      <c r="HL2" s="257"/>
      <c r="HM2" s="257" t="s">
        <v>15</v>
      </c>
      <c r="HN2" s="257"/>
      <c r="HO2" s="257"/>
      <c r="HP2" s="257"/>
      <c r="HQ2" s="257"/>
      <c r="HR2" s="257"/>
      <c r="HS2" s="257"/>
      <c r="HT2" s="257"/>
      <c r="HU2" s="257"/>
      <c r="HV2" s="257" t="s">
        <v>16</v>
      </c>
      <c r="HW2" s="257"/>
      <c r="HX2" s="257"/>
      <c r="HY2" s="257"/>
      <c r="HZ2" s="257"/>
      <c r="IA2" s="257"/>
      <c r="IB2" s="257"/>
      <c r="IC2" s="257"/>
      <c r="ID2" s="257"/>
      <c r="IE2" s="257" t="s">
        <v>15</v>
      </c>
      <c r="IF2" s="257"/>
      <c r="IG2" s="257"/>
      <c r="IH2" s="257"/>
      <c r="II2" s="257"/>
      <c r="IJ2" s="257"/>
      <c r="IK2" s="257"/>
      <c r="IL2" s="257"/>
      <c r="IM2" s="257"/>
      <c r="IN2" s="257" t="s">
        <v>16</v>
      </c>
      <c r="IO2" s="257"/>
      <c r="IP2" s="257"/>
      <c r="IQ2" s="257"/>
      <c r="IR2" s="257"/>
      <c r="IS2" s="257"/>
      <c r="IT2" s="257"/>
      <c r="IU2" s="257"/>
      <c r="IV2" s="257"/>
      <c r="IW2" s="257" t="s">
        <v>15</v>
      </c>
      <c r="IX2" s="257"/>
      <c r="IY2" s="257"/>
      <c r="IZ2" s="257"/>
      <c r="JA2" s="257"/>
      <c r="JB2" s="257"/>
      <c r="JC2" s="257"/>
      <c r="JD2" s="257"/>
      <c r="JE2" s="257"/>
      <c r="JF2" s="257" t="s">
        <v>16</v>
      </c>
      <c r="JG2" s="257"/>
      <c r="JH2" s="257"/>
      <c r="JI2" s="257"/>
      <c r="JJ2" s="257"/>
      <c r="JK2" s="257"/>
      <c r="JL2" s="257"/>
      <c r="JM2" s="257"/>
      <c r="JN2" s="257"/>
      <c r="JO2" s="213"/>
      <c r="JP2" s="214"/>
      <c r="JQ2" s="215"/>
      <c r="JR2" s="220"/>
      <c r="JS2" s="220"/>
    </row>
    <row r="3" spans="1:282" ht="21.5" customHeight="1" thickBot="1" x14ac:dyDescent="0.55000000000000004">
      <c r="A3" s="294"/>
      <c r="B3" s="297"/>
      <c r="C3" s="297"/>
      <c r="D3" s="297"/>
      <c r="E3" s="293" t="s">
        <v>17</v>
      </c>
      <c r="F3" s="293"/>
      <c r="G3" s="293"/>
      <c r="H3" s="293"/>
      <c r="I3" s="293" t="s">
        <v>18</v>
      </c>
      <c r="J3" s="293"/>
      <c r="K3" s="293"/>
      <c r="L3" s="293"/>
      <c r="M3" s="286" t="s">
        <v>19</v>
      </c>
      <c r="N3" s="293" t="s">
        <v>17</v>
      </c>
      <c r="O3" s="293"/>
      <c r="P3" s="293"/>
      <c r="Q3" s="293"/>
      <c r="R3" s="293" t="s">
        <v>18</v>
      </c>
      <c r="S3" s="293"/>
      <c r="T3" s="293"/>
      <c r="U3" s="293"/>
      <c r="V3" s="286" t="s">
        <v>19</v>
      </c>
      <c r="W3" s="288" t="s">
        <v>17</v>
      </c>
      <c r="X3" s="288"/>
      <c r="Y3" s="288"/>
      <c r="Z3" s="288"/>
      <c r="AA3" s="288" t="s">
        <v>18</v>
      </c>
      <c r="AB3" s="288"/>
      <c r="AC3" s="288"/>
      <c r="AD3" s="288"/>
      <c r="AE3" s="286" t="s">
        <v>19</v>
      </c>
      <c r="AF3" s="288" t="s">
        <v>17</v>
      </c>
      <c r="AG3" s="288"/>
      <c r="AH3" s="288"/>
      <c r="AI3" s="288"/>
      <c r="AJ3" s="288" t="s">
        <v>18</v>
      </c>
      <c r="AK3" s="288"/>
      <c r="AL3" s="288"/>
      <c r="AM3" s="288"/>
      <c r="AN3" s="286" t="s">
        <v>19</v>
      </c>
      <c r="AO3" s="296" t="s">
        <v>17</v>
      </c>
      <c r="AP3" s="296"/>
      <c r="AQ3" s="296"/>
      <c r="AR3" s="296"/>
      <c r="AS3" s="296" t="s">
        <v>18</v>
      </c>
      <c r="AT3" s="296"/>
      <c r="AU3" s="296"/>
      <c r="AV3" s="296"/>
      <c r="AW3" s="286" t="s">
        <v>19</v>
      </c>
      <c r="AX3" s="296" t="s">
        <v>17</v>
      </c>
      <c r="AY3" s="296"/>
      <c r="AZ3" s="296"/>
      <c r="BA3" s="296"/>
      <c r="BB3" s="296" t="s">
        <v>18</v>
      </c>
      <c r="BC3" s="296"/>
      <c r="BD3" s="296"/>
      <c r="BE3" s="296"/>
      <c r="BF3" s="286" t="s">
        <v>19</v>
      </c>
      <c r="BG3" s="289" t="s">
        <v>17</v>
      </c>
      <c r="BH3" s="289"/>
      <c r="BI3" s="289"/>
      <c r="BJ3" s="289"/>
      <c r="BK3" s="289" t="s">
        <v>18</v>
      </c>
      <c r="BL3" s="289"/>
      <c r="BM3" s="289"/>
      <c r="BN3" s="289"/>
      <c r="BO3" s="286" t="s">
        <v>19</v>
      </c>
      <c r="BP3" s="289" t="s">
        <v>17</v>
      </c>
      <c r="BQ3" s="289"/>
      <c r="BR3" s="289"/>
      <c r="BS3" s="289"/>
      <c r="BT3" s="289" t="s">
        <v>18</v>
      </c>
      <c r="BU3" s="289"/>
      <c r="BV3" s="289"/>
      <c r="BW3" s="289"/>
      <c r="BX3" s="286" t="s">
        <v>19</v>
      </c>
      <c r="BY3" s="290" t="s">
        <v>17</v>
      </c>
      <c r="BZ3" s="290"/>
      <c r="CA3" s="290"/>
      <c r="CB3" s="290"/>
      <c r="CC3" s="290" t="s">
        <v>18</v>
      </c>
      <c r="CD3" s="290"/>
      <c r="CE3" s="290"/>
      <c r="CF3" s="290"/>
      <c r="CG3" s="286" t="s">
        <v>19</v>
      </c>
      <c r="CH3" s="290" t="s">
        <v>17</v>
      </c>
      <c r="CI3" s="290"/>
      <c r="CJ3" s="290"/>
      <c r="CK3" s="290"/>
      <c r="CL3" s="290" t="s">
        <v>18</v>
      </c>
      <c r="CM3" s="290"/>
      <c r="CN3" s="290"/>
      <c r="CO3" s="290"/>
      <c r="CP3" s="286" t="s">
        <v>19</v>
      </c>
      <c r="CQ3" s="291" t="s">
        <v>17</v>
      </c>
      <c r="CR3" s="291"/>
      <c r="CS3" s="291"/>
      <c r="CT3" s="291"/>
      <c r="CU3" s="291" t="s">
        <v>18</v>
      </c>
      <c r="CV3" s="291"/>
      <c r="CW3" s="291"/>
      <c r="CX3" s="291"/>
      <c r="CY3" s="286" t="s">
        <v>19</v>
      </c>
      <c r="CZ3" s="291" t="s">
        <v>17</v>
      </c>
      <c r="DA3" s="291"/>
      <c r="DB3" s="291"/>
      <c r="DC3" s="291"/>
      <c r="DD3" s="291" t="s">
        <v>18</v>
      </c>
      <c r="DE3" s="291"/>
      <c r="DF3" s="291"/>
      <c r="DG3" s="291"/>
      <c r="DH3" s="286" t="s">
        <v>19</v>
      </c>
      <c r="DI3" s="288" t="s">
        <v>17</v>
      </c>
      <c r="DJ3" s="288"/>
      <c r="DK3" s="288"/>
      <c r="DL3" s="288"/>
      <c r="DM3" s="288" t="s">
        <v>18</v>
      </c>
      <c r="DN3" s="288"/>
      <c r="DO3" s="288"/>
      <c r="DP3" s="288"/>
      <c r="DQ3" s="286" t="s">
        <v>19</v>
      </c>
      <c r="DR3" s="288" t="s">
        <v>17</v>
      </c>
      <c r="DS3" s="288"/>
      <c r="DT3" s="288"/>
      <c r="DU3" s="288"/>
      <c r="DV3" s="288" t="s">
        <v>18</v>
      </c>
      <c r="DW3" s="288"/>
      <c r="DX3" s="288"/>
      <c r="DY3" s="288"/>
      <c r="DZ3" s="286" t="s">
        <v>19</v>
      </c>
      <c r="EA3" s="287" t="s">
        <v>17</v>
      </c>
      <c r="EB3" s="287"/>
      <c r="EC3" s="287"/>
      <c r="ED3" s="287"/>
      <c r="EE3" s="287" t="s">
        <v>18</v>
      </c>
      <c r="EF3" s="287"/>
      <c r="EG3" s="287"/>
      <c r="EH3" s="287"/>
      <c r="EI3" s="286" t="s">
        <v>19</v>
      </c>
      <c r="EJ3" s="287" t="s">
        <v>17</v>
      </c>
      <c r="EK3" s="287"/>
      <c r="EL3" s="287"/>
      <c r="EM3" s="287"/>
      <c r="EN3" s="287" t="s">
        <v>18</v>
      </c>
      <c r="EO3" s="287"/>
      <c r="EP3" s="287"/>
      <c r="EQ3" s="287"/>
      <c r="ER3" s="286" t="s">
        <v>19</v>
      </c>
      <c r="ES3" s="285" t="s">
        <v>17</v>
      </c>
      <c r="ET3" s="285"/>
      <c r="EU3" s="285"/>
      <c r="EV3" s="285"/>
      <c r="EW3" s="285" t="s">
        <v>18</v>
      </c>
      <c r="EX3" s="285"/>
      <c r="EY3" s="285"/>
      <c r="EZ3" s="285"/>
      <c r="FA3" s="286" t="s">
        <v>19</v>
      </c>
      <c r="FB3" s="285" t="s">
        <v>17</v>
      </c>
      <c r="FC3" s="285"/>
      <c r="FD3" s="285"/>
      <c r="FE3" s="285"/>
      <c r="FF3" s="285" t="s">
        <v>18</v>
      </c>
      <c r="FG3" s="285"/>
      <c r="FH3" s="285"/>
      <c r="FI3" s="285"/>
      <c r="FJ3" s="286" t="s">
        <v>19</v>
      </c>
      <c r="FK3" s="302" t="s">
        <v>17</v>
      </c>
      <c r="FL3" s="302"/>
      <c r="FM3" s="302"/>
      <c r="FN3" s="302"/>
      <c r="FO3" s="302" t="s">
        <v>18</v>
      </c>
      <c r="FP3" s="302"/>
      <c r="FQ3" s="302"/>
      <c r="FR3" s="302"/>
      <c r="FS3" s="286" t="s">
        <v>19</v>
      </c>
      <c r="FT3" s="302" t="s">
        <v>17</v>
      </c>
      <c r="FU3" s="302"/>
      <c r="FV3" s="302"/>
      <c r="FW3" s="302"/>
      <c r="FX3" s="302" t="s">
        <v>18</v>
      </c>
      <c r="FY3" s="302"/>
      <c r="FZ3" s="302"/>
      <c r="GA3" s="302"/>
      <c r="GB3" s="286" t="s">
        <v>19</v>
      </c>
      <c r="GC3" s="301" t="s">
        <v>17</v>
      </c>
      <c r="GD3" s="301"/>
      <c r="GE3" s="301"/>
      <c r="GF3" s="301"/>
      <c r="GG3" s="301" t="s">
        <v>18</v>
      </c>
      <c r="GH3" s="301"/>
      <c r="GI3" s="301"/>
      <c r="GJ3" s="301"/>
      <c r="GK3" s="259" t="s">
        <v>19</v>
      </c>
      <c r="GL3" s="301" t="s">
        <v>17</v>
      </c>
      <c r="GM3" s="301"/>
      <c r="GN3" s="301"/>
      <c r="GO3" s="301"/>
      <c r="GP3" s="301" t="s">
        <v>18</v>
      </c>
      <c r="GQ3" s="301"/>
      <c r="GR3" s="301"/>
      <c r="GS3" s="301"/>
      <c r="GT3" s="259" t="s">
        <v>19</v>
      </c>
      <c r="GU3" s="303" t="s">
        <v>17</v>
      </c>
      <c r="GV3" s="303"/>
      <c r="GW3" s="303"/>
      <c r="GX3" s="303"/>
      <c r="GY3" s="303" t="s">
        <v>18</v>
      </c>
      <c r="GZ3" s="303"/>
      <c r="HA3" s="303"/>
      <c r="HB3" s="303"/>
      <c r="HC3" s="259" t="s">
        <v>19</v>
      </c>
      <c r="HD3" s="303" t="s">
        <v>17</v>
      </c>
      <c r="HE3" s="303"/>
      <c r="HF3" s="303"/>
      <c r="HG3" s="303"/>
      <c r="HH3" s="303" t="s">
        <v>18</v>
      </c>
      <c r="HI3" s="303"/>
      <c r="HJ3" s="303"/>
      <c r="HK3" s="303"/>
      <c r="HL3" s="259" t="s">
        <v>19</v>
      </c>
      <c r="HM3" s="261" t="s">
        <v>17</v>
      </c>
      <c r="HN3" s="261"/>
      <c r="HO3" s="261"/>
      <c r="HP3" s="261"/>
      <c r="HQ3" s="261" t="s">
        <v>18</v>
      </c>
      <c r="HR3" s="261"/>
      <c r="HS3" s="261"/>
      <c r="HT3" s="261"/>
      <c r="HU3" s="259" t="s">
        <v>19</v>
      </c>
      <c r="HV3" s="261" t="s">
        <v>17</v>
      </c>
      <c r="HW3" s="261"/>
      <c r="HX3" s="261"/>
      <c r="HY3" s="261"/>
      <c r="HZ3" s="261" t="s">
        <v>18</v>
      </c>
      <c r="IA3" s="261"/>
      <c r="IB3" s="261"/>
      <c r="IC3" s="261"/>
      <c r="ID3" s="259" t="s">
        <v>19</v>
      </c>
      <c r="IE3" s="260" t="s">
        <v>17</v>
      </c>
      <c r="IF3" s="260"/>
      <c r="IG3" s="260"/>
      <c r="IH3" s="260"/>
      <c r="II3" s="260" t="s">
        <v>18</v>
      </c>
      <c r="IJ3" s="260"/>
      <c r="IK3" s="260"/>
      <c r="IL3" s="260"/>
      <c r="IM3" s="259" t="s">
        <v>19</v>
      </c>
      <c r="IN3" s="260" t="s">
        <v>17</v>
      </c>
      <c r="IO3" s="260"/>
      <c r="IP3" s="260"/>
      <c r="IQ3" s="260"/>
      <c r="IR3" s="260" t="s">
        <v>18</v>
      </c>
      <c r="IS3" s="260"/>
      <c r="IT3" s="260"/>
      <c r="IU3" s="260"/>
      <c r="IV3" s="259" t="s">
        <v>19</v>
      </c>
      <c r="IW3" s="258" t="s">
        <v>17</v>
      </c>
      <c r="IX3" s="258"/>
      <c r="IY3" s="258"/>
      <c r="IZ3" s="258"/>
      <c r="JA3" s="258" t="s">
        <v>18</v>
      </c>
      <c r="JB3" s="258"/>
      <c r="JC3" s="258"/>
      <c r="JD3" s="258"/>
      <c r="JE3" s="259" t="s">
        <v>19</v>
      </c>
      <c r="JF3" s="258" t="s">
        <v>17</v>
      </c>
      <c r="JG3" s="258"/>
      <c r="JH3" s="258"/>
      <c r="JI3" s="258"/>
      <c r="JJ3" s="258" t="s">
        <v>18</v>
      </c>
      <c r="JK3" s="258"/>
      <c r="JL3" s="258"/>
      <c r="JM3" s="258"/>
      <c r="JN3" s="259" t="s">
        <v>19</v>
      </c>
      <c r="JO3" s="216"/>
      <c r="JP3" s="217"/>
      <c r="JQ3" s="218"/>
      <c r="JR3" s="220"/>
      <c r="JS3" s="220"/>
    </row>
    <row r="4" spans="1:282" ht="33.5" thickBot="1" x14ac:dyDescent="0.55000000000000004">
      <c r="A4" s="295"/>
      <c r="B4" s="71"/>
      <c r="C4" s="71" t="s">
        <v>90</v>
      </c>
      <c r="D4" s="71" t="s">
        <v>91</v>
      </c>
      <c r="E4" s="2" t="s">
        <v>22</v>
      </c>
      <c r="F4" s="3" t="s">
        <v>23</v>
      </c>
      <c r="G4" s="2" t="s">
        <v>24</v>
      </c>
      <c r="H4" s="2" t="s">
        <v>25</v>
      </c>
      <c r="I4" s="2" t="s">
        <v>22</v>
      </c>
      <c r="J4" s="3" t="s">
        <v>23</v>
      </c>
      <c r="K4" s="2" t="s">
        <v>24</v>
      </c>
      <c r="L4" s="2" t="s">
        <v>25</v>
      </c>
      <c r="M4" s="286"/>
      <c r="N4" s="2" t="s">
        <v>22</v>
      </c>
      <c r="O4" s="3" t="s">
        <v>23</v>
      </c>
      <c r="P4" s="2" t="s">
        <v>24</v>
      </c>
      <c r="Q4" s="2" t="s">
        <v>25</v>
      </c>
      <c r="R4" s="2" t="s">
        <v>22</v>
      </c>
      <c r="S4" s="3" t="s">
        <v>23</v>
      </c>
      <c r="T4" s="2" t="s">
        <v>24</v>
      </c>
      <c r="U4" s="2" t="s">
        <v>25</v>
      </c>
      <c r="V4" s="286"/>
      <c r="W4" s="4" t="s">
        <v>22</v>
      </c>
      <c r="X4" s="5" t="s">
        <v>23</v>
      </c>
      <c r="Y4" s="4" t="s">
        <v>24</v>
      </c>
      <c r="Z4" s="4" t="s">
        <v>25</v>
      </c>
      <c r="AA4" s="4" t="s">
        <v>22</v>
      </c>
      <c r="AB4" s="5" t="s">
        <v>23</v>
      </c>
      <c r="AC4" s="4" t="s">
        <v>24</v>
      </c>
      <c r="AD4" s="4" t="s">
        <v>25</v>
      </c>
      <c r="AE4" s="286"/>
      <c r="AF4" s="4" t="s">
        <v>22</v>
      </c>
      <c r="AG4" s="5" t="s">
        <v>23</v>
      </c>
      <c r="AH4" s="4" t="s">
        <v>24</v>
      </c>
      <c r="AI4" s="4" t="s">
        <v>25</v>
      </c>
      <c r="AJ4" s="4" t="s">
        <v>22</v>
      </c>
      <c r="AK4" s="5" t="s">
        <v>23</v>
      </c>
      <c r="AL4" s="4" t="s">
        <v>24</v>
      </c>
      <c r="AM4" s="4" t="s">
        <v>25</v>
      </c>
      <c r="AN4" s="286"/>
      <c r="AO4" s="6" t="s">
        <v>22</v>
      </c>
      <c r="AP4" s="7" t="s">
        <v>23</v>
      </c>
      <c r="AQ4" s="6" t="s">
        <v>24</v>
      </c>
      <c r="AR4" s="6" t="s">
        <v>25</v>
      </c>
      <c r="AS4" s="6" t="s">
        <v>22</v>
      </c>
      <c r="AT4" s="7" t="s">
        <v>23</v>
      </c>
      <c r="AU4" s="6" t="s">
        <v>24</v>
      </c>
      <c r="AV4" s="6" t="s">
        <v>25</v>
      </c>
      <c r="AW4" s="286"/>
      <c r="AX4" s="6" t="s">
        <v>22</v>
      </c>
      <c r="AY4" s="7" t="s">
        <v>23</v>
      </c>
      <c r="AZ4" s="6" t="s">
        <v>24</v>
      </c>
      <c r="BA4" s="6" t="s">
        <v>25</v>
      </c>
      <c r="BB4" s="6" t="s">
        <v>22</v>
      </c>
      <c r="BC4" s="7" t="s">
        <v>23</v>
      </c>
      <c r="BD4" s="6" t="s">
        <v>24</v>
      </c>
      <c r="BE4" s="6" t="s">
        <v>25</v>
      </c>
      <c r="BF4" s="286"/>
      <c r="BG4" s="8" t="s">
        <v>22</v>
      </c>
      <c r="BH4" s="9" t="s">
        <v>23</v>
      </c>
      <c r="BI4" s="8" t="s">
        <v>24</v>
      </c>
      <c r="BJ4" s="8" t="s">
        <v>25</v>
      </c>
      <c r="BK4" s="8" t="s">
        <v>22</v>
      </c>
      <c r="BL4" s="9" t="s">
        <v>23</v>
      </c>
      <c r="BM4" s="8" t="s">
        <v>24</v>
      </c>
      <c r="BN4" s="8" t="s">
        <v>25</v>
      </c>
      <c r="BO4" s="286"/>
      <c r="BP4" s="8" t="s">
        <v>22</v>
      </c>
      <c r="BQ4" s="9" t="s">
        <v>23</v>
      </c>
      <c r="BR4" s="8" t="s">
        <v>24</v>
      </c>
      <c r="BS4" s="8" t="s">
        <v>25</v>
      </c>
      <c r="BT4" s="8" t="s">
        <v>22</v>
      </c>
      <c r="BU4" s="9" t="s">
        <v>23</v>
      </c>
      <c r="BV4" s="8" t="s">
        <v>24</v>
      </c>
      <c r="BW4" s="8" t="s">
        <v>25</v>
      </c>
      <c r="BX4" s="286"/>
      <c r="BY4" s="10" t="s">
        <v>22</v>
      </c>
      <c r="BZ4" s="11" t="s">
        <v>23</v>
      </c>
      <c r="CA4" s="10" t="s">
        <v>24</v>
      </c>
      <c r="CB4" s="10" t="s">
        <v>25</v>
      </c>
      <c r="CC4" s="10" t="s">
        <v>22</v>
      </c>
      <c r="CD4" s="11" t="s">
        <v>23</v>
      </c>
      <c r="CE4" s="10" t="s">
        <v>24</v>
      </c>
      <c r="CF4" s="10" t="s">
        <v>25</v>
      </c>
      <c r="CG4" s="286"/>
      <c r="CH4" s="10" t="s">
        <v>22</v>
      </c>
      <c r="CI4" s="11" t="s">
        <v>23</v>
      </c>
      <c r="CJ4" s="10" t="s">
        <v>24</v>
      </c>
      <c r="CK4" s="10" t="s">
        <v>25</v>
      </c>
      <c r="CL4" s="10" t="s">
        <v>22</v>
      </c>
      <c r="CM4" s="11" t="s">
        <v>23</v>
      </c>
      <c r="CN4" s="10" t="s">
        <v>24</v>
      </c>
      <c r="CO4" s="10" t="s">
        <v>25</v>
      </c>
      <c r="CP4" s="286"/>
      <c r="CQ4" s="12" t="s">
        <v>22</v>
      </c>
      <c r="CR4" s="13" t="s">
        <v>23</v>
      </c>
      <c r="CS4" s="12" t="s">
        <v>24</v>
      </c>
      <c r="CT4" s="12" t="s">
        <v>25</v>
      </c>
      <c r="CU4" s="12" t="s">
        <v>22</v>
      </c>
      <c r="CV4" s="13" t="s">
        <v>23</v>
      </c>
      <c r="CW4" s="12" t="s">
        <v>24</v>
      </c>
      <c r="CX4" s="12" t="s">
        <v>25</v>
      </c>
      <c r="CY4" s="286"/>
      <c r="CZ4" s="12" t="s">
        <v>22</v>
      </c>
      <c r="DA4" s="13" t="s">
        <v>23</v>
      </c>
      <c r="DB4" s="12" t="s">
        <v>24</v>
      </c>
      <c r="DC4" s="12" t="s">
        <v>25</v>
      </c>
      <c r="DD4" s="12" t="s">
        <v>22</v>
      </c>
      <c r="DE4" s="13" t="s">
        <v>23</v>
      </c>
      <c r="DF4" s="12" t="s">
        <v>24</v>
      </c>
      <c r="DG4" s="12" t="s">
        <v>25</v>
      </c>
      <c r="DH4" s="286"/>
      <c r="DI4" s="4" t="s">
        <v>22</v>
      </c>
      <c r="DJ4" s="5" t="s">
        <v>23</v>
      </c>
      <c r="DK4" s="4" t="s">
        <v>24</v>
      </c>
      <c r="DL4" s="4" t="s">
        <v>25</v>
      </c>
      <c r="DM4" s="4" t="s">
        <v>22</v>
      </c>
      <c r="DN4" s="5" t="s">
        <v>23</v>
      </c>
      <c r="DO4" s="4" t="s">
        <v>24</v>
      </c>
      <c r="DP4" s="4" t="s">
        <v>25</v>
      </c>
      <c r="DQ4" s="286"/>
      <c r="DR4" s="4" t="s">
        <v>22</v>
      </c>
      <c r="DS4" s="5" t="s">
        <v>23</v>
      </c>
      <c r="DT4" s="4" t="s">
        <v>24</v>
      </c>
      <c r="DU4" s="4" t="s">
        <v>25</v>
      </c>
      <c r="DV4" s="4" t="s">
        <v>22</v>
      </c>
      <c r="DW4" s="5" t="s">
        <v>23</v>
      </c>
      <c r="DX4" s="4" t="s">
        <v>24</v>
      </c>
      <c r="DY4" s="4" t="s">
        <v>25</v>
      </c>
      <c r="DZ4" s="286"/>
      <c r="EA4" s="30" t="s">
        <v>22</v>
      </c>
      <c r="EB4" s="31" t="s">
        <v>23</v>
      </c>
      <c r="EC4" s="30" t="s">
        <v>24</v>
      </c>
      <c r="ED4" s="30" t="s">
        <v>25</v>
      </c>
      <c r="EE4" s="30" t="s">
        <v>22</v>
      </c>
      <c r="EF4" s="31" t="s">
        <v>23</v>
      </c>
      <c r="EG4" s="30" t="s">
        <v>24</v>
      </c>
      <c r="EH4" s="30" t="s">
        <v>25</v>
      </c>
      <c r="EI4" s="286"/>
      <c r="EJ4" s="30" t="s">
        <v>22</v>
      </c>
      <c r="EK4" s="31" t="s">
        <v>23</v>
      </c>
      <c r="EL4" s="30" t="s">
        <v>24</v>
      </c>
      <c r="EM4" s="30" t="s">
        <v>25</v>
      </c>
      <c r="EN4" s="30" t="s">
        <v>22</v>
      </c>
      <c r="EO4" s="31" t="s">
        <v>23</v>
      </c>
      <c r="EP4" s="30" t="s">
        <v>24</v>
      </c>
      <c r="EQ4" s="30" t="s">
        <v>25</v>
      </c>
      <c r="ER4" s="286"/>
      <c r="ES4" s="34" t="s">
        <v>22</v>
      </c>
      <c r="ET4" s="35" t="s">
        <v>23</v>
      </c>
      <c r="EU4" s="34" t="s">
        <v>24</v>
      </c>
      <c r="EV4" s="34" t="s">
        <v>25</v>
      </c>
      <c r="EW4" s="34" t="s">
        <v>22</v>
      </c>
      <c r="EX4" s="35" t="s">
        <v>23</v>
      </c>
      <c r="EY4" s="34" t="s">
        <v>24</v>
      </c>
      <c r="EZ4" s="34" t="s">
        <v>25</v>
      </c>
      <c r="FA4" s="286"/>
      <c r="FB4" s="34" t="s">
        <v>22</v>
      </c>
      <c r="FC4" s="35" t="s">
        <v>23</v>
      </c>
      <c r="FD4" s="34" t="s">
        <v>24</v>
      </c>
      <c r="FE4" s="34" t="s">
        <v>25</v>
      </c>
      <c r="FF4" s="34" t="s">
        <v>22</v>
      </c>
      <c r="FG4" s="35" t="s">
        <v>23</v>
      </c>
      <c r="FH4" s="34" t="s">
        <v>24</v>
      </c>
      <c r="FI4" s="34" t="s">
        <v>25</v>
      </c>
      <c r="FJ4" s="286"/>
      <c r="FK4" s="50" t="s">
        <v>22</v>
      </c>
      <c r="FL4" s="51" t="s">
        <v>23</v>
      </c>
      <c r="FM4" s="50" t="s">
        <v>24</v>
      </c>
      <c r="FN4" s="50" t="s">
        <v>25</v>
      </c>
      <c r="FO4" s="50" t="s">
        <v>22</v>
      </c>
      <c r="FP4" s="51" t="s">
        <v>23</v>
      </c>
      <c r="FQ4" s="50" t="s">
        <v>24</v>
      </c>
      <c r="FR4" s="50" t="s">
        <v>25</v>
      </c>
      <c r="FS4" s="286"/>
      <c r="FT4" s="50" t="s">
        <v>22</v>
      </c>
      <c r="FU4" s="51" t="s">
        <v>23</v>
      </c>
      <c r="FV4" s="50" t="s">
        <v>24</v>
      </c>
      <c r="FW4" s="50" t="s">
        <v>25</v>
      </c>
      <c r="FX4" s="50" t="s">
        <v>22</v>
      </c>
      <c r="FY4" s="51" t="s">
        <v>23</v>
      </c>
      <c r="FZ4" s="50" t="s">
        <v>24</v>
      </c>
      <c r="GA4" s="50" t="s">
        <v>25</v>
      </c>
      <c r="GB4" s="286"/>
      <c r="GC4" s="115" t="s">
        <v>22</v>
      </c>
      <c r="GD4" s="116" t="s">
        <v>23</v>
      </c>
      <c r="GE4" s="115" t="s">
        <v>24</v>
      </c>
      <c r="GF4" s="115" t="s">
        <v>25</v>
      </c>
      <c r="GG4" s="115" t="s">
        <v>22</v>
      </c>
      <c r="GH4" s="116" t="s">
        <v>23</v>
      </c>
      <c r="GI4" s="115" t="s">
        <v>24</v>
      </c>
      <c r="GJ4" s="115" t="s">
        <v>25</v>
      </c>
      <c r="GK4" s="259"/>
      <c r="GL4" s="115" t="s">
        <v>22</v>
      </c>
      <c r="GM4" s="116" t="s">
        <v>23</v>
      </c>
      <c r="GN4" s="115" t="s">
        <v>24</v>
      </c>
      <c r="GO4" s="115" t="s">
        <v>25</v>
      </c>
      <c r="GP4" s="115" t="s">
        <v>22</v>
      </c>
      <c r="GQ4" s="116" t="s">
        <v>23</v>
      </c>
      <c r="GR4" s="115" t="s">
        <v>24</v>
      </c>
      <c r="GS4" s="115" t="s">
        <v>25</v>
      </c>
      <c r="GT4" s="259"/>
      <c r="GU4" s="63" t="s">
        <v>22</v>
      </c>
      <c r="GV4" s="64" t="s">
        <v>23</v>
      </c>
      <c r="GW4" s="63" t="s">
        <v>24</v>
      </c>
      <c r="GX4" s="63" t="s">
        <v>25</v>
      </c>
      <c r="GY4" s="63" t="s">
        <v>22</v>
      </c>
      <c r="GZ4" s="64" t="s">
        <v>23</v>
      </c>
      <c r="HA4" s="63" t="s">
        <v>24</v>
      </c>
      <c r="HB4" s="63" t="s">
        <v>25</v>
      </c>
      <c r="HC4" s="259"/>
      <c r="HD4" s="63" t="s">
        <v>22</v>
      </c>
      <c r="HE4" s="64" t="s">
        <v>23</v>
      </c>
      <c r="HF4" s="63" t="s">
        <v>24</v>
      </c>
      <c r="HG4" s="63" t="s">
        <v>25</v>
      </c>
      <c r="HH4" s="63" t="s">
        <v>22</v>
      </c>
      <c r="HI4" s="64" t="s">
        <v>23</v>
      </c>
      <c r="HJ4" s="63" t="s">
        <v>24</v>
      </c>
      <c r="HK4" s="63" t="s">
        <v>25</v>
      </c>
      <c r="HL4" s="259"/>
      <c r="HM4" s="119" t="s">
        <v>22</v>
      </c>
      <c r="HN4" s="120" t="s">
        <v>23</v>
      </c>
      <c r="HO4" s="119" t="s">
        <v>24</v>
      </c>
      <c r="HP4" s="119" t="s">
        <v>25</v>
      </c>
      <c r="HQ4" s="119" t="s">
        <v>22</v>
      </c>
      <c r="HR4" s="120" t="s">
        <v>23</v>
      </c>
      <c r="HS4" s="119" t="s">
        <v>24</v>
      </c>
      <c r="HT4" s="119" t="s">
        <v>25</v>
      </c>
      <c r="HU4" s="259"/>
      <c r="HV4" s="119" t="s">
        <v>22</v>
      </c>
      <c r="HW4" s="120" t="s">
        <v>23</v>
      </c>
      <c r="HX4" s="119" t="s">
        <v>24</v>
      </c>
      <c r="HY4" s="119" t="s">
        <v>25</v>
      </c>
      <c r="HZ4" s="119" t="s">
        <v>22</v>
      </c>
      <c r="IA4" s="120" t="s">
        <v>23</v>
      </c>
      <c r="IB4" s="119" t="s">
        <v>24</v>
      </c>
      <c r="IC4" s="119" t="s">
        <v>25</v>
      </c>
      <c r="ID4" s="259"/>
      <c r="IE4" s="134" t="s">
        <v>22</v>
      </c>
      <c r="IF4" s="135" t="s">
        <v>23</v>
      </c>
      <c r="IG4" s="134" t="s">
        <v>24</v>
      </c>
      <c r="IH4" s="134" t="s">
        <v>25</v>
      </c>
      <c r="II4" s="134" t="s">
        <v>22</v>
      </c>
      <c r="IJ4" s="135" t="s">
        <v>23</v>
      </c>
      <c r="IK4" s="134" t="s">
        <v>24</v>
      </c>
      <c r="IL4" s="134" t="s">
        <v>25</v>
      </c>
      <c r="IM4" s="259"/>
      <c r="IN4" s="134" t="s">
        <v>22</v>
      </c>
      <c r="IO4" s="135" t="s">
        <v>23</v>
      </c>
      <c r="IP4" s="134" t="s">
        <v>24</v>
      </c>
      <c r="IQ4" s="134" t="s">
        <v>25</v>
      </c>
      <c r="IR4" s="134" t="s">
        <v>22</v>
      </c>
      <c r="IS4" s="135" t="s">
        <v>23</v>
      </c>
      <c r="IT4" s="134" t="s">
        <v>24</v>
      </c>
      <c r="IU4" s="134" t="s">
        <v>25</v>
      </c>
      <c r="IV4" s="259"/>
      <c r="IW4" s="144" t="s">
        <v>22</v>
      </c>
      <c r="IX4" s="145" t="s">
        <v>23</v>
      </c>
      <c r="IY4" s="144" t="s">
        <v>24</v>
      </c>
      <c r="IZ4" s="144" t="s">
        <v>25</v>
      </c>
      <c r="JA4" s="144" t="s">
        <v>22</v>
      </c>
      <c r="JB4" s="145" t="s">
        <v>23</v>
      </c>
      <c r="JC4" s="144" t="s">
        <v>24</v>
      </c>
      <c r="JD4" s="144" t="s">
        <v>25</v>
      </c>
      <c r="JE4" s="259"/>
      <c r="JF4" s="144" t="s">
        <v>22</v>
      </c>
      <c r="JG4" s="145" t="s">
        <v>23</v>
      </c>
      <c r="JH4" s="144" t="s">
        <v>24</v>
      </c>
      <c r="JI4" s="144" t="s">
        <v>25</v>
      </c>
      <c r="JJ4" s="144" t="s">
        <v>22</v>
      </c>
      <c r="JK4" s="145" t="s">
        <v>23</v>
      </c>
      <c r="JL4" s="144" t="s">
        <v>24</v>
      </c>
      <c r="JM4" s="144" t="s">
        <v>25</v>
      </c>
      <c r="JN4" s="259"/>
      <c r="JO4" s="32" t="s">
        <v>26</v>
      </c>
      <c r="JP4" s="32" t="s">
        <v>27</v>
      </c>
      <c r="JQ4" s="33" t="s">
        <v>19</v>
      </c>
      <c r="JR4" s="221"/>
      <c r="JS4" s="221"/>
    </row>
    <row r="5" spans="1:282" s="123" customFormat="1" ht="24.5" thickBot="1" x14ac:dyDescent="0.55000000000000004">
      <c r="A5" s="124" t="s">
        <v>62</v>
      </c>
      <c r="B5" s="153" t="s">
        <v>63</v>
      </c>
      <c r="C5" s="154"/>
      <c r="D5" s="154">
        <v>900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8">
        <f>E5+F5+G5+H5+I5+J5+K5+L5</f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8">
        <f>N5+O5+P5+Q5+R5+S5+T5+U5</f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8">
        <f>W5+X5+Y5+Z5+AA5+AB5+AC5+AD5</f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>
        <v>0</v>
      </c>
      <c r="AL5" s="39">
        <v>0</v>
      </c>
      <c r="AM5" s="39">
        <v>0</v>
      </c>
      <c r="AN5" s="38">
        <f>AF5+AG5+AH5+AI5+AJ5+AK5+AL5+AM5</f>
        <v>0</v>
      </c>
      <c r="AO5" s="40">
        <v>0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0</v>
      </c>
      <c r="AV5" s="40">
        <v>0</v>
      </c>
      <c r="AW5" s="38">
        <f>AO5+AP5+AQ5+AR5+AS5+AT5+AU5+AV5</f>
        <v>0</v>
      </c>
      <c r="AX5" s="40">
        <v>0</v>
      </c>
      <c r="AY5" s="40">
        <v>0</v>
      </c>
      <c r="AZ5" s="40">
        <v>0</v>
      </c>
      <c r="BA5" s="40">
        <v>0</v>
      </c>
      <c r="BB5" s="40">
        <v>0</v>
      </c>
      <c r="BC5" s="40">
        <v>0</v>
      </c>
      <c r="BD5" s="40">
        <v>0</v>
      </c>
      <c r="BE5" s="40">
        <v>0</v>
      </c>
      <c r="BF5" s="38">
        <f>AX5+AY5+AZ5+BA5+BB5+BC5+BD5+BE5</f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38">
        <f>BG5+BH5+BI5+BJ5+BK5+BL5+BM5+BN5</f>
        <v>0</v>
      </c>
      <c r="BP5" s="41">
        <v>0</v>
      </c>
      <c r="BQ5" s="41">
        <v>0</v>
      </c>
      <c r="BR5" s="41">
        <v>0</v>
      </c>
      <c r="BS5" s="41">
        <v>0</v>
      </c>
      <c r="BT5" s="41">
        <v>0</v>
      </c>
      <c r="BU5" s="41">
        <v>0</v>
      </c>
      <c r="BV5" s="41">
        <v>0</v>
      </c>
      <c r="BW5" s="41">
        <v>0</v>
      </c>
      <c r="BX5" s="38">
        <f>BP5+BQ5+BR5+BS5+BT5+BU5+BV5+BW5</f>
        <v>0</v>
      </c>
      <c r="BY5" s="42">
        <v>0</v>
      </c>
      <c r="BZ5" s="42">
        <v>0</v>
      </c>
      <c r="CA5" s="42">
        <v>0</v>
      </c>
      <c r="CB5" s="42">
        <v>0</v>
      </c>
      <c r="CC5" s="42">
        <v>0</v>
      </c>
      <c r="CD5" s="42">
        <v>0</v>
      </c>
      <c r="CE5" s="42">
        <v>0</v>
      </c>
      <c r="CF5" s="42">
        <v>0</v>
      </c>
      <c r="CG5" s="38">
        <f>BY5+BZ5+CA5+CB5+CC5+CD5+CE5+CF5</f>
        <v>0</v>
      </c>
      <c r="CH5" s="42">
        <v>0</v>
      </c>
      <c r="CI5" s="42">
        <v>0</v>
      </c>
      <c r="CJ5" s="42">
        <v>0</v>
      </c>
      <c r="CK5" s="42">
        <v>0</v>
      </c>
      <c r="CL5" s="42">
        <v>0</v>
      </c>
      <c r="CM5" s="42">
        <v>0</v>
      </c>
      <c r="CN5" s="42">
        <v>0</v>
      </c>
      <c r="CO5" s="42">
        <v>0</v>
      </c>
      <c r="CP5" s="38">
        <f>CH5+CI5+CJ5+CK5+CL5+CM5+CN5+CO5</f>
        <v>0</v>
      </c>
      <c r="CQ5" s="43">
        <v>0</v>
      </c>
      <c r="CR5" s="43">
        <v>0</v>
      </c>
      <c r="CS5" s="43">
        <v>0</v>
      </c>
      <c r="CT5" s="43">
        <v>0</v>
      </c>
      <c r="CU5" s="43">
        <v>0</v>
      </c>
      <c r="CV5" s="43">
        <v>0</v>
      </c>
      <c r="CW5" s="43">
        <v>0</v>
      </c>
      <c r="CX5" s="43">
        <v>0</v>
      </c>
      <c r="CY5" s="38">
        <f>CQ5+CR5+CS5+CT5+CU5+CV5+CW5+CX5</f>
        <v>0</v>
      </c>
      <c r="CZ5" s="43">
        <v>0</v>
      </c>
      <c r="DA5" s="43">
        <v>0</v>
      </c>
      <c r="DB5" s="43">
        <v>0</v>
      </c>
      <c r="DC5" s="43">
        <v>0</v>
      </c>
      <c r="DD5" s="43">
        <v>0</v>
      </c>
      <c r="DE5" s="43">
        <v>0</v>
      </c>
      <c r="DF5" s="43">
        <v>0</v>
      </c>
      <c r="DG5" s="43">
        <v>0</v>
      </c>
      <c r="DH5" s="38">
        <f>CZ5+DA5+DB5+DC5+DD5+DE5+DF5+DG5</f>
        <v>0</v>
      </c>
      <c r="DI5" s="39">
        <v>0</v>
      </c>
      <c r="DJ5" s="39">
        <v>0</v>
      </c>
      <c r="DK5" s="39">
        <v>0</v>
      </c>
      <c r="DL5" s="39">
        <v>0</v>
      </c>
      <c r="DM5" s="39">
        <v>0</v>
      </c>
      <c r="DN5" s="39">
        <v>0</v>
      </c>
      <c r="DO5" s="39">
        <v>0</v>
      </c>
      <c r="DP5" s="39">
        <v>0</v>
      </c>
      <c r="DQ5" s="38">
        <f>DI5+DJ5+DK5+DL5+DM5+DN5+DO5+DP5</f>
        <v>0</v>
      </c>
      <c r="DR5" s="39">
        <v>0</v>
      </c>
      <c r="DS5" s="39">
        <v>0</v>
      </c>
      <c r="DT5" s="39">
        <v>0</v>
      </c>
      <c r="DU5" s="39">
        <v>0</v>
      </c>
      <c r="DV5" s="39">
        <v>0</v>
      </c>
      <c r="DW5" s="39">
        <v>0</v>
      </c>
      <c r="DX5" s="39">
        <v>0</v>
      </c>
      <c r="DY5" s="39">
        <v>0</v>
      </c>
      <c r="DZ5" s="38">
        <f>DR5+DS5+DT5+DU5+DV5+DW5+DX5+DY5</f>
        <v>0</v>
      </c>
      <c r="EA5" s="44">
        <v>0</v>
      </c>
      <c r="EB5" s="44">
        <v>13</v>
      </c>
      <c r="EC5" s="44">
        <v>3</v>
      </c>
      <c r="ED5" s="44">
        <v>0</v>
      </c>
      <c r="EE5" s="44">
        <v>0</v>
      </c>
      <c r="EF5" s="44">
        <v>0</v>
      </c>
      <c r="EG5" s="44">
        <v>0</v>
      </c>
      <c r="EH5" s="44">
        <v>0</v>
      </c>
      <c r="EI5" s="38">
        <f>EA5+EB5+EC5+ED5+EE5+EF5+EG5+EH5</f>
        <v>16</v>
      </c>
      <c r="EJ5" s="44">
        <v>0</v>
      </c>
      <c r="EK5" s="44">
        <v>30</v>
      </c>
      <c r="EL5" s="44">
        <v>14</v>
      </c>
      <c r="EM5" s="44">
        <v>0</v>
      </c>
      <c r="EN5" s="44">
        <v>0</v>
      </c>
      <c r="EO5" s="44">
        <v>0</v>
      </c>
      <c r="EP5" s="44">
        <v>0</v>
      </c>
      <c r="EQ5" s="44">
        <v>0</v>
      </c>
      <c r="ER5" s="38">
        <f>EJ5+EK5+EL5+EM5+EN5+EO5+EP5+EQ5</f>
        <v>44</v>
      </c>
      <c r="ES5" s="45">
        <v>0</v>
      </c>
      <c r="ET5" s="45">
        <v>14</v>
      </c>
      <c r="EU5" s="45">
        <v>0</v>
      </c>
      <c r="EV5" s="45">
        <v>0</v>
      </c>
      <c r="EW5" s="45">
        <v>0</v>
      </c>
      <c r="EX5" s="45">
        <v>0</v>
      </c>
      <c r="EY5" s="45">
        <v>0</v>
      </c>
      <c r="EZ5" s="45">
        <v>0</v>
      </c>
      <c r="FA5" s="38">
        <f t="shared" ref="FA5:FA26" si="0">ES5+ET5+EU5+EV5+EW5+EX5+EY5+EZ5</f>
        <v>14</v>
      </c>
      <c r="FB5" s="45">
        <v>0</v>
      </c>
      <c r="FC5" s="45">
        <v>14</v>
      </c>
      <c r="FD5" s="45">
        <v>3</v>
      </c>
      <c r="FE5" s="45">
        <v>0</v>
      </c>
      <c r="FF5" s="45">
        <v>0</v>
      </c>
      <c r="FG5" s="45">
        <v>0</v>
      </c>
      <c r="FH5" s="45">
        <v>0</v>
      </c>
      <c r="FI5" s="45">
        <v>0</v>
      </c>
      <c r="FJ5" s="38">
        <f t="shared" ref="FJ5:FJ26" si="1">FB5+FC5+FD5+FE5+FF5+FG5+FH5+FI5</f>
        <v>17</v>
      </c>
      <c r="FK5" s="125">
        <v>0</v>
      </c>
      <c r="FL5" s="125">
        <v>3</v>
      </c>
      <c r="FM5" s="125">
        <v>0</v>
      </c>
      <c r="FN5" s="125">
        <v>0</v>
      </c>
      <c r="FO5" s="125">
        <v>0</v>
      </c>
      <c r="FP5" s="125">
        <v>0</v>
      </c>
      <c r="FQ5" s="125">
        <v>0</v>
      </c>
      <c r="FR5" s="125">
        <v>0</v>
      </c>
      <c r="FS5" s="38">
        <f t="shared" ref="FS5" si="2">FK5+FL5+FM5+FN5+FO5+FP5+FQ5+FR5</f>
        <v>3</v>
      </c>
      <c r="FT5" s="125">
        <v>0</v>
      </c>
      <c r="FU5" s="125">
        <v>17</v>
      </c>
      <c r="FV5" s="125">
        <v>0</v>
      </c>
      <c r="FW5" s="125">
        <v>0</v>
      </c>
      <c r="FX5" s="125">
        <v>0</v>
      </c>
      <c r="FY5" s="125">
        <v>0</v>
      </c>
      <c r="FZ5" s="125">
        <v>0</v>
      </c>
      <c r="GA5" s="125">
        <v>0</v>
      </c>
      <c r="GB5" s="38">
        <f t="shared" ref="GB5" si="3">FT5+FU5+FV5+FW5+FX5+FY5+FZ5+GA5</f>
        <v>17</v>
      </c>
      <c r="GC5" s="126">
        <v>0</v>
      </c>
      <c r="GD5" s="126">
        <v>0</v>
      </c>
      <c r="GE5" s="126">
        <v>0</v>
      </c>
      <c r="GF5" s="126">
        <v>0</v>
      </c>
      <c r="GG5" s="126">
        <v>0</v>
      </c>
      <c r="GH5" s="126">
        <v>0</v>
      </c>
      <c r="GI5" s="126">
        <v>0</v>
      </c>
      <c r="GJ5" s="126">
        <v>0</v>
      </c>
      <c r="GK5" s="118">
        <f t="shared" ref="GK5" si="4">GC5+GD5+GE5+GF5+GG5+GH5+GI5+GJ5</f>
        <v>0</v>
      </c>
      <c r="GL5" s="126">
        <v>0</v>
      </c>
      <c r="GM5" s="126">
        <v>29</v>
      </c>
      <c r="GN5" s="126">
        <v>15</v>
      </c>
      <c r="GO5" s="126">
        <v>0</v>
      </c>
      <c r="GP5" s="126">
        <v>0</v>
      </c>
      <c r="GQ5" s="126">
        <v>0</v>
      </c>
      <c r="GR5" s="126">
        <v>0</v>
      </c>
      <c r="GS5" s="126">
        <v>0</v>
      </c>
      <c r="GT5" s="118">
        <f t="shared" ref="GT5" si="5">GL5+GM5+GN5+GO5+GP5+GQ5+GR5+GS5</f>
        <v>44</v>
      </c>
      <c r="GU5" s="127">
        <v>0</v>
      </c>
      <c r="GV5" s="127">
        <v>0</v>
      </c>
      <c r="GW5" s="127">
        <v>0</v>
      </c>
      <c r="GX5" s="127">
        <v>0</v>
      </c>
      <c r="GY5" s="127">
        <v>0</v>
      </c>
      <c r="GZ5" s="127">
        <v>0</v>
      </c>
      <c r="HA5" s="127">
        <v>0</v>
      </c>
      <c r="HB5" s="127">
        <v>0</v>
      </c>
      <c r="HC5" s="118">
        <f t="shared" ref="HC5" si="6">GU5+GV5+GW5+GX5+GY5+GZ5+HA5+HB5</f>
        <v>0</v>
      </c>
      <c r="HD5" s="127">
        <v>0</v>
      </c>
      <c r="HE5" s="127">
        <v>56</v>
      </c>
      <c r="HF5" s="127">
        <v>13</v>
      </c>
      <c r="HG5" s="127">
        <v>0</v>
      </c>
      <c r="HH5" s="127">
        <v>0</v>
      </c>
      <c r="HI5" s="127">
        <v>0</v>
      </c>
      <c r="HJ5" s="127">
        <v>0</v>
      </c>
      <c r="HK5" s="127">
        <v>0</v>
      </c>
      <c r="HL5" s="118">
        <f t="shared" ref="HL5" si="7">HD5+HE5+HF5+HG5+HH5+HI5+HJ5+HK5</f>
        <v>69</v>
      </c>
      <c r="HM5" s="128">
        <v>0</v>
      </c>
      <c r="HN5" s="128">
        <v>0</v>
      </c>
      <c r="HO5" s="128">
        <v>0</v>
      </c>
      <c r="HP5" s="128">
        <v>0</v>
      </c>
      <c r="HQ5" s="128">
        <v>0</v>
      </c>
      <c r="HR5" s="128">
        <v>0</v>
      </c>
      <c r="HS5" s="128">
        <v>0</v>
      </c>
      <c r="HT5" s="128">
        <v>0</v>
      </c>
      <c r="HU5" s="118">
        <f t="shared" ref="HU5" si="8">HM5+HN5+HO5+HP5+HQ5+HR5+HS5+HT5</f>
        <v>0</v>
      </c>
      <c r="HV5" s="128">
        <v>0</v>
      </c>
      <c r="HW5" s="128">
        <v>105</v>
      </c>
      <c r="HX5" s="128">
        <v>26</v>
      </c>
      <c r="HY5" s="128">
        <v>0</v>
      </c>
      <c r="HZ5" s="128">
        <v>0</v>
      </c>
      <c r="IA5" s="128">
        <v>0</v>
      </c>
      <c r="IB5" s="128">
        <v>0</v>
      </c>
      <c r="IC5" s="128">
        <v>0</v>
      </c>
      <c r="ID5" s="118">
        <f t="shared" ref="ID5" si="9">HV5+HW5+HX5+HY5+HZ5+IA5+IB5+IC5</f>
        <v>131</v>
      </c>
      <c r="IE5" s="136">
        <v>0</v>
      </c>
      <c r="IF5" s="136">
        <v>0</v>
      </c>
      <c r="IG5" s="136">
        <v>0</v>
      </c>
      <c r="IH5" s="136">
        <v>0</v>
      </c>
      <c r="II5" s="136">
        <v>0</v>
      </c>
      <c r="IJ5" s="136">
        <v>0</v>
      </c>
      <c r="IK5" s="136">
        <v>0</v>
      </c>
      <c r="IL5" s="136">
        <v>0</v>
      </c>
      <c r="IM5" s="118">
        <f t="shared" ref="IM5" si="10">IE5+IF5+IG5+IH5+II5+IJ5+IK5+IL5</f>
        <v>0</v>
      </c>
      <c r="IN5" s="136"/>
      <c r="IO5" s="136"/>
      <c r="IP5" s="136"/>
      <c r="IQ5" s="136"/>
      <c r="IR5" s="136"/>
      <c r="IS5" s="136"/>
      <c r="IT5" s="136"/>
      <c r="IU5" s="136"/>
      <c r="IV5" s="118">
        <f t="shared" ref="IV5" si="11">IN5+IO5+IP5+IQ5+IR5+IS5+IT5+IU5</f>
        <v>0</v>
      </c>
      <c r="IW5" s="146">
        <v>0</v>
      </c>
      <c r="IX5" s="146">
        <v>0</v>
      </c>
      <c r="IY5" s="146">
        <v>0</v>
      </c>
      <c r="IZ5" s="146">
        <v>0</v>
      </c>
      <c r="JA5" s="146">
        <v>0</v>
      </c>
      <c r="JB5" s="146">
        <v>0</v>
      </c>
      <c r="JC5" s="146">
        <v>0</v>
      </c>
      <c r="JD5" s="146">
        <v>0</v>
      </c>
      <c r="JE5" s="118">
        <f t="shared" ref="JE5" si="12">IW5+IX5+IY5+IZ5+JA5+JB5+JC5+JD5</f>
        <v>0</v>
      </c>
      <c r="JF5" s="146"/>
      <c r="JG5" s="146"/>
      <c r="JH5" s="146"/>
      <c r="JI5" s="146"/>
      <c r="JJ5" s="146"/>
      <c r="JK5" s="146"/>
      <c r="JL5" s="146"/>
      <c r="JM5" s="146"/>
      <c r="JN5" s="118">
        <f t="shared" ref="JN5" si="13">JF5+JG5+JH5+JI5+JJ5+JK5+JL5+JM5</f>
        <v>0</v>
      </c>
      <c r="JO5" s="14">
        <f>M5+AE5+AW5+BO5+CG5+CY5+DQ5+EI5+FA5+FS5+GK5+HC5+HU5+IM5+JE5</f>
        <v>33</v>
      </c>
      <c r="JP5" s="46">
        <f>V5+AN5+BF5+BX5+CP5+DH5+DZ5+ER5+FJ5+GT5+GB5+HL5+ID5+IV5+JN5</f>
        <v>322</v>
      </c>
      <c r="JQ5" s="47">
        <f t="shared" ref="JQ5" si="14">JO5+JP5</f>
        <v>355</v>
      </c>
      <c r="JR5" s="46">
        <f>IF(D5&gt;0,D5-(JO5+JP5),"N/A")</f>
        <v>545</v>
      </c>
      <c r="JS5" s="122">
        <f>IF(ISBLANK(D5),"",JQ5/D5)</f>
        <v>0.39444444444444443</v>
      </c>
    </row>
    <row r="6" spans="1:282" ht="48.5" thickBot="1" x14ac:dyDescent="0.55000000000000004">
      <c r="A6" s="66" t="s">
        <v>64</v>
      </c>
      <c r="B6" s="71" t="s">
        <v>65</v>
      </c>
      <c r="C6" s="72"/>
      <c r="D6" s="72"/>
      <c r="E6" s="298" t="str">
        <f>IF(ISBLANK(JR6),"",(#REF!+JP6)/D9)</f>
        <v/>
      </c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  <c r="AA6" s="299"/>
      <c r="AB6" s="299"/>
      <c r="AC6" s="299"/>
      <c r="AD6" s="299"/>
      <c r="AE6" s="299"/>
      <c r="AF6" s="299"/>
      <c r="AG6" s="299"/>
      <c r="AH6" s="299"/>
      <c r="AI6" s="299"/>
      <c r="AJ6" s="299"/>
      <c r="AK6" s="299"/>
      <c r="AL6" s="299"/>
      <c r="AM6" s="299"/>
      <c r="AN6" s="299"/>
      <c r="AO6" s="299"/>
      <c r="AP6" s="299"/>
      <c r="AQ6" s="299"/>
      <c r="AR6" s="299"/>
      <c r="AS6" s="299"/>
      <c r="AT6" s="299"/>
      <c r="AU6" s="299"/>
      <c r="AV6" s="299"/>
      <c r="AW6" s="299"/>
      <c r="AX6" s="299"/>
      <c r="AY6" s="299"/>
      <c r="AZ6" s="299"/>
      <c r="BA6" s="299"/>
      <c r="BB6" s="299"/>
      <c r="BC6" s="299"/>
      <c r="BD6" s="299"/>
      <c r="BE6" s="299"/>
      <c r="BF6" s="299"/>
      <c r="BG6" s="299"/>
      <c r="BH6" s="299"/>
      <c r="BI6" s="299"/>
      <c r="BJ6" s="299"/>
      <c r="BK6" s="299"/>
      <c r="BL6" s="299"/>
      <c r="BM6" s="299"/>
      <c r="BN6" s="299"/>
      <c r="BO6" s="299"/>
      <c r="BP6" s="299"/>
      <c r="BQ6" s="299"/>
      <c r="BR6" s="299"/>
      <c r="BS6" s="299"/>
      <c r="BT6" s="299"/>
      <c r="BU6" s="299"/>
      <c r="BV6" s="299"/>
      <c r="BW6" s="299"/>
      <c r="BX6" s="299"/>
      <c r="BY6" s="299"/>
      <c r="BZ6" s="299"/>
      <c r="CA6" s="299"/>
      <c r="CB6" s="299"/>
      <c r="CC6" s="299"/>
      <c r="CD6" s="299"/>
      <c r="CE6" s="299"/>
      <c r="CF6" s="299"/>
      <c r="CG6" s="299"/>
      <c r="CH6" s="299"/>
      <c r="CI6" s="299"/>
      <c r="CJ6" s="299"/>
      <c r="CK6" s="299"/>
      <c r="CL6" s="299"/>
      <c r="CM6" s="299"/>
      <c r="CN6" s="299"/>
      <c r="CO6" s="299"/>
      <c r="CP6" s="299"/>
      <c r="CQ6" s="299"/>
      <c r="CR6" s="299"/>
      <c r="CS6" s="299"/>
      <c r="CT6" s="299"/>
      <c r="CU6" s="299"/>
      <c r="CV6" s="299"/>
      <c r="CW6" s="299"/>
      <c r="CX6" s="299"/>
      <c r="CY6" s="299"/>
      <c r="CZ6" s="299"/>
      <c r="DA6" s="299"/>
      <c r="DB6" s="299"/>
      <c r="DC6" s="299"/>
      <c r="DD6" s="299"/>
      <c r="DE6" s="299"/>
      <c r="DF6" s="299"/>
      <c r="DG6" s="299"/>
      <c r="DH6" s="299"/>
      <c r="DI6" s="299"/>
      <c r="DJ6" s="299"/>
      <c r="DK6" s="299"/>
      <c r="DL6" s="299"/>
      <c r="DM6" s="299"/>
      <c r="DN6" s="299"/>
      <c r="DO6" s="299"/>
      <c r="DP6" s="299"/>
      <c r="DQ6" s="299"/>
      <c r="DR6" s="299"/>
      <c r="DS6" s="299"/>
      <c r="DT6" s="299"/>
      <c r="DU6" s="299"/>
      <c r="DV6" s="299"/>
      <c r="DW6" s="299"/>
      <c r="DX6" s="299"/>
      <c r="DY6" s="299"/>
      <c r="DZ6" s="299"/>
      <c r="EA6" s="299"/>
      <c r="EB6" s="299"/>
      <c r="EC6" s="299"/>
      <c r="ED6" s="299"/>
      <c r="EE6" s="299"/>
      <c r="EF6" s="299"/>
      <c r="EG6" s="299"/>
      <c r="EH6" s="299"/>
      <c r="EI6" s="299"/>
      <c r="EJ6" s="299"/>
      <c r="EK6" s="299"/>
      <c r="EL6" s="299"/>
      <c r="EM6" s="299"/>
      <c r="EN6" s="299"/>
      <c r="EO6" s="299"/>
      <c r="EP6" s="299"/>
      <c r="EQ6" s="299"/>
      <c r="ER6" s="299"/>
      <c r="ES6" s="299"/>
      <c r="ET6" s="299"/>
      <c r="EU6" s="299"/>
      <c r="EV6" s="299"/>
      <c r="EW6" s="299"/>
      <c r="EX6" s="299"/>
      <c r="EY6" s="299"/>
      <c r="EZ6" s="299"/>
      <c r="FA6" s="299"/>
      <c r="FB6" s="299"/>
      <c r="FC6" s="299"/>
      <c r="FD6" s="299"/>
      <c r="FE6" s="299"/>
      <c r="FF6" s="299"/>
      <c r="FG6" s="299"/>
      <c r="FH6" s="299"/>
      <c r="FI6" s="299"/>
      <c r="FJ6" s="299"/>
      <c r="FK6" s="299"/>
      <c r="FL6" s="299"/>
      <c r="FM6" s="299"/>
      <c r="FN6" s="299"/>
      <c r="FO6" s="299"/>
      <c r="FP6" s="299"/>
      <c r="FQ6" s="299"/>
      <c r="FR6" s="299"/>
      <c r="FS6" s="299"/>
      <c r="FT6" s="299"/>
      <c r="FU6" s="299"/>
      <c r="FV6" s="299"/>
      <c r="FW6" s="299"/>
      <c r="FX6" s="299"/>
      <c r="FY6" s="299"/>
      <c r="FZ6" s="299"/>
      <c r="GA6" s="299"/>
      <c r="GB6" s="299"/>
      <c r="GC6" s="299"/>
      <c r="GD6" s="299"/>
      <c r="GE6" s="299"/>
      <c r="GF6" s="299"/>
      <c r="GG6" s="299"/>
      <c r="GH6" s="299"/>
      <c r="GI6" s="299"/>
      <c r="GJ6" s="299"/>
      <c r="GK6" s="299"/>
      <c r="GL6" s="299"/>
      <c r="GM6" s="299"/>
      <c r="GN6" s="299"/>
      <c r="GO6" s="299"/>
      <c r="GP6" s="299"/>
      <c r="GQ6" s="299"/>
      <c r="GR6" s="299"/>
      <c r="GS6" s="299"/>
      <c r="GT6" s="299"/>
      <c r="GU6" s="299"/>
      <c r="GV6" s="299"/>
      <c r="GW6" s="299"/>
      <c r="GX6" s="299"/>
      <c r="GY6" s="299"/>
      <c r="GZ6" s="299"/>
      <c r="HA6" s="299"/>
      <c r="HB6" s="299"/>
      <c r="HC6" s="299"/>
      <c r="HD6" s="299"/>
      <c r="HE6" s="299"/>
      <c r="HF6" s="299"/>
      <c r="HG6" s="299"/>
      <c r="HH6" s="299"/>
      <c r="HI6" s="299"/>
      <c r="HJ6" s="299"/>
      <c r="HK6" s="299"/>
      <c r="HL6" s="299"/>
      <c r="HM6" s="299"/>
      <c r="HN6" s="299"/>
      <c r="HO6" s="299"/>
      <c r="HP6" s="299"/>
      <c r="HQ6" s="299"/>
      <c r="HR6" s="299"/>
      <c r="HS6" s="299"/>
      <c r="HT6" s="299"/>
      <c r="HU6" s="299"/>
      <c r="HV6" s="299"/>
      <c r="HW6" s="299"/>
      <c r="HX6" s="299"/>
      <c r="HY6" s="299"/>
      <c r="HZ6" s="299"/>
      <c r="IA6" s="299"/>
      <c r="IB6" s="299"/>
      <c r="IC6" s="299"/>
      <c r="ID6" s="299"/>
      <c r="IE6" s="299"/>
      <c r="IF6" s="299"/>
      <c r="IG6" s="299"/>
      <c r="IH6" s="299"/>
      <c r="II6" s="299"/>
      <c r="IJ6" s="299"/>
      <c r="IK6" s="299"/>
      <c r="IL6" s="299"/>
      <c r="IM6" s="299"/>
      <c r="IN6" s="299"/>
      <c r="IO6" s="299"/>
      <c r="IP6" s="299"/>
      <c r="IQ6" s="299"/>
      <c r="IR6" s="299"/>
      <c r="IS6" s="299"/>
      <c r="IT6" s="299"/>
      <c r="IU6" s="299"/>
      <c r="IV6" s="299"/>
      <c r="IW6" s="299"/>
      <c r="IX6" s="299"/>
      <c r="IY6" s="299"/>
      <c r="IZ6" s="299"/>
      <c r="JA6" s="299"/>
      <c r="JB6" s="299"/>
      <c r="JC6" s="299"/>
      <c r="JD6" s="299"/>
      <c r="JE6" s="299"/>
      <c r="JF6" s="299"/>
      <c r="JG6" s="299"/>
      <c r="JH6" s="299"/>
      <c r="JI6" s="299"/>
      <c r="JJ6" s="299"/>
      <c r="JK6" s="299"/>
      <c r="JL6" s="299"/>
      <c r="JM6" s="299"/>
      <c r="JN6" s="299"/>
      <c r="JO6" s="299"/>
      <c r="JP6" s="299"/>
      <c r="JQ6" s="299"/>
      <c r="JR6" s="299"/>
      <c r="JS6" s="300"/>
    </row>
    <row r="7" spans="1:282" ht="75.5" customHeight="1" thickBot="1" x14ac:dyDescent="0.75">
      <c r="A7" s="67" t="s">
        <v>62</v>
      </c>
      <c r="B7" s="73" t="s">
        <v>66</v>
      </c>
      <c r="C7" s="73"/>
      <c r="D7" s="73"/>
      <c r="E7" s="268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69"/>
      <c r="BF7" s="269"/>
      <c r="BG7" s="269"/>
      <c r="BH7" s="269"/>
      <c r="BI7" s="269"/>
      <c r="BJ7" s="269"/>
      <c r="BK7" s="269"/>
      <c r="BL7" s="269"/>
      <c r="BM7" s="269"/>
      <c r="BN7" s="269"/>
      <c r="BO7" s="269"/>
      <c r="BP7" s="269"/>
      <c r="BQ7" s="269"/>
      <c r="BR7" s="269"/>
      <c r="BS7" s="269"/>
      <c r="BT7" s="269"/>
      <c r="BU7" s="269"/>
      <c r="BV7" s="269"/>
      <c r="BW7" s="269"/>
      <c r="BX7" s="269"/>
      <c r="BY7" s="269"/>
      <c r="BZ7" s="269"/>
      <c r="CA7" s="269"/>
      <c r="CB7" s="269"/>
      <c r="CC7" s="269"/>
      <c r="CD7" s="269"/>
      <c r="CE7" s="269"/>
      <c r="CF7" s="269"/>
      <c r="CG7" s="269"/>
      <c r="CH7" s="269"/>
      <c r="CI7" s="269"/>
      <c r="CJ7" s="269"/>
      <c r="CK7" s="269"/>
      <c r="CL7" s="269"/>
      <c r="CM7" s="269"/>
      <c r="CN7" s="269"/>
      <c r="CO7" s="269"/>
      <c r="CP7" s="269"/>
      <c r="CQ7" s="269"/>
      <c r="CR7" s="269"/>
      <c r="CS7" s="269"/>
      <c r="CT7" s="269"/>
      <c r="CU7" s="269"/>
      <c r="CV7" s="269"/>
      <c r="CW7" s="269"/>
      <c r="CX7" s="269"/>
      <c r="CY7" s="269"/>
      <c r="CZ7" s="269"/>
      <c r="DA7" s="269"/>
      <c r="DB7" s="269"/>
      <c r="DC7" s="269"/>
      <c r="DD7" s="269"/>
      <c r="DE7" s="269"/>
      <c r="DF7" s="269"/>
      <c r="DG7" s="269"/>
      <c r="DH7" s="269"/>
      <c r="DI7" s="269"/>
      <c r="DJ7" s="269"/>
      <c r="DK7" s="269"/>
      <c r="DL7" s="269"/>
      <c r="DM7" s="269"/>
      <c r="DN7" s="269"/>
      <c r="DO7" s="269"/>
      <c r="DP7" s="269"/>
      <c r="DQ7" s="269"/>
      <c r="DR7" s="269"/>
      <c r="DS7" s="269"/>
      <c r="DT7" s="269"/>
      <c r="DU7" s="269"/>
      <c r="DV7" s="269"/>
      <c r="DW7" s="269"/>
      <c r="DX7" s="269"/>
      <c r="DY7" s="269"/>
      <c r="DZ7" s="269"/>
      <c r="EA7" s="269"/>
      <c r="EB7" s="269"/>
      <c r="EC7" s="269"/>
      <c r="ED7" s="269"/>
      <c r="EE7" s="269"/>
      <c r="EF7" s="269"/>
      <c r="EG7" s="269"/>
      <c r="EH7" s="269"/>
      <c r="EI7" s="269"/>
      <c r="EJ7" s="269"/>
      <c r="EK7" s="269"/>
      <c r="EL7" s="269"/>
      <c r="EM7" s="269"/>
      <c r="EN7" s="269"/>
      <c r="EO7" s="269"/>
      <c r="EP7" s="269"/>
      <c r="EQ7" s="269"/>
      <c r="ER7" s="269"/>
      <c r="ES7" s="269"/>
      <c r="ET7" s="269"/>
      <c r="EU7" s="269"/>
      <c r="EV7" s="269"/>
      <c r="EW7" s="269"/>
      <c r="EX7" s="269"/>
      <c r="EY7" s="269"/>
      <c r="EZ7" s="269"/>
      <c r="FA7" s="269"/>
      <c r="FB7" s="269"/>
      <c r="FC7" s="269"/>
      <c r="FD7" s="269"/>
      <c r="FE7" s="269"/>
      <c r="FF7" s="269"/>
      <c r="FG7" s="269"/>
      <c r="FH7" s="269"/>
      <c r="FI7" s="269"/>
      <c r="FJ7" s="269"/>
      <c r="FK7" s="269"/>
      <c r="FL7" s="269"/>
      <c r="FM7" s="269"/>
      <c r="FN7" s="269"/>
      <c r="FO7" s="269"/>
      <c r="FP7" s="269"/>
      <c r="FQ7" s="269"/>
      <c r="FR7" s="269"/>
      <c r="FS7" s="269"/>
      <c r="FT7" s="269"/>
      <c r="FU7" s="269"/>
      <c r="FV7" s="269"/>
      <c r="FW7" s="269"/>
      <c r="FX7" s="269"/>
      <c r="FY7" s="269"/>
      <c r="FZ7" s="269"/>
      <c r="GA7" s="269"/>
      <c r="GB7" s="269"/>
      <c r="GC7" s="269"/>
      <c r="GD7" s="269"/>
      <c r="GE7" s="269"/>
      <c r="GF7" s="269"/>
      <c r="GG7" s="269"/>
      <c r="GH7" s="269"/>
      <c r="GI7" s="269"/>
      <c r="GJ7" s="269"/>
      <c r="GK7" s="269"/>
      <c r="GL7" s="269"/>
      <c r="GM7" s="269"/>
      <c r="GN7" s="269"/>
      <c r="GO7" s="269"/>
      <c r="GP7" s="269"/>
      <c r="GQ7" s="269"/>
      <c r="GR7" s="269"/>
      <c r="GS7" s="269"/>
      <c r="GT7" s="269"/>
      <c r="GU7" s="269"/>
      <c r="GV7" s="269"/>
      <c r="GW7" s="269"/>
      <c r="GX7" s="269"/>
      <c r="GY7" s="269"/>
      <c r="GZ7" s="269"/>
      <c r="HA7" s="269"/>
      <c r="HB7" s="269"/>
      <c r="HC7" s="269"/>
      <c r="HD7" s="269"/>
      <c r="HE7" s="269"/>
      <c r="HF7" s="269"/>
      <c r="HG7" s="269"/>
      <c r="HH7" s="269"/>
      <c r="HI7" s="269"/>
      <c r="HJ7" s="269"/>
      <c r="HK7" s="269"/>
      <c r="HL7" s="269"/>
      <c r="HM7" s="269"/>
      <c r="HN7" s="269"/>
      <c r="HO7" s="269"/>
      <c r="HP7" s="269"/>
      <c r="HQ7" s="269"/>
      <c r="HR7" s="269"/>
      <c r="HS7" s="269"/>
      <c r="HT7" s="269"/>
      <c r="HU7" s="269"/>
      <c r="HV7" s="269"/>
      <c r="HW7" s="269"/>
      <c r="HX7" s="269"/>
      <c r="HY7" s="269"/>
      <c r="HZ7" s="269"/>
      <c r="IA7" s="269"/>
      <c r="IB7" s="269"/>
      <c r="IC7" s="269"/>
      <c r="ID7" s="269"/>
      <c r="IE7" s="269"/>
      <c r="IF7" s="269"/>
      <c r="IG7" s="269"/>
      <c r="IH7" s="269"/>
      <c r="II7" s="269"/>
      <c r="IJ7" s="269"/>
      <c r="IK7" s="269"/>
      <c r="IL7" s="269"/>
      <c r="IM7" s="269"/>
      <c r="IN7" s="269"/>
      <c r="IO7" s="269"/>
      <c r="IP7" s="269"/>
      <c r="IQ7" s="269"/>
      <c r="IR7" s="269"/>
      <c r="IS7" s="269"/>
      <c r="IT7" s="269"/>
      <c r="IU7" s="269"/>
      <c r="IV7" s="269"/>
      <c r="IW7" s="269"/>
      <c r="IX7" s="269"/>
      <c r="IY7" s="269"/>
      <c r="IZ7" s="269"/>
      <c r="JA7" s="269"/>
      <c r="JB7" s="269"/>
      <c r="JC7" s="269"/>
      <c r="JD7" s="269"/>
      <c r="JE7" s="269"/>
      <c r="JF7" s="269"/>
      <c r="JG7" s="269"/>
      <c r="JH7" s="269"/>
      <c r="JI7" s="269"/>
      <c r="JJ7" s="269"/>
      <c r="JK7" s="269"/>
      <c r="JL7" s="269"/>
      <c r="JM7" s="269"/>
      <c r="JN7" s="269"/>
      <c r="JO7" s="269"/>
      <c r="JP7" s="269"/>
      <c r="JQ7" s="269"/>
      <c r="JR7" s="269"/>
      <c r="JS7" s="270"/>
      <c r="JT7" s="55" t="s">
        <v>28</v>
      </c>
      <c r="JU7" s="57" t="s">
        <v>29</v>
      </c>
      <c r="JV7" s="54"/>
    </row>
    <row r="8" spans="1:282" ht="24.5" thickBot="1" x14ac:dyDescent="0.75">
      <c r="A8" s="65" t="s">
        <v>62</v>
      </c>
      <c r="B8" s="74" t="s">
        <v>67</v>
      </c>
      <c r="C8" s="75" t="s">
        <v>92</v>
      </c>
      <c r="D8" s="271">
        <v>550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8">
        <f>E8+F8+G8+H8+I8+J8+K8+L8</f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8">
        <f t="shared" ref="V8:V26" si="15">N8+O8+P8+Q8+R8+S8+T8+U8</f>
        <v>0</v>
      </c>
      <c r="W8" s="39">
        <v>0</v>
      </c>
      <c r="X8" s="39">
        <v>0</v>
      </c>
      <c r="Y8" s="39">
        <v>1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8">
        <f t="shared" ref="AE8:AE26" si="16">W8+X8+Y8+Z8+AA8+AB8+AC8+AD8</f>
        <v>1</v>
      </c>
      <c r="AF8" s="39">
        <v>0</v>
      </c>
      <c r="AG8" s="39">
        <v>0</v>
      </c>
      <c r="AH8" s="39">
        <v>8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8">
        <f t="shared" ref="AN8:AN26" si="17">AF8+AG8+AH8+AI8+AJ8+AK8+AL8+AM8</f>
        <v>8</v>
      </c>
      <c r="AO8" s="40">
        <v>0</v>
      </c>
      <c r="AP8" s="40">
        <v>0</v>
      </c>
      <c r="AQ8" s="40">
        <v>1</v>
      </c>
      <c r="AR8" s="40">
        <v>0</v>
      </c>
      <c r="AS8" s="40">
        <v>0</v>
      </c>
      <c r="AT8" s="40">
        <v>0</v>
      </c>
      <c r="AU8" s="40">
        <v>0</v>
      </c>
      <c r="AV8" s="40">
        <v>0</v>
      </c>
      <c r="AW8" s="38">
        <f t="shared" ref="AW8:AW26" si="18">AO8+AP8+AQ8+AR8+AS8+AT8+AU8+AV8</f>
        <v>1</v>
      </c>
      <c r="AX8" s="40">
        <v>0</v>
      </c>
      <c r="AY8" s="40">
        <v>0</v>
      </c>
      <c r="AZ8" s="40">
        <v>11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38">
        <f t="shared" ref="BF8:BF26" si="19">AX8+AY8+AZ8+BA8+BB8+BC8+BD8+BE8</f>
        <v>11</v>
      </c>
      <c r="BG8" s="41"/>
      <c r="BH8" s="41"/>
      <c r="BI8" s="41"/>
      <c r="BJ8" s="41"/>
      <c r="BK8" s="41"/>
      <c r="BL8" s="41"/>
      <c r="BM8" s="41"/>
      <c r="BN8" s="41"/>
      <c r="BO8" s="38">
        <f t="shared" ref="BO8:BO26" si="20">BG8+BH8+BI8+BJ8+BK8+BL8+BM8+BN8</f>
        <v>0</v>
      </c>
      <c r="BP8" s="41">
        <v>0</v>
      </c>
      <c r="BQ8" s="41">
        <v>0</v>
      </c>
      <c r="BR8" s="41">
        <v>17</v>
      </c>
      <c r="BS8" s="41">
        <v>0</v>
      </c>
      <c r="BT8" s="41">
        <v>0</v>
      </c>
      <c r="BU8" s="41">
        <v>0</v>
      </c>
      <c r="BV8" s="41">
        <v>0</v>
      </c>
      <c r="BW8" s="41">
        <v>0</v>
      </c>
      <c r="BX8" s="38">
        <f t="shared" ref="BX8:BX26" si="21">BP8+BQ8+BR8+BS8+BT8+BU8+BV8+BW8</f>
        <v>17</v>
      </c>
      <c r="BY8" s="42">
        <v>0</v>
      </c>
      <c r="BZ8" s="42">
        <v>0</v>
      </c>
      <c r="CA8" s="42">
        <v>0</v>
      </c>
      <c r="CB8" s="42">
        <v>0</v>
      </c>
      <c r="CC8" s="42">
        <v>0</v>
      </c>
      <c r="CD8" s="42">
        <v>0</v>
      </c>
      <c r="CE8" s="42">
        <v>0</v>
      </c>
      <c r="CF8" s="42">
        <v>0</v>
      </c>
      <c r="CG8" s="38">
        <f t="shared" ref="CG8:CG26" si="22">BY8+BZ8+CA8+CB8+CC8+CD8+CE8+CF8</f>
        <v>0</v>
      </c>
      <c r="CH8" s="42">
        <v>0</v>
      </c>
      <c r="CI8" s="42">
        <v>0</v>
      </c>
      <c r="CJ8" s="42">
        <v>19</v>
      </c>
      <c r="CK8" s="42">
        <v>0</v>
      </c>
      <c r="CL8" s="42">
        <v>0</v>
      </c>
      <c r="CM8" s="42">
        <v>0</v>
      </c>
      <c r="CN8" s="42">
        <v>0</v>
      </c>
      <c r="CO8" s="42">
        <v>0</v>
      </c>
      <c r="CP8" s="38">
        <f t="shared" ref="CP8:CP26" si="23">CH8+CI8+CJ8+CK8+CL8+CM8+CN8+CO8</f>
        <v>19</v>
      </c>
      <c r="CQ8" s="43">
        <v>0</v>
      </c>
      <c r="CR8" s="43">
        <v>0</v>
      </c>
      <c r="CS8" s="43">
        <v>0</v>
      </c>
      <c r="CT8" s="43">
        <v>0</v>
      </c>
      <c r="CU8" s="43">
        <v>0</v>
      </c>
      <c r="CV8" s="43">
        <v>0</v>
      </c>
      <c r="CW8" s="43">
        <v>0</v>
      </c>
      <c r="CX8" s="43">
        <v>0</v>
      </c>
      <c r="CY8" s="38">
        <f t="shared" ref="CY8:CY26" si="24">CQ8+CR8+CS8+CT8+CU8+CV8+CW8+CX8</f>
        <v>0</v>
      </c>
      <c r="CZ8" s="43">
        <v>0</v>
      </c>
      <c r="DA8" s="43">
        <v>0</v>
      </c>
      <c r="DB8" s="43">
        <v>9</v>
      </c>
      <c r="DC8" s="43">
        <v>0</v>
      </c>
      <c r="DD8" s="43">
        <v>0</v>
      </c>
      <c r="DE8" s="43">
        <v>0</v>
      </c>
      <c r="DF8" s="43">
        <v>0</v>
      </c>
      <c r="DG8" s="43">
        <v>0</v>
      </c>
      <c r="DH8" s="38">
        <f t="shared" ref="DH8:DH26" si="25">CZ8+DA8+DB8+DC8+DD8+DE8+DF8+DG8</f>
        <v>9</v>
      </c>
      <c r="DI8" s="39">
        <v>0</v>
      </c>
      <c r="DJ8" s="39">
        <v>0</v>
      </c>
      <c r="DK8" s="39">
        <v>0</v>
      </c>
      <c r="DL8" s="39">
        <v>0</v>
      </c>
      <c r="DM8" s="39">
        <v>0</v>
      </c>
      <c r="DN8" s="39">
        <v>0</v>
      </c>
      <c r="DO8" s="39">
        <v>0</v>
      </c>
      <c r="DP8" s="39">
        <v>0</v>
      </c>
      <c r="DQ8" s="38">
        <f t="shared" ref="DQ8:DQ26" si="26">DI8+DJ8+DK8+DL8+DM8+DN8+DO8+DP8</f>
        <v>0</v>
      </c>
      <c r="DR8" s="39">
        <v>0</v>
      </c>
      <c r="DS8" s="39">
        <v>0</v>
      </c>
      <c r="DT8" s="39">
        <v>11</v>
      </c>
      <c r="DU8" s="39">
        <v>0</v>
      </c>
      <c r="DV8" s="39">
        <v>0</v>
      </c>
      <c r="DW8" s="39">
        <v>0</v>
      </c>
      <c r="DX8" s="39">
        <v>0</v>
      </c>
      <c r="DY8" s="39">
        <v>0</v>
      </c>
      <c r="DZ8" s="38">
        <f t="shared" ref="DZ8:DZ26" si="27">DR8+DS8+DT8+DU8+DV8+DW8+DX8+DY8</f>
        <v>11</v>
      </c>
      <c r="EA8" s="44">
        <v>0</v>
      </c>
      <c r="EB8" s="44">
        <v>0</v>
      </c>
      <c r="EC8" s="44">
        <v>0</v>
      </c>
      <c r="ED8" s="44">
        <v>0</v>
      </c>
      <c r="EE8" s="44">
        <v>0</v>
      </c>
      <c r="EF8" s="44">
        <v>0</v>
      </c>
      <c r="EG8" s="44">
        <v>0</v>
      </c>
      <c r="EH8" s="44">
        <v>0</v>
      </c>
      <c r="EI8" s="38">
        <f t="shared" ref="EI8:EI26" si="28">EA8+EB8+EC8+ED8+EE8+EF8+EG8+EH8</f>
        <v>0</v>
      </c>
      <c r="EJ8" s="44">
        <v>0</v>
      </c>
      <c r="EK8" s="44">
        <v>0</v>
      </c>
      <c r="EL8" s="44">
        <v>18</v>
      </c>
      <c r="EM8" s="44">
        <v>0</v>
      </c>
      <c r="EN8" s="44">
        <v>0</v>
      </c>
      <c r="EO8" s="44">
        <v>0</v>
      </c>
      <c r="EP8" s="44">
        <v>0</v>
      </c>
      <c r="EQ8" s="44">
        <v>0</v>
      </c>
      <c r="ER8" s="38">
        <f t="shared" ref="ER8:ER26" si="29">EJ8+EK8+EL8+EM8+EN8+EO8+EP8+EQ8</f>
        <v>18</v>
      </c>
      <c r="ES8" s="45">
        <v>0</v>
      </c>
      <c r="ET8" s="45">
        <v>0</v>
      </c>
      <c r="EU8" s="45">
        <v>0</v>
      </c>
      <c r="EV8" s="45">
        <v>0</v>
      </c>
      <c r="EW8" s="45">
        <v>0</v>
      </c>
      <c r="EX8" s="45">
        <v>0</v>
      </c>
      <c r="EY8" s="45">
        <v>0</v>
      </c>
      <c r="EZ8" s="45">
        <v>0</v>
      </c>
      <c r="FA8" s="38">
        <f t="shared" si="0"/>
        <v>0</v>
      </c>
      <c r="FB8" s="45">
        <v>0</v>
      </c>
      <c r="FC8" s="45">
        <v>0</v>
      </c>
      <c r="FD8" s="45">
        <v>20</v>
      </c>
      <c r="FE8" s="45">
        <v>0</v>
      </c>
      <c r="FF8" s="45">
        <v>0</v>
      </c>
      <c r="FG8" s="45">
        <v>0</v>
      </c>
      <c r="FH8" s="45">
        <v>0</v>
      </c>
      <c r="FI8" s="45">
        <v>0</v>
      </c>
      <c r="FJ8" s="38">
        <f t="shared" si="1"/>
        <v>20</v>
      </c>
      <c r="FK8" s="52">
        <v>0</v>
      </c>
      <c r="FL8" s="52">
        <v>0</v>
      </c>
      <c r="FM8" s="52">
        <v>0</v>
      </c>
      <c r="FN8" s="52">
        <v>0</v>
      </c>
      <c r="FO8" s="52">
        <v>0</v>
      </c>
      <c r="FP8" s="52">
        <v>0</v>
      </c>
      <c r="FQ8" s="52">
        <v>0</v>
      </c>
      <c r="FR8" s="52">
        <v>0</v>
      </c>
      <c r="FS8" s="38">
        <f t="shared" ref="FS8:FS26" si="30">FK8+FL8+FM8+FN8+FO8+FP8+FQ8+FR8</f>
        <v>0</v>
      </c>
      <c r="FT8" s="52">
        <v>0</v>
      </c>
      <c r="FU8" s="52">
        <v>0</v>
      </c>
      <c r="FV8" s="52">
        <v>24</v>
      </c>
      <c r="FW8" s="52">
        <v>0</v>
      </c>
      <c r="FX8" s="52">
        <v>0</v>
      </c>
      <c r="FY8" s="52">
        <v>0</v>
      </c>
      <c r="FZ8" s="52">
        <v>0</v>
      </c>
      <c r="GA8" s="52">
        <v>0</v>
      </c>
      <c r="GB8" s="38">
        <f t="shared" ref="GB8:GB26" si="31">FT8+FU8+FV8+FW8+FX8+FY8+FZ8+GA8</f>
        <v>24</v>
      </c>
      <c r="GC8" s="117">
        <v>0</v>
      </c>
      <c r="GD8" s="117">
        <v>0</v>
      </c>
      <c r="GE8" s="117">
        <v>0</v>
      </c>
      <c r="GF8" s="117">
        <v>0</v>
      </c>
      <c r="GG8" s="117">
        <v>0</v>
      </c>
      <c r="GH8" s="117">
        <v>0</v>
      </c>
      <c r="GI8" s="117">
        <v>0</v>
      </c>
      <c r="GJ8" s="117">
        <v>0</v>
      </c>
      <c r="GK8" s="118">
        <f t="shared" ref="GK8:GK13" si="32">GC8+GD8+GE8+GF8+GG8+GH8+GI8+GJ8</f>
        <v>0</v>
      </c>
      <c r="GL8" s="117">
        <v>0</v>
      </c>
      <c r="GM8" s="117">
        <v>0</v>
      </c>
      <c r="GN8" s="117">
        <v>14</v>
      </c>
      <c r="GO8" s="117">
        <v>0</v>
      </c>
      <c r="GP8" s="117">
        <v>0</v>
      </c>
      <c r="GQ8" s="117">
        <v>0</v>
      </c>
      <c r="GR8" s="117">
        <v>0</v>
      </c>
      <c r="GS8" s="117">
        <v>0</v>
      </c>
      <c r="GT8" s="118">
        <f t="shared" ref="GT8:GT13" si="33">GL8+GM8+GN8+GO8+GP8+GQ8+GR8+GS8</f>
        <v>14</v>
      </c>
      <c r="GU8" s="62">
        <v>0</v>
      </c>
      <c r="GV8" s="62">
        <v>0</v>
      </c>
      <c r="GW8" s="62">
        <v>0</v>
      </c>
      <c r="GX8" s="62">
        <v>0</v>
      </c>
      <c r="GY8" s="62">
        <v>0</v>
      </c>
      <c r="GZ8" s="62">
        <v>0</v>
      </c>
      <c r="HA8" s="62">
        <v>0</v>
      </c>
      <c r="HB8" s="62">
        <v>0</v>
      </c>
      <c r="HC8" s="118">
        <f t="shared" ref="HC8:HC13" si="34">GU8+GV8+GW8+GX8+GY8+GZ8+HA8+HB8</f>
        <v>0</v>
      </c>
      <c r="HD8" s="62">
        <v>0</v>
      </c>
      <c r="HE8" s="62">
        <v>0</v>
      </c>
      <c r="HF8" s="62">
        <v>17</v>
      </c>
      <c r="HG8" s="62">
        <v>0</v>
      </c>
      <c r="HH8" s="62">
        <v>0</v>
      </c>
      <c r="HI8" s="62">
        <v>0</v>
      </c>
      <c r="HJ8" s="62">
        <v>0</v>
      </c>
      <c r="HK8" s="62">
        <v>0</v>
      </c>
      <c r="HL8" s="118">
        <f t="shared" ref="HL8:HL13" si="35">HD8+HE8+HF8+HG8+HH8+HI8+HJ8+HK8</f>
        <v>17</v>
      </c>
      <c r="HM8" s="121">
        <v>0</v>
      </c>
      <c r="HN8" s="121">
        <v>0</v>
      </c>
      <c r="HO8" s="121">
        <v>0</v>
      </c>
      <c r="HP8" s="121">
        <v>0</v>
      </c>
      <c r="HQ8" s="121">
        <v>0</v>
      </c>
      <c r="HR8" s="121">
        <v>0</v>
      </c>
      <c r="HS8" s="121">
        <v>0</v>
      </c>
      <c r="HT8" s="121">
        <v>0</v>
      </c>
      <c r="HU8" s="118">
        <f t="shared" ref="HU8:HU13" si="36">HM8+HN8+HO8+HP8+HQ8+HR8+HS8+HT8</f>
        <v>0</v>
      </c>
      <c r="HV8" s="121"/>
      <c r="HW8" s="121"/>
      <c r="HX8" s="121">
        <v>15</v>
      </c>
      <c r="HY8" s="121"/>
      <c r="HZ8" s="121"/>
      <c r="IA8" s="121"/>
      <c r="IB8" s="121"/>
      <c r="IC8" s="121"/>
      <c r="ID8" s="118">
        <f t="shared" ref="ID8:ID13" si="37">HV8+HW8+HX8+HY8+HZ8+IA8+IB8+IC8</f>
        <v>15</v>
      </c>
      <c r="IE8" s="137">
        <v>0</v>
      </c>
      <c r="IF8" s="137">
        <v>0</v>
      </c>
      <c r="IG8" s="137">
        <v>0</v>
      </c>
      <c r="IH8" s="137">
        <v>0</v>
      </c>
      <c r="II8" s="137">
        <v>0</v>
      </c>
      <c r="IJ8" s="137">
        <v>0</v>
      </c>
      <c r="IK8" s="137">
        <v>0</v>
      </c>
      <c r="IL8" s="137">
        <v>0</v>
      </c>
      <c r="IM8" s="118">
        <f t="shared" ref="IM8:IM13" si="38">IE8+IF8+IG8+IH8+II8+IJ8+IK8+IL8</f>
        <v>0</v>
      </c>
      <c r="IN8" s="137"/>
      <c r="IO8" s="137"/>
      <c r="IP8" s="137">
        <v>31</v>
      </c>
      <c r="IQ8" s="137"/>
      <c r="IR8" s="137"/>
      <c r="IS8" s="137"/>
      <c r="IT8" s="137"/>
      <c r="IU8" s="137"/>
      <c r="IV8" s="118">
        <f t="shared" ref="IV8:IV13" si="39">IN8+IO8+IP8+IQ8+IR8+IS8+IT8+IU8</f>
        <v>31</v>
      </c>
      <c r="IW8" s="147">
        <v>0</v>
      </c>
      <c r="IX8" s="147">
        <v>0</v>
      </c>
      <c r="IY8" s="147">
        <v>0</v>
      </c>
      <c r="IZ8" s="147">
        <v>0</v>
      </c>
      <c r="JA8" s="147">
        <v>0</v>
      </c>
      <c r="JB8" s="147">
        <v>0</v>
      </c>
      <c r="JC8" s="147">
        <v>0</v>
      </c>
      <c r="JD8" s="147">
        <v>0</v>
      </c>
      <c r="JE8" s="118">
        <f t="shared" ref="JE8:JE13" si="40">IW8+IX8+IY8+IZ8+JA8+JB8+JC8+JD8</f>
        <v>0</v>
      </c>
      <c r="JF8" s="147"/>
      <c r="JG8" s="147"/>
      <c r="JH8" s="147">
        <v>21</v>
      </c>
      <c r="JI8" s="147"/>
      <c r="JJ8" s="147"/>
      <c r="JK8" s="147"/>
      <c r="JL8" s="147"/>
      <c r="JM8" s="147"/>
      <c r="JN8" s="118">
        <f t="shared" ref="JN8:JN13" si="41">JF8+JG8+JH8+JI8+JJ8+JK8+JL8+JM8</f>
        <v>21</v>
      </c>
      <c r="JO8" s="14">
        <f t="shared" ref="JO8:JO13" si="42">M8+AE8+AW8+BO8+CG8+CY8+DQ8+EI8+FA8+FS8+GK8+HC8+HU8+IM8+JE8</f>
        <v>2</v>
      </c>
      <c r="JP8" s="46">
        <f t="shared" ref="JP8:JP13" si="43">V8+AN8+BF8+BX8+CP8+DH8+DZ8+ER8+FJ8+GT8+GB8+HL8+ID8+IV8+JN8</f>
        <v>235</v>
      </c>
      <c r="JQ8" s="170">
        <f>JO8+JP8+JO9+JP9</f>
        <v>417</v>
      </c>
      <c r="JR8" s="173">
        <f>IF(D8&gt;0,D8-JQ8,"N/A")</f>
        <v>133</v>
      </c>
      <c r="JS8" s="176">
        <f t="shared" ref="JS8:JS13" si="44">IF(ISBLANK(D8),"",JQ8/D8)</f>
        <v>0.75818181818181818</v>
      </c>
      <c r="JT8" s="262">
        <v>74</v>
      </c>
      <c r="JU8" s="264">
        <f>JQ8-JT8</f>
        <v>343</v>
      </c>
      <c r="JV8" s="54"/>
    </row>
    <row r="9" spans="1:282" ht="24.5" thickBot="1" x14ac:dyDescent="0.55000000000000004">
      <c r="A9" s="65" t="s">
        <v>68</v>
      </c>
      <c r="B9" s="76" t="s">
        <v>69</v>
      </c>
      <c r="C9" s="75" t="s">
        <v>93</v>
      </c>
      <c r="D9" s="272"/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8">
        <f t="shared" ref="M9:M13" si="45">E9+F9+G9+H9+I9+J9+K9+L9</f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8">
        <f t="shared" si="15"/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8">
        <f t="shared" si="16"/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8">
        <f t="shared" si="17"/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38">
        <f t="shared" si="18"/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38">
        <f t="shared" si="19"/>
        <v>0</v>
      </c>
      <c r="BG9" s="41"/>
      <c r="BH9" s="41"/>
      <c r="BI9" s="41"/>
      <c r="BJ9" s="41"/>
      <c r="BK9" s="41"/>
      <c r="BL9" s="41"/>
      <c r="BM9" s="41"/>
      <c r="BN9" s="41"/>
      <c r="BO9" s="38">
        <f t="shared" si="20"/>
        <v>0</v>
      </c>
      <c r="BP9" s="41">
        <v>0</v>
      </c>
      <c r="BQ9" s="41">
        <v>0</v>
      </c>
      <c r="BR9" s="41">
        <v>0</v>
      </c>
      <c r="BS9" s="41">
        <v>0</v>
      </c>
      <c r="BT9" s="41">
        <v>0</v>
      </c>
      <c r="BU9" s="41">
        <v>0</v>
      </c>
      <c r="BV9" s="41">
        <v>0</v>
      </c>
      <c r="BW9" s="41">
        <v>0</v>
      </c>
      <c r="BX9" s="38">
        <f t="shared" si="21"/>
        <v>0</v>
      </c>
      <c r="BY9" s="42">
        <v>0</v>
      </c>
      <c r="BZ9" s="42">
        <v>0</v>
      </c>
      <c r="CA9" s="42">
        <v>0</v>
      </c>
      <c r="CB9" s="42">
        <v>0</v>
      </c>
      <c r="CC9" s="42">
        <v>0</v>
      </c>
      <c r="CD9" s="42">
        <v>0</v>
      </c>
      <c r="CE9" s="42">
        <v>0</v>
      </c>
      <c r="CF9" s="42">
        <v>0</v>
      </c>
      <c r="CG9" s="38">
        <f t="shared" si="22"/>
        <v>0</v>
      </c>
      <c r="CH9" s="42">
        <v>0</v>
      </c>
      <c r="CI9" s="42">
        <v>0</v>
      </c>
      <c r="CJ9" s="42">
        <v>0</v>
      </c>
      <c r="CK9" s="42">
        <v>0</v>
      </c>
      <c r="CL9" s="42">
        <v>0</v>
      </c>
      <c r="CM9" s="42">
        <v>0</v>
      </c>
      <c r="CN9" s="42">
        <v>0</v>
      </c>
      <c r="CO9" s="42">
        <v>0</v>
      </c>
      <c r="CP9" s="38">
        <f t="shared" si="23"/>
        <v>0</v>
      </c>
      <c r="CQ9" s="43">
        <v>0</v>
      </c>
      <c r="CR9" s="43">
        <v>0</v>
      </c>
      <c r="CS9" s="43">
        <v>0</v>
      </c>
      <c r="CT9" s="43">
        <v>0</v>
      </c>
      <c r="CU9" s="43">
        <v>0</v>
      </c>
      <c r="CV9" s="43">
        <v>0</v>
      </c>
      <c r="CW9" s="43">
        <v>0</v>
      </c>
      <c r="CX9" s="43">
        <v>0</v>
      </c>
      <c r="CY9" s="38">
        <f t="shared" si="24"/>
        <v>0</v>
      </c>
      <c r="CZ9" s="43">
        <v>0</v>
      </c>
      <c r="DA9" s="43">
        <v>0</v>
      </c>
      <c r="DB9" s="43">
        <v>0</v>
      </c>
      <c r="DC9" s="43">
        <v>0</v>
      </c>
      <c r="DD9" s="43">
        <v>0</v>
      </c>
      <c r="DE9" s="43">
        <v>0</v>
      </c>
      <c r="DF9" s="43">
        <v>0</v>
      </c>
      <c r="DG9" s="43">
        <v>0</v>
      </c>
      <c r="DH9" s="38">
        <f t="shared" si="25"/>
        <v>0</v>
      </c>
      <c r="DI9" s="39">
        <v>0</v>
      </c>
      <c r="DJ9" s="39">
        <v>0</v>
      </c>
      <c r="DK9" s="39">
        <v>0</v>
      </c>
      <c r="DL9" s="39">
        <v>0</v>
      </c>
      <c r="DM9" s="39">
        <v>0</v>
      </c>
      <c r="DN9" s="39">
        <v>0</v>
      </c>
      <c r="DO9" s="39">
        <v>0</v>
      </c>
      <c r="DP9" s="39">
        <v>0</v>
      </c>
      <c r="DQ9" s="38">
        <f t="shared" si="26"/>
        <v>0</v>
      </c>
      <c r="DR9" s="39">
        <v>0</v>
      </c>
      <c r="DS9" s="39">
        <v>0</v>
      </c>
      <c r="DT9" s="39">
        <v>0</v>
      </c>
      <c r="DU9" s="39">
        <v>0</v>
      </c>
      <c r="DV9" s="39">
        <v>0</v>
      </c>
      <c r="DW9" s="39">
        <v>0</v>
      </c>
      <c r="DX9" s="39">
        <v>0</v>
      </c>
      <c r="DY9" s="39">
        <v>0</v>
      </c>
      <c r="DZ9" s="38">
        <f t="shared" si="27"/>
        <v>0</v>
      </c>
      <c r="EA9" s="44">
        <v>0</v>
      </c>
      <c r="EB9" s="44">
        <v>0</v>
      </c>
      <c r="EC9" s="44">
        <v>0</v>
      </c>
      <c r="ED9" s="44">
        <v>0</v>
      </c>
      <c r="EE9" s="44">
        <v>0</v>
      </c>
      <c r="EF9" s="44">
        <v>0</v>
      </c>
      <c r="EG9" s="44">
        <v>0</v>
      </c>
      <c r="EH9" s="44">
        <v>0</v>
      </c>
      <c r="EI9" s="38">
        <f t="shared" si="28"/>
        <v>0</v>
      </c>
      <c r="EJ9" s="44">
        <v>0</v>
      </c>
      <c r="EK9" s="44">
        <v>0</v>
      </c>
      <c r="EL9" s="44">
        <v>20</v>
      </c>
      <c r="EM9" s="44">
        <v>0</v>
      </c>
      <c r="EN9" s="44">
        <v>0</v>
      </c>
      <c r="EO9" s="44">
        <v>0</v>
      </c>
      <c r="EP9" s="44">
        <v>0</v>
      </c>
      <c r="EQ9" s="44">
        <v>0</v>
      </c>
      <c r="ER9" s="38">
        <f t="shared" si="29"/>
        <v>20</v>
      </c>
      <c r="ES9" s="45">
        <v>0</v>
      </c>
      <c r="ET9" s="45">
        <v>0</v>
      </c>
      <c r="EU9" s="45">
        <v>0</v>
      </c>
      <c r="EV9" s="45">
        <v>0</v>
      </c>
      <c r="EW9" s="45">
        <v>0</v>
      </c>
      <c r="EX9" s="45">
        <v>0</v>
      </c>
      <c r="EY9" s="45">
        <v>0</v>
      </c>
      <c r="EZ9" s="45">
        <v>0</v>
      </c>
      <c r="FA9" s="38">
        <f t="shared" si="0"/>
        <v>0</v>
      </c>
      <c r="FB9" s="45">
        <v>0</v>
      </c>
      <c r="FC9" s="45">
        <v>0</v>
      </c>
      <c r="FD9" s="45">
        <v>54</v>
      </c>
      <c r="FE9" s="45">
        <v>0</v>
      </c>
      <c r="FF9" s="45">
        <v>0</v>
      </c>
      <c r="FG9" s="45">
        <v>0</v>
      </c>
      <c r="FH9" s="45">
        <v>0</v>
      </c>
      <c r="FI9" s="45">
        <v>0</v>
      </c>
      <c r="FJ9" s="38">
        <f t="shared" si="1"/>
        <v>54</v>
      </c>
      <c r="FK9" s="52">
        <v>0</v>
      </c>
      <c r="FL9" s="52">
        <v>0</v>
      </c>
      <c r="FM9" s="52">
        <v>0</v>
      </c>
      <c r="FN9" s="52">
        <v>0</v>
      </c>
      <c r="FO9" s="52">
        <v>0</v>
      </c>
      <c r="FP9" s="52">
        <v>0</v>
      </c>
      <c r="FQ9" s="52">
        <v>0</v>
      </c>
      <c r="FR9" s="52">
        <v>0</v>
      </c>
      <c r="FS9" s="38">
        <f t="shared" si="30"/>
        <v>0</v>
      </c>
      <c r="FT9" s="52">
        <v>0</v>
      </c>
      <c r="FU9" s="52">
        <v>0</v>
      </c>
      <c r="FV9" s="52">
        <v>32</v>
      </c>
      <c r="FW9" s="52">
        <v>0</v>
      </c>
      <c r="FX9" s="52">
        <v>0</v>
      </c>
      <c r="FY9" s="52">
        <v>0</v>
      </c>
      <c r="FZ9" s="52">
        <v>0</v>
      </c>
      <c r="GA9" s="52">
        <v>0</v>
      </c>
      <c r="GB9" s="38">
        <f t="shared" si="31"/>
        <v>32</v>
      </c>
      <c r="GC9" s="117">
        <v>0</v>
      </c>
      <c r="GD9" s="117">
        <v>0</v>
      </c>
      <c r="GE9" s="117">
        <v>1</v>
      </c>
      <c r="GF9" s="117">
        <v>0</v>
      </c>
      <c r="GG9" s="117">
        <v>0</v>
      </c>
      <c r="GH9" s="117">
        <v>0</v>
      </c>
      <c r="GI9" s="117">
        <v>0</v>
      </c>
      <c r="GJ9" s="117">
        <v>0</v>
      </c>
      <c r="GK9" s="118">
        <f t="shared" si="32"/>
        <v>1</v>
      </c>
      <c r="GL9" s="117">
        <v>0</v>
      </c>
      <c r="GM9" s="117">
        <v>0</v>
      </c>
      <c r="GN9" s="117">
        <v>30</v>
      </c>
      <c r="GO9" s="117">
        <v>0</v>
      </c>
      <c r="GP9" s="117">
        <v>0</v>
      </c>
      <c r="GQ9" s="117">
        <v>0</v>
      </c>
      <c r="GR9" s="117">
        <v>0</v>
      </c>
      <c r="GS9" s="117">
        <v>0</v>
      </c>
      <c r="GT9" s="118">
        <f t="shared" si="33"/>
        <v>30</v>
      </c>
      <c r="GU9" s="62">
        <v>0</v>
      </c>
      <c r="GV9" s="62">
        <v>0</v>
      </c>
      <c r="GW9" s="62">
        <v>0</v>
      </c>
      <c r="GX9" s="62">
        <v>0</v>
      </c>
      <c r="GY9" s="62">
        <v>0</v>
      </c>
      <c r="GZ9" s="62">
        <v>0</v>
      </c>
      <c r="HA9" s="62">
        <v>0</v>
      </c>
      <c r="HB9" s="62">
        <v>0</v>
      </c>
      <c r="HC9" s="118">
        <f t="shared" si="34"/>
        <v>0</v>
      </c>
      <c r="HD9" s="62">
        <v>0</v>
      </c>
      <c r="HE9" s="62">
        <v>0</v>
      </c>
      <c r="HF9" s="62">
        <v>17</v>
      </c>
      <c r="HG9" s="62">
        <v>0</v>
      </c>
      <c r="HH9" s="62">
        <v>0</v>
      </c>
      <c r="HI9" s="62">
        <v>0</v>
      </c>
      <c r="HJ9" s="62">
        <v>0</v>
      </c>
      <c r="HK9" s="62">
        <v>0</v>
      </c>
      <c r="HL9" s="118">
        <f t="shared" si="35"/>
        <v>17</v>
      </c>
      <c r="HM9" s="121">
        <v>0</v>
      </c>
      <c r="HN9" s="121">
        <v>0</v>
      </c>
      <c r="HO9" s="121">
        <v>0</v>
      </c>
      <c r="HP9" s="121">
        <v>0</v>
      </c>
      <c r="HQ9" s="121">
        <v>0</v>
      </c>
      <c r="HR9" s="121">
        <v>0</v>
      </c>
      <c r="HS9" s="121">
        <v>0</v>
      </c>
      <c r="HT9" s="121">
        <v>0</v>
      </c>
      <c r="HU9" s="118">
        <f t="shared" si="36"/>
        <v>0</v>
      </c>
      <c r="HV9" s="121"/>
      <c r="HW9" s="121"/>
      <c r="HX9" s="121">
        <v>10</v>
      </c>
      <c r="HY9" s="121"/>
      <c r="HZ9" s="121"/>
      <c r="IA9" s="121"/>
      <c r="IB9" s="121"/>
      <c r="IC9" s="121"/>
      <c r="ID9" s="118">
        <f t="shared" si="37"/>
        <v>10</v>
      </c>
      <c r="IE9" s="137">
        <v>0</v>
      </c>
      <c r="IF9" s="137">
        <v>0</v>
      </c>
      <c r="IG9" s="137">
        <v>0</v>
      </c>
      <c r="IH9" s="137">
        <v>0</v>
      </c>
      <c r="II9" s="137">
        <v>0</v>
      </c>
      <c r="IJ9" s="137">
        <v>0</v>
      </c>
      <c r="IK9" s="137">
        <v>0</v>
      </c>
      <c r="IL9" s="137">
        <v>0</v>
      </c>
      <c r="IM9" s="118">
        <f t="shared" si="38"/>
        <v>0</v>
      </c>
      <c r="IN9" s="137"/>
      <c r="IO9" s="137"/>
      <c r="IP9" s="137">
        <v>7</v>
      </c>
      <c r="IQ9" s="137"/>
      <c r="IR9" s="137"/>
      <c r="IS9" s="137"/>
      <c r="IT9" s="137"/>
      <c r="IU9" s="137"/>
      <c r="IV9" s="118">
        <f t="shared" si="39"/>
        <v>7</v>
      </c>
      <c r="IW9" s="147">
        <v>0</v>
      </c>
      <c r="IX9" s="147">
        <v>0</v>
      </c>
      <c r="IY9" s="147">
        <v>0</v>
      </c>
      <c r="IZ9" s="147">
        <v>0</v>
      </c>
      <c r="JA9" s="147">
        <v>0</v>
      </c>
      <c r="JB9" s="147">
        <v>0</v>
      </c>
      <c r="JC9" s="147">
        <v>0</v>
      </c>
      <c r="JD9" s="147">
        <v>0</v>
      </c>
      <c r="JE9" s="118">
        <f t="shared" si="40"/>
        <v>0</v>
      </c>
      <c r="JF9" s="147"/>
      <c r="JG9" s="147"/>
      <c r="JH9" s="147">
        <v>9</v>
      </c>
      <c r="JI9" s="147"/>
      <c r="JJ9" s="147"/>
      <c r="JK9" s="147"/>
      <c r="JL9" s="147"/>
      <c r="JM9" s="147"/>
      <c r="JN9" s="118">
        <f t="shared" si="41"/>
        <v>9</v>
      </c>
      <c r="JO9" s="14">
        <f t="shared" si="42"/>
        <v>1</v>
      </c>
      <c r="JP9" s="46">
        <f t="shared" si="43"/>
        <v>179</v>
      </c>
      <c r="JQ9" s="172"/>
      <c r="JR9" s="175"/>
      <c r="JS9" s="178" t="str">
        <f t="shared" si="44"/>
        <v/>
      </c>
      <c r="JT9" s="263"/>
      <c r="JU9" s="265"/>
    </row>
    <row r="10" spans="1:282" ht="24.5" thickBot="1" x14ac:dyDescent="0.75">
      <c r="A10" s="65" t="s">
        <v>68</v>
      </c>
      <c r="B10" s="74" t="s">
        <v>70</v>
      </c>
      <c r="C10" s="75"/>
      <c r="D10" s="75">
        <v>150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8">
        <f t="shared" si="45"/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8">
        <f t="shared" si="15"/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8">
        <f t="shared" si="16"/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0</v>
      </c>
      <c r="AK10" s="39">
        <v>0</v>
      </c>
      <c r="AL10" s="39">
        <v>0</v>
      </c>
      <c r="AM10" s="39">
        <v>0</v>
      </c>
      <c r="AN10" s="38">
        <f t="shared" si="17"/>
        <v>0</v>
      </c>
      <c r="AO10" s="40">
        <v>0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0</v>
      </c>
      <c r="AV10" s="40">
        <v>0</v>
      </c>
      <c r="AW10" s="38">
        <f t="shared" si="18"/>
        <v>0</v>
      </c>
      <c r="AX10" s="40">
        <v>0</v>
      </c>
      <c r="AY10" s="40">
        <v>0</v>
      </c>
      <c r="AZ10" s="40">
        <v>3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38">
        <f t="shared" si="19"/>
        <v>3</v>
      </c>
      <c r="BG10" s="41"/>
      <c r="BH10" s="41"/>
      <c r="BI10" s="41"/>
      <c r="BJ10" s="41"/>
      <c r="BK10" s="41"/>
      <c r="BL10" s="41"/>
      <c r="BM10" s="41"/>
      <c r="BN10" s="41"/>
      <c r="BO10" s="38">
        <f t="shared" si="20"/>
        <v>0</v>
      </c>
      <c r="BP10" s="41">
        <v>0</v>
      </c>
      <c r="BQ10" s="41">
        <v>0</v>
      </c>
      <c r="BR10" s="41">
        <v>7</v>
      </c>
      <c r="BS10" s="41">
        <v>0</v>
      </c>
      <c r="BT10" s="41">
        <v>0</v>
      </c>
      <c r="BU10" s="41">
        <v>0</v>
      </c>
      <c r="BV10" s="41">
        <v>0</v>
      </c>
      <c r="BW10" s="41">
        <v>0</v>
      </c>
      <c r="BX10" s="38">
        <f t="shared" si="21"/>
        <v>7</v>
      </c>
      <c r="BY10" s="42">
        <v>0</v>
      </c>
      <c r="BZ10" s="42">
        <v>0</v>
      </c>
      <c r="CA10" s="42">
        <v>0</v>
      </c>
      <c r="CB10" s="42">
        <v>0</v>
      </c>
      <c r="CC10" s="42">
        <v>0</v>
      </c>
      <c r="CD10" s="42">
        <v>0</v>
      </c>
      <c r="CE10" s="42">
        <v>0</v>
      </c>
      <c r="CF10" s="42">
        <v>0</v>
      </c>
      <c r="CG10" s="38">
        <f t="shared" si="22"/>
        <v>0</v>
      </c>
      <c r="CH10" s="42">
        <v>0</v>
      </c>
      <c r="CI10" s="42">
        <v>0</v>
      </c>
      <c r="CJ10" s="42">
        <v>16</v>
      </c>
      <c r="CK10" s="42">
        <v>0</v>
      </c>
      <c r="CL10" s="42">
        <v>0</v>
      </c>
      <c r="CM10" s="42">
        <v>0</v>
      </c>
      <c r="CN10" s="42">
        <v>0</v>
      </c>
      <c r="CO10" s="42">
        <v>0</v>
      </c>
      <c r="CP10" s="38">
        <f t="shared" si="23"/>
        <v>16</v>
      </c>
      <c r="CQ10" s="43">
        <v>0</v>
      </c>
      <c r="CR10" s="43">
        <v>0</v>
      </c>
      <c r="CS10" s="43">
        <v>0</v>
      </c>
      <c r="CT10" s="43">
        <v>0</v>
      </c>
      <c r="CU10" s="43">
        <v>0</v>
      </c>
      <c r="CV10" s="43">
        <v>0</v>
      </c>
      <c r="CW10" s="43">
        <v>0</v>
      </c>
      <c r="CX10" s="43">
        <v>0</v>
      </c>
      <c r="CY10" s="38">
        <f t="shared" si="24"/>
        <v>0</v>
      </c>
      <c r="CZ10" s="43">
        <v>0</v>
      </c>
      <c r="DA10" s="43">
        <v>0</v>
      </c>
      <c r="DB10" s="43">
        <v>0</v>
      </c>
      <c r="DC10" s="43">
        <v>0</v>
      </c>
      <c r="DD10" s="43">
        <v>0</v>
      </c>
      <c r="DE10" s="43">
        <v>0</v>
      </c>
      <c r="DF10" s="43">
        <v>0</v>
      </c>
      <c r="DG10" s="43">
        <v>0</v>
      </c>
      <c r="DH10" s="38">
        <f t="shared" si="25"/>
        <v>0</v>
      </c>
      <c r="DI10" s="39">
        <v>0</v>
      </c>
      <c r="DJ10" s="39">
        <v>0</v>
      </c>
      <c r="DK10" s="39">
        <v>0</v>
      </c>
      <c r="DL10" s="39">
        <v>0</v>
      </c>
      <c r="DM10" s="39">
        <v>0</v>
      </c>
      <c r="DN10" s="39">
        <v>0</v>
      </c>
      <c r="DO10" s="39">
        <v>0</v>
      </c>
      <c r="DP10" s="39">
        <v>0</v>
      </c>
      <c r="DQ10" s="38">
        <f t="shared" si="26"/>
        <v>0</v>
      </c>
      <c r="DR10" s="39">
        <v>0</v>
      </c>
      <c r="DS10" s="39">
        <v>0</v>
      </c>
      <c r="DT10" s="39">
        <v>0</v>
      </c>
      <c r="DU10" s="39">
        <v>0</v>
      </c>
      <c r="DV10" s="39">
        <v>0</v>
      </c>
      <c r="DW10" s="39">
        <v>0</v>
      </c>
      <c r="DX10" s="39">
        <v>0</v>
      </c>
      <c r="DY10" s="39">
        <v>0</v>
      </c>
      <c r="DZ10" s="38">
        <f t="shared" si="27"/>
        <v>0</v>
      </c>
      <c r="EA10" s="44">
        <v>0</v>
      </c>
      <c r="EB10" s="44">
        <v>0</v>
      </c>
      <c r="EC10" s="44">
        <v>0</v>
      </c>
      <c r="ED10" s="44">
        <v>0</v>
      </c>
      <c r="EE10" s="44">
        <v>0</v>
      </c>
      <c r="EF10" s="44">
        <v>0</v>
      </c>
      <c r="EG10" s="44">
        <v>0</v>
      </c>
      <c r="EH10" s="44">
        <v>0</v>
      </c>
      <c r="EI10" s="38">
        <f t="shared" si="28"/>
        <v>0</v>
      </c>
      <c r="EJ10" s="44">
        <v>0</v>
      </c>
      <c r="EK10" s="44">
        <v>0</v>
      </c>
      <c r="EL10" s="44">
        <v>0</v>
      </c>
      <c r="EM10" s="44">
        <v>0</v>
      </c>
      <c r="EN10" s="44">
        <v>0</v>
      </c>
      <c r="EO10" s="44">
        <v>0</v>
      </c>
      <c r="EP10" s="44">
        <v>0</v>
      </c>
      <c r="EQ10" s="44">
        <v>0</v>
      </c>
      <c r="ER10" s="38">
        <f t="shared" si="29"/>
        <v>0</v>
      </c>
      <c r="ES10" s="45"/>
      <c r="ET10" s="45"/>
      <c r="EU10" s="45"/>
      <c r="EV10" s="45"/>
      <c r="EW10" s="45"/>
      <c r="EX10" s="45"/>
      <c r="EY10" s="45"/>
      <c r="EZ10" s="45"/>
      <c r="FA10" s="38">
        <f t="shared" si="0"/>
        <v>0</v>
      </c>
      <c r="FB10" s="45"/>
      <c r="FC10" s="45"/>
      <c r="FD10" s="45"/>
      <c r="FE10" s="45"/>
      <c r="FF10" s="45"/>
      <c r="FG10" s="45"/>
      <c r="FH10" s="45"/>
      <c r="FI10" s="45"/>
      <c r="FJ10" s="38">
        <f t="shared" si="1"/>
        <v>0</v>
      </c>
      <c r="FK10" s="52">
        <v>0</v>
      </c>
      <c r="FL10" s="52">
        <v>0</v>
      </c>
      <c r="FM10" s="52">
        <v>0</v>
      </c>
      <c r="FN10" s="52">
        <v>0</v>
      </c>
      <c r="FO10" s="52">
        <v>0</v>
      </c>
      <c r="FP10" s="52">
        <v>0</v>
      </c>
      <c r="FQ10" s="52">
        <v>0</v>
      </c>
      <c r="FR10" s="52">
        <v>0</v>
      </c>
      <c r="FS10" s="38">
        <f t="shared" si="30"/>
        <v>0</v>
      </c>
      <c r="FT10" s="52">
        <v>0</v>
      </c>
      <c r="FU10" s="52">
        <v>0</v>
      </c>
      <c r="FV10" s="52">
        <v>0</v>
      </c>
      <c r="FW10" s="52">
        <v>0</v>
      </c>
      <c r="FX10" s="52">
        <v>0</v>
      </c>
      <c r="FY10" s="52">
        <v>0</v>
      </c>
      <c r="FZ10" s="52">
        <v>0</v>
      </c>
      <c r="GA10" s="52">
        <v>0</v>
      </c>
      <c r="GB10" s="38">
        <f t="shared" si="31"/>
        <v>0</v>
      </c>
      <c r="GC10" s="117"/>
      <c r="GD10" s="117"/>
      <c r="GE10" s="117"/>
      <c r="GF10" s="117"/>
      <c r="GG10" s="117"/>
      <c r="GH10" s="117"/>
      <c r="GI10" s="117"/>
      <c r="GJ10" s="117"/>
      <c r="GK10" s="118">
        <f t="shared" si="32"/>
        <v>0</v>
      </c>
      <c r="GL10" s="117"/>
      <c r="GM10" s="117"/>
      <c r="GN10" s="117"/>
      <c r="GO10" s="117"/>
      <c r="GP10" s="117"/>
      <c r="GQ10" s="117"/>
      <c r="GR10" s="117"/>
      <c r="GS10" s="117"/>
      <c r="GT10" s="118">
        <f t="shared" si="33"/>
        <v>0</v>
      </c>
      <c r="GU10" s="62"/>
      <c r="GV10" s="62"/>
      <c r="GW10" s="62"/>
      <c r="GX10" s="62"/>
      <c r="GY10" s="62"/>
      <c r="GZ10" s="62"/>
      <c r="HA10" s="62"/>
      <c r="HB10" s="62"/>
      <c r="HC10" s="118">
        <f t="shared" si="34"/>
        <v>0</v>
      </c>
      <c r="HD10" s="62"/>
      <c r="HE10" s="62"/>
      <c r="HF10" s="62"/>
      <c r="HG10" s="62"/>
      <c r="HH10" s="62"/>
      <c r="HI10" s="62"/>
      <c r="HJ10" s="62"/>
      <c r="HK10" s="62"/>
      <c r="HL10" s="118">
        <f t="shared" si="35"/>
        <v>0</v>
      </c>
      <c r="HM10" s="121"/>
      <c r="HN10" s="121"/>
      <c r="HO10" s="121"/>
      <c r="HP10" s="121"/>
      <c r="HQ10" s="121"/>
      <c r="HR10" s="121"/>
      <c r="HS10" s="121"/>
      <c r="HT10" s="121"/>
      <c r="HU10" s="118">
        <f t="shared" si="36"/>
        <v>0</v>
      </c>
      <c r="HV10" s="121"/>
      <c r="HW10" s="121"/>
      <c r="HX10" s="121"/>
      <c r="HY10" s="121"/>
      <c r="HZ10" s="121"/>
      <c r="IA10" s="121"/>
      <c r="IB10" s="121"/>
      <c r="IC10" s="121"/>
      <c r="ID10" s="118">
        <f t="shared" si="37"/>
        <v>0</v>
      </c>
      <c r="IE10" s="137"/>
      <c r="IF10" s="137"/>
      <c r="IG10" s="137">
        <v>1</v>
      </c>
      <c r="IH10" s="137"/>
      <c r="II10" s="137"/>
      <c r="IJ10" s="137"/>
      <c r="IK10" s="137"/>
      <c r="IL10" s="137"/>
      <c r="IM10" s="118">
        <f t="shared" si="38"/>
        <v>1</v>
      </c>
      <c r="IN10" s="137"/>
      <c r="IO10" s="137"/>
      <c r="IP10" s="137">
        <v>147</v>
      </c>
      <c r="IQ10" s="137"/>
      <c r="IR10" s="137"/>
      <c r="IS10" s="137"/>
      <c r="IT10" s="137"/>
      <c r="IU10" s="137"/>
      <c r="IV10" s="118">
        <f t="shared" si="39"/>
        <v>147</v>
      </c>
      <c r="IW10" s="147"/>
      <c r="IX10" s="147"/>
      <c r="IY10" s="147"/>
      <c r="IZ10" s="147"/>
      <c r="JA10" s="147"/>
      <c r="JB10" s="147"/>
      <c r="JC10" s="147"/>
      <c r="JD10" s="147"/>
      <c r="JE10" s="118">
        <f t="shared" si="40"/>
        <v>0</v>
      </c>
      <c r="JF10" s="147"/>
      <c r="JG10" s="147"/>
      <c r="JH10" s="147">
        <v>60</v>
      </c>
      <c r="JI10" s="147"/>
      <c r="JJ10" s="147"/>
      <c r="JK10" s="147"/>
      <c r="JL10" s="147"/>
      <c r="JM10" s="147"/>
      <c r="JN10" s="118">
        <f t="shared" si="41"/>
        <v>60</v>
      </c>
      <c r="JO10" s="14">
        <f t="shared" si="42"/>
        <v>1</v>
      </c>
      <c r="JP10" s="46">
        <f t="shared" si="43"/>
        <v>233</v>
      </c>
      <c r="JQ10" s="47">
        <f t="shared" ref="JQ10:JQ26" si="46">JO10+JP10</f>
        <v>234</v>
      </c>
      <c r="JR10" s="46">
        <f>IF(D10&gt;0,D10-(JO10+JP10),"N/A")</f>
        <v>-84</v>
      </c>
      <c r="JS10" s="15">
        <f t="shared" si="44"/>
        <v>1.56</v>
      </c>
    </row>
    <row r="11" spans="1:282" ht="48.5" thickBot="1" x14ac:dyDescent="0.75">
      <c r="A11" s="65" t="s">
        <v>68</v>
      </c>
      <c r="B11" s="74" t="s">
        <v>71</v>
      </c>
      <c r="C11" s="75"/>
      <c r="D11" s="75">
        <v>2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8">
        <f t="shared" si="45"/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8">
        <f t="shared" si="15"/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8">
        <f t="shared" si="16"/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v>0</v>
      </c>
      <c r="AK11" s="39">
        <v>0</v>
      </c>
      <c r="AL11" s="39">
        <v>0</v>
      </c>
      <c r="AM11" s="39">
        <v>0</v>
      </c>
      <c r="AN11" s="38">
        <f t="shared" si="17"/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38">
        <f t="shared" si="18"/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38">
        <f t="shared" si="19"/>
        <v>0</v>
      </c>
      <c r="BG11" s="41"/>
      <c r="BH11" s="41"/>
      <c r="BI11" s="41"/>
      <c r="BJ11" s="41"/>
      <c r="BK11" s="41"/>
      <c r="BL11" s="41"/>
      <c r="BM11" s="41"/>
      <c r="BN11" s="41"/>
      <c r="BO11" s="38">
        <f t="shared" si="20"/>
        <v>0</v>
      </c>
      <c r="BP11" s="41">
        <v>0</v>
      </c>
      <c r="BQ11" s="41">
        <v>0</v>
      </c>
      <c r="BR11" s="41">
        <v>0</v>
      </c>
      <c r="BS11" s="41">
        <v>0</v>
      </c>
      <c r="BT11" s="41">
        <v>0</v>
      </c>
      <c r="BU11" s="41">
        <v>0</v>
      </c>
      <c r="BV11" s="41">
        <v>0</v>
      </c>
      <c r="BW11" s="41">
        <v>0</v>
      </c>
      <c r="BX11" s="38">
        <f t="shared" si="21"/>
        <v>0</v>
      </c>
      <c r="BY11" s="42">
        <v>0</v>
      </c>
      <c r="BZ11" s="42">
        <v>0</v>
      </c>
      <c r="CA11" s="42">
        <v>0</v>
      </c>
      <c r="CB11" s="42">
        <v>0</v>
      </c>
      <c r="CC11" s="42">
        <v>0</v>
      </c>
      <c r="CD11" s="42">
        <v>0</v>
      </c>
      <c r="CE11" s="42">
        <v>0</v>
      </c>
      <c r="CF11" s="42">
        <v>0</v>
      </c>
      <c r="CG11" s="38">
        <f t="shared" si="22"/>
        <v>0</v>
      </c>
      <c r="CH11" s="42">
        <v>0</v>
      </c>
      <c r="CI11" s="42">
        <v>0</v>
      </c>
      <c r="CJ11" s="42">
        <v>0</v>
      </c>
      <c r="CK11" s="42">
        <v>0</v>
      </c>
      <c r="CL11" s="42">
        <v>0</v>
      </c>
      <c r="CM11" s="42">
        <v>0</v>
      </c>
      <c r="CN11" s="42">
        <v>0</v>
      </c>
      <c r="CO11" s="42">
        <v>0</v>
      </c>
      <c r="CP11" s="38">
        <f t="shared" si="23"/>
        <v>0</v>
      </c>
      <c r="CQ11" s="43">
        <v>0</v>
      </c>
      <c r="CR11" s="43">
        <v>0</v>
      </c>
      <c r="CS11" s="43">
        <v>1</v>
      </c>
      <c r="CT11" s="43">
        <v>0</v>
      </c>
      <c r="CU11" s="43">
        <v>0</v>
      </c>
      <c r="CV11" s="43">
        <v>0</v>
      </c>
      <c r="CW11" s="43">
        <v>0</v>
      </c>
      <c r="CX11" s="43">
        <v>0</v>
      </c>
      <c r="CY11" s="38">
        <f t="shared" si="24"/>
        <v>1</v>
      </c>
      <c r="CZ11" s="43">
        <v>0</v>
      </c>
      <c r="DA11" s="43">
        <v>0</v>
      </c>
      <c r="DB11" s="43">
        <v>0</v>
      </c>
      <c r="DC11" s="43">
        <v>0</v>
      </c>
      <c r="DD11" s="43">
        <v>0</v>
      </c>
      <c r="DE11" s="43">
        <v>0</v>
      </c>
      <c r="DF11" s="43">
        <v>0</v>
      </c>
      <c r="DG11" s="43">
        <v>0</v>
      </c>
      <c r="DH11" s="38">
        <f t="shared" si="25"/>
        <v>0</v>
      </c>
      <c r="DI11" s="39">
        <v>0</v>
      </c>
      <c r="DJ11" s="39">
        <v>0</v>
      </c>
      <c r="DK11" s="39">
        <v>0</v>
      </c>
      <c r="DL11" s="39">
        <v>0</v>
      </c>
      <c r="DM11" s="39">
        <v>0</v>
      </c>
      <c r="DN11" s="39">
        <v>0</v>
      </c>
      <c r="DO11" s="39">
        <v>0</v>
      </c>
      <c r="DP11" s="39">
        <v>0</v>
      </c>
      <c r="DQ11" s="38">
        <f t="shared" si="26"/>
        <v>0</v>
      </c>
      <c r="DR11" s="39">
        <v>0</v>
      </c>
      <c r="DS11" s="39">
        <v>0</v>
      </c>
      <c r="DT11" s="39">
        <v>0</v>
      </c>
      <c r="DU11" s="39">
        <v>0</v>
      </c>
      <c r="DV11" s="39">
        <v>0</v>
      </c>
      <c r="DW11" s="39">
        <v>0</v>
      </c>
      <c r="DX11" s="39">
        <v>0</v>
      </c>
      <c r="DY11" s="39">
        <v>0</v>
      </c>
      <c r="DZ11" s="38">
        <f t="shared" si="27"/>
        <v>0</v>
      </c>
      <c r="EA11" s="44">
        <v>0</v>
      </c>
      <c r="EB11" s="44">
        <v>0</v>
      </c>
      <c r="EC11" s="44">
        <v>0</v>
      </c>
      <c r="ED11" s="44">
        <v>0</v>
      </c>
      <c r="EE11" s="44">
        <v>0</v>
      </c>
      <c r="EF11" s="44">
        <v>0</v>
      </c>
      <c r="EG11" s="44">
        <v>0</v>
      </c>
      <c r="EH11" s="44">
        <v>0</v>
      </c>
      <c r="EI11" s="38">
        <f t="shared" si="28"/>
        <v>0</v>
      </c>
      <c r="EJ11" s="44">
        <v>0</v>
      </c>
      <c r="EK11" s="44">
        <v>0</v>
      </c>
      <c r="EL11" s="44">
        <v>0</v>
      </c>
      <c r="EM11" s="44">
        <v>0</v>
      </c>
      <c r="EN11" s="44">
        <v>0</v>
      </c>
      <c r="EO11" s="44">
        <v>0</v>
      </c>
      <c r="EP11" s="44">
        <v>0</v>
      </c>
      <c r="EQ11" s="44">
        <v>0</v>
      </c>
      <c r="ER11" s="38">
        <f t="shared" si="29"/>
        <v>0</v>
      </c>
      <c r="ES11" s="45"/>
      <c r="ET11" s="45"/>
      <c r="EU11" s="45"/>
      <c r="EV11" s="45"/>
      <c r="EW11" s="45"/>
      <c r="EX11" s="45"/>
      <c r="EY11" s="45"/>
      <c r="EZ11" s="45"/>
      <c r="FA11" s="38">
        <f t="shared" si="0"/>
        <v>0</v>
      </c>
      <c r="FB11" s="45"/>
      <c r="FC11" s="45"/>
      <c r="FD11" s="45"/>
      <c r="FE11" s="45"/>
      <c r="FF11" s="45"/>
      <c r="FG11" s="45"/>
      <c r="FH11" s="45"/>
      <c r="FI11" s="45"/>
      <c r="FJ11" s="38">
        <f t="shared" si="1"/>
        <v>0</v>
      </c>
      <c r="FK11" s="52">
        <v>0</v>
      </c>
      <c r="FL11" s="52">
        <v>0</v>
      </c>
      <c r="FM11" s="52">
        <v>0</v>
      </c>
      <c r="FN11" s="52">
        <v>0</v>
      </c>
      <c r="FO11" s="52">
        <v>0</v>
      </c>
      <c r="FP11" s="52">
        <v>0</v>
      </c>
      <c r="FQ11" s="52">
        <v>0</v>
      </c>
      <c r="FR11" s="52">
        <v>0</v>
      </c>
      <c r="FS11" s="38">
        <f t="shared" si="30"/>
        <v>0</v>
      </c>
      <c r="FT11" s="52">
        <v>0</v>
      </c>
      <c r="FU11" s="52">
        <v>0</v>
      </c>
      <c r="FV11" s="52">
        <v>0</v>
      </c>
      <c r="FW11" s="52">
        <v>0</v>
      </c>
      <c r="FX11" s="52">
        <v>0</v>
      </c>
      <c r="FY11" s="52">
        <v>0</v>
      </c>
      <c r="FZ11" s="52">
        <v>0</v>
      </c>
      <c r="GA11" s="52">
        <v>0</v>
      </c>
      <c r="GB11" s="38">
        <f t="shared" si="31"/>
        <v>0</v>
      </c>
      <c r="GC11" s="117"/>
      <c r="GD11" s="117"/>
      <c r="GE11" s="117"/>
      <c r="GF11" s="117"/>
      <c r="GG11" s="117"/>
      <c r="GH11" s="117"/>
      <c r="GI11" s="117"/>
      <c r="GJ11" s="117"/>
      <c r="GK11" s="118">
        <f t="shared" si="32"/>
        <v>0</v>
      </c>
      <c r="GL11" s="117"/>
      <c r="GM11" s="117"/>
      <c r="GN11" s="117"/>
      <c r="GO11" s="117"/>
      <c r="GP11" s="117"/>
      <c r="GQ11" s="117"/>
      <c r="GR11" s="117"/>
      <c r="GS11" s="117"/>
      <c r="GT11" s="118">
        <f t="shared" si="33"/>
        <v>0</v>
      </c>
      <c r="GU11" s="62"/>
      <c r="GV11" s="62"/>
      <c r="GW11" s="62"/>
      <c r="GX11" s="62"/>
      <c r="GY11" s="62"/>
      <c r="GZ11" s="62"/>
      <c r="HA11" s="62"/>
      <c r="HB11" s="62"/>
      <c r="HC11" s="118">
        <f t="shared" si="34"/>
        <v>0</v>
      </c>
      <c r="HD11" s="273">
        <v>1</v>
      </c>
      <c r="HE11" s="274"/>
      <c r="HF11" s="274"/>
      <c r="HG11" s="274"/>
      <c r="HH11" s="274"/>
      <c r="HI11" s="274"/>
      <c r="HJ11" s="274"/>
      <c r="HK11" s="275"/>
      <c r="HL11" s="118">
        <f t="shared" si="35"/>
        <v>1</v>
      </c>
      <c r="HM11" s="121"/>
      <c r="HN11" s="121"/>
      <c r="HO11" s="121"/>
      <c r="HP11" s="121"/>
      <c r="HQ11" s="121"/>
      <c r="HR11" s="121"/>
      <c r="HS11" s="121"/>
      <c r="HT11" s="121"/>
      <c r="HU11" s="118">
        <f t="shared" si="36"/>
        <v>0</v>
      </c>
      <c r="HV11" s="276"/>
      <c r="HW11" s="277"/>
      <c r="HX11" s="277"/>
      <c r="HY11" s="277"/>
      <c r="HZ11" s="277"/>
      <c r="IA11" s="277"/>
      <c r="IB11" s="277"/>
      <c r="IC11" s="278"/>
      <c r="ID11" s="118">
        <f t="shared" si="37"/>
        <v>0</v>
      </c>
      <c r="IE11" s="137"/>
      <c r="IF11" s="137"/>
      <c r="IG11" s="137"/>
      <c r="IH11" s="137"/>
      <c r="II11" s="137"/>
      <c r="IJ11" s="137"/>
      <c r="IK11" s="137"/>
      <c r="IL11" s="137"/>
      <c r="IM11" s="118">
        <f t="shared" si="38"/>
        <v>0</v>
      </c>
      <c r="IN11" s="279"/>
      <c r="IO11" s="280"/>
      <c r="IP11" s="280"/>
      <c r="IQ11" s="280"/>
      <c r="IR11" s="280"/>
      <c r="IS11" s="280"/>
      <c r="IT11" s="280"/>
      <c r="IU11" s="281"/>
      <c r="IV11" s="118">
        <f t="shared" si="39"/>
        <v>0</v>
      </c>
      <c r="IW11" s="147"/>
      <c r="IX11" s="147"/>
      <c r="IY11" s="147"/>
      <c r="IZ11" s="147"/>
      <c r="JA11" s="147"/>
      <c r="JB11" s="147"/>
      <c r="JC11" s="147"/>
      <c r="JD11" s="147"/>
      <c r="JE11" s="118">
        <f t="shared" si="40"/>
        <v>0</v>
      </c>
      <c r="JF11" s="282"/>
      <c r="JG11" s="283"/>
      <c r="JH11" s="283"/>
      <c r="JI11" s="283"/>
      <c r="JJ11" s="283"/>
      <c r="JK11" s="283"/>
      <c r="JL11" s="283"/>
      <c r="JM11" s="284"/>
      <c r="JN11" s="118">
        <f t="shared" si="41"/>
        <v>0</v>
      </c>
      <c r="JO11" s="14">
        <f t="shared" si="42"/>
        <v>1</v>
      </c>
      <c r="JP11" s="46">
        <f t="shared" si="43"/>
        <v>1</v>
      </c>
      <c r="JQ11" s="47">
        <f t="shared" si="46"/>
        <v>2</v>
      </c>
      <c r="JR11" s="46">
        <f>IF(D11&gt;0,D11-(JO11+JP11),"N/A")</f>
        <v>0</v>
      </c>
      <c r="JS11" s="15">
        <f t="shared" si="44"/>
        <v>1</v>
      </c>
    </row>
    <row r="12" spans="1:282" ht="24.5" thickBot="1" x14ac:dyDescent="0.75">
      <c r="A12" s="65" t="s">
        <v>68</v>
      </c>
      <c r="B12" s="74" t="s">
        <v>72</v>
      </c>
      <c r="C12" s="75"/>
      <c r="D12" s="75">
        <v>300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8">
        <f t="shared" si="45"/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8">
        <f t="shared" si="15"/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8">
        <f t="shared" si="16"/>
        <v>0</v>
      </c>
      <c r="AF12" s="39">
        <v>0</v>
      </c>
      <c r="AG12" s="39">
        <v>0</v>
      </c>
      <c r="AH12" s="39">
        <v>0</v>
      </c>
      <c r="AI12" s="39">
        <v>0</v>
      </c>
      <c r="AJ12" s="39">
        <v>0</v>
      </c>
      <c r="AK12" s="39">
        <v>0</v>
      </c>
      <c r="AL12" s="39">
        <v>0</v>
      </c>
      <c r="AM12" s="39">
        <v>0</v>
      </c>
      <c r="AN12" s="38">
        <f t="shared" si="17"/>
        <v>0</v>
      </c>
      <c r="AO12" s="40">
        <v>0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0</v>
      </c>
      <c r="AV12" s="40">
        <v>0</v>
      </c>
      <c r="AW12" s="38">
        <f t="shared" si="18"/>
        <v>0</v>
      </c>
      <c r="AX12" s="40">
        <v>0</v>
      </c>
      <c r="AY12" s="40">
        <v>0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38">
        <f t="shared" si="19"/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38">
        <f t="shared" si="20"/>
        <v>0</v>
      </c>
      <c r="BP12" s="41">
        <v>0</v>
      </c>
      <c r="BQ12" s="41"/>
      <c r="BR12" s="41">
        <v>0</v>
      </c>
      <c r="BS12" s="41">
        <v>0</v>
      </c>
      <c r="BT12" s="41">
        <v>0</v>
      </c>
      <c r="BU12" s="41">
        <v>0</v>
      </c>
      <c r="BV12" s="41">
        <v>0</v>
      </c>
      <c r="BW12" s="41">
        <v>0</v>
      </c>
      <c r="BX12" s="38">
        <f t="shared" si="21"/>
        <v>0</v>
      </c>
      <c r="BY12" s="42">
        <v>0</v>
      </c>
      <c r="BZ12" s="42">
        <v>0</v>
      </c>
      <c r="CA12" s="42">
        <v>0</v>
      </c>
      <c r="CB12" s="42">
        <v>0</v>
      </c>
      <c r="CC12" s="42">
        <v>0</v>
      </c>
      <c r="CD12" s="42">
        <v>0</v>
      </c>
      <c r="CE12" s="42">
        <v>0</v>
      </c>
      <c r="CF12" s="42">
        <v>0</v>
      </c>
      <c r="CG12" s="38">
        <f t="shared" si="22"/>
        <v>0</v>
      </c>
      <c r="CH12" s="42">
        <v>0</v>
      </c>
      <c r="CI12" s="42">
        <v>0</v>
      </c>
      <c r="CJ12" s="42">
        <v>0</v>
      </c>
      <c r="CK12" s="42">
        <v>0</v>
      </c>
      <c r="CL12" s="42">
        <v>0</v>
      </c>
      <c r="CM12" s="42">
        <v>0</v>
      </c>
      <c r="CN12" s="42">
        <v>0</v>
      </c>
      <c r="CO12" s="42">
        <v>0</v>
      </c>
      <c r="CP12" s="38">
        <f t="shared" si="23"/>
        <v>0</v>
      </c>
      <c r="CQ12" s="43">
        <v>0</v>
      </c>
      <c r="CR12" s="43">
        <v>0</v>
      </c>
      <c r="CS12" s="43">
        <v>0</v>
      </c>
      <c r="CT12" s="43">
        <v>0</v>
      </c>
      <c r="CU12" s="43">
        <v>0</v>
      </c>
      <c r="CV12" s="43">
        <v>0</v>
      </c>
      <c r="CW12" s="43">
        <v>0</v>
      </c>
      <c r="CX12" s="43">
        <v>0</v>
      </c>
      <c r="CY12" s="38">
        <f t="shared" si="24"/>
        <v>0</v>
      </c>
      <c r="CZ12" s="43">
        <v>0</v>
      </c>
      <c r="DA12" s="43">
        <v>0</v>
      </c>
      <c r="DB12" s="43">
        <v>0</v>
      </c>
      <c r="DC12" s="43">
        <v>0</v>
      </c>
      <c r="DD12" s="43">
        <v>0</v>
      </c>
      <c r="DE12" s="43">
        <v>0</v>
      </c>
      <c r="DF12" s="43">
        <v>0</v>
      </c>
      <c r="DG12" s="43">
        <v>0</v>
      </c>
      <c r="DH12" s="38">
        <f t="shared" si="25"/>
        <v>0</v>
      </c>
      <c r="DI12" s="39">
        <v>0</v>
      </c>
      <c r="DJ12" s="39">
        <v>0</v>
      </c>
      <c r="DK12" s="39">
        <v>0</v>
      </c>
      <c r="DL12" s="39">
        <v>0</v>
      </c>
      <c r="DM12" s="39">
        <v>0</v>
      </c>
      <c r="DN12" s="39">
        <v>0</v>
      </c>
      <c r="DO12" s="39">
        <v>0</v>
      </c>
      <c r="DP12" s="39">
        <v>0</v>
      </c>
      <c r="DQ12" s="38">
        <f t="shared" si="26"/>
        <v>0</v>
      </c>
      <c r="DR12" s="39">
        <v>0</v>
      </c>
      <c r="DS12" s="39">
        <v>0</v>
      </c>
      <c r="DT12" s="39">
        <v>0</v>
      </c>
      <c r="DU12" s="39">
        <v>0</v>
      </c>
      <c r="DV12" s="39">
        <v>0</v>
      </c>
      <c r="DW12" s="39">
        <v>0</v>
      </c>
      <c r="DX12" s="39">
        <v>0</v>
      </c>
      <c r="DY12" s="39">
        <v>0</v>
      </c>
      <c r="DZ12" s="38">
        <f t="shared" si="27"/>
        <v>0</v>
      </c>
      <c r="EA12" s="44">
        <v>0</v>
      </c>
      <c r="EB12" s="44">
        <v>0</v>
      </c>
      <c r="EC12" s="44">
        <v>0</v>
      </c>
      <c r="ED12" s="44">
        <v>0</v>
      </c>
      <c r="EE12" s="44">
        <v>0</v>
      </c>
      <c r="EF12" s="44">
        <v>0</v>
      </c>
      <c r="EG12" s="44">
        <v>0</v>
      </c>
      <c r="EH12" s="44">
        <v>0</v>
      </c>
      <c r="EI12" s="38">
        <f t="shared" si="28"/>
        <v>0</v>
      </c>
      <c r="EJ12" s="44">
        <v>0</v>
      </c>
      <c r="EK12" s="44">
        <v>0</v>
      </c>
      <c r="EL12" s="44">
        <v>0</v>
      </c>
      <c r="EM12" s="44">
        <v>0</v>
      </c>
      <c r="EN12" s="44">
        <v>0</v>
      </c>
      <c r="EO12" s="44">
        <v>0</v>
      </c>
      <c r="EP12" s="44">
        <v>0</v>
      </c>
      <c r="EQ12" s="44">
        <v>0</v>
      </c>
      <c r="ER12" s="38">
        <f t="shared" si="29"/>
        <v>0</v>
      </c>
      <c r="ES12" s="48"/>
      <c r="ET12" s="48"/>
      <c r="EU12" s="48"/>
      <c r="EV12" s="48"/>
      <c r="EW12" s="48"/>
      <c r="EX12" s="48"/>
      <c r="EY12" s="48"/>
      <c r="EZ12" s="48"/>
      <c r="FA12" s="38">
        <f t="shared" si="0"/>
        <v>0</v>
      </c>
      <c r="FB12" s="48"/>
      <c r="FC12" s="48"/>
      <c r="FD12" s="48">
        <v>1</v>
      </c>
      <c r="FE12" s="48"/>
      <c r="FF12" s="48"/>
      <c r="FG12" s="48"/>
      <c r="FH12" s="48"/>
      <c r="FI12" s="48"/>
      <c r="FJ12" s="38">
        <f t="shared" si="1"/>
        <v>1</v>
      </c>
      <c r="FK12" s="52">
        <v>0</v>
      </c>
      <c r="FL12" s="52">
        <v>0</v>
      </c>
      <c r="FM12" s="52">
        <v>0</v>
      </c>
      <c r="FN12" s="52">
        <v>0</v>
      </c>
      <c r="FO12" s="52">
        <v>0</v>
      </c>
      <c r="FP12" s="52">
        <v>0</v>
      </c>
      <c r="FQ12" s="52">
        <v>0</v>
      </c>
      <c r="FR12" s="52">
        <v>0</v>
      </c>
      <c r="FS12" s="38">
        <f t="shared" si="30"/>
        <v>0</v>
      </c>
      <c r="FT12" s="52">
        <v>0</v>
      </c>
      <c r="FU12" s="52">
        <v>0</v>
      </c>
      <c r="FV12" s="52">
        <v>3</v>
      </c>
      <c r="FW12" s="52">
        <v>0</v>
      </c>
      <c r="FX12" s="52">
        <v>0</v>
      </c>
      <c r="FY12" s="52">
        <v>0</v>
      </c>
      <c r="FZ12" s="52">
        <v>0</v>
      </c>
      <c r="GA12" s="52">
        <v>0</v>
      </c>
      <c r="GB12" s="38">
        <f t="shared" si="31"/>
        <v>3</v>
      </c>
      <c r="GC12" s="117"/>
      <c r="GD12" s="117"/>
      <c r="GE12" s="117"/>
      <c r="GF12" s="117"/>
      <c r="GG12" s="117"/>
      <c r="GH12" s="117"/>
      <c r="GI12" s="117"/>
      <c r="GJ12" s="117"/>
      <c r="GK12" s="118">
        <f t="shared" si="32"/>
        <v>0</v>
      </c>
      <c r="GL12" s="117"/>
      <c r="GM12" s="117"/>
      <c r="GN12" s="117">
        <f>13+52</f>
        <v>65</v>
      </c>
      <c r="GO12" s="117"/>
      <c r="GP12" s="117"/>
      <c r="GQ12" s="117"/>
      <c r="GR12" s="117"/>
      <c r="GS12" s="117"/>
      <c r="GT12" s="118">
        <f t="shared" si="33"/>
        <v>65</v>
      </c>
      <c r="GU12" s="62"/>
      <c r="GV12" s="62"/>
      <c r="GW12" s="62"/>
      <c r="GX12" s="62"/>
      <c r="GY12" s="62"/>
      <c r="GZ12" s="62"/>
      <c r="HA12" s="62"/>
      <c r="HB12" s="62"/>
      <c r="HC12" s="118">
        <f t="shared" si="34"/>
        <v>0</v>
      </c>
      <c r="HD12" s="62"/>
      <c r="HE12" s="62"/>
      <c r="HF12" s="62">
        <v>13</v>
      </c>
      <c r="HG12" s="62"/>
      <c r="HH12" s="62"/>
      <c r="HI12" s="62"/>
      <c r="HJ12" s="62"/>
      <c r="HK12" s="62"/>
      <c r="HL12" s="118">
        <f t="shared" si="35"/>
        <v>13</v>
      </c>
      <c r="HM12" s="121"/>
      <c r="HN12" s="121"/>
      <c r="HO12" s="121"/>
      <c r="HP12" s="121"/>
      <c r="HQ12" s="121"/>
      <c r="HR12" s="121"/>
      <c r="HS12" s="121"/>
      <c r="HT12" s="121"/>
      <c r="HU12" s="118">
        <f t="shared" si="36"/>
        <v>0</v>
      </c>
      <c r="HV12" s="121"/>
      <c r="HW12" s="121"/>
      <c r="HX12" s="121">
        <v>7</v>
      </c>
      <c r="HY12" s="121"/>
      <c r="HZ12" s="121"/>
      <c r="IA12" s="121"/>
      <c r="IB12" s="121"/>
      <c r="IC12" s="121"/>
      <c r="ID12" s="118">
        <f t="shared" si="37"/>
        <v>7</v>
      </c>
      <c r="IE12" s="137"/>
      <c r="IF12" s="137"/>
      <c r="IG12" s="137"/>
      <c r="IH12" s="137"/>
      <c r="II12" s="137"/>
      <c r="IJ12" s="137"/>
      <c r="IK12" s="137"/>
      <c r="IL12" s="137"/>
      <c r="IM12" s="118">
        <f t="shared" si="38"/>
        <v>0</v>
      </c>
      <c r="IN12" s="137"/>
      <c r="IO12" s="137"/>
      <c r="IP12" s="137">
        <v>119</v>
      </c>
      <c r="IQ12" s="137"/>
      <c r="IR12" s="137"/>
      <c r="IS12" s="137"/>
      <c r="IT12" s="137"/>
      <c r="IU12" s="137"/>
      <c r="IV12" s="118">
        <f t="shared" si="39"/>
        <v>119</v>
      </c>
      <c r="IW12" s="147"/>
      <c r="IX12" s="147"/>
      <c r="IY12" s="147"/>
      <c r="IZ12" s="147"/>
      <c r="JA12" s="147"/>
      <c r="JB12" s="147"/>
      <c r="JC12" s="147"/>
      <c r="JD12" s="147"/>
      <c r="JE12" s="118">
        <f t="shared" si="40"/>
        <v>0</v>
      </c>
      <c r="JF12" s="147"/>
      <c r="JG12" s="147"/>
      <c r="JH12" s="147">
        <v>10</v>
      </c>
      <c r="JI12" s="147"/>
      <c r="JJ12" s="147"/>
      <c r="JK12" s="147"/>
      <c r="JL12" s="147"/>
      <c r="JM12" s="147"/>
      <c r="JN12" s="118">
        <f t="shared" si="41"/>
        <v>10</v>
      </c>
      <c r="JO12" s="14">
        <f t="shared" si="42"/>
        <v>0</v>
      </c>
      <c r="JP12" s="46">
        <f t="shared" si="43"/>
        <v>218</v>
      </c>
      <c r="JQ12" s="47">
        <f t="shared" si="46"/>
        <v>218</v>
      </c>
      <c r="JR12" s="46">
        <f>IF(D12&gt;0,D12-(JO12+JP12),"N/A")</f>
        <v>82</v>
      </c>
      <c r="JS12" s="15">
        <f t="shared" si="44"/>
        <v>0.72666666666666668</v>
      </c>
    </row>
    <row r="13" spans="1:282" ht="24.5" thickBot="1" x14ac:dyDescent="0.75">
      <c r="A13" s="65" t="s">
        <v>68</v>
      </c>
      <c r="B13" s="74" t="s">
        <v>73</v>
      </c>
      <c r="C13" s="75"/>
      <c r="D13" s="75">
        <v>1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8">
        <f t="shared" si="45"/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8">
        <f t="shared" si="15"/>
        <v>0</v>
      </c>
      <c r="W13" s="39">
        <v>0</v>
      </c>
      <c r="X13" s="39">
        <v>0</v>
      </c>
      <c r="Y13" s="39">
        <v>0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8">
        <f t="shared" si="16"/>
        <v>0</v>
      </c>
      <c r="AF13" s="39">
        <v>0</v>
      </c>
      <c r="AG13" s="39">
        <v>0</v>
      </c>
      <c r="AH13" s="39">
        <v>0</v>
      </c>
      <c r="AI13" s="39">
        <v>0</v>
      </c>
      <c r="AJ13" s="39">
        <v>0</v>
      </c>
      <c r="AK13" s="39">
        <v>0</v>
      </c>
      <c r="AL13" s="39">
        <v>0</v>
      </c>
      <c r="AM13" s="39">
        <v>0</v>
      </c>
      <c r="AN13" s="38">
        <f t="shared" si="17"/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38">
        <f t="shared" si="18"/>
        <v>0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38">
        <f t="shared" si="19"/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38">
        <f t="shared" si="20"/>
        <v>0</v>
      </c>
      <c r="BP13" s="41">
        <v>0</v>
      </c>
      <c r="BQ13" s="41"/>
      <c r="BR13" s="41">
        <v>0</v>
      </c>
      <c r="BS13" s="41">
        <v>0</v>
      </c>
      <c r="BT13" s="41">
        <v>0</v>
      </c>
      <c r="BU13" s="41">
        <v>0</v>
      </c>
      <c r="BV13" s="41">
        <v>0</v>
      </c>
      <c r="BW13" s="41">
        <v>0</v>
      </c>
      <c r="BX13" s="38">
        <f t="shared" si="21"/>
        <v>0</v>
      </c>
      <c r="BY13" s="42">
        <v>0</v>
      </c>
      <c r="BZ13" s="42">
        <v>0</v>
      </c>
      <c r="CA13" s="42">
        <v>0</v>
      </c>
      <c r="CB13" s="42">
        <v>0</v>
      </c>
      <c r="CC13" s="42">
        <v>0</v>
      </c>
      <c r="CD13" s="42">
        <v>0</v>
      </c>
      <c r="CE13" s="42">
        <v>0</v>
      </c>
      <c r="CF13" s="42">
        <v>0</v>
      </c>
      <c r="CG13" s="38">
        <f t="shared" si="22"/>
        <v>0</v>
      </c>
      <c r="CH13" s="42">
        <v>0</v>
      </c>
      <c r="CI13" s="42">
        <v>0</v>
      </c>
      <c r="CJ13" s="42">
        <v>0</v>
      </c>
      <c r="CK13" s="42">
        <v>1</v>
      </c>
      <c r="CL13" s="42">
        <v>0</v>
      </c>
      <c r="CM13" s="42">
        <v>0</v>
      </c>
      <c r="CN13" s="42">
        <v>0</v>
      </c>
      <c r="CO13" s="42">
        <v>0</v>
      </c>
      <c r="CP13" s="38">
        <f t="shared" si="23"/>
        <v>1</v>
      </c>
      <c r="CQ13" s="43">
        <v>0</v>
      </c>
      <c r="CR13" s="43">
        <v>0</v>
      </c>
      <c r="CS13" s="43">
        <v>0</v>
      </c>
      <c r="CT13" s="43">
        <v>0</v>
      </c>
      <c r="CU13" s="43">
        <v>0</v>
      </c>
      <c r="CV13" s="43">
        <v>0</v>
      </c>
      <c r="CW13" s="43">
        <v>0</v>
      </c>
      <c r="CX13" s="43">
        <v>0</v>
      </c>
      <c r="CY13" s="38">
        <f t="shared" si="24"/>
        <v>0</v>
      </c>
      <c r="CZ13" s="43">
        <v>0</v>
      </c>
      <c r="DA13" s="43">
        <v>0</v>
      </c>
      <c r="DB13" s="43">
        <v>0</v>
      </c>
      <c r="DC13" s="43">
        <v>0</v>
      </c>
      <c r="DD13" s="43">
        <v>0</v>
      </c>
      <c r="DE13" s="43">
        <v>0</v>
      </c>
      <c r="DF13" s="43">
        <v>0</v>
      </c>
      <c r="DG13" s="43">
        <v>0</v>
      </c>
      <c r="DH13" s="38">
        <f t="shared" si="25"/>
        <v>0</v>
      </c>
      <c r="DI13" s="39">
        <v>0</v>
      </c>
      <c r="DJ13" s="39">
        <v>0</v>
      </c>
      <c r="DK13" s="39">
        <v>0</v>
      </c>
      <c r="DL13" s="39">
        <v>0</v>
      </c>
      <c r="DM13" s="39">
        <v>0</v>
      </c>
      <c r="DN13" s="39">
        <v>0</v>
      </c>
      <c r="DO13" s="39">
        <v>0</v>
      </c>
      <c r="DP13" s="39">
        <v>0</v>
      </c>
      <c r="DQ13" s="38">
        <f t="shared" si="26"/>
        <v>0</v>
      </c>
      <c r="DR13" s="39">
        <v>0</v>
      </c>
      <c r="DS13" s="39">
        <v>0</v>
      </c>
      <c r="DT13" s="39">
        <v>0</v>
      </c>
      <c r="DU13" s="39">
        <v>0</v>
      </c>
      <c r="DV13" s="39">
        <v>0</v>
      </c>
      <c r="DW13" s="39">
        <v>0</v>
      </c>
      <c r="DX13" s="39">
        <v>0</v>
      </c>
      <c r="DY13" s="39">
        <v>0</v>
      </c>
      <c r="DZ13" s="38">
        <f t="shared" si="27"/>
        <v>0</v>
      </c>
      <c r="EA13" s="44">
        <v>0</v>
      </c>
      <c r="EB13" s="44"/>
      <c r="EC13" s="44">
        <v>0</v>
      </c>
      <c r="ED13" s="44">
        <v>0</v>
      </c>
      <c r="EE13" s="44">
        <v>0</v>
      </c>
      <c r="EF13" s="44">
        <v>0</v>
      </c>
      <c r="EG13" s="44">
        <v>0</v>
      </c>
      <c r="EH13" s="44">
        <v>0</v>
      </c>
      <c r="EI13" s="38">
        <f t="shared" si="28"/>
        <v>0</v>
      </c>
      <c r="EJ13" s="44">
        <v>0</v>
      </c>
      <c r="EK13" s="44">
        <v>0</v>
      </c>
      <c r="EL13" s="44">
        <v>0</v>
      </c>
      <c r="EM13" s="44">
        <v>0</v>
      </c>
      <c r="EN13" s="44">
        <v>0</v>
      </c>
      <c r="EO13" s="44">
        <v>0</v>
      </c>
      <c r="EP13" s="44">
        <v>0</v>
      </c>
      <c r="EQ13" s="44">
        <v>0</v>
      </c>
      <c r="ER13" s="38">
        <f t="shared" si="29"/>
        <v>0</v>
      </c>
      <c r="ES13" s="48"/>
      <c r="ET13" s="48"/>
      <c r="EU13" s="48"/>
      <c r="EV13" s="48"/>
      <c r="EW13" s="48"/>
      <c r="EX13" s="48"/>
      <c r="EY13" s="48"/>
      <c r="EZ13" s="48"/>
      <c r="FA13" s="38">
        <f t="shared" si="0"/>
        <v>0</v>
      </c>
      <c r="FB13" s="48"/>
      <c r="FC13" s="48"/>
      <c r="FD13" s="48"/>
      <c r="FE13" s="48"/>
      <c r="FF13" s="48"/>
      <c r="FG13" s="48"/>
      <c r="FH13" s="48"/>
      <c r="FI13" s="48"/>
      <c r="FJ13" s="38">
        <f t="shared" si="1"/>
        <v>0</v>
      </c>
      <c r="FK13" s="52">
        <v>0</v>
      </c>
      <c r="FL13" s="52">
        <v>0</v>
      </c>
      <c r="FM13" s="52">
        <v>0</v>
      </c>
      <c r="FN13" s="52">
        <v>0</v>
      </c>
      <c r="FO13" s="52">
        <v>0</v>
      </c>
      <c r="FP13" s="52">
        <v>0</v>
      </c>
      <c r="FQ13" s="52">
        <v>0</v>
      </c>
      <c r="FR13" s="52">
        <v>0</v>
      </c>
      <c r="FS13" s="38">
        <f t="shared" si="30"/>
        <v>0</v>
      </c>
      <c r="FT13" s="52">
        <v>0</v>
      </c>
      <c r="FU13" s="52">
        <v>0</v>
      </c>
      <c r="FV13" s="52">
        <v>0</v>
      </c>
      <c r="FW13" s="52">
        <v>0</v>
      </c>
      <c r="FX13" s="52">
        <v>0</v>
      </c>
      <c r="FY13" s="52">
        <v>0</v>
      </c>
      <c r="FZ13" s="52">
        <v>0</v>
      </c>
      <c r="GA13" s="52">
        <v>0</v>
      </c>
      <c r="GB13" s="38">
        <f t="shared" si="31"/>
        <v>0</v>
      </c>
      <c r="GC13" s="117"/>
      <c r="GD13" s="117"/>
      <c r="GE13" s="117"/>
      <c r="GF13" s="117"/>
      <c r="GG13" s="117"/>
      <c r="GH13" s="117"/>
      <c r="GI13" s="117"/>
      <c r="GJ13" s="117"/>
      <c r="GK13" s="118">
        <f t="shared" si="32"/>
        <v>0</v>
      </c>
      <c r="GL13" s="117"/>
      <c r="GM13" s="117"/>
      <c r="GN13" s="117"/>
      <c r="GO13" s="117"/>
      <c r="GP13" s="117"/>
      <c r="GQ13" s="117"/>
      <c r="GR13" s="117"/>
      <c r="GS13" s="117"/>
      <c r="GT13" s="118">
        <f t="shared" si="33"/>
        <v>0</v>
      </c>
      <c r="GU13" s="62"/>
      <c r="GV13" s="62"/>
      <c r="GW13" s="62"/>
      <c r="GX13" s="62"/>
      <c r="GY13" s="62"/>
      <c r="GZ13" s="62"/>
      <c r="HA13" s="62"/>
      <c r="HB13" s="62"/>
      <c r="HC13" s="118">
        <f t="shared" si="34"/>
        <v>0</v>
      </c>
      <c r="HD13" s="62"/>
      <c r="HE13" s="62"/>
      <c r="HF13" s="62"/>
      <c r="HG13" s="62"/>
      <c r="HH13" s="62"/>
      <c r="HI13" s="62"/>
      <c r="HJ13" s="62"/>
      <c r="HK13" s="62"/>
      <c r="HL13" s="118">
        <f t="shared" si="35"/>
        <v>0</v>
      </c>
      <c r="HM13" s="121"/>
      <c r="HN13" s="121"/>
      <c r="HO13" s="121"/>
      <c r="HP13" s="121"/>
      <c r="HQ13" s="121"/>
      <c r="HR13" s="121"/>
      <c r="HS13" s="121"/>
      <c r="HT13" s="121"/>
      <c r="HU13" s="118">
        <f t="shared" si="36"/>
        <v>0</v>
      </c>
      <c r="HV13" s="121"/>
      <c r="HW13" s="121"/>
      <c r="HX13" s="121"/>
      <c r="HY13" s="121"/>
      <c r="HZ13" s="121"/>
      <c r="IA13" s="121"/>
      <c r="IB13" s="121"/>
      <c r="IC13" s="121"/>
      <c r="ID13" s="118">
        <f t="shared" si="37"/>
        <v>0</v>
      </c>
      <c r="IE13" s="137"/>
      <c r="IF13" s="137"/>
      <c r="IG13" s="137"/>
      <c r="IH13" s="137"/>
      <c r="II13" s="137"/>
      <c r="IJ13" s="137"/>
      <c r="IK13" s="137"/>
      <c r="IL13" s="137"/>
      <c r="IM13" s="118">
        <f t="shared" si="38"/>
        <v>0</v>
      </c>
      <c r="IN13" s="137"/>
      <c r="IO13" s="137"/>
      <c r="IP13" s="137"/>
      <c r="IQ13" s="137"/>
      <c r="IR13" s="137"/>
      <c r="IS13" s="137"/>
      <c r="IT13" s="137"/>
      <c r="IU13" s="137"/>
      <c r="IV13" s="118">
        <f t="shared" si="39"/>
        <v>0</v>
      </c>
      <c r="IW13" s="147"/>
      <c r="IX13" s="147"/>
      <c r="IY13" s="147"/>
      <c r="IZ13" s="147"/>
      <c r="JA13" s="147"/>
      <c r="JB13" s="147"/>
      <c r="JC13" s="147"/>
      <c r="JD13" s="147"/>
      <c r="JE13" s="118">
        <f t="shared" si="40"/>
        <v>0</v>
      </c>
      <c r="JF13" s="282"/>
      <c r="JG13" s="283"/>
      <c r="JH13" s="283"/>
      <c r="JI13" s="283"/>
      <c r="JJ13" s="283"/>
      <c r="JK13" s="283"/>
      <c r="JL13" s="283"/>
      <c r="JM13" s="284"/>
      <c r="JN13" s="118">
        <f t="shared" si="41"/>
        <v>0</v>
      </c>
      <c r="JO13" s="14">
        <f t="shared" si="42"/>
        <v>0</v>
      </c>
      <c r="JP13" s="46">
        <f t="shared" si="43"/>
        <v>1</v>
      </c>
      <c r="JQ13" s="47">
        <f t="shared" si="46"/>
        <v>1</v>
      </c>
      <c r="JR13" s="46">
        <f>IF(D13&gt;0,D13-(JO13+JP13),"N/A")</f>
        <v>0</v>
      </c>
      <c r="JS13" s="15">
        <f t="shared" si="44"/>
        <v>1</v>
      </c>
    </row>
    <row r="14" spans="1:282" ht="24.5" thickBot="1" x14ac:dyDescent="0.75">
      <c r="A14" s="68" t="s">
        <v>74</v>
      </c>
      <c r="B14" s="77" t="s">
        <v>75</v>
      </c>
      <c r="C14" s="77"/>
      <c r="D14" s="77"/>
      <c r="E14" s="268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  <c r="AC14" s="269"/>
      <c r="AD14" s="269"/>
      <c r="AE14" s="269"/>
      <c r="AF14" s="269"/>
      <c r="AG14" s="269"/>
      <c r="AH14" s="269"/>
      <c r="AI14" s="269"/>
      <c r="AJ14" s="269"/>
      <c r="AK14" s="269"/>
      <c r="AL14" s="269"/>
      <c r="AM14" s="269"/>
      <c r="AN14" s="269"/>
      <c r="AO14" s="269"/>
      <c r="AP14" s="269"/>
      <c r="AQ14" s="269"/>
      <c r="AR14" s="269"/>
      <c r="AS14" s="269"/>
      <c r="AT14" s="269"/>
      <c r="AU14" s="269"/>
      <c r="AV14" s="269"/>
      <c r="AW14" s="269"/>
      <c r="AX14" s="269"/>
      <c r="AY14" s="269"/>
      <c r="AZ14" s="269"/>
      <c r="BA14" s="269"/>
      <c r="BB14" s="269"/>
      <c r="BC14" s="269"/>
      <c r="BD14" s="269"/>
      <c r="BE14" s="269"/>
      <c r="BF14" s="269"/>
      <c r="BG14" s="269"/>
      <c r="BH14" s="269"/>
      <c r="BI14" s="269"/>
      <c r="BJ14" s="269"/>
      <c r="BK14" s="269"/>
      <c r="BL14" s="269"/>
      <c r="BM14" s="269"/>
      <c r="BN14" s="269"/>
      <c r="BO14" s="269"/>
      <c r="BP14" s="269"/>
      <c r="BQ14" s="269"/>
      <c r="BR14" s="269"/>
      <c r="BS14" s="269"/>
      <c r="BT14" s="269"/>
      <c r="BU14" s="269"/>
      <c r="BV14" s="269"/>
      <c r="BW14" s="269"/>
      <c r="BX14" s="269"/>
      <c r="BY14" s="269"/>
      <c r="BZ14" s="269"/>
      <c r="CA14" s="269"/>
      <c r="CB14" s="269"/>
      <c r="CC14" s="269"/>
      <c r="CD14" s="269"/>
      <c r="CE14" s="269"/>
      <c r="CF14" s="269"/>
      <c r="CG14" s="269"/>
      <c r="CH14" s="269"/>
      <c r="CI14" s="269"/>
      <c r="CJ14" s="269"/>
      <c r="CK14" s="269"/>
      <c r="CL14" s="269"/>
      <c r="CM14" s="269"/>
      <c r="CN14" s="269"/>
      <c r="CO14" s="269"/>
      <c r="CP14" s="269"/>
      <c r="CQ14" s="269"/>
      <c r="CR14" s="269"/>
      <c r="CS14" s="269"/>
      <c r="CT14" s="269"/>
      <c r="CU14" s="269"/>
      <c r="CV14" s="269"/>
      <c r="CW14" s="269"/>
      <c r="CX14" s="269"/>
      <c r="CY14" s="269"/>
      <c r="CZ14" s="269"/>
      <c r="DA14" s="269"/>
      <c r="DB14" s="269"/>
      <c r="DC14" s="269"/>
      <c r="DD14" s="269"/>
      <c r="DE14" s="269"/>
      <c r="DF14" s="269"/>
      <c r="DG14" s="269"/>
      <c r="DH14" s="269"/>
      <c r="DI14" s="269"/>
      <c r="DJ14" s="269"/>
      <c r="DK14" s="269"/>
      <c r="DL14" s="269"/>
      <c r="DM14" s="269"/>
      <c r="DN14" s="269"/>
      <c r="DO14" s="269"/>
      <c r="DP14" s="269"/>
      <c r="DQ14" s="269"/>
      <c r="DR14" s="269"/>
      <c r="DS14" s="269"/>
      <c r="DT14" s="269"/>
      <c r="DU14" s="269"/>
      <c r="DV14" s="269"/>
      <c r="DW14" s="269"/>
      <c r="DX14" s="269"/>
      <c r="DY14" s="269"/>
      <c r="DZ14" s="269"/>
      <c r="EA14" s="269"/>
      <c r="EB14" s="269"/>
      <c r="EC14" s="269"/>
      <c r="ED14" s="269"/>
      <c r="EE14" s="269"/>
      <c r="EF14" s="269"/>
      <c r="EG14" s="269"/>
      <c r="EH14" s="269"/>
      <c r="EI14" s="269"/>
      <c r="EJ14" s="269"/>
      <c r="EK14" s="269"/>
      <c r="EL14" s="269"/>
      <c r="EM14" s="269"/>
      <c r="EN14" s="269"/>
      <c r="EO14" s="269"/>
      <c r="EP14" s="269"/>
      <c r="EQ14" s="269"/>
      <c r="ER14" s="269"/>
      <c r="ES14" s="269"/>
      <c r="ET14" s="269"/>
      <c r="EU14" s="269"/>
      <c r="EV14" s="269"/>
      <c r="EW14" s="269"/>
      <c r="EX14" s="269"/>
      <c r="EY14" s="269"/>
      <c r="EZ14" s="269"/>
      <c r="FA14" s="269"/>
      <c r="FB14" s="269"/>
      <c r="FC14" s="269"/>
      <c r="FD14" s="269"/>
      <c r="FE14" s="269"/>
      <c r="FF14" s="269"/>
      <c r="FG14" s="269"/>
      <c r="FH14" s="269"/>
      <c r="FI14" s="269"/>
      <c r="FJ14" s="269"/>
      <c r="FK14" s="269"/>
      <c r="FL14" s="269"/>
      <c r="FM14" s="269"/>
      <c r="FN14" s="269"/>
      <c r="FO14" s="269"/>
      <c r="FP14" s="269"/>
      <c r="FQ14" s="269"/>
      <c r="FR14" s="269"/>
      <c r="FS14" s="269"/>
      <c r="FT14" s="269"/>
      <c r="FU14" s="269"/>
      <c r="FV14" s="269"/>
      <c r="FW14" s="269"/>
      <c r="FX14" s="269"/>
      <c r="FY14" s="269"/>
      <c r="FZ14" s="269"/>
      <c r="GA14" s="269"/>
      <c r="GB14" s="269"/>
      <c r="GC14" s="269"/>
      <c r="GD14" s="269"/>
      <c r="GE14" s="269"/>
      <c r="GF14" s="269"/>
      <c r="GG14" s="269"/>
      <c r="GH14" s="269"/>
      <c r="GI14" s="269"/>
      <c r="GJ14" s="269"/>
      <c r="GK14" s="269"/>
      <c r="GL14" s="269"/>
      <c r="GM14" s="269"/>
      <c r="GN14" s="269"/>
      <c r="GO14" s="269"/>
      <c r="GP14" s="269"/>
      <c r="GQ14" s="269"/>
      <c r="GR14" s="269"/>
      <c r="GS14" s="269"/>
      <c r="GT14" s="269"/>
      <c r="GU14" s="269"/>
      <c r="GV14" s="269"/>
      <c r="GW14" s="269"/>
      <c r="GX14" s="269"/>
      <c r="GY14" s="269"/>
      <c r="GZ14" s="269"/>
      <c r="HA14" s="269"/>
      <c r="HB14" s="269"/>
      <c r="HC14" s="269"/>
      <c r="HD14" s="269"/>
      <c r="HE14" s="269"/>
      <c r="HF14" s="269"/>
      <c r="HG14" s="269"/>
      <c r="HH14" s="269"/>
      <c r="HI14" s="269"/>
      <c r="HJ14" s="269"/>
      <c r="HK14" s="269"/>
      <c r="HL14" s="269"/>
      <c r="HM14" s="269"/>
      <c r="HN14" s="269"/>
      <c r="HO14" s="269"/>
      <c r="HP14" s="269"/>
      <c r="HQ14" s="269"/>
      <c r="HR14" s="269"/>
      <c r="HS14" s="269"/>
      <c r="HT14" s="269"/>
      <c r="HU14" s="269"/>
      <c r="HV14" s="269"/>
      <c r="HW14" s="269"/>
      <c r="HX14" s="269"/>
      <c r="HY14" s="269"/>
      <c r="HZ14" s="269"/>
      <c r="IA14" s="269"/>
      <c r="IB14" s="269"/>
      <c r="IC14" s="269"/>
      <c r="ID14" s="269"/>
      <c r="IE14" s="269"/>
      <c r="IF14" s="269"/>
      <c r="IG14" s="269"/>
      <c r="IH14" s="269"/>
      <c r="II14" s="269"/>
      <c r="IJ14" s="269"/>
      <c r="IK14" s="269"/>
      <c r="IL14" s="269"/>
      <c r="IM14" s="269"/>
      <c r="IN14" s="269"/>
      <c r="IO14" s="269"/>
      <c r="IP14" s="269"/>
      <c r="IQ14" s="269"/>
      <c r="IR14" s="269"/>
      <c r="IS14" s="269"/>
      <c r="IT14" s="269"/>
      <c r="IU14" s="269"/>
      <c r="IV14" s="269"/>
      <c r="IW14" s="269"/>
      <c r="IX14" s="269"/>
      <c r="IY14" s="269"/>
      <c r="IZ14" s="269"/>
      <c r="JA14" s="269"/>
      <c r="JB14" s="269"/>
      <c r="JC14" s="269"/>
      <c r="JD14" s="269"/>
      <c r="JE14" s="269"/>
      <c r="JF14" s="269"/>
      <c r="JG14" s="269"/>
      <c r="JH14" s="269"/>
      <c r="JI14" s="269"/>
      <c r="JJ14" s="269"/>
      <c r="JK14" s="269"/>
      <c r="JL14" s="269"/>
      <c r="JM14" s="269"/>
      <c r="JN14" s="269"/>
      <c r="JO14" s="269"/>
      <c r="JP14" s="269"/>
      <c r="JQ14" s="269"/>
      <c r="JR14" s="269"/>
      <c r="JS14" s="270"/>
    </row>
    <row r="15" spans="1:282" ht="24.5" thickBot="1" x14ac:dyDescent="0.75">
      <c r="A15" s="266" t="s">
        <v>74</v>
      </c>
      <c r="B15" s="78" t="s">
        <v>76</v>
      </c>
      <c r="C15" s="79"/>
      <c r="D15" s="79">
        <v>2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8">
        <f t="shared" ref="M15:M26" si="47">E15+F15+G15+H15+I15+J15+K15+L15</f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8">
        <f t="shared" si="15"/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8">
        <f t="shared" si="16"/>
        <v>0</v>
      </c>
      <c r="AF15" s="39">
        <v>0</v>
      </c>
      <c r="AG15" s="39">
        <v>0</v>
      </c>
      <c r="AH15" s="39">
        <v>0</v>
      </c>
      <c r="AI15" s="39">
        <v>0</v>
      </c>
      <c r="AJ15" s="39">
        <v>0</v>
      </c>
      <c r="AK15" s="39">
        <v>0</v>
      </c>
      <c r="AL15" s="39">
        <v>0</v>
      </c>
      <c r="AM15" s="39">
        <v>0</v>
      </c>
      <c r="AN15" s="38">
        <f t="shared" si="17"/>
        <v>0</v>
      </c>
      <c r="AO15" s="40">
        <v>0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0</v>
      </c>
      <c r="AV15" s="40">
        <v>0</v>
      </c>
      <c r="AW15" s="38">
        <f t="shared" si="18"/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38">
        <f t="shared" si="19"/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38">
        <f t="shared" si="20"/>
        <v>0</v>
      </c>
      <c r="BP15" s="41">
        <v>0</v>
      </c>
      <c r="BQ15" s="41"/>
      <c r="BR15" s="41">
        <v>0</v>
      </c>
      <c r="BS15" s="41">
        <v>0</v>
      </c>
      <c r="BT15" s="41">
        <v>0</v>
      </c>
      <c r="BU15" s="41">
        <v>0</v>
      </c>
      <c r="BV15" s="41">
        <v>0</v>
      </c>
      <c r="BW15" s="41">
        <v>0</v>
      </c>
      <c r="BX15" s="38">
        <f t="shared" si="21"/>
        <v>0</v>
      </c>
      <c r="BY15" s="42">
        <v>0</v>
      </c>
      <c r="BZ15" s="42">
        <v>0</v>
      </c>
      <c r="CA15" s="42">
        <v>0</v>
      </c>
      <c r="CB15" s="42">
        <v>0</v>
      </c>
      <c r="CC15" s="42">
        <v>0</v>
      </c>
      <c r="CD15" s="42">
        <v>0</v>
      </c>
      <c r="CE15" s="42">
        <v>0</v>
      </c>
      <c r="CF15" s="42">
        <v>0</v>
      </c>
      <c r="CG15" s="38">
        <f t="shared" si="22"/>
        <v>0</v>
      </c>
      <c r="CH15" s="42">
        <v>0</v>
      </c>
      <c r="CI15" s="42">
        <v>0</v>
      </c>
      <c r="CJ15" s="42">
        <v>0</v>
      </c>
      <c r="CK15" s="42">
        <v>0</v>
      </c>
      <c r="CL15" s="42">
        <v>0</v>
      </c>
      <c r="CM15" s="42">
        <v>0</v>
      </c>
      <c r="CN15" s="42">
        <v>0</v>
      </c>
      <c r="CO15" s="42">
        <v>0</v>
      </c>
      <c r="CP15" s="38">
        <f t="shared" si="23"/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38">
        <f t="shared" si="24"/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38">
        <f t="shared" si="25"/>
        <v>0</v>
      </c>
      <c r="DI15" s="39">
        <v>0</v>
      </c>
      <c r="DJ15" s="39">
        <v>0</v>
      </c>
      <c r="DK15" s="39">
        <v>0</v>
      </c>
      <c r="DL15" s="39">
        <v>0</v>
      </c>
      <c r="DM15" s="39">
        <v>0</v>
      </c>
      <c r="DN15" s="39">
        <v>0</v>
      </c>
      <c r="DO15" s="39">
        <v>0</v>
      </c>
      <c r="DP15" s="39">
        <v>0</v>
      </c>
      <c r="DQ15" s="38">
        <f t="shared" si="26"/>
        <v>0</v>
      </c>
      <c r="DR15" s="39">
        <v>0</v>
      </c>
      <c r="DS15" s="39">
        <v>0</v>
      </c>
      <c r="DT15" s="39">
        <v>0</v>
      </c>
      <c r="DU15" s="39">
        <v>0</v>
      </c>
      <c r="DV15" s="39">
        <v>0</v>
      </c>
      <c r="DW15" s="39">
        <v>0</v>
      </c>
      <c r="DX15" s="39">
        <v>0</v>
      </c>
      <c r="DY15" s="39">
        <v>0</v>
      </c>
      <c r="DZ15" s="38">
        <f t="shared" si="27"/>
        <v>0</v>
      </c>
      <c r="EA15" s="44">
        <v>0</v>
      </c>
      <c r="EB15" s="44"/>
      <c r="EC15" s="44">
        <v>0</v>
      </c>
      <c r="ED15" s="44">
        <v>0</v>
      </c>
      <c r="EE15" s="44">
        <v>0</v>
      </c>
      <c r="EF15" s="44">
        <v>0</v>
      </c>
      <c r="EG15" s="44">
        <v>0</v>
      </c>
      <c r="EH15" s="44">
        <v>0</v>
      </c>
      <c r="EI15" s="38">
        <f t="shared" si="28"/>
        <v>0</v>
      </c>
      <c r="EJ15" s="44">
        <v>0</v>
      </c>
      <c r="EK15" s="44">
        <v>0</v>
      </c>
      <c r="EL15" s="44">
        <v>0</v>
      </c>
      <c r="EM15" s="44">
        <v>0</v>
      </c>
      <c r="EN15" s="44">
        <v>0</v>
      </c>
      <c r="EO15" s="44">
        <v>0</v>
      </c>
      <c r="EP15" s="44">
        <v>0</v>
      </c>
      <c r="EQ15" s="44">
        <v>0</v>
      </c>
      <c r="ER15" s="38">
        <f t="shared" si="29"/>
        <v>0</v>
      </c>
      <c r="ES15" s="48"/>
      <c r="ET15" s="48"/>
      <c r="EU15" s="48"/>
      <c r="EV15" s="48"/>
      <c r="EW15" s="48"/>
      <c r="EX15" s="48"/>
      <c r="EY15" s="48"/>
      <c r="EZ15" s="48"/>
      <c r="FA15" s="38">
        <f t="shared" si="0"/>
        <v>0</v>
      </c>
      <c r="FB15" s="48"/>
      <c r="FC15" s="48"/>
      <c r="FD15" s="48"/>
      <c r="FE15" s="48"/>
      <c r="FF15" s="48"/>
      <c r="FG15" s="48"/>
      <c r="FH15" s="48"/>
      <c r="FI15" s="48"/>
      <c r="FJ15" s="38">
        <f t="shared" si="1"/>
        <v>0</v>
      </c>
      <c r="FK15" s="52">
        <v>0</v>
      </c>
      <c r="FL15" s="52">
        <v>0</v>
      </c>
      <c r="FM15" s="52">
        <v>0</v>
      </c>
      <c r="FN15" s="52">
        <v>0</v>
      </c>
      <c r="FO15" s="52">
        <v>0</v>
      </c>
      <c r="FP15" s="52">
        <v>0</v>
      </c>
      <c r="FQ15" s="52">
        <v>0</v>
      </c>
      <c r="FR15" s="52">
        <v>0</v>
      </c>
      <c r="FS15" s="38">
        <f t="shared" si="30"/>
        <v>0</v>
      </c>
      <c r="FT15" s="52">
        <v>0</v>
      </c>
      <c r="FU15" s="52">
        <v>0</v>
      </c>
      <c r="FV15" s="52">
        <v>0</v>
      </c>
      <c r="FW15" s="52">
        <v>0</v>
      </c>
      <c r="FX15" s="52">
        <v>0</v>
      </c>
      <c r="FY15" s="52">
        <v>0</v>
      </c>
      <c r="FZ15" s="52">
        <v>0</v>
      </c>
      <c r="GA15" s="52">
        <v>0</v>
      </c>
      <c r="GB15" s="38">
        <f t="shared" si="31"/>
        <v>0</v>
      </c>
      <c r="GC15" s="117"/>
      <c r="GD15" s="117"/>
      <c r="GE15" s="117"/>
      <c r="GF15" s="117"/>
      <c r="GG15" s="117"/>
      <c r="GH15" s="117"/>
      <c r="GI15" s="117"/>
      <c r="GJ15" s="117"/>
      <c r="GK15" s="118">
        <f t="shared" ref="GK15:GK21" si="48">GC15+GD15+GE15+GF15+GG15+GH15+GI15+GJ15</f>
        <v>0</v>
      </c>
      <c r="GL15" s="117"/>
      <c r="GM15" s="117"/>
      <c r="GN15" s="117"/>
      <c r="GO15" s="117"/>
      <c r="GP15" s="117"/>
      <c r="GQ15" s="117"/>
      <c r="GR15" s="117"/>
      <c r="GS15" s="117"/>
      <c r="GT15" s="118">
        <f t="shared" ref="GT15:GT21" si="49">GL15+GM15+GN15+GO15+GP15+GQ15+GR15+GS15</f>
        <v>0</v>
      </c>
      <c r="GU15" s="62"/>
      <c r="GV15" s="62"/>
      <c r="GW15" s="62"/>
      <c r="GX15" s="62"/>
      <c r="GY15" s="62"/>
      <c r="GZ15" s="62"/>
      <c r="HA15" s="62"/>
      <c r="HB15" s="62"/>
      <c r="HC15" s="118">
        <f t="shared" ref="HC15:HC21" si="50">GU15+GV15+GW15+GX15+GY15+GZ15+HA15+HB15</f>
        <v>0</v>
      </c>
      <c r="HD15" s="62"/>
      <c r="HE15" s="62"/>
      <c r="HF15" s="62"/>
      <c r="HG15" s="62"/>
      <c r="HH15" s="62"/>
      <c r="HI15" s="62"/>
      <c r="HJ15" s="62"/>
      <c r="HK15" s="62"/>
      <c r="HL15" s="118">
        <f t="shared" ref="HL15:HL21" si="51">HD15+HE15+HF15+HG15+HH15+HI15+HJ15+HK15</f>
        <v>0</v>
      </c>
      <c r="HM15" s="121"/>
      <c r="HN15" s="121"/>
      <c r="HO15" s="121"/>
      <c r="HP15" s="121"/>
      <c r="HQ15" s="121"/>
      <c r="HR15" s="121"/>
      <c r="HS15" s="121"/>
      <c r="HT15" s="121"/>
      <c r="HU15" s="118">
        <f t="shared" ref="HU15:HU21" si="52">HM15+HN15+HO15+HP15+HQ15+HR15+HS15+HT15</f>
        <v>0</v>
      </c>
      <c r="HV15" s="121"/>
      <c r="HW15" s="121"/>
      <c r="HX15" s="121"/>
      <c r="HY15" s="121"/>
      <c r="HZ15" s="121"/>
      <c r="IA15" s="121"/>
      <c r="IB15" s="121"/>
      <c r="IC15" s="121"/>
      <c r="ID15" s="118">
        <f t="shared" ref="ID15:ID21" si="53">HV15+HW15+HX15+HY15+HZ15+IA15+IB15+IC15</f>
        <v>0</v>
      </c>
      <c r="IE15" s="137"/>
      <c r="IF15" s="137"/>
      <c r="IG15" s="137"/>
      <c r="IH15" s="137"/>
      <c r="II15" s="137"/>
      <c r="IJ15" s="137"/>
      <c r="IK15" s="137"/>
      <c r="IL15" s="137"/>
      <c r="IM15" s="118">
        <f t="shared" ref="IM15:IM21" si="54">IE15+IF15+IG15+IH15+II15+IJ15+IK15+IL15</f>
        <v>0</v>
      </c>
      <c r="IN15" s="137"/>
      <c r="IO15" s="137"/>
      <c r="IP15" s="137"/>
      <c r="IQ15" s="137"/>
      <c r="IR15" s="137"/>
      <c r="IS15" s="137"/>
      <c r="IT15" s="137"/>
      <c r="IU15" s="137"/>
      <c r="IV15" s="118">
        <f t="shared" ref="IV15:IV21" si="55">IN15+IO15+IP15+IQ15+IR15+IS15+IT15+IU15</f>
        <v>0</v>
      </c>
      <c r="IW15" s="147"/>
      <c r="IX15" s="147"/>
      <c r="IY15" s="147"/>
      <c r="IZ15" s="147"/>
      <c r="JA15" s="147"/>
      <c r="JB15" s="147"/>
      <c r="JC15" s="147"/>
      <c r="JD15" s="147"/>
      <c r="JE15" s="118">
        <f t="shared" ref="JE15:JE21" si="56">IW15+IX15+IY15+IZ15+JA15+JB15+JC15+JD15</f>
        <v>0</v>
      </c>
      <c r="JF15" s="147"/>
      <c r="JG15" s="147"/>
      <c r="JH15" s="147"/>
      <c r="JI15" s="147"/>
      <c r="JJ15" s="147"/>
      <c r="JK15" s="147"/>
      <c r="JL15" s="147"/>
      <c r="JM15" s="147"/>
      <c r="JN15" s="118">
        <f t="shared" ref="JN15:JN21" si="57">JF15+JG15+JH15+JI15+JJ15+JK15+JL15+JM15</f>
        <v>0</v>
      </c>
      <c r="JO15" s="14">
        <f t="shared" ref="JO15:JO21" si="58">M15+AE15+AW15+BO15+CG15+CY15+DQ15+EI15+FA15+FS15+GK15+HC15+HU15+IM15+JE15</f>
        <v>0</v>
      </c>
      <c r="JP15" s="46">
        <f t="shared" ref="JP15:JP21" si="59">V15+AN15+BF15+BX15+CP15+DH15+DZ15+ER15+FJ15+GT15+GB15+HL15+ID15+IV15+JN15</f>
        <v>0</v>
      </c>
      <c r="JQ15" s="47">
        <f t="shared" si="46"/>
        <v>0</v>
      </c>
      <c r="JR15" s="46">
        <f t="shared" ref="JR15:JR21" si="60">IF(D15&gt;0,D15-(JO15+JP15),"N/A")</f>
        <v>2</v>
      </c>
      <c r="JS15" s="15">
        <f>IF(ISBLANK(D15),"",JQ15/D15)</f>
        <v>0</v>
      </c>
    </row>
    <row r="16" spans="1:282" ht="24.5" thickBot="1" x14ac:dyDescent="0.75">
      <c r="A16" s="267"/>
      <c r="B16" s="74" t="s">
        <v>77</v>
      </c>
      <c r="C16" s="75"/>
      <c r="D16" s="75">
        <v>4500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8">
        <f t="shared" si="47"/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8">
        <f t="shared" si="15"/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D16" s="39">
        <v>0</v>
      </c>
      <c r="AE16" s="38">
        <f t="shared" si="16"/>
        <v>0</v>
      </c>
      <c r="AF16" s="39">
        <v>0</v>
      </c>
      <c r="AG16" s="39">
        <v>0</v>
      </c>
      <c r="AH16" s="39">
        <v>0</v>
      </c>
      <c r="AI16" s="39">
        <v>0</v>
      </c>
      <c r="AJ16" s="39">
        <v>0</v>
      </c>
      <c r="AK16" s="39">
        <v>0</v>
      </c>
      <c r="AL16" s="39">
        <v>0</v>
      </c>
      <c r="AM16" s="39">
        <v>0</v>
      </c>
      <c r="AN16" s="38">
        <f t="shared" si="17"/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38">
        <f t="shared" si="18"/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38">
        <f t="shared" si="19"/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38">
        <f t="shared" si="20"/>
        <v>0</v>
      </c>
      <c r="BP16" s="41">
        <v>0</v>
      </c>
      <c r="BQ16" s="41"/>
      <c r="BR16" s="41">
        <v>0</v>
      </c>
      <c r="BS16" s="41">
        <v>0</v>
      </c>
      <c r="BT16" s="41">
        <v>0</v>
      </c>
      <c r="BU16" s="41">
        <v>0</v>
      </c>
      <c r="BV16" s="41">
        <v>0</v>
      </c>
      <c r="BW16" s="41">
        <v>0</v>
      </c>
      <c r="BX16" s="38">
        <f t="shared" si="21"/>
        <v>0</v>
      </c>
      <c r="BY16" s="42">
        <v>0</v>
      </c>
      <c r="BZ16" s="42">
        <v>0</v>
      </c>
      <c r="CA16" s="42">
        <v>0</v>
      </c>
      <c r="CB16" s="42">
        <v>0</v>
      </c>
      <c r="CC16" s="42">
        <v>0</v>
      </c>
      <c r="CD16" s="42">
        <v>0</v>
      </c>
      <c r="CE16" s="42">
        <v>0</v>
      </c>
      <c r="CF16" s="42">
        <v>0</v>
      </c>
      <c r="CG16" s="38">
        <f t="shared" si="22"/>
        <v>0</v>
      </c>
      <c r="CH16" s="42">
        <v>0</v>
      </c>
      <c r="CI16" s="42">
        <v>78</v>
      </c>
      <c r="CJ16" s="42">
        <v>403</v>
      </c>
      <c r="CK16" s="42">
        <v>23</v>
      </c>
      <c r="CL16" s="42">
        <v>0</v>
      </c>
      <c r="CM16" s="42">
        <v>0</v>
      </c>
      <c r="CN16" s="42">
        <v>1</v>
      </c>
      <c r="CO16" s="42">
        <v>0</v>
      </c>
      <c r="CP16" s="38">
        <f t="shared" si="23"/>
        <v>505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38">
        <f t="shared" si="24"/>
        <v>0</v>
      </c>
      <c r="CZ16" s="43">
        <v>0</v>
      </c>
      <c r="DA16" s="43">
        <v>0</v>
      </c>
      <c r="DB16" s="43">
        <v>241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38">
        <f t="shared" si="25"/>
        <v>241</v>
      </c>
      <c r="DI16" s="39">
        <v>0</v>
      </c>
      <c r="DJ16" s="39">
        <v>0</v>
      </c>
      <c r="DK16" s="39">
        <v>0</v>
      </c>
      <c r="DL16" s="39">
        <v>0</v>
      </c>
      <c r="DM16" s="39">
        <v>0</v>
      </c>
      <c r="DN16" s="39">
        <v>0</v>
      </c>
      <c r="DO16" s="39">
        <v>0</v>
      </c>
      <c r="DP16" s="39">
        <v>0</v>
      </c>
      <c r="DQ16" s="38">
        <f t="shared" si="26"/>
        <v>0</v>
      </c>
      <c r="DR16" s="39">
        <v>0</v>
      </c>
      <c r="DS16" s="39">
        <v>21</v>
      </c>
      <c r="DT16" s="39">
        <v>90</v>
      </c>
      <c r="DU16" s="39">
        <v>0</v>
      </c>
      <c r="DV16" s="39">
        <v>0</v>
      </c>
      <c r="DW16" s="39">
        <v>0</v>
      </c>
      <c r="DX16" s="39">
        <v>0</v>
      </c>
      <c r="DY16" s="39">
        <v>0</v>
      </c>
      <c r="DZ16" s="38">
        <f t="shared" si="27"/>
        <v>111</v>
      </c>
      <c r="EA16" s="44">
        <v>0</v>
      </c>
      <c r="EB16" s="44"/>
      <c r="EC16" s="44">
        <v>0</v>
      </c>
      <c r="ED16" s="44">
        <v>0</v>
      </c>
      <c r="EE16" s="44">
        <v>0</v>
      </c>
      <c r="EF16" s="44">
        <v>0</v>
      </c>
      <c r="EG16" s="44">
        <v>0</v>
      </c>
      <c r="EH16" s="44">
        <v>0</v>
      </c>
      <c r="EI16" s="38">
        <f t="shared" si="28"/>
        <v>0</v>
      </c>
      <c r="EJ16" s="44">
        <v>0</v>
      </c>
      <c r="EK16" s="44">
        <v>70</v>
      </c>
      <c r="EL16" s="44">
        <v>382</v>
      </c>
      <c r="EM16" s="44">
        <v>7</v>
      </c>
      <c r="EN16" s="44">
        <v>0</v>
      </c>
      <c r="EO16" s="44">
        <v>0</v>
      </c>
      <c r="EP16" s="44">
        <v>0</v>
      </c>
      <c r="EQ16" s="44">
        <v>0</v>
      </c>
      <c r="ER16" s="38">
        <f t="shared" si="29"/>
        <v>459</v>
      </c>
      <c r="ES16" s="48"/>
      <c r="ET16" s="48"/>
      <c r="EU16" s="48"/>
      <c r="EV16" s="48"/>
      <c r="EW16" s="48"/>
      <c r="EX16" s="48"/>
      <c r="EY16" s="48"/>
      <c r="EZ16" s="48"/>
      <c r="FA16" s="38">
        <f t="shared" si="0"/>
        <v>0</v>
      </c>
      <c r="FB16" s="48"/>
      <c r="FC16" s="48">
        <v>60</v>
      </c>
      <c r="FD16" s="48">
        <v>174</v>
      </c>
      <c r="FE16" s="48">
        <v>6</v>
      </c>
      <c r="FF16" s="48"/>
      <c r="FG16" s="48"/>
      <c r="FH16" s="48"/>
      <c r="FI16" s="48"/>
      <c r="FJ16" s="38">
        <f t="shared" si="1"/>
        <v>240</v>
      </c>
      <c r="FK16" s="52">
        <v>0</v>
      </c>
      <c r="FL16" s="52">
        <v>0</v>
      </c>
      <c r="FM16" s="52">
        <v>0</v>
      </c>
      <c r="FN16" s="52">
        <v>0</v>
      </c>
      <c r="FO16" s="52">
        <v>0</v>
      </c>
      <c r="FP16" s="52">
        <v>0</v>
      </c>
      <c r="FQ16" s="52">
        <v>0</v>
      </c>
      <c r="FR16" s="52">
        <v>0</v>
      </c>
      <c r="FS16" s="38">
        <f t="shared" si="30"/>
        <v>0</v>
      </c>
      <c r="FT16" s="52">
        <v>0</v>
      </c>
      <c r="FU16" s="52">
        <v>35</v>
      </c>
      <c r="FV16" s="52">
        <v>208</v>
      </c>
      <c r="FW16" s="52">
        <v>13</v>
      </c>
      <c r="FX16" s="52">
        <v>0</v>
      </c>
      <c r="FY16" s="52">
        <v>0</v>
      </c>
      <c r="FZ16" s="52">
        <v>0</v>
      </c>
      <c r="GA16" s="52">
        <v>0</v>
      </c>
      <c r="GB16" s="38">
        <f t="shared" si="31"/>
        <v>256</v>
      </c>
      <c r="GC16" s="117"/>
      <c r="GD16" s="117"/>
      <c r="GE16" s="117"/>
      <c r="GF16" s="117"/>
      <c r="GG16" s="117"/>
      <c r="GH16" s="117"/>
      <c r="GI16" s="117"/>
      <c r="GJ16" s="117"/>
      <c r="GK16" s="118">
        <f t="shared" si="48"/>
        <v>0</v>
      </c>
      <c r="GL16" s="117"/>
      <c r="GM16" s="117">
        <v>54</v>
      </c>
      <c r="GN16" s="117">
        <v>230</v>
      </c>
      <c r="GO16" s="117">
        <v>14</v>
      </c>
      <c r="GP16" s="117"/>
      <c r="GQ16" s="117"/>
      <c r="GR16" s="117"/>
      <c r="GS16" s="117"/>
      <c r="GT16" s="118">
        <f t="shared" si="49"/>
        <v>298</v>
      </c>
      <c r="GU16" s="62"/>
      <c r="GV16" s="62"/>
      <c r="GW16" s="62"/>
      <c r="GX16" s="62"/>
      <c r="GY16" s="62"/>
      <c r="GZ16" s="62"/>
      <c r="HA16" s="62"/>
      <c r="HB16" s="62"/>
      <c r="HC16" s="118">
        <f t="shared" si="50"/>
        <v>0</v>
      </c>
      <c r="HD16" s="62"/>
      <c r="HE16" s="62">
        <f>15+49</f>
        <v>64</v>
      </c>
      <c r="HF16" s="62">
        <f>108+13</f>
        <v>121</v>
      </c>
      <c r="HG16" s="62">
        <v>7</v>
      </c>
      <c r="HH16" s="62"/>
      <c r="HI16" s="62"/>
      <c r="HJ16" s="62"/>
      <c r="HK16" s="62"/>
      <c r="HL16" s="118">
        <f t="shared" si="51"/>
        <v>192</v>
      </c>
      <c r="HM16" s="121"/>
      <c r="HN16" s="121"/>
      <c r="HO16" s="121"/>
      <c r="HP16" s="121"/>
      <c r="HQ16" s="121"/>
      <c r="HR16" s="121"/>
      <c r="HS16" s="121"/>
      <c r="HT16" s="121"/>
      <c r="HU16" s="118">
        <f t="shared" si="52"/>
        <v>0</v>
      </c>
      <c r="HV16" s="121"/>
      <c r="HW16" s="121">
        <v>76</v>
      </c>
      <c r="HX16" s="121">
        <f>167+22</f>
        <v>189</v>
      </c>
      <c r="HY16" s="121">
        <v>22</v>
      </c>
      <c r="HZ16" s="121"/>
      <c r="IA16" s="121"/>
      <c r="IB16" s="121"/>
      <c r="IC16" s="121"/>
      <c r="ID16" s="118">
        <f t="shared" si="53"/>
        <v>287</v>
      </c>
      <c r="IE16" s="137"/>
      <c r="IF16" s="137"/>
      <c r="IG16" s="137"/>
      <c r="IH16" s="137"/>
      <c r="II16" s="137"/>
      <c r="IJ16" s="137"/>
      <c r="IK16" s="137"/>
      <c r="IL16" s="137"/>
      <c r="IM16" s="118">
        <f t="shared" si="54"/>
        <v>0</v>
      </c>
      <c r="IN16" s="137"/>
      <c r="IO16" s="137">
        <f>29+92</f>
        <v>121</v>
      </c>
      <c r="IP16" s="137">
        <f>291+125</f>
        <v>416</v>
      </c>
      <c r="IQ16" s="137"/>
      <c r="IR16" s="137"/>
      <c r="IS16" s="137"/>
      <c r="IT16" s="137">
        <v>140</v>
      </c>
      <c r="IU16" s="137"/>
      <c r="IV16" s="118">
        <f t="shared" si="55"/>
        <v>677</v>
      </c>
      <c r="IW16" s="147"/>
      <c r="IX16" s="147"/>
      <c r="IY16" s="147"/>
      <c r="IZ16" s="147"/>
      <c r="JA16" s="147"/>
      <c r="JB16" s="147"/>
      <c r="JC16" s="147"/>
      <c r="JD16" s="147"/>
      <c r="JE16" s="118">
        <f t="shared" si="56"/>
        <v>0</v>
      </c>
      <c r="JF16" s="147"/>
      <c r="JG16" s="147">
        <v>158</v>
      </c>
      <c r="JH16" s="147">
        <v>155</v>
      </c>
      <c r="JI16" s="147"/>
      <c r="JJ16" s="147"/>
      <c r="JK16" s="147"/>
      <c r="JL16" s="147"/>
      <c r="JM16" s="147"/>
      <c r="JN16" s="118">
        <f t="shared" si="57"/>
        <v>313</v>
      </c>
      <c r="JO16" s="14">
        <f t="shared" si="58"/>
        <v>0</v>
      </c>
      <c r="JP16" s="46">
        <f t="shared" si="59"/>
        <v>3579</v>
      </c>
      <c r="JQ16" s="47">
        <f t="shared" si="46"/>
        <v>3579</v>
      </c>
      <c r="JR16" s="46">
        <f t="shared" si="60"/>
        <v>921</v>
      </c>
      <c r="JS16" s="15">
        <f>IF(ISBLANK(D16),"",JQ16/D16)</f>
        <v>0.79533333333333334</v>
      </c>
    </row>
    <row r="17" spans="1:279" ht="24.5" thickBot="1" x14ac:dyDescent="0.75">
      <c r="A17" s="267"/>
      <c r="B17" s="74" t="s">
        <v>78</v>
      </c>
      <c r="C17" s="75"/>
      <c r="D17" s="75">
        <v>200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8">
        <f t="shared" si="47"/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8">
        <f t="shared" si="15"/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0</v>
      </c>
      <c r="AD17" s="39">
        <v>0</v>
      </c>
      <c r="AE17" s="38">
        <f t="shared" si="16"/>
        <v>0</v>
      </c>
      <c r="AF17" s="39">
        <v>0</v>
      </c>
      <c r="AG17" s="39">
        <v>0</v>
      </c>
      <c r="AH17" s="39">
        <v>0</v>
      </c>
      <c r="AI17" s="39">
        <v>0</v>
      </c>
      <c r="AJ17" s="39">
        <v>0</v>
      </c>
      <c r="AK17" s="39">
        <v>0</v>
      </c>
      <c r="AL17" s="39">
        <v>0</v>
      </c>
      <c r="AM17" s="39">
        <v>0</v>
      </c>
      <c r="AN17" s="38">
        <f t="shared" si="17"/>
        <v>0</v>
      </c>
      <c r="AO17" s="40">
        <v>0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0</v>
      </c>
      <c r="AV17" s="40">
        <v>0</v>
      </c>
      <c r="AW17" s="38">
        <f t="shared" si="18"/>
        <v>0</v>
      </c>
      <c r="AX17" s="40">
        <v>0</v>
      </c>
      <c r="AY17" s="40">
        <v>0</v>
      </c>
      <c r="AZ17" s="40">
        <v>0</v>
      </c>
      <c r="BA17" s="40">
        <v>0</v>
      </c>
      <c r="BB17" s="40">
        <v>0</v>
      </c>
      <c r="BC17" s="40">
        <v>0</v>
      </c>
      <c r="BD17" s="40">
        <v>0</v>
      </c>
      <c r="BE17" s="40">
        <v>0</v>
      </c>
      <c r="BF17" s="38">
        <f t="shared" si="19"/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38">
        <f t="shared" si="20"/>
        <v>0</v>
      </c>
      <c r="BP17" s="41">
        <v>0</v>
      </c>
      <c r="BQ17" s="41"/>
      <c r="BR17" s="41">
        <v>0</v>
      </c>
      <c r="BS17" s="41">
        <v>0</v>
      </c>
      <c r="BT17" s="41">
        <v>0</v>
      </c>
      <c r="BU17" s="41">
        <v>0</v>
      </c>
      <c r="BV17" s="41">
        <v>0</v>
      </c>
      <c r="BW17" s="41">
        <v>0</v>
      </c>
      <c r="BX17" s="38">
        <f t="shared" si="21"/>
        <v>0</v>
      </c>
      <c r="BY17" s="42">
        <v>0</v>
      </c>
      <c r="BZ17" s="42">
        <v>0</v>
      </c>
      <c r="CA17" s="42">
        <v>0</v>
      </c>
      <c r="CB17" s="42">
        <v>0</v>
      </c>
      <c r="CC17" s="42">
        <v>0</v>
      </c>
      <c r="CD17" s="42">
        <v>0</v>
      </c>
      <c r="CE17" s="42">
        <v>0</v>
      </c>
      <c r="CF17" s="42">
        <v>0</v>
      </c>
      <c r="CG17" s="38">
        <f t="shared" si="22"/>
        <v>0</v>
      </c>
      <c r="CH17" s="42">
        <v>0</v>
      </c>
      <c r="CI17" s="42">
        <v>0</v>
      </c>
      <c r="CJ17" s="42">
        <v>0</v>
      </c>
      <c r="CK17" s="42">
        <v>0</v>
      </c>
      <c r="CL17" s="42">
        <v>0</v>
      </c>
      <c r="CM17" s="42">
        <v>0</v>
      </c>
      <c r="CN17" s="42">
        <v>0</v>
      </c>
      <c r="CO17" s="42">
        <v>0</v>
      </c>
      <c r="CP17" s="38">
        <f t="shared" si="23"/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38">
        <f t="shared" si="24"/>
        <v>0</v>
      </c>
      <c r="CZ17" s="43">
        <v>0</v>
      </c>
      <c r="DA17" s="43">
        <v>0</v>
      </c>
      <c r="DB17" s="43">
        <v>0</v>
      </c>
      <c r="DC17" s="43">
        <v>0</v>
      </c>
      <c r="DD17" s="43">
        <v>0</v>
      </c>
      <c r="DE17" s="43">
        <v>0</v>
      </c>
      <c r="DF17" s="43">
        <v>0</v>
      </c>
      <c r="DG17" s="43">
        <v>0</v>
      </c>
      <c r="DH17" s="38">
        <f t="shared" si="25"/>
        <v>0</v>
      </c>
      <c r="DI17" s="39">
        <v>0</v>
      </c>
      <c r="DJ17" s="39">
        <v>0</v>
      </c>
      <c r="DK17" s="39">
        <v>0</v>
      </c>
      <c r="DL17" s="39">
        <v>0</v>
      </c>
      <c r="DM17" s="39">
        <v>0</v>
      </c>
      <c r="DN17" s="39">
        <v>0</v>
      </c>
      <c r="DO17" s="39">
        <v>0</v>
      </c>
      <c r="DP17" s="39">
        <v>0</v>
      </c>
      <c r="DQ17" s="38">
        <f t="shared" si="26"/>
        <v>0</v>
      </c>
      <c r="DR17" s="39">
        <v>0</v>
      </c>
      <c r="DS17" s="39">
        <v>0</v>
      </c>
      <c r="DT17" s="39">
        <v>0</v>
      </c>
      <c r="DU17" s="39">
        <v>0</v>
      </c>
      <c r="DV17" s="39">
        <v>0</v>
      </c>
      <c r="DW17" s="39">
        <v>0</v>
      </c>
      <c r="DX17" s="39">
        <v>0</v>
      </c>
      <c r="DY17" s="39">
        <v>0</v>
      </c>
      <c r="DZ17" s="38">
        <f t="shared" si="27"/>
        <v>0</v>
      </c>
      <c r="EA17" s="44">
        <v>0</v>
      </c>
      <c r="EB17" s="44"/>
      <c r="EC17" s="44">
        <v>0</v>
      </c>
      <c r="ED17" s="44">
        <v>0</v>
      </c>
      <c r="EE17" s="44">
        <v>0</v>
      </c>
      <c r="EF17" s="44">
        <v>0</v>
      </c>
      <c r="EG17" s="44">
        <v>0</v>
      </c>
      <c r="EH17" s="44">
        <v>0</v>
      </c>
      <c r="EI17" s="38">
        <f t="shared" si="28"/>
        <v>0</v>
      </c>
      <c r="EJ17" s="44">
        <v>0</v>
      </c>
      <c r="EK17" s="44">
        <v>0</v>
      </c>
      <c r="EL17" s="44">
        <v>0</v>
      </c>
      <c r="EM17" s="44">
        <v>0</v>
      </c>
      <c r="EN17" s="44">
        <v>0</v>
      </c>
      <c r="EO17" s="44">
        <v>0</v>
      </c>
      <c r="EP17" s="44">
        <v>0</v>
      </c>
      <c r="EQ17" s="44">
        <v>0</v>
      </c>
      <c r="ER17" s="38">
        <f t="shared" si="29"/>
        <v>0</v>
      </c>
      <c r="ES17" s="48"/>
      <c r="ET17" s="48"/>
      <c r="EU17" s="48"/>
      <c r="EV17" s="48"/>
      <c r="EW17" s="48"/>
      <c r="EX17" s="48"/>
      <c r="EY17" s="48"/>
      <c r="EZ17" s="48"/>
      <c r="FA17" s="38">
        <f t="shared" si="0"/>
        <v>0</v>
      </c>
      <c r="FB17" s="48"/>
      <c r="FC17" s="48"/>
      <c r="FD17" s="48"/>
      <c r="FE17" s="48"/>
      <c r="FF17" s="48"/>
      <c r="FG17" s="48"/>
      <c r="FH17" s="48"/>
      <c r="FI17" s="48"/>
      <c r="FJ17" s="38">
        <f t="shared" si="1"/>
        <v>0</v>
      </c>
      <c r="FK17" s="52">
        <v>0</v>
      </c>
      <c r="FL17" s="52">
        <v>0</v>
      </c>
      <c r="FM17" s="52">
        <v>0</v>
      </c>
      <c r="FN17" s="52">
        <v>0</v>
      </c>
      <c r="FO17" s="52">
        <v>0</v>
      </c>
      <c r="FP17" s="52">
        <v>0</v>
      </c>
      <c r="FQ17" s="52">
        <v>0</v>
      </c>
      <c r="FR17" s="52">
        <v>0</v>
      </c>
      <c r="FS17" s="38">
        <f t="shared" si="30"/>
        <v>0</v>
      </c>
      <c r="FT17" s="52">
        <v>0</v>
      </c>
      <c r="FU17" s="52">
        <v>0</v>
      </c>
      <c r="FV17" s="52">
        <v>0</v>
      </c>
      <c r="FW17" s="52">
        <v>0</v>
      </c>
      <c r="FX17" s="52">
        <v>0</v>
      </c>
      <c r="FY17" s="52">
        <v>0</v>
      </c>
      <c r="FZ17" s="52">
        <v>0</v>
      </c>
      <c r="GA17" s="52">
        <v>0</v>
      </c>
      <c r="GB17" s="38">
        <f t="shared" si="31"/>
        <v>0</v>
      </c>
      <c r="GC17" s="117"/>
      <c r="GD17" s="117"/>
      <c r="GE17" s="117"/>
      <c r="GF17" s="117"/>
      <c r="GG17" s="117"/>
      <c r="GH17" s="117"/>
      <c r="GI17" s="117"/>
      <c r="GJ17" s="117"/>
      <c r="GK17" s="118">
        <f t="shared" si="48"/>
        <v>0</v>
      </c>
      <c r="GL17" s="117"/>
      <c r="GM17" s="117"/>
      <c r="GN17" s="117"/>
      <c r="GO17" s="117"/>
      <c r="GP17" s="117"/>
      <c r="GQ17" s="117"/>
      <c r="GR17" s="117"/>
      <c r="GS17" s="117"/>
      <c r="GT17" s="118">
        <f t="shared" si="49"/>
        <v>0</v>
      </c>
      <c r="GU17" s="62"/>
      <c r="GV17" s="62"/>
      <c r="GW17" s="62"/>
      <c r="GX17" s="62"/>
      <c r="GY17" s="62"/>
      <c r="GZ17" s="62"/>
      <c r="HA17" s="62"/>
      <c r="HB17" s="62"/>
      <c r="HC17" s="118">
        <f t="shared" si="50"/>
        <v>0</v>
      </c>
      <c r="HD17" s="62"/>
      <c r="HE17" s="62"/>
      <c r="HF17" s="62">
        <v>17</v>
      </c>
      <c r="HG17" s="62"/>
      <c r="HH17" s="62"/>
      <c r="HI17" s="62"/>
      <c r="HJ17" s="62"/>
      <c r="HK17" s="62"/>
      <c r="HL17" s="118">
        <f t="shared" si="51"/>
        <v>17</v>
      </c>
      <c r="HM17" s="121"/>
      <c r="HN17" s="121"/>
      <c r="HO17" s="121"/>
      <c r="HP17" s="121"/>
      <c r="HQ17" s="121"/>
      <c r="HR17" s="121"/>
      <c r="HS17" s="121"/>
      <c r="HT17" s="121"/>
      <c r="HU17" s="118">
        <f t="shared" si="52"/>
        <v>0</v>
      </c>
      <c r="HV17" s="121"/>
      <c r="HW17" s="121"/>
      <c r="HX17" s="121">
        <v>10</v>
      </c>
      <c r="HY17" s="121"/>
      <c r="HZ17" s="121"/>
      <c r="IA17" s="121"/>
      <c r="IB17" s="121"/>
      <c r="IC17" s="121"/>
      <c r="ID17" s="118">
        <f t="shared" si="53"/>
        <v>10</v>
      </c>
      <c r="IE17" s="137"/>
      <c r="IF17" s="137"/>
      <c r="IG17" s="137"/>
      <c r="IH17" s="137"/>
      <c r="II17" s="137"/>
      <c r="IJ17" s="137"/>
      <c r="IK17" s="137"/>
      <c r="IL17" s="137"/>
      <c r="IM17" s="118">
        <f t="shared" si="54"/>
        <v>0</v>
      </c>
      <c r="IN17" s="137"/>
      <c r="IO17" s="137">
        <v>16</v>
      </c>
      <c r="IP17" s="137">
        <v>57</v>
      </c>
      <c r="IQ17" s="137"/>
      <c r="IR17" s="137"/>
      <c r="IS17" s="137"/>
      <c r="IT17" s="137"/>
      <c r="IU17" s="137"/>
      <c r="IV17" s="118">
        <f t="shared" si="55"/>
        <v>73</v>
      </c>
      <c r="IW17" s="147"/>
      <c r="IX17" s="147"/>
      <c r="IY17" s="147"/>
      <c r="IZ17" s="147"/>
      <c r="JA17" s="147"/>
      <c r="JB17" s="147"/>
      <c r="JC17" s="147"/>
      <c r="JD17" s="147"/>
      <c r="JE17" s="118">
        <f t="shared" si="56"/>
        <v>0</v>
      </c>
      <c r="JF17" s="147"/>
      <c r="JG17" s="147"/>
      <c r="JH17" s="147">
        <v>54</v>
      </c>
      <c r="JI17" s="147"/>
      <c r="JJ17" s="147"/>
      <c r="JK17" s="147"/>
      <c r="JL17" s="147"/>
      <c r="JM17" s="147"/>
      <c r="JN17" s="118">
        <f t="shared" si="57"/>
        <v>54</v>
      </c>
      <c r="JO17" s="14">
        <f t="shared" si="58"/>
        <v>0</v>
      </c>
      <c r="JP17" s="46">
        <f t="shared" si="59"/>
        <v>154</v>
      </c>
      <c r="JQ17" s="47">
        <f t="shared" si="46"/>
        <v>154</v>
      </c>
      <c r="JR17" s="46">
        <f t="shared" si="60"/>
        <v>46</v>
      </c>
      <c r="JS17" s="15">
        <f>IF(ISBLANK(D17),"",(JO17+JP17)/D17)</f>
        <v>0.77</v>
      </c>
    </row>
    <row r="18" spans="1:279" s="123" customFormat="1" ht="32" customHeight="1" thickBot="1" x14ac:dyDescent="0.75">
      <c r="A18" s="267"/>
      <c r="B18" s="74" t="s">
        <v>63</v>
      </c>
      <c r="C18" s="75"/>
      <c r="D18" s="75">
        <v>450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8">
        <f t="shared" si="47"/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8">
        <f t="shared" si="15"/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8">
        <f t="shared" si="16"/>
        <v>0</v>
      </c>
      <c r="AF18" s="39">
        <v>0</v>
      </c>
      <c r="AG18" s="39">
        <v>0</v>
      </c>
      <c r="AH18" s="39">
        <v>0</v>
      </c>
      <c r="AI18" s="39">
        <v>0</v>
      </c>
      <c r="AJ18" s="39">
        <v>0</v>
      </c>
      <c r="AK18" s="39">
        <v>0</v>
      </c>
      <c r="AL18" s="39">
        <v>0</v>
      </c>
      <c r="AM18" s="39">
        <v>0</v>
      </c>
      <c r="AN18" s="38">
        <f t="shared" si="17"/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38">
        <f t="shared" si="18"/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38">
        <f t="shared" si="19"/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38">
        <f t="shared" si="20"/>
        <v>0</v>
      </c>
      <c r="BP18" s="41">
        <v>0</v>
      </c>
      <c r="BQ18" s="41"/>
      <c r="BR18" s="41">
        <v>0</v>
      </c>
      <c r="BS18" s="41">
        <v>0</v>
      </c>
      <c r="BT18" s="41">
        <v>0</v>
      </c>
      <c r="BU18" s="41">
        <v>0</v>
      </c>
      <c r="BV18" s="41">
        <v>0</v>
      </c>
      <c r="BW18" s="41">
        <v>0</v>
      </c>
      <c r="BX18" s="38">
        <f t="shared" si="21"/>
        <v>0</v>
      </c>
      <c r="BY18" s="42">
        <v>0</v>
      </c>
      <c r="BZ18" s="42">
        <v>0</v>
      </c>
      <c r="CA18" s="42">
        <v>0</v>
      </c>
      <c r="CB18" s="42">
        <v>0</v>
      </c>
      <c r="CC18" s="42">
        <v>0</v>
      </c>
      <c r="CD18" s="42">
        <v>0</v>
      </c>
      <c r="CE18" s="42">
        <v>0</v>
      </c>
      <c r="CF18" s="42">
        <v>0</v>
      </c>
      <c r="CG18" s="38">
        <f t="shared" si="22"/>
        <v>0</v>
      </c>
      <c r="CH18" s="42">
        <v>0</v>
      </c>
      <c r="CI18" s="42">
        <v>0</v>
      </c>
      <c r="CJ18" s="42">
        <v>0</v>
      </c>
      <c r="CK18" s="42">
        <v>0</v>
      </c>
      <c r="CL18" s="42">
        <v>0</v>
      </c>
      <c r="CM18" s="42">
        <v>0</v>
      </c>
      <c r="CN18" s="42">
        <v>0</v>
      </c>
      <c r="CO18" s="42">
        <v>0</v>
      </c>
      <c r="CP18" s="38">
        <f t="shared" si="23"/>
        <v>0</v>
      </c>
      <c r="CQ18" s="43">
        <v>0</v>
      </c>
      <c r="CR18" s="43">
        <v>0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38">
        <f t="shared" si="24"/>
        <v>0</v>
      </c>
      <c r="CZ18" s="43">
        <v>0</v>
      </c>
      <c r="DA18" s="43">
        <v>0</v>
      </c>
      <c r="DB18" s="43">
        <v>0</v>
      </c>
      <c r="DC18" s="43">
        <v>0</v>
      </c>
      <c r="DD18" s="43">
        <v>0</v>
      </c>
      <c r="DE18" s="43">
        <v>0</v>
      </c>
      <c r="DF18" s="43">
        <v>0</v>
      </c>
      <c r="DG18" s="43">
        <v>0</v>
      </c>
      <c r="DH18" s="38">
        <f t="shared" si="25"/>
        <v>0</v>
      </c>
      <c r="DI18" s="39">
        <v>0</v>
      </c>
      <c r="DJ18" s="39">
        <v>0</v>
      </c>
      <c r="DK18" s="39">
        <v>0</v>
      </c>
      <c r="DL18" s="39">
        <v>0</v>
      </c>
      <c r="DM18" s="39">
        <v>0</v>
      </c>
      <c r="DN18" s="39">
        <v>0</v>
      </c>
      <c r="DO18" s="39">
        <v>0</v>
      </c>
      <c r="DP18" s="39">
        <v>0</v>
      </c>
      <c r="DQ18" s="38">
        <f t="shared" si="26"/>
        <v>0</v>
      </c>
      <c r="DR18" s="39">
        <v>0</v>
      </c>
      <c r="DS18" s="39">
        <v>0</v>
      </c>
      <c r="DT18" s="39">
        <v>0</v>
      </c>
      <c r="DU18" s="39">
        <v>0</v>
      </c>
      <c r="DV18" s="39">
        <v>0</v>
      </c>
      <c r="DW18" s="39">
        <v>0</v>
      </c>
      <c r="DX18" s="39">
        <v>0</v>
      </c>
      <c r="DY18" s="39">
        <v>0</v>
      </c>
      <c r="DZ18" s="38">
        <f t="shared" si="27"/>
        <v>0</v>
      </c>
      <c r="EA18" s="44">
        <v>0</v>
      </c>
      <c r="EB18" s="44">
        <v>13</v>
      </c>
      <c r="EC18" s="44">
        <v>3</v>
      </c>
      <c r="ED18" s="44">
        <v>0</v>
      </c>
      <c r="EE18" s="44">
        <v>0</v>
      </c>
      <c r="EF18" s="44">
        <v>0</v>
      </c>
      <c r="EG18" s="44">
        <v>0</v>
      </c>
      <c r="EH18" s="44">
        <v>0</v>
      </c>
      <c r="EI18" s="38">
        <f t="shared" si="28"/>
        <v>16</v>
      </c>
      <c r="EJ18" s="44">
        <v>0</v>
      </c>
      <c r="EK18" s="44">
        <v>30</v>
      </c>
      <c r="EL18" s="44">
        <v>14</v>
      </c>
      <c r="EM18" s="44">
        <v>0</v>
      </c>
      <c r="EN18" s="44">
        <v>0</v>
      </c>
      <c r="EO18" s="44">
        <v>0</v>
      </c>
      <c r="EP18" s="44">
        <v>0</v>
      </c>
      <c r="EQ18" s="44">
        <v>0</v>
      </c>
      <c r="ER18" s="38">
        <f t="shared" si="29"/>
        <v>44</v>
      </c>
      <c r="ES18" s="48"/>
      <c r="ET18" s="48">
        <v>14</v>
      </c>
      <c r="EU18" s="48"/>
      <c r="EV18" s="48"/>
      <c r="EW18" s="48"/>
      <c r="EX18" s="48"/>
      <c r="EY18" s="48"/>
      <c r="EZ18" s="48"/>
      <c r="FA18" s="38">
        <f t="shared" si="0"/>
        <v>14</v>
      </c>
      <c r="FB18" s="48"/>
      <c r="FC18" s="48">
        <v>14</v>
      </c>
      <c r="FD18" s="48">
        <v>3</v>
      </c>
      <c r="FE18" s="48"/>
      <c r="FF18" s="48"/>
      <c r="FG18" s="48"/>
      <c r="FH18" s="48"/>
      <c r="FI18" s="48"/>
      <c r="FJ18" s="38">
        <f t="shared" si="1"/>
        <v>17</v>
      </c>
      <c r="FK18" s="52">
        <v>0</v>
      </c>
      <c r="FL18" s="52">
        <v>3</v>
      </c>
      <c r="FM18" s="52">
        <v>0</v>
      </c>
      <c r="FN18" s="52">
        <v>0</v>
      </c>
      <c r="FO18" s="52">
        <v>0</v>
      </c>
      <c r="FP18" s="52">
        <v>0</v>
      </c>
      <c r="FQ18" s="52">
        <v>0</v>
      </c>
      <c r="FR18" s="52">
        <v>0</v>
      </c>
      <c r="FS18" s="38">
        <f t="shared" si="30"/>
        <v>3</v>
      </c>
      <c r="FT18" s="52">
        <v>0</v>
      </c>
      <c r="FU18" s="52">
        <v>17</v>
      </c>
      <c r="FV18" s="52">
        <v>0</v>
      </c>
      <c r="FW18" s="52">
        <v>0</v>
      </c>
      <c r="FX18" s="52">
        <v>0</v>
      </c>
      <c r="FY18" s="52">
        <v>0</v>
      </c>
      <c r="FZ18" s="52">
        <v>0</v>
      </c>
      <c r="GA18" s="52">
        <v>0</v>
      </c>
      <c r="GB18" s="38">
        <f t="shared" si="31"/>
        <v>17</v>
      </c>
      <c r="GC18" s="117"/>
      <c r="GD18" s="117"/>
      <c r="GE18" s="117"/>
      <c r="GF18" s="117"/>
      <c r="GG18" s="117"/>
      <c r="GH18" s="117"/>
      <c r="GI18" s="117"/>
      <c r="GJ18" s="117"/>
      <c r="GK18" s="118">
        <f t="shared" si="48"/>
        <v>0</v>
      </c>
      <c r="GL18" s="117"/>
      <c r="GM18" s="117">
        <v>29</v>
      </c>
      <c r="GN18" s="117">
        <v>15</v>
      </c>
      <c r="GO18" s="117"/>
      <c r="GP18" s="117"/>
      <c r="GQ18" s="117"/>
      <c r="GR18" s="117"/>
      <c r="GS18" s="117"/>
      <c r="GT18" s="118">
        <f t="shared" si="49"/>
        <v>44</v>
      </c>
      <c r="GU18" s="62"/>
      <c r="GV18" s="62"/>
      <c r="GW18" s="62"/>
      <c r="GX18" s="62"/>
      <c r="GY18" s="62"/>
      <c r="GZ18" s="62"/>
      <c r="HA18" s="62"/>
      <c r="HB18" s="62"/>
      <c r="HC18" s="118">
        <f t="shared" si="50"/>
        <v>0</v>
      </c>
      <c r="HD18" s="62"/>
      <c r="HE18" s="62">
        <v>56</v>
      </c>
      <c r="HF18" s="62">
        <v>13</v>
      </c>
      <c r="HG18" s="62"/>
      <c r="HH18" s="62"/>
      <c r="HI18" s="62"/>
      <c r="HJ18" s="62"/>
      <c r="HK18" s="62"/>
      <c r="HL18" s="118">
        <f t="shared" si="51"/>
        <v>69</v>
      </c>
      <c r="HM18" s="121">
        <v>0</v>
      </c>
      <c r="HN18" s="121">
        <v>0</v>
      </c>
      <c r="HO18" s="121">
        <v>0</v>
      </c>
      <c r="HP18" s="121">
        <v>0</v>
      </c>
      <c r="HQ18" s="121">
        <v>0</v>
      </c>
      <c r="HR18" s="121">
        <v>0</v>
      </c>
      <c r="HS18" s="121">
        <v>0</v>
      </c>
      <c r="HT18" s="121">
        <v>0</v>
      </c>
      <c r="HU18" s="118">
        <f t="shared" si="52"/>
        <v>0</v>
      </c>
      <c r="HV18" s="121"/>
      <c r="HW18" s="121">
        <v>105</v>
      </c>
      <c r="HX18" s="121">
        <v>26</v>
      </c>
      <c r="HY18" s="121"/>
      <c r="HZ18" s="121"/>
      <c r="IA18" s="121"/>
      <c r="IB18" s="121"/>
      <c r="IC18" s="121"/>
      <c r="ID18" s="118">
        <f t="shared" si="53"/>
        <v>131</v>
      </c>
      <c r="IE18" s="137">
        <v>0</v>
      </c>
      <c r="IF18" s="137">
        <v>0</v>
      </c>
      <c r="IG18" s="137">
        <v>0</v>
      </c>
      <c r="IH18" s="137">
        <v>0</v>
      </c>
      <c r="II18" s="137">
        <v>0</v>
      </c>
      <c r="IJ18" s="137">
        <v>0</v>
      </c>
      <c r="IK18" s="137">
        <v>0</v>
      </c>
      <c r="IL18" s="137">
        <v>0</v>
      </c>
      <c r="IM18" s="118">
        <f t="shared" si="54"/>
        <v>0</v>
      </c>
      <c r="IN18" s="137"/>
      <c r="IO18" s="137">
        <v>98</v>
      </c>
      <c r="IP18" s="137"/>
      <c r="IQ18" s="137"/>
      <c r="IR18" s="137"/>
      <c r="IS18" s="137"/>
      <c r="IT18" s="137"/>
      <c r="IU18" s="137"/>
      <c r="IV18" s="118">
        <f t="shared" si="55"/>
        <v>98</v>
      </c>
      <c r="IW18" s="147">
        <v>0</v>
      </c>
      <c r="IX18" s="147">
        <v>0</v>
      </c>
      <c r="IY18" s="147">
        <v>0</v>
      </c>
      <c r="IZ18" s="147">
        <v>0</v>
      </c>
      <c r="JA18" s="147">
        <v>0</v>
      </c>
      <c r="JB18" s="147">
        <v>0</v>
      </c>
      <c r="JC18" s="147">
        <v>0</v>
      </c>
      <c r="JD18" s="147">
        <v>0</v>
      </c>
      <c r="JE18" s="118">
        <f t="shared" si="56"/>
        <v>0</v>
      </c>
      <c r="JF18" s="147"/>
      <c r="JG18" s="147">
        <v>74</v>
      </c>
      <c r="JH18" s="147">
        <v>0</v>
      </c>
      <c r="JI18" s="147"/>
      <c r="JJ18" s="147"/>
      <c r="JK18" s="147"/>
      <c r="JL18" s="147"/>
      <c r="JM18" s="147"/>
      <c r="JN18" s="118">
        <f t="shared" si="57"/>
        <v>74</v>
      </c>
      <c r="JO18" s="14">
        <f t="shared" si="58"/>
        <v>33</v>
      </c>
      <c r="JP18" s="46">
        <f t="shared" si="59"/>
        <v>494</v>
      </c>
      <c r="JQ18" s="47">
        <f t="shared" si="46"/>
        <v>527</v>
      </c>
      <c r="JR18" s="46">
        <f t="shared" si="60"/>
        <v>-77</v>
      </c>
      <c r="JS18" s="122">
        <f>IF(ISBLANK(D18),"",(JO18+JP18)/D18)</f>
        <v>1.1711111111111112</v>
      </c>
    </row>
    <row r="19" spans="1:279" ht="24.5" thickBot="1" x14ac:dyDescent="0.75">
      <c r="A19" s="267"/>
      <c r="B19" s="74" t="s">
        <v>79</v>
      </c>
      <c r="C19" s="75"/>
      <c r="D19" s="75"/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8">
        <f t="shared" si="47"/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8">
        <f t="shared" si="15"/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8">
        <f t="shared" si="16"/>
        <v>0</v>
      </c>
      <c r="AF19" s="39">
        <v>0</v>
      </c>
      <c r="AG19" s="39">
        <v>0</v>
      </c>
      <c r="AH19" s="39">
        <v>0</v>
      </c>
      <c r="AI19" s="39">
        <v>0</v>
      </c>
      <c r="AJ19" s="39">
        <v>0</v>
      </c>
      <c r="AK19" s="39">
        <v>0</v>
      </c>
      <c r="AL19" s="39">
        <v>0</v>
      </c>
      <c r="AM19" s="39">
        <v>0</v>
      </c>
      <c r="AN19" s="38">
        <f t="shared" si="17"/>
        <v>0</v>
      </c>
      <c r="AO19" s="40">
        <v>0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0</v>
      </c>
      <c r="AW19" s="38">
        <f t="shared" si="18"/>
        <v>0</v>
      </c>
      <c r="AX19" s="40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38">
        <f t="shared" si="19"/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38">
        <f t="shared" si="20"/>
        <v>0</v>
      </c>
      <c r="BP19" s="41">
        <v>0</v>
      </c>
      <c r="BQ19" s="41"/>
      <c r="BR19" s="41">
        <v>0</v>
      </c>
      <c r="BS19" s="41">
        <v>0</v>
      </c>
      <c r="BT19" s="41">
        <v>0</v>
      </c>
      <c r="BU19" s="41">
        <v>0</v>
      </c>
      <c r="BV19" s="41">
        <v>0</v>
      </c>
      <c r="BW19" s="41">
        <v>0</v>
      </c>
      <c r="BX19" s="38">
        <f t="shared" si="21"/>
        <v>0</v>
      </c>
      <c r="BY19" s="42">
        <v>0</v>
      </c>
      <c r="BZ19" s="42">
        <v>0</v>
      </c>
      <c r="CA19" s="42">
        <v>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38">
        <f t="shared" si="22"/>
        <v>0</v>
      </c>
      <c r="CH19" s="42">
        <v>0</v>
      </c>
      <c r="CI19" s="42">
        <v>0</v>
      </c>
      <c r="CJ19" s="42">
        <v>0</v>
      </c>
      <c r="CK19" s="42">
        <v>0</v>
      </c>
      <c r="CL19" s="42">
        <v>0</v>
      </c>
      <c r="CM19" s="42">
        <v>0</v>
      </c>
      <c r="CN19" s="42">
        <v>0</v>
      </c>
      <c r="CO19" s="42">
        <v>0</v>
      </c>
      <c r="CP19" s="38">
        <f t="shared" si="23"/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38">
        <f t="shared" si="24"/>
        <v>0</v>
      </c>
      <c r="CZ19" s="43">
        <v>0</v>
      </c>
      <c r="DA19" s="43">
        <v>0</v>
      </c>
      <c r="DB19" s="43">
        <v>0</v>
      </c>
      <c r="DC19" s="43">
        <v>0</v>
      </c>
      <c r="DD19" s="43">
        <v>0</v>
      </c>
      <c r="DE19" s="43">
        <v>0</v>
      </c>
      <c r="DF19" s="43">
        <v>0</v>
      </c>
      <c r="DG19" s="43">
        <v>0</v>
      </c>
      <c r="DH19" s="38">
        <f t="shared" si="25"/>
        <v>0</v>
      </c>
      <c r="DI19" s="39">
        <v>0</v>
      </c>
      <c r="DJ19" s="39">
        <v>0</v>
      </c>
      <c r="DK19" s="39">
        <v>0</v>
      </c>
      <c r="DL19" s="39">
        <v>0</v>
      </c>
      <c r="DM19" s="39">
        <v>0</v>
      </c>
      <c r="DN19" s="39">
        <v>0</v>
      </c>
      <c r="DO19" s="39">
        <v>0</v>
      </c>
      <c r="DP19" s="39">
        <v>0</v>
      </c>
      <c r="DQ19" s="38">
        <f t="shared" si="26"/>
        <v>0</v>
      </c>
      <c r="DR19" s="39">
        <v>0</v>
      </c>
      <c r="DS19" s="39">
        <v>0</v>
      </c>
      <c r="DT19" s="39">
        <v>0</v>
      </c>
      <c r="DU19" s="39">
        <v>0</v>
      </c>
      <c r="DV19" s="39">
        <v>0</v>
      </c>
      <c r="DW19" s="39">
        <v>0</v>
      </c>
      <c r="DX19" s="39">
        <v>0</v>
      </c>
      <c r="DY19" s="39">
        <v>0</v>
      </c>
      <c r="DZ19" s="38">
        <f t="shared" si="27"/>
        <v>0</v>
      </c>
      <c r="EA19" s="44">
        <v>0</v>
      </c>
      <c r="EB19" s="44"/>
      <c r="EC19" s="44">
        <v>0</v>
      </c>
      <c r="ED19" s="44">
        <v>0</v>
      </c>
      <c r="EE19" s="44">
        <v>0</v>
      </c>
      <c r="EF19" s="44">
        <v>0</v>
      </c>
      <c r="EG19" s="44">
        <v>0</v>
      </c>
      <c r="EH19" s="44">
        <v>0</v>
      </c>
      <c r="EI19" s="38">
        <f t="shared" si="28"/>
        <v>0</v>
      </c>
      <c r="EJ19" s="44">
        <v>0</v>
      </c>
      <c r="EK19" s="44">
        <v>0</v>
      </c>
      <c r="EL19" s="44">
        <v>0</v>
      </c>
      <c r="EM19" s="44">
        <v>0</v>
      </c>
      <c r="EN19" s="44">
        <v>0</v>
      </c>
      <c r="EO19" s="44">
        <v>0</v>
      </c>
      <c r="EP19" s="44">
        <v>0</v>
      </c>
      <c r="EQ19" s="44">
        <v>0</v>
      </c>
      <c r="ER19" s="38">
        <f t="shared" si="29"/>
        <v>0</v>
      </c>
      <c r="ES19" s="48"/>
      <c r="ET19" s="48"/>
      <c r="EU19" s="48"/>
      <c r="EV19" s="48"/>
      <c r="EW19" s="48"/>
      <c r="EX19" s="48"/>
      <c r="EY19" s="48"/>
      <c r="EZ19" s="48"/>
      <c r="FA19" s="38">
        <f t="shared" si="0"/>
        <v>0</v>
      </c>
      <c r="FB19" s="48"/>
      <c r="FC19" s="48"/>
      <c r="FD19" s="48">
        <v>1</v>
      </c>
      <c r="FE19" s="48"/>
      <c r="FF19" s="48"/>
      <c r="FG19" s="48"/>
      <c r="FH19" s="48"/>
      <c r="FI19" s="48"/>
      <c r="FJ19" s="38">
        <f t="shared" si="1"/>
        <v>1</v>
      </c>
      <c r="FK19" s="52">
        <v>0</v>
      </c>
      <c r="FL19" s="52">
        <v>0</v>
      </c>
      <c r="FM19" s="52">
        <v>0</v>
      </c>
      <c r="FN19" s="52">
        <v>0</v>
      </c>
      <c r="FO19" s="52">
        <v>0</v>
      </c>
      <c r="FP19" s="52">
        <v>0</v>
      </c>
      <c r="FQ19" s="52">
        <v>0</v>
      </c>
      <c r="FR19" s="52">
        <v>0</v>
      </c>
      <c r="FS19" s="38">
        <f t="shared" si="30"/>
        <v>0</v>
      </c>
      <c r="FT19" s="52">
        <v>0</v>
      </c>
      <c r="FU19" s="52">
        <v>0</v>
      </c>
      <c r="FV19" s="52">
        <v>3</v>
      </c>
      <c r="FW19" s="52">
        <v>0</v>
      </c>
      <c r="FX19" s="52">
        <v>0</v>
      </c>
      <c r="FY19" s="52">
        <v>0</v>
      </c>
      <c r="FZ19" s="52">
        <v>0</v>
      </c>
      <c r="GA19" s="52">
        <v>0</v>
      </c>
      <c r="GB19" s="38">
        <f t="shared" si="31"/>
        <v>3</v>
      </c>
      <c r="GC19" s="117"/>
      <c r="GD19" s="117"/>
      <c r="GE19" s="117"/>
      <c r="GF19" s="117"/>
      <c r="GG19" s="117"/>
      <c r="GH19" s="117"/>
      <c r="GI19" s="117"/>
      <c r="GJ19" s="117"/>
      <c r="GK19" s="118">
        <f t="shared" si="48"/>
        <v>0</v>
      </c>
      <c r="GL19" s="117"/>
      <c r="GM19" s="117"/>
      <c r="GN19" s="117">
        <v>13</v>
      </c>
      <c r="GO19" s="117"/>
      <c r="GP19" s="117"/>
      <c r="GQ19" s="117"/>
      <c r="GR19" s="117"/>
      <c r="GS19" s="117"/>
      <c r="GT19" s="118">
        <f t="shared" si="49"/>
        <v>13</v>
      </c>
      <c r="GU19" s="62"/>
      <c r="GV19" s="62"/>
      <c r="GW19" s="62"/>
      <c r="GX19" s="62"/>
      <c r="GY19" s="62"/>
      <c r="GZ19" s="62"/>
      <c r="HA19" s="62"/>
      <c r="HB19" s="62"/>
      <c r="HC19" s="118">
        <f t="shared" si="50"/>
        <v>0</v>
      </c>
      <c r="HD19" s="62"/>
      <c r="HE19" s="62"/>
      <c r="HF19" s="62">
        <v>13</v>
      </c>
      <c r="HG19" s="62"/>
      <c r="HH19" s="62"/>
      <c r="HI19" s="62"/>
      <c r="HJ19" s="62"/>
      <c r="HK19" s="62"/>
      <c r="HL19" s="118">
        <f t="shared" si="51"/>
        <v>13</v>
      </c>
      <c r="HM19" s="121"/>
      <c r="HN19" s="121"/>
      <c r="HO19" s="121"/>
      <c r="HP19" s="121"/>
      <c r="HQ19" s="121"/>
      <c r="HR19" s="121"/>
      <c r="HS19" s="121"/>
      <c r="HT19" s="121"/>
      <c r="HU19" s="118">
        <f t="shared" si="52"/>
        <v>0</v>
      </c>
      <c r="HV19" s="121"/>
      <c r="HW19" s="121"/>
      <c r="HX19" s="121">
        <v>7</v>
      </c>
      <c r="HY19" s="121"/>
      <c r="HZ19" s="121"/>
      <c r="IA19" s="121"/>
      <c r="IB19" s="121"/>
      <c r="IC19" s="121"/>
      <c r="ID19" s="118">
        <f t="shared" si="53"/>
        <v>7</v>
      </c>
      <c r="IE19" s="137"/>
      <c r="IF19" s="137"/>
      <c r="IG19" s="137"/>
      <c r="IH19" s="137"/>
      <c r="II19" s="137"/>
      <c r="IJ19" s="137"/>
      <c r="IK19" s="137"/>
      <c r="IL19" s="137"/>
      <c r="IM19" s="118">
        <f t="shared" si="54"/>
        <v>0</v>
      </c>
      <c r="IN19" s="137"/>
      <c r="IO19" s="137"/>
      <c r="IP19" s="137"/>
      <c r="IQ19" s="137"/>
      <c r="IR19" s="137"/>
      <c r="IS19" s="137"/>
      <c r="IT19" s="137"/>
      <c r="IU19" s="137"/>
      <c r="IV19" s="118">
        <f t="shared" si="55"/>
        <v>0</v>
      </c>
      <c r="IW19" s="147"/>
      <c r="IX19" s="147"/>
      <c r="IY19" s="147"/>
      <c r="IZ19" s="147"/>
      <c r="JA19" s="147"/>
      <c r="JB19" s="147"/>
      <c r="JC19" s="147"/>
      <c r="JD19" s="147"/>
      <c r="JE19" s="118">
        <f t="shared" si="56"/>
        <v>0</v>
      </c>
      <c r="JF19" s="147"/>
      <c r="JG19" s="147"/>
      <c r="JH19" s="147"/>
      <c r="JI19" s="147"/>
      <c r="JJ19" s="147"/>
      <c r="JK19" s="147"/>
      <c r="JL19" s="147"/>
      <c r="JM19" s="147"/>
      <c r="JN19" s="118">
        <f t="shared" si="57"/>
        <v>0</v>
      </c>
      <c r="JO19" s="14">
        <f t="shared" si="58"/>
        <v>0</v>
      </c>
      <c r="JP19" s="46">
        <f t="shared" si="59"/>
        <v>37</v>
      </c>
      <c r="JQ19" s="47">
        <f t="shared" si="46"/>
        <v>37</v>
      </c>
      <c r="JR19" s="46" t="str">
        <f t="shared" si="60"/>
        <v>N/A</v>
      </c>
      <c r="JS19" s="15" t="str">
        <f>IF(ISBLANK(D19),"",(JO19+JP19)/D19)</f>
        <v/>
      </c>
    </row>
    <row r="20" spans="1:279" ht="24.5" thickBot="1" x14ac:dyDescent="0.75">
      <c r="A20" s="267"/>
      <c r="B20" s="74" t="s">
        <v>80</v>
      </c>
      <c r="C20" s="75"/>
      <c r="D20" s="75">
        <v>50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8">
        <f t="shared" si="47"/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8">
        <f t="shared" si="15"/>
        <v>0</v>
      </c>
      <c r="W20" s="39"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8">
        <f t="shared" si="16"/>
        <v>0</v>
      </c>
      <c r="AF20" s="39">
        <v>0</v>
      </c>
      <c r="AG20" s="39">
        <v>0</v>
      </c>
      <c r="AH20" s="39">
        <v>0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8">
        <f t="shared" si="17"/>
        <v>0</v>
      </c>
      <c r="AO20" s="40">
        <v>0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0</v>
      </c>
      <c r="AV20" s="40">
        <v>0</v>
      </c>
      <c r="AW20" s="38">
        <f t="shared" si="18"/>
        <v>0</v>
      </c>
      <c r="AX20" s="40">
        <v>0</v>
      </c>
      <c r="AY20" s="40">
        <v>0</v>
      </c>
      <c r="AZ20" s="40">
        <v>0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38">
        <f t="shared" si="19"/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38">
        <f t="shared" si="20"/>
        <v>0</v>
      </c>
      <c r="BP20" s="41">
        <v>0</v>
      </c>
      <c r="BQ20" s="41"/>
      <c r="BR20" s="41">
        <v>0</v>
      </c>
      <c r="BS20" s="41">
        <v>0</v>
      </c>
      <c r="BT20" s="41">
        <v>0</v>
      </c>
      <c r="BU20" s="41">
        <v>0</v>
      </c>
      <c r="BV20" s="41">
        <v>0</v>
      </c>
      <c r="BW20" s="41">
        <v>0</v>
      </c>
      <c r="BX20" s="38">
        <f t="shared" si="21"/>
        <v>0</v>
      </c>
      <c r="BY20" s="42">
        <v>0</v>
      </c>
      <c r="BZ20" s="42">
        <v>0</v>
      </c>
      <c r="CA20" s="42">
        <v>13</v>
      </c>
      <c r="CB20" s="42">
        <v>4</v>
      </c>
      <c r="CC20" s="42">
        <v>0</v>
      </c>
      <c r="CD20" s="42">
        <v>7</v>
      </c>
      <c r="CE20" s="42">
        <v>0</v>
      </c>
      <c r="CF20" s="42">
        <v>0</v>
      </c>
      <c r="CG20" s="38">
        <f t="shared" si="22"/>
        <v>24</v>
      </c>
      <c r="CH20" s="42">
        <v>0</v>
      </c>
      <c r="CI20" s="42">
        <v>0</v>
      </c>
      <c r="CJ20" s="42">
        <v>15</v>
      </c>
      <c r="CK20" s="42">
        <v>1</v>
      </c>
      <c r="CL20" s="42">
        <v>0</v>
      </c>
      <c r="CM20" s="42">
        <v>0</v>
      </c>
      <c r="CN20" s="42">
        <v>10</v>
      </c>
      <c r="CO20" s="42">
        <v>0</v>
      </c>
      <c r="CP20" s="38">
        <f t="shared" si="23"/>
        <v>26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38">
        <f t="shared" si="24"/>
        <v>0</v>
      </c>
      <c r="CZ20" s="43">
        <v>0</v>
      </c>
      <c r="DA20" s="43">
        <v>0</v>
      </c>
      <c r="DB20" s="43">
        <v>0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38">
        <f t="shared" si="25"/>
        <v>0</v>
      </c>
      <c r="DI20" s="39">
        <v>0</v>
      </c>
      <c r="DJ20" s="39">
        <v>0</v>
      </c>
      <c r="DK20" s="39">
        <v>0</v>
      </c>
      <c r="DL20" s="39">
        <v>0</v>
      </c>
      <c r="DM20" s="39">
        <v>0</v>
      </c>
      <c r="DN20" s="39">
        <v>0</v>
      </c>
      <c r="DO20" s="39">
        <v>0</v>
      </c>
      <c r="DP20" s="39">
        <v>0</v>
      </c>
      <c r="DQ20" s="38">
        <f t="shared" si="26"/>
        <v>0</v>
      </c>
      <c r="DR20" s="39">
        <v>0</v>
      </c>
      <c r="DS20" s="39">
        <v>0</v>
      </c>
      <c r="DT20" s="39">
        <v>0</v>
      </c>
      <c r="DU20" s="39">
        <v>0</v>
      </c>
      <c r="DV20" s="39">
        <v>0</v>
      </c>
      <c r="DW20" s="39">
        <v>0</v>
      </c>
      <c r="DX20" s="39">
        <v>0</v>
      </c>
      <c r="DY20" s="39">
        <v>0</v>
      </c>
      <c r="DZ20" s="38">
        <f t="shared" si="27"/>
        <v>0</v>
      </c>
      <c r="EA20" s="44">
        <v>0</v>
      </c>
      <c r="EB20" s="44"/>
      <c r="EC20" s="44">
        <v>0</v>
      </c>
      <c r="ED20" s="44">
        <v>0</v>
      </c>
      <c r="EE20" s="44">
        <v>0</v>
      </c>
      <c r="EF20" s="44">
        <v>0</v>
      </c>
      <c r="EG20" s="44">
        <v>0</v>
      </c>
      <c r="EH20" s="44">
        <v>0</v>
      </c>
      <c r="EI20" s="38">
        <f t="shared" si="28"/>
        <v>0</v>
      </c>
      <c r="EJ20" s="44">
        <v>0</v>
      </c>
      <c r="EK20" s="44">
        <v>0</v>
      </c>
      <c r="EL20" s="44">
        <v>0</v>
      </c>
      <c r="EM20" s="44">
        <v>0</v>
      </c>
      <c r="EN20" s="44">
        <v>0</v>
      </c>
      <c r="EO20" s="44">
        <v>0</v>
      </c>
      <c r="EP20" s="44">
        <v>0</v>
      </c>
      <c r="EQ20" s="44">
        <v>0</v>
      </c>
      <c r="ER20" s="38">
        <f t="shared" si="29"/>
        <v>0</v>
      </c>
      <c r="ES20" s="48"/>
      <c r="ET20" s="48"/>
      <c r="EU20" s="48"/>
      <c r="EV20" s="48"/>
      <c r="EW20" s="48"/>
      <c r="EX20" s="48"/>
      <c r="EY20" s="48"/>
      <c r="EZ20" s="48"/>
      <c r="FA20" s="38">
        <f t="shared" si="0"/>
        <v>0</v>
      </c>
      <c r="FB20" s="48"/>
      <c r="FC20" s="48"/>
      <c r="FD20" s="48"/>
      <c r="FE20" s="48"/>
      <c r="FF20" s="48"/>
      <c r="FG20" s="48"/>
      <c r="FH20" s="48"/>
      <c r="FI20" s="48"/>
      <c r="FJ20" s="38">
        <f t="shared" si="1"/>
        <v>0</v>
      </c>
      <c r="FK20" s="52">
        <v>0</v>
      </c>
      <c r="FL20" s="52">
        <v>0</v>
      </c>
      <c r="FM20" s="52">
        <v>0</v>
      </c>
      <c r="FN20" s="52">
        <v>0</v>
      </c>
      <c r="FO20" s="52">
        <v>0</v>
      </c>
      <c r="FP20" s="52">
        <v>0</v>
      </c>
      <c r="FQ20" s="52">
        <v>0</v>
      </c>
      <c r="FR20" s="52">
        <v>0</v>
      </c>
      <c r="FS20" s="38">
        <f t="shared" si="30"/>
        <v>0</v>
      </c>
      <c r="FT20" s="52">
        <v>0</v>
      </c>
      <c r="FU20" s="52">
        <v>0</v>
      </c>
      <c r="FV20" s="52">
        <v>0</v>
      </c>
      <c r="FW20" s="52">
        <v>0</v>
      </c>
      <c r="FX20" s="52">
        <v>0</v>
      </c>
      <c r="FY20" s="52">
        <v>0</v>
      </c>
      <c r="FZ20" s="52">
        <v>0</v>
      </c>
      <c r="GA20" s="52">
        <v>0</v>
      </c>
      <c r="GB20" s="38">
        <f t="shared" si="31"/>
        <v>0</v>
      </c>
      <c r="GC20" s="117"/>
      <c r="GD20" s="117"/>
      <c r="GE20" s="117"/>
      <c r="GF20" s="117"/>
      <c r="GG20" s="117"/>
      <c r="GH20" s="117"/>
      <c r="GI20" s="117"/>
      <c r="GJ20" s="117"/>
      <c r="GK20" s="118">
        <f t="shared" si="48"/>
        <v>0</v>
      </c>
      <c r="GL20" s="117"/>
      <c r="GM20" s="117"/>
      <c r="GN20" s="117"/>
      <c r="GO20" s="117"/>
      <c r="GP20" s="117"/>
      <c r="GQ20" s="117"/>
      <c r="GR20" s="117"/>
      <c r="GS20" s="117"/>
      <c r="GT20" s="118">
        <f t="shared" si="49"/>
        <v>0</v>
      </c>
      <c r="GU20" s="62"/>
      <c r="GV20" s="62"/>
      <c r="GW20" s="62"/>
      <c r="GX20" s="62"/>
      <c r="GY20" s="62"/>
      <c r="GZ20" s="62"/>
      <c r="HA20" s="62"/>
      <c r="HB20" s="62"/>
      <c r="HC20" s="118">
        <f t="shared" si="50"/>
        <v>0</v>
      </c>
      <c r="HD20" s="62"/>
      <c r="HE20" s="62"/>
      <c r="HF20" s="62"/>
      <c r="HG20" s="62"/>
      <c r="HH20" s="62"/>
      <c r="HI20" s="62"/>
      <c r="HJ20" s="62"/>
      <c r="HK20" s="62"/>
      <c r="HL20" s="118">
        <f t="shared" si="51"/>
        <v>0</v>
      </c>
      <c r="HM20" s="121"/>
      <c r="HN20" s="121"/>
      <c r="HO20" s="121"/>
      <c r="HP20" s="121"/>
      <c r="HQ20" s="121"/>
      <c r="HR20" s="121"/>
      <c r="HS20" s="121"/>
      <c r="HT20" s="121"/>
      <c r="HU20" s="118">
        <f t="shared" si="52"/>
        <v>0</v>
      </c>
      <c r="HV20" s="121"/>
      <c r="HW20" s="121"/>
      <c r="HX20" s="121"/>
      <c r="HY20" s="121"/>
      <c r="HZ20" s="121"/>
      <c r="IA20" s="121"/>
      <c r="IB20" s="121"/>
      <c r="IC20" s="121"/>
      <c r="ID20" s="118">
        <f t="shared" si="53"/>
        <v>0</v>
      </c>
      <c r="IE20" s="137"/>
      <c r="IF20" s="137"/>
      <c r="IG20" s="137"/>
      <c r="IH20" s="137"/>
      <c r="II20" s="137"/>
      <c r="IJ20" s="137"/>
      <c r="IK20" s="137"/>
      <c r="IL20" s="137"/>
      <c r="IM20" s="118">
        <f t="shared" si="54"/>
        <v>0</v>
      </c>
      <c r="IN20" s="137"/>
      <c r="IO20" s="137"/>
      <c r="IP20" s="137"/>
      <c r="IQ20" s="137"/>
      <c r="IR20" s="137"/>
      <c r="IS20" s="137"/>
      <c r="IT20" s="137"/>
      <c r="IU20" s="137"/>
      <c r="IV20" s="118">
        <f t="shared" si="55"/>
        <v>0</v>
      </c>
      <c r="IW20" s="147"/>
      <c r="IX20" s="147"/>
      <c r="IY20" s="147"/>
      <c r="IZ20" s="147"/>
      <c r="JA20" s="147"/>
      <c r="JB20" s="147"/>
      <c r="JC20" s="147"/>
      <c r="JD20" s="147"/>
      <c r="JE20" s="118">
        <f t="shared" si="56"/>
        <v>0</v>
      </c>
      <c r="JF20" s="147"/>
      <c r="JG20" s="147"/>
      <c r="JH20" s="147"/>
      <c r="JI20" s="147"/>
      <c r="JJ20" s="147"/>
      <c r="JK20" s="147"/>
      <c r="JL20" s="147"/>
      <c r="JM20" s="147"/>
      <c r="JN20" s="118">
        <f t="shared" si="57"/>
        <v>0</v>
      </c>
      <c r="JO20" s="14">
        <f t="shared" si="58"/>
        <v>24</v>
      </c>
      <c r="JP20" s="46">
        <f t="shared" si="59"/>
        <v>26</v>
      </c>
      <c r="JQ20" s="47">
        <f t="shared" si="46"/>
        <v>50</v>
      </c>
      <c r="JR20" s="46">
        <f t="shared" si="60"/>
        <v>0</v>
      </c>
      <c r="JS20" s="15">
        <f>IF(ISBLANK(D20),"",(JO20+JP20)/D20)</f>
        <v>1</v>
      </c>
    </row>
    <row r="21" spans="1:279" ht="24.5" thickBot="1" x14ac:dyDescent="0.75">
      <c r="A21" s="69"/>
      <c r="B21" s="74" t="s">
        <v>81</v>
      </c>
      <c r="C21" s="75"/>
      <c r="D21" s="75">
        <v>25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8">
        <f t="shared" si="47"/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8">
        <f t="shared" si="15"/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0</v>
      </c>
      <c r="AC21" s="39">
        <v>0</v>
      </c>
      <c r="AD21" s="39">
        <v>0</v>
      </c>
      <c r="AE21" s="38">
        <f t="shared" si="16"/>
        <v>0</v>
      </c>
      <c r="AF21" s="39">
        <v>0</v>
      </c>
      <c r="AG21" s="39">
        <v>0</v>
      </c>
      <c r="AH21" s="39">
        <v>0</v>
      </c>
      <c r="AI21" s="39">
        <v>0</v>
      </c>
      <c r="AJ21" s="39">
        <v>0</v>
      </c>
      <c r="AK21" s="39">
        <v>0</v>
      </c>
      <c r="AL21" s="39">
        <v>0</v>
      </c>
      <c r="AM21" s="39">
        <v>0</v>
      </c>
      <c r="AN21" s="38">
        <f t="shared" si="17"/>
        <v>0</v>
      </c>
      <c r="AO21" s="40">
        <v>0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0</v>
      </c>
      <c r="AV21" s="40">
        <v>0</v>
      </c>
      <c r="AW21" s="38">
        <f t="shared" si="18"/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38">
        <f t="shared" si="19"/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38">
        <f t="shared" si="20"/>
        <v>0</v>
      </c>
      <c r="BP21" s="41">
        <v>0</v>
      </c>
      <c r="BQ21" s="41"/>
      <c r="BR21" s="41">
        <v>0</v>
      </c>
      <c r="BS21" s="41">
        <v>0</v>
      </c>
      <c r="BT21" s="41">
        <v>0</v>
      </c>
      <c r="BU21" s="41">
        <v>0</v>
      </c>
      <c r="BV21" s="41">
        <v>0</v>
      </c>
      <c r="BW21" s="41">
        <v>0</v>
      </c>
      <c r="BX21" s="38">
        <f t="shared" si="21"/>
        <v>0</v>
      </c>
      <c r="BY21" s="42">
        <v>0</v>
      </c>
      <c r="BZ21" s="42">
        <v>0</v>
      </c>
      <c r="CA21" s="42">
        <v>0</v>
      </c>
      <c r="CB21" s="42">
        <v>0</v>
      </c>
      <c r="CC21" s="42">
        <v>0</v>
      </c>
      <c r="CD21" s="42">
        <v>0</v>
      </c>
      <c r="CE21" s="42">
        <v>0</v>
      </c>
      <c r="CF21" s="42">
        <v>0</v>
      </c>
      <c r="CG21" s="38">
        <f t="shared" si="22"/>
        <v>0</v>
      </c>
      <c r="CH21" s="42">
        <v>0</v>
      </c>
      <c r="CI21" s="42">
        <v>0</v>
      </c>
      <c r="CJ21" s="42">
        <v>0</v>
      </c>
      <c r="CK21" s="42">
        <v>0</v>
      </c>
      <c r="CL21" s="42">
        <v>0</v>
      </c>
      <c r="CM21" s="42">
        <v>0</v>
      </c>
      <c r="CN21" s="42">
        <v>0</v>
      </c>
      <c r="CO21" s="42">
        <v>0</v>
      </c>
      <c r="CP21" s="38">
        <f t="shared" si="23"/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38">
        <f t="shared" si="24"/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0</v>
      </c>
      <c r="DF21" s="43">
        <v>0</v>
      </c>
      <c r="DG21" s="43">
        <v>0</v>
      </c>
      <c r="DH21" s="38">
        <f t="shared" si="25"/>
        <v>0</v>
      </c>
      <c r="DI21" s="39">
        <v>0</v>
      </c>
      <c r="DJ21" s="39">
        <v>0</v>
      </c>
      <c r="DK21" s="39">
        <v>0</v>
      </c>
      <c r="DL21" s="39">
        <v>0</v>
      </c>
      <c r="DM21" s="39">
        <v>0</v>
      </c>
      <c r="DN21" s="39">
        <v>0</v>
      </c>
      <c r="DO21" s="39">
        <v>0</v>
      </c>
      <c r="DP21" s="39">
        <v>0</v>
      </c>
      <c r="DQ21" s="38">
        <f t="shared" si="26"/>
        <v>0</v>
      </c>
      <c r="DR21" s="39">
        <v>0</v>
      </c>
      <c r="DS21" s="39">
        <v>0</v>
      </c>
      <c r="DT21" s="39">
        <v>0</v>
      </c>
      <c r="DU21" s="39">
        <v>0</v>
      </c>
      <c r="DV21" s="39">
        <v>0</v>
      </c>
      <c r="DW21" s="39">
        <v>0</v>
      </c>
      <c r="DX21" s="39">
        <v>0</v>
      </c>
      <c r="DY21" s="39">
        <v>0</v>
      </c>
      <c r="DZ21" s="38">
        <f t="shared" si="27"/>
        <v>0</v>
      </c>
      <c r="EA21" s="44">
        <v>0</v>
      </c>
      <c r="EB21" s="44"/>
      <c r="EC21" s="44">
        <v>0</v>
      </c>
      <c r="ED21" s="44">
        <v>0</v>
      </c>
      <c r="EE21" s="44">
        <v>0</v>
      </c>
      <c r="EF21" s="44">
        <v>0</v>
      </c>
      <c r="EG21" s="44">
        <v>0</v>
      </c>
      <c r="EH21" s="44">
        <v>0</v>
      </c>
      <c r="EI21" s="38">
        <f t="shared" si="28"/>
        <v>0</v>
      </c>
      <c r="EJ21" s="44">
        <v>0</v>
      </c>
      <c r="EK21" s="44">
        <v>0</v>
      </c>
      <c r="EL21" s="44">
        <v>0</v>
      </c>
      <c r="EM21" s="44">
        <v>0</v>
      </c>
      <c r="EN21" s="44">
        <v>0</v>
      </c>
      <c r="EO21" s="44">
        <v>0</v>
      </c>
      <c r="EP21" s="44">
        <v>0</v>
      </c>
      <c r="EQ21" s="44">
        <v>0</v>
      </c>
      <c r="ER21" s="38">
        <f t="shared" si="29"/>
        <v>0</v>
      </c>
      <c r="ES21" s="48"/>
      <c r="ET21" s="48"/>
      <c r="EU21" s="48"/>
      <c r="EV21" s="48"/>
      <c r="EW21" s="48"/>
      <c r="EX21" s="48"/>
      <c r="EY21" s="48"/>
      <c r="EZ21" s="48"/>
      <c r="FA21" s="38">
        <f t="shared" si="0"/>
        <v>0</v>
      </c>
      <c r="FB21" s="48"/>
      <c r="FC21" s="48"/>
      <c r="FD21" s="48">
        <v>0</v>
      </c>
      <c r="FE21" s="48"/>
      <c r="FF21" s="48"/>
      <c r="FG21" s="48"/>
      <c r="FH21" s="48"/>
      <c r="FI21" s="48"/>
      <c r="FJ21" s="38">
        <f t="shared" si="1"/>
        <v>0</v>
      </c>
      <c r="FK21" s="52">
        <v>0</v>
      </c>
      <c r="FL21" s="52">
        <v>0</v>
      </c>
      <c r="FM21" s="52">
        <v>0</v>
      </c>
      <c r="FN21" s="52">
        <v>0</v>
      </c>
      <c r="FO21" s="52">
        <v>0</v>
      </c>
      <c r="FP21" s="52">
        <v>0</v>
      </c>
      <c r="FQ21" s="52">
        <v>0</v>
      </c>
      <c r="FR21" s="52">
        <v>0</v>
      </c>
      <c r="FS21" s="38">
        <f t="shared" si="30"/>
        <v>0</v>
      </c>
      <c r="FT21" s="52">
        <v>0</v>
      </c>
      <c r="FU21" s="52">
        <v>0</v>
      </c>
      <c r="FV21" s="52">
        <v>0</v>
      </c>
      <c r="FW21" s="52">
        <v>0</v>
      </c>
      <c r="FX21" s="52">
        <v>0</v>
      </c>
      <c r="FY21" s="52">
        <v>0</v>
      </c>
      <c r="FZ21" s="52">
        <v>0</v>
      </c>
      <c r="GA21" s="52">
        <v>0</v>
      </c>
      <c r="GB21" s="38">
        <f t="shared" si="31"/>
        <v>0</v>
      </c>
      <c r="GC21" s="117"/>
      <c r="GD21" s="117"/>
      <c r="GE21" s="117"/>
      <c r="GF21" s="117"/>
      <c r="GG21" s="117"/>
      <c r="GH21" s="117"/>
      <c r="GI21" s="117"/>
      <c r="GJ21" s="117"/>
      <c r="GK21" s="118">
        <f t="shared" si="48"/>
        <v>0</v>
      </c>
      <c r="GL21" s="117"/>
      <c r="GM21" s="117"/>
      <c r="GN21" s="117"/>
      <c r="GO21" s="117"/>
      <c r="GP21" s="117"/>
      <c r="GQ21" s="117"/>
      <c r="GR21" s="117"/>
      <c r="GS21" s="117"/>
      <c r="GT21" s="118">
        <f t="shared" si="49"/>
        <v>0</v>
      </c>
      <c r="GU21" s="62"/>
      <c r="GV21" s="62"/>
      <c r="GW21" s="62"/>
      <c r="GX21" s="62"/>
      <c r="GY21" s="62"/>
      <c r="GZ21" s="62"/>
      <c r="HA21" s="62">
        <v>1</v>
      </c>
      <c r="HB21" s="62"/>
      <c r="HC21" s="118">
        <f t="shared" si="50"/>
        <v>1</v>
      </c>
      <c r="HD21" s="62"/>
      <c r="HE21" s="62">
        <v>2</v>
      </c>
      <c r="HF21" s="62">
        <v>24</v>
      </c>
      <c r="HG21" s="62"/>
      <c r="HH21" s="62"/>
      <c r="HI21" s="62"/>
      <c r="HJ21" s="62">
        <v>0</v>
      </c>
      <c r="HK21" s="62"/>
      <c r="HL21" s="118">
        <f t="shared" si="51"/>
        <v>26</v>
      </c>
      <c r="HM21" s="121"/>
      <c r="HN21" s="121"/>
      <c r="HO21" s="121"/>
      <c r="HP21" s="121"/>
      <c r="HQ21" s="121"/>
      <c r="HR21" s="121"/>
      <c r="HS21" s="121"/>
      <c r="HT21" s="121"/>
      <c r="HU21" s="118">
        <f t="shared" si="52"/>
        <v>0</v>
      </c>
      <c r="HV21" s="121"/>
      <c r="HW21" s="121"/>
      <c r="HX21" s="121"/>
      <c r="HY21" s="121"/>
      <c r="HZ21" s="121"/>
      <c r="IA21" s="121"/>
      <c r="IB21" s="121">
        <v>0</v>
      </c>
      <c r="IC21" s="121"/>
      <c r="ID21" s="118">
        <f t="shared" si="53"/>
        <v>0</v>
      </c>
      <c r="IE21" s="137"/>
      <c r="IF21" s="137"/>
      <c r="IG21" s="137"/>
      <c r="IH21" s="137"/>
      <c r="II21" s="137"/>
      <c r="IJ21" s="137"/>
      <c r="IK21" s="137"/>
      <c r="IL21" s="137"/>
      <c r="IM21" s="118">
        <f t="shared" si="54"/>
        <v>0</v>
      </c>
      <c r="IN21" s="137"/>
      <c r="IO21" s="137"/>
      <c r="IP21" s="137"/>
      <c r="IQ21" s="137"/>
      <c r="IR21" s="137"/>
      <c r="IS21" s="137"/>
      <c r="IT21" s="137"/>
      <c r="IU21" s="137"/>
      <c r="IV21" s="118">
        <f t="shared" si="55"/>
        <v>0</v>
      </c>
      <c r="IW21" s="147"/>
      <c r="IX21" s="147"/>
      <c r="IY21" s="147"/>
      <c r="IZ21" s="147"/>
      <c r="JA21" s="147"/>
      <c r="JB21" s="147"/>
      <c r="JC21" s="147"/>
      <c r="JD21" s="147"/>
      <c r="JE21" s="118">
        <f t="shared" si="56"/>
        <v>0</v>
      </c>
      <c r="JF21" s="147"/>
      <c r="JG21" s="147"/>
      <c r="JH21" s="147"/>
      <c r="JI21" s="147"/>
      <c r="JJ21" s="147"/>
      <c r="JK21" s="147"/>
      <c r="JL21" s="147"/>
      <c r="JM21" s="147"/>
      <c r="JN21" s="118">
        <f t="shared" si="57"/>
        <v>0</v>
      </c>
      <c r="JO21" s="14">
        <f t="shared" si="58"/>
        <v>1</v>
      </c>
      <c r="JP21" s="46">
        <f t="shared" si="59"/>
        <v>26</v>
      </c>
      <c r="JQ21" s="47">
        <f t="shared" si="46"/>
        <v>27</v>
      </c>
      <c r="JR21" s="46">
        <f t="shared" si="60"/>
        <v>-2</v>
      </c>
      <c r="JS21" s="15">
        <f>IF(ISBLANK(D21),"",(JO21+JP21)/D21)</f>
        <v>1.08</v>
      </c>
    </row>
    <row r="22" spans="1:279" ht="43.5" customHeight="1" thickBot="1" x14ac:dyDescent="0.75">
      <c r="A22" s="67" t="s">
        <v>82</v>
      </c>
      <c r="B22" s="73" t="s">
        <v>83</v>
      </c>
      <c r="C22" s="73"/>
      <c r="D22" s="73"/>
      <c r="E22" s="268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  <c r="AJ22" s="269"/>
      <c r="AK22" s="269"/>
      <c r="AL22" s="269"/>
      <c r="AM22" s="269"/>
      <c r="AN22" s="269"/>
      <c r="AO22" s="269"/>
      <c r="AP22" s="269"/>
      <c r="AQ22" s="269"/>
      <c r="AR22" s="269"/>
      <c r="AS22" s="269"/>
      <c r="AT22" s="269"/>
      <c r="AU22" s="269"/>
      <c r="AV22" s="269"/>
      <c r="AW22" s="269"/>
      <c r="AX22" s="269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  <c r="DI22" s="269"/>
      <c r="DJ22" s="269"/>
      <c r="DK22" s="269"/>
      <c r="DL22" s="269"/>
      <c r="DM22" s="269"/>
      <c r="DN22" s="269"/>
      <c r="DO22" s="269"/>
      <c r="DP22" s="269"/>
      <c r="DQ22" s="269"/>
      <c r="DR22" s="269"/>
      <c r="DS22" s="269"/>
      <c r="DT22" s="269"/>
      <c r="DU22" s="269"/>
      <c r="DV22" s="269"/>
      <c r="DW22" s="269"/>
      <c r="DX22" s="269"/>
      <c r="DY22" s="269"/>
      <c r="DZ22" s="269"/>
      <c r="EA22" s="269"/>
      <c r="EB22" s="269"/>
      <c r="EC22" s="269"/>
      <c r="ED22" s="269"/>
      <c r="EE22" s="269"/>
      <c r="EF22" s="269"/>
      <c r="EG22" s="269"/>
      <c r="EH22" s="269"/>
      <c r="EI22" s="269"/>
      <c r="EJ22" s="269"/>
      <c r="EK22" s="269"/>
      <c r="EL22" s="269"/>
      <c r="EM22" s="269"/>
      <c r="EN22" s="269"/>
      <c r="EO22" s="269"/>
      <c r="EP22" s="269"/>
      <c r="EQ22" s="269"/>
      <c r="ER22" s="269"/>
      <c r="ES22" s="269"/>
      <c r="ET22" s="269"/>
      <c r="EU22" s="269"/>
      <c r="EV22" s="269"/>
      <c r="EW22" s="269"/>
      <c r="EX22" s="269"/>
      <c r="EY22" s="269"/>
      <c r="EZ22" s="269"/>
      <c r="FA22" s="269"/>
      <c r="FB22" s="269"/>
      <c r="FC22" s="269"/>
      <c r="FD22" s="269"/>
      <c r="FE22" s="269"/>
      <c r="FF22" s="269"/>
      <c r="FG22" s="269"/>
      <c r="FH22" s="269"/>
      <c r="FI22" s="269"/>
      <c r="FJ22" s="269"/>
      <c r="FK22" s="269"/>
      <c r="FL22" s="269"/>
      <c r="FM22" s="269"/>
      <c r="FN22" s="269"/>
      <c r="FO22" s="269"/>
      <c r="FP22" s="269"/>
      <c r="FQ22" s="269"/>
      <c r="FR22" s="269"/>
      <c r="FS22" s="269"/>
      <c r="FT22" s="269"/>
      <c r="FU22" s="269"/>
      <c r="FV22" s="269"/>
      <c r="FW22" s="269"/>
      <c r="FX22" s="269"/>
      <c r="FY22" s="269"/>
      <c r="FZ22" s="269"/>
      <c r="GA22" s="269"/>
      <c r="GB22" s="269"/>
      <c r="GC22" s="269"/>
      <c r="GD22" s="269"/>
      <c r="GE22" s="269"/>
      <c r="GF22" s="269"/>
      <c r="GG22" s="269"/>
      <c r="GH22" s="269"/>
      <c r="GI22" s="269"/>
      <c r="GJ22" s="269"/>
      <c r="GK22" s="269"/>
      <c r="GL22" s="269"/>
      <c r="GM22" s="269"/>
      <c r="GN22" s="269"/>
      <c r="GO22" s="269"/>
      <c r="GP22" s="269"/>
      <c r="GQ22" s="269"/>
      <c r="GR22" s="269"/>
      <c r="GS22" s="269"/>
      <c r="GT22" s="269"/>
      <c r="GU22" s="269"/>
      <c r="GV22" s="269"/>
      <c r="GW22" s="269"/>
      <c r="GX22" s="269"/>
      <c r="GY22" s="269"/>
      <c r="GZ22" s="269"/>
      <c r="HA22" s="269"/>
      <c r="HB22" s="269"/>
      <c r="HC22" s="269"/>
      <c r="HD22" s="269"/>
      <c r="HE22" s="269"/>
      <c r="HF22" s="269"/>
      <c r="HG22" s="269"/>
      <c r="HH22" s="269"/>
      <c r="HI22" s="269"/>
      <c r="HJ22" s="269"/>
      <c r="HK22" s="269"/>
      <c r="HL22" s="269"/>
      <c r="HM22" s="269"/>
      <c r="HN22" s="269"/>
      <c r="HO22" s="269"/>
      <c r="HP22" s="269"/>
      <c r="HQ22" s="269"/>
      <c r="HR22" s="269"/>
      <c r="HS22" s="269"/>
      <c r="HT22" s="269"/>
      <c r="HU22" s="269"/>
      <c r="HV22" s="269"/>
      <c r="HW22" s="269"/>
      <c r="HX22" s="269"/>
      <c r="HY22" s="269"/>
      <c r="HZ22" s="269"/>
      <c r="IA22" s="269"/>
      <c r="IB22" s="269"/>
      <c r="IC22" s="269"/>
      <c r="ID22" s="269"/>
      <c r="IE22" s="269"/>
      <c r="IF22" s="269"/>
      <c r="IG22" s="269"/>
      <c r="IH22" s="269"/>
      <c r="II22" s="269"/>
      <c r="IJ22" s="269"/>
      <c r="IK22" s="269"/>
      <c r="IL22" s="269"/>
      <c r="IM22" s="269"/>
      <c r="IN22" s="269"/>
      <c r="IO22" s="269"/>
      <c r="IP22" s="269"/>
      <c r="IQ22" s="269"/>
      <c r="IR22" s="269"/>
      <c r="IS22" s="269"/>
      <c r="IT22" s="269"/>
      <c r="IU22" s="269"/>
      <c r="IV22" s="269"/>
      <c r="IW22" s="269"/>
      <c r="IX22" s="269"/>
      <c r="IY22" s="269"/>
      <c r="IZ22" s="269"/>
      <c r="JA22" s="269"/>
      <c r="JB22" s="269"/>
      <c r="JC22" s="269"/>
      <c r="JD22" s="269"/>
      <c r="JE22" s="269"/>
      <c r="JF22" s="269"/>
      <c r="JG22" s="269"/>
      <c r="JH22" s="269"/>
      <c r="JI22" s="269"/>
      <c r="JJ22" s="269"/>
      <c r="JK22" s="269"/>
      <c r="JL22" s="269"/>
      <c r="JM22" s="269"/>
      <c r="JN22" s="269"/>
      <c r="JO22" s="269"/>
      <c r="JP22" s="269"/>
      <c r="JQ22" s="269"/>
      <c r="JR22" s="269"/>
      <c r="JS22" s="270"/>
    </row>
    <row r="23" spans="1:279" ht="48.5" thickBot="1" x14ac:dyDescent="0.55000000000000004">
      <c r="A23" s="70" t="s">
        <v>84</v>
      </c>
      <c r="B23" s="80" t="s">
        <v>85</v>
      </c>
      <c r="C23" s="75"/>
      <c r="D23" s="75">
        <v>130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8">
        <f t="shared" si="47"/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8">
        <f t="shared" si="15"/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8">
        <f t="shared" si="16"/>
        <v>0</v>
      </c>
      <c r="AF23" s="39">
        <v>0</v>
      </c>
      <c r="AG23" s="39">
        <v>0</v>
      </c>
      <c r="AH23" s="39">
        <v>0</v>
      </c>
      <c r="AI23" s="39">
        <v>0</v>
      </c>
      <c r="AJ23" s="39">
        <v>0</v>
      </c>
      <c r="AK23" s="39">
        <v>0</v>
      </c>
      <c r="AL23" s="39">
        <v>0</v>
      </c>
      <c r="AM23" s="39">
        <v>0</v>
      </c>
      <c r="AN23" s="38">
        <f t="shared" si="17"/>
        <v>0</v>
      </c>
      <c r="AO23" s="40">
        <v>0</v>
      </c>
      <c r="AP23" s="40">
        <v>0</v>
      </c>
      <c r="AQ23" s="40">
        <v>13</v>
      </c>
      <c r="AR23" s="40">
        <v>4</v>
      </c>
      <c r="AS23" s="40">
        <v>0</v>
      </c>
      <c r="AT23" s="40">
        <v>0</v>
      </c>
      <c r="AU23" s="40">
        <v>5</v>
      </c>
      <c r="AV23" s="40">
        <v>0</v>
      </c>
      <c r="AW23" s="38">
        <f t="shared" si="18"/>
        <v>22</v>
      </c>
      <c r="AX23" s="40">
        <v>0</v>
      </c>
      <c r="AY23" s="40">
        <v>0</v>
      </c>
      <c r="AZ23" s="40">
        <v>15</v>
      </c>
      <c r="BA23" s="40">
        <v>1</v>
      </c>
      <c r="BB23" s="40">
        <v>0</v>
      </c>
      <c r="BC23" s="40">
        <v>0</v>
      </c>
      <c r="BD23" s="40">
        <v>7</v>
      </c>
      <c r="BE23" s="40">
        <v>0</v>
      </c>
      <c r="BF23" s="38">
        <f t="shared" si="19"/>
        <v>23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38">
        <f t="shared" si="20"/>
        <v>0</v>
      </c>
      <c r="BP23" s="41">
        <v>0</v>
      </c>
      <c r="BQ23" s="41"/>
      <c r="BR23" s="41">
        <v>0</v>
      </c>
      <c r="BS23" s="41">
        <v>0</v>
      </c>
      <c r="BT23" s="41">
        <v>0</v>
      </c>
      <c r="BU23" s="41">
        <v>0</v>
      </c>
      <c r="BV23" s="41">
        <v>0</v>
      </c>
      <c r="BW23" s="41">
        <v>0</v>
      </c>
      <c r="BX23" s="38">
        <f t="shared" si="21"/>
        <v>0</v>
      </c>
      <c r="BY23" s="42">
        <v>0</v>
      </c>
      <c r="BZ23" s="42">
        <v>0</v>
      </c>
      <c r="CA23" s="42">
        <v>9</v>
      </c>
      <c r="CB23" s="42">
        <v>3</v>
      </c>
      <c r="CC23" s="42">
        <v>0</v>
      </c>
      <c r="CD23" s="42">
        <v>0</v>
      </c>
      <c r="CE23" s="42">
        <v>7</v>
      </c>
      <c r="CF23" s="42">
        <v>1</v>
      </c>
      <c r="CG23" s="38">
        <f t="shared" si="22"/>
        <v>20</v>
      </c>
      <c r="CH23" s="42">
        <v>0</v>
      </c>
      <c r="CI23" s="42">
        <v>0</v>
      </c>
      <c r="CJ23" s="42">
        <v>9</v>
      </c>
      <c r="CK23" s="42">
        <v>1</v>
      </c>
      <c r="CL23" s="42">
        <v>0</v>
      </c>
      <c r="CM23" s="42">
        <v>0</v>
      </c>
      <c r="CN23" s="42">
        <v>10</v>
      </c>
      <c r="CO23" s="42">
        <v>0</v>
      </c>
      <c r="CP23" s="38">
        <f t="shared" si="23"/>
        <v>20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38">
        <f t="shared" si="24"/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0</v>
      </c>
      <c r="DF23" s="43">
        <v>0</v>
      </c>
      <c r="DG23" s="43">
        <v>0</v>
      </c>
      <c r="DH23" s="38">
        <f t="shared" si="25"/>
        <v>0</v>
      </c>
      <c r="DI23" s="39">
        <v>0</v>
      </c>
      <c r="DJ23" s="39">
        <v>0</v>
      </c>
      <c r="DK23" s="39">
        <v>0</v>
      </c>
      <c r="DL23" s="39">
        <v>0</v>
      </c>
      <c r="DM23" s="39">
        <v>0</v>
      </c>
      <c r="DN23" s="39">
        <v>0</v>
      </c>
      <c r="DO23" s="39">
        <v>0</v>
      </c>
      <c r="DP23" s="39">
        <v>0</v>
      </c>
      <c r="DQ23" s="38">
        <f t="shared" si="26"/>
        <v>0</v>
      </c>
      <c r="DR23" s="39">
        <v>0</v>
      </c>
      <c r="DS23" s="39">
        <v>0</v>
      </c>
      <c r="DT23" s="39">
        <v>0</v>
      </c>
      <c r="DU23" s="39">
        <v>0</v>
      </c>
      <c r="DV23" s="39">
        <v>0</v>
      </c>
      <c r="DW23" s="39">
        <v>0</v>
      </c>
      <c r="DX23" s="39">
        <v>0</v>
      </c>
      <c r="DY23" s="39">
        <v>0</v>
      </c>
      <c r="DZ23" s="38">
        <f t="shared" si="27"/>
        <v>0</v>
      </c>
      <c r="EA23" s="44">
        <v>0</v>
      </c>
      <c r="EB23" s="44"/>
      <c r="EC23" s="44">
        <v>0</v>
      </c>
      <c r="ED23" s="44">
        <v>0</v>
      </c>
      <c r="EE23" s="44">
        <v>0</v>
      </c>
      <c r="EF23" s="44">
        <v>0</v>
      </c>
      <c r="EG23" s="44">
        <v>0</v>
      </c>
      <c r="EH23" s="44">
        <v>0</v>
      </c>
      <c r="EI23" s="38">
        <f t="shared" si="28"/>
        <v>0</v>
      </c>
      <c r="EJ23" s="44">
        <v>0</v>
      </c>
      <c r="EK23" s="44">
        <v>0</v>
      </c>
      <c r="EL23" s="44">
        <v>0</v>
      </c>
      <c r="EM23" s="44">
        <v>0</v>
      </c>
      <c r="EN23" s="44">
        <v>0</v>
      </c>
      <c r="EO23" s="44">
        <v>0</v>
      </c>
      <c r="EP23" s="44">
        <v>0</v>
      </c>
      <c r="EQ23" s="44">
        <v>0</v>
      </c>
      <c r="ER23" s="38">
        <f t="shared" si="29"/>
        <v>0</v>
      </c>
      <c r="ES23" s="48"/>
      <c r="ET23" s="48"/>
      <c r="EU23" s="48"/>
      <c r="EV23" s="48"/>
      <c r="EW23" s="48"/>
      <c r="EX23" s="48"/>
      <c r="EY23" s="48"/>
      <c r="EZ23" s="48"/>
      <c r="FA23" s="38">
        <f t="shared" si="0"/>
        <v>0</v>
      </c>
      <c r="FB23" s="48"/>
      <c r="FC23" s="48"/>
      <c r="FD23" s="48"/>
      <c r="FE23" s="48"/>
      <c r="FF23" s="48"/>
      <c r="FG23" s="48"/>
      <c r="FH23" s="48"/>
      <c r="FI23" s="48"/>
      <c r="FJ23" s="38">
        <f t="shared" si="1"/>
        <v>0</v>
      </c>
      <c r="FK23" s="52">
        <v>0</v>
      </c>
      <c r="FL23" s="52">
        <v>0</v>
      </c>
      <c r="FM23" s="52">
        <v>0</v>
      </c>
      <c r="FN23" s="52">
        <v>0</v>
      </c>
      <c r="FO23" s="52">
        <v>0</v>
      </c>
      <c r="FP23" s="52">
        <v>0</v>
      </c>
      <c r="FQ23" s="52">
        <v>0</v>
      </c>
      <c r="FR23" s="52">
        <v>0</v>
      </c>
      <c r="FS23" s="38">
        <f t="shared" si="30"/>
        <v>0</v>
      </c>
      <c r="FT23" s="52">
        <v>0</v>
      </c>
      <c r="FU23" s="52">
        <v>0</v>
      </c>
      <c r="FV23" s="52">
        <v>0</v>
      </c>
      <c r="FW23" s="52">
        <v>0</v>
      </c>
      <c r="FX23" s="52">
        <v>0</v>
      </c>
      <c r="FY23" s="52">
        <v>0</v>
      </c>
      <c r="FZ23" s="52">
        <v>0</v>
      </c>
      <c r="GA23" s="52">
        <v>0</v>
      </c>
      <c r="GB23" s="38">
        <f t="shared" si="31"/>
        <v>0</v>
      </c>
      <c r="GC23" s="117"/>
      <c r="GD23" s="117"/>
      <c r="GE23" s="117"/>
      <c r="GF23" s="117"/>
      <c r="GG23" s="117"/>
      <c r="GH23" s="117"/>
      <c r="GI23" s="117"/>
      <c r="GJ23" s="117"/>
      <c r="GK23" s="118">
        <f t="shared" ref="GK23:GK26" si="61">GC23+GD23+GE23+GF23+GG23+GH23+GI23+GJ23</f>
        <v>0</v>
      </c>
      <c r="GL23" s="117"/>
      <c r="GM23" s="117"/>
      <c r="GN23" s="117"/>
      <c r="GO23" s="117"/>
      <c r="GP23" s="117"/>
      <c r="GQ23" s="117"/>
      <c r="GR23" s="117"/>
      <c r="GS23" s="117"/>
      <c r="GT23" s="118">
        <f t="shared" ref="GT23:GT26" si="62">GL23+GM23+GN23+GO23+GP23+GQ23+GR23+GS23</f>
        <v>0</v>
      </c>
      <c r="GU23" s="62"/>
      <c r="GV23" s="62"/>
      <c r="GW23" s="62"/>
      <c r="GX23" s="62"/>
      <c r="GY23" s="62"/>
      <c r="GZ23" s="62"/>
      <c r="HA23" s="62"/>
      <c r="HB23" s="62"/>
      <c r="HC23" s="118">
        <f t="shared" ref="HC23:HC26" si="63">GU23+GV23+GW23+GX23+GY23+GZ23+HA23+HB23</f>
        <v>0</v>
      </c>
      <c r="HD23" s="62"/>
      <c r="HE23" s="62"/>
      <c r="HF23" s="62"/>
      <c r="HG23" s="62"/>
      <c r="HH23" s="62"/>
      <c r="HI23" s="62"/>
      <c r="HJ23" s="62"/>
      <c r="HK23" s="62"/>
      <c r="HL23" s="118">
        <f t="shared" ref="HL23:HL26" si="64">HD23+HE23+HF23+HG23+HH23+HI23+HJ23+HK23</f>
        <v>0</v>
      </c>
      <c r="HM23" s="121"/>
      <c r="HN23" s="121"/>
      <c r="HO23" s="121"/>
      <c r="HP23" s="121"/>
      <c r="HQ23" s="121"/>
      <c r="HR23" s="121"/>
      <c r="HS23" s="121"/>
      <c r="HT23" s="121"/>
      <c r="HU23" s="118">
        <f t="shared" ref="HU23:HU26" si="65">HM23+HN23+HO23+HP23+HQ23+HR23+HS23+HT23</f>
        <v>0</v>
      </c>
      <c r="HV23" s="121"/>
      <c r="HW23" s="121"/>
      <c r="HX23" s="121"/>
      <c r="HY23" s="121"/>
      <c r="HZ23" s="121"/>
      <c r="IA23" s="121"/>
      <c r="IB23" s="121"/>
      <c r="IC23" s="121"/>
      <c r="ID23" s="118">
        <f t="shared" ref="ID23:ID26" si="66">HV23+HW23+HX23+HY23+HZ23+IA23+IB23+IC23</f>
        <v>0</v>
      </c>
      <c r="IE23" s="137"/>
      <c r="IF23" s="137"/>
      <c r="IG23" s="137"/>
      <c r="IH23" s="137"/>
      <c r="II23" s="137"/>
      <c r="IJ23" s="137"/>
      <c r="IK23" s="137"/>
      <c r="IL23" s="137"/>
      <c r="IM23" s="118">
        <f t="shared" ref="IM23:IM26" si="67">IE23+IF23+IG23+IH23+II23+IJ23+IK23+IL23</f>
        <v>0</v>
      </c>
      <c r="IN23" s="137"/>
      <c r="IO23" s="137"/>
      <c r="IP23" s="137"/>
      <c r="IQ23" s="137"/>
      <c r="IR23" s="137"/>
      <c r="IS23" s="137"/>
      <c r="IT23" s="137"/>
      <c r="IU23" s="137"/>
      <c r="IV23" s="118">
        <f t="shared" ref="IV23:IV26" si="68">IN23+IO23+IP23+IQ23+IR23+IS23+IT23+IU23</f>
        <v>0</v>
      </c>
      <c r="IW23" s="147"/>
      <c r="IX23" s="147"/>
      <c r="IY23" s="147"/>
      <c r="IZ23" s="147"/>
      <c r="JA23" s="147"/>
      <c r="JB23" s="147"/>
      <c r="JC23" s="147"/>
      <c r="JD23" s="147"/>
      <c r="JE23" s="118">
        <f t="shared" ref="JE23:JE26" si="69">IW23+IX23+IY23+IZ23+JA23+JB23+JC23+JD23</f>
        <v>0</v>
      </c>
      <c r="JF23" s="147"/>
      <c r="JG23" s="147"/>
      <c r="JH23" s="147"/>
      <c r="JI23" s="147"/>
      <c r="JJ23" s="147"/>
      <c r="JK23" s="147"/>
      <c r="JL23" s="147"/>
      <c r="JM23" s="147"/>
      <c r="JN23" s="118">
        <f t="shared" ref="JN23:JN26" si="70">JF23+JG23+JH23+JI23+JJ23+JK23+JL23+JM23</f>
        <v>0</v>
      </c>
      <c r="JO23" s="14">
        <f t="shared" ref="JO23:JO26" si="71">M23+AE23+AW23+BO23+CG23+CY23+DQ23+EI23+FA23+FS23+GK23+HC23+HU23+IM23+JE23</f>
        <v>42</v>
      </c>
      <c r="JP23" s="46">
        <f t="shared" ref="JP23:JP26" si="72">V23+AN23+BF23+BX23+CP23+DH23+DZ23+ER23+FJ23+GT23+GB23+HL23+ID23+IV23+JN23</f>
        <v>43</v>
      </c>
      <c r="JQ23" s="47">
        <f>JO23+JP23</f>
        <v>85</v>
      </c>
      <c r="JR23" s="46">
        <f>IF(D23&gt;0,D23-(JO23+JP23),"N/A")</f>
        <v>45</v>
      </c>
      <c r="JS23" s="15">
        <f>IF(ISBLANK(D23),"",JQ23/D23)</f>
        <v>0.65384615384615385</v>
      </c>
    </row>
    <row r="24" spans="1:279" ht="24.5" thickBot="1" x14ac:dyDescent="0.55000000000000004">
      <c r="A24" s="70" t="s">
        <v>82</v>
      </c>
      <c r="B24" s="81" t="s">
        <v>86</v>
      </c>
      <c r="C24" s="75"/>
      <c r="D24" s="75">
        <v>3700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8">
        <f t="shared" si="47"/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8">
        <f t="shared" si="15"/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8">
        <f t="shared" si="16"/>
        <v>0</v>
      </c>
      <c r="AF24" s="39">
        <v>0</v>
      </c>
      <c r="AG24" s="39">
        <v>0</v>
      </c>
      <c r="AH24" s="39">
        <v>0</v>
      </c>
      <c r="AI24" s="39">
        <v>0</v>
      </c>
      <c r="AJ24" s="39">
        <v>0</v>
      </c>
      <c r="AK24" s="39">
        <v>0</v>
      </c>
      <c r="AL24" s="39">
        <v>0</v>
      </c>
      <c r="AM24" s="39">
        <v>0</v>
      </c>
      <c r="AN24" s="38">
        <f t="shared" si="17"/>
        <v>0</v>
      </c>
      <c r="AO24" s="40">
        <v>0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38">
        <f t="shared" si="18"/>
        <v>0</v>
      </c>
      <c r="AX24" s="40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38">
        <f t="shared" si="19"/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38">
        <f t="shared" si="20"/>
        <v>0</v>
      </c>
      <c r="BP24" s="41">
        <v>0</v>
      </c>
      <c r="BQ24" s="41"/>
      <c r="BR24" s="41">
        <v>0</v>
      </c>
      <c r="BS24" s="41">
        <v>0</v>
      </c>
      <c r="BT24" s="41">
        <v>0</v>
      </c>
      <c r="BU24" s="41">
        <v>0</v>
      </c>
      <c r="BV24" s="41">
        <v>0</v>
      </c>
      <c r="BW24" s="41">
        <v>0</v>
      </c>
      <c r="BX24" s="38">
        <f t="shared" si="21"/>
        <v>0</v>
      </c>
      <c r="BY24" s="42">
        <v>0</v>
      </c>
      <c r="BZ24" s="42">
        <v>0</v>
      </c>
      <c r="CA24" s="42">
        <v>0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38">
        <f t="shared" si="22"/>
        <v>0</v>
      </c>
      <c r="CH24" s="42">
        <v>0</v>
      </c>
      <c r="CI24" s="42">
        <v>0</v>
      </c>
      <c r="CJ24" s="42">
        <v>0</v>
      </c>
      <c r="CK24" s="42">
        <v>0</v>
      </c>
      <c r="CL24" s="42">
        <v>0</v>
      </c>
      <c r="CM24" s="42">
        <v>0</v>
      </c>
      <c r="CN24" s="42">
        <v>0</v>
      </c>
      <c r="CO24" s="42">
        <v>0</v>
      </c>
      <c r="CP24" s="38">
        <f t="shared" si="23"/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38">
        <f t="shared" si="24"/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0</v>
      </c>
      <c r="DF24" s="43">
        <v>0</v>
      </c>
      <c r="DG24" s="43">
        <v>0</v>
      </c>
      <c r="DH24" s="38">
        <f t="shared" si="25"/>
        <v>0</v>
      </c>
      <c r="DI24" s="39">
        <v>0</v>
      </c>
      <c r="DJ24" s="39">
        <v>0</v>
      </c>
      <c r="DK24" s="39">
        <v>0</v>
      </c>
      <c r="DL24" s="39">
        <v>0</v>
      </c>
      <c r="DM24" s="39">
        <v>0</v>
      </c>
      <c r="DN24" s="39">
        <v>0</v>
      </c>
      <c r="DO24" s="39">
        <v>0</v>
      </c>
      <c r="DP24" s="39">
        <v>0</v>
      </c>
      <c r="DQ24" s="38">
        <f t="shared" si="26"/>
        <v>0</v>
      </c>
      <c r="DR24" s="39">
        <v>0</v>
      </c>
      <c r="DS24" s="39">
        <v>0</v>
      </c>
      <c r="DT24" s="39">
        <v>0</v>
      </c>
      <c r="DU24" s="39">
        <v>0</v>
      </c>
      <c r="DV24" s="39">
        <v>0</v>
      </c>
      <c r="DW24" s="39">
        <v>0</v>
      </c>
      <c r="DX24" s="39">
        <v>0</v>
      </c>
      <c r="DY24" s="39">
        <v>0</v>
      </c>
      <c r="DZ24" s="38">
        <f t="shared" si="27"/>
        <v>0</v>
      </c>
      <c r="EA24" s="44">
        <v>0</v>
      </c>
      <c r="EB24" s="44"/>
      <c r="EC24" s="44">
        <v>227</v>
      </c>
      <c r="ED24" s="44">
        <v>0</v>
      </c>
      <c r="EE24" s="44">
        <v>0</v>
      </c>
      <c r="EF24" s="44">
        <v>0</v>
      </c>
      <c r="EG24" s="44">
        <v>0</v>
      </c>
      <c r="EH24" s="44">
        <v>0</v>
      </c>
      <c r="EI24" s="38">
        <f t="shared" si="28"/>
        <v>227</v>
      </c>
      <c r="EJ24" s="44">
        <v>0</v>
      </c>
      <c r="EK24" s="44">
        <v>0</v>
      </c>
      <c r="EL24" s="44">
        <v>324</v>
      </c>
      <c r="EM24" s="44">
        <v>0</v>
      </c>
      <c r="EN24" s="44">
        <v>0</v>
      </c>
      <c r="EO24" s="44">
        <v>0</v>
      </c>
      <c r="EP24" s="44">
        <v>0</v>
      </c>
      <c r="EQ24" s="44">
        <v>0</v>
      </c>
      <c r="ER24" s="38">
        <f t="shared" si="29"/>
        <v>324</v>
      </c>
      <c r="ES24" s="48"/>
      <c r="ET24" s="48"/>
      <c r="EU24" s="48"/>
      <c r="EV24" s="48"/>
      <c r="EW24" s="48"/>
      <c r="EX24" s="48"/>
      <c r="EY24" s="48"/>
      <c r="EZ24" s="48"/>
      <c r="FA24" s="38">
        <f t="shared" si="0"/>
        <v>0</v>
      </c>
      <c r="FB24" s="48"/>
      <c r="FC24" s="48"/>
      <c r="FD24" s="48"/>
      <c r="FE24" s="48"/>
      <c r="FF24" s="48"/>
      <c r="FG24" s="48"/>
      <c r="FH24" s="48"/>
      <c r="FI24" s="48"/>
      <c r="FJ24" s="38">
        <f t="shared" si="1"/>
        <v>0</v>
      </c>
      <c r="FK24" s="52">
        <v>0</v>
      </c>
      <c r="FL24" s="52">
        <v>0</v>
      </c>
      <c r="FM24" s="52">
        <v>0</v>
      </c>
      <c r="FN24" s="52">
        <v>0</v>
      </c>
      <c r="FO24" s="52">
        <v>0</v>
      </c>
      <c r="FP24" s="52">
        <v>0</v>
      </c>
      <c r="FQ24" s="52">
        <v>0</v>
      </c>
      <c r="FR24" s="52">
        <v>0</v>
      </c>
      <c r="FS24" s="38">
        <f t="shared" si="30"/>
        <v>0</v>
      </c>
      <c r="FT24" s="52">
        <v>0</v>
      </c>
      <c r="FU24" s="52">
        <v>0</v>
      </c>
      <c r="FV24" s="52">
        <v>0</v>
      </c>
      <c r="FW24" s="52">
        <v>0</v>
      </c>
      <c r="FX24" s="52">
        <v>0</v>
      </c>
      <c r="FY24" s="52">
        <v>0</v>
      </c>
      <c r="FZ24" s="52">
        <v>0</v>
      </c>
      <c r="GA24" s="52">
        <v>0</v>
      </c>
      <c r="GB24" s="38">
        <f t="shared" si="31"/>
        <v>0</v>
      </c>
      <c r="GC24" s="117"/>
      <c r="GD24" s="117"/>
      <c r="GE24" s="117"/>
      <c r="GF24" s="117"/>
      <c r="GG24" s="117"/>
      <c r="GH24" s="117"/>
      <c r="GI24" s="117"/>
      <c r="GJ24" s="117"/>
      <c r="GK24" s="118">
        <f t="shared" si="61"/>
        <v>0</v>
      </c>
      <c r="GL24" s="117"/>
      <c r="GM24" s="117"/>
      <c r="GN24" s="117"/>
      <c r="GO24" s="117"/>
      <c r="GP24" s="117"/>
      <c r="GQ24" s="117"/>
      <c r="GR24" s="117"/>
      <c r="GS24" s="117"/>
      <c r="GT24" s="118">
        <f t="shared" si="62"/>
        <v>0</v>
      </c>
      <c r="GU24" s="62"/>
      <c r="GV24" s="62"/>
      <c r="GW24" s="62"/>
      <c r="GX24" s="62"/>
      <c r="GY24" s="62"/>
      <c r="GZ24" s="62"/>
      <c r="HA24" s="62"/>
      <c r="HB24" s="62"/>
      <c r="HC24" s="118">
        <f t="shared" si="63"/>
        <v>0</v>
      </c>
      <c r="HD24" s="62"/>
      <c r="HE24" s="62"/>
      <c r="HF24" s="62"/>
      <c r="HG24" s="62"/>
      <c r="HH24" s="62"/>
      <c r="HI24" s="62"/>
      <c r="HJ24" s="62"/>
      <c r="HK24" s="62"/>
      <c r="HL24" s="118">
        <f t="shared" si="64"/>
        <v>0</v>
      </c>
      <c r="HM24" s="121"/>
      <c r="HN24" s="121"/>
      <c r="HO24" s="121">
        <v>33</v>
      </c>
      <c r="HP24" s="121"/>
      <c r="HQ24" s="121"/>
      <c r="HR24" s="121"/>
      <c r="HS24" s="121"/>
      <c r="HT24" s="121"/>
      <c r="HU24" s="118">
        <f t="shared" si="65"/>
        <v>33</v>
      </c>
      <c r="HV24" s="121"/>
      <c r="HW24" s="121"/>
      <c r="HX24" s="121">
        <v>65</v>
      </c>
      <c r="HY24" s="121"/>
      <c r="HZ24" s="121"/>
      <c r="IA24" s="121"/>
      <c r="IB24" s="121"/>
      <c r="IC24" s="121"/>
      <c r="ID24" s="118">
        <f t="shared" si="66"/>
        <v>65</v>
      </c>
      <c r="IE24" s="137"/>
      <c r="IF24" s="137"/>
      <c r="IG24" s="137">
        <v>226</v>
      </c>
      <c r="IH24" s="137"/>
      <c r="II24" s="137"/>
      <c r="IJ24" s="137"/>
      <c r="IK24" s="137">
        <v>0</v>
      </c>
      <c r="IL24" s="137"/>
      <c r="IM24" s="118">
        <f t="shared" si="67"/>
        <v>226</v>
      </c>
      <c r="IN24" s="137"/>
      <c r="IO24" s="137"/>
      <c r="IP24" s="137">
        <v>375</v>
      </c>
      <c r="IQ24" s="137"/>
      <c r="IR24" s="137"/>
      <c r="IS24" s="137"/>
      <c r="IT24" s="137"/>
      <c r="IU24" s="137"/>
      <c r="IV24" s="118">
        <f t="shared" si="68"/>
        <v>375</v>
      </c>
      <c r="IW24" s="147"/>
      <c r="IX24" s="147"/>
      <c r="IY24" s="147">
        <v>172</v>
      </c>
      <c r="IZ24" s="147"/>
      <c r="JA24" s="147"/>
      <c r="JB24" s="147"/>
      <c r="JC24" s="147">
        <v>0</v>
      </c>
      <c r="JD24" s="147"/>
      <c r="JE24" s="118">
        <f t="shared" si="69"/>
        <v>172</v>
      </c>
      <c r="JF24" s="147"/>
      <c r="JG24" s="147"/>
      <c r="JH24" s="147"/>
      <c r="JI24" s="147">
        <v>371</v>
      </c>
      <c r="JJ24" s="147"/>
      <c r="JK24" s="147"/>
      <c r="JL24" s="147"/>
      <c r="JM24" s="147"/>
      <c r="JN24" s="118">
        <f t="shared" si="70"/>
        <v>371</v>
      </c>
      <c r="JO24" s="14">
        <f t="shared" si="71"/>
        <v>658</v>
      </c>
      <c r="JP24" s="46">
        <f t="shared" si="72"/>
        <v>1135</v>
      </c>
      <c r="JQ24" s="47">
        <f t="shared" si="46"/>
        <v>1793</v>
      </c>
      <c r="JR24" s="46">
        <f>IF(D24&gt;0,D24-(JO24+JP24),"N/A")</f>
        <v>1907</v>
      </c>
      <c r="JS24" s="15">
        <f>IF(ISBLANK(D24),"",JQ24/D24)</f>
        <v>0.48459459459459459</v>
      </c>
    </row>
    <row r="25" spans="1:279" ht="24.5" thickBot="1" x14ac:dyDescent="0.55000000000000004">
      <c r="A25" s="70" t="s">
        <v>84</v>
      </c>
      <c r="B25" s="80" t="s">
        <v>87</v>
      </c>
      <c r="C25" s="75"/>
      <c r="D25" s="75">
        <v>30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8">
        <f t="shared" si="47"/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8">
        <f t="shared" si="15"/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8">
        <f t="shared" si="16"/>
        <v>0</v>
      </c>
      <c r="AF25" s="39">
        <v>0</v>
      </c>
      <c r="AG25" s="39">
        <v>0</v>
      </c>
      <c r="AH25" s="39">
        <v>0</v>
      </c>
      <c r="AI25" s="39">
        <v>0</v>
      </c>
      <c r="AJ25" s="39">
        <v>0</v>
      </c>
      <c r="AK25" s="39">
        <v>0</v>
      </c>
      <c r="AL25" s="39">
        <v>0</v>
      </c>
      <c r="AM25" s="39">
        <v>0</v>
      </c>
      <c r="AN25" s="38">
        <f t="shared" si="17"/>
        <v>0</v>
      </c>
      <c r="AO25" s="40">
        <v>0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0</v>
      </c>
      <c r="AV25" s="40">
        <v>0</v>
      </c>
      <c r="AW25" s="38">
        <f t="shared" si="18"/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38">
        <f t="shared" si="19"/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38">
        <f t="shared" si="20"/>
        <v>0</v>
      </c>
      <c r="BP25" s="41">
        <v>0</v>
      </c>
      <c r="BQ25" s="41"/>
      <c r="BR25" s="41">
        <v>0</v>
      </c>
      <c r="BS25" s="41">
        <v>0</v>
      </c>
      <c r="BT25" s="41">
        <v>0</v>
      </c>
      <c r="BU25" s="41">
        <v>0</v>
      </c>
      <c r="BV25" s="41">
        <v>0</v>
      </c>
      <c r="BW25" s="41">
        <v>0</v>
      </c>
      <c r="BX25" s="38">
        <f t="shared" si="21"/>
        <v>0</v>
      </c>
      <c r="BY25" s="42">
        <v>0</v>
      </c>
      <c r="BZ25" s="42">
        <v>0</v>
      </c>
      <c r="CA25" s="42">
        <v>0</v>
      </c>
      <c r="CB25" s="42">
        <v>0</v>
      </c>
      <c r="CC25" s="42">
        <v>0</v>
      </c>
      <c r="CD25" s="42">
        <v>0</v>
      </c>
      <c r="CE25" s="42">
        <v>0</v>
      </c>
      <c r="CF25" s="42">
        <v>0</v>
      </c>
      <c r="CG25" s="38">
        <f t="shared" si="22"/>
        <v>0</v>
      </c>
      <c r="CH25" s="42">
        <v>0</v>
      </c>
      <c r="CI25" s="42">
        <v>0</v>
      </c>
      <c r="CJ25" s="42">
        <v>0</v>
      </c>
      <c r="CK25" s="42">
        <v>0</v>
      </c>
      <c r="CL25" s="42">
        <v>0</v>
      </c>
      <c r="CM25" s="42">
        <v>0</v>
      </c>
      <c r="CN25" s="42">
        <v>0</v>
      </c>
      <c r="CO25" s="42">
        <v>0</v>
      </c>
      <c r="CP25" s="38">
        <f t="shared" si="23"/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38">
        <f t="shared" si="24"/>
        <v>0</v>
      </c>
      <c r="CZ25" s="43">
        <v>0</v>
      </c>
      <c r="DA25" s="43">
        <v>0</v>
      </c>
      <c r="DB25" s="43">
        <v>0</v>
      </c>
      <c r="DC25" s="43">
        <v>0</v>
      </c>
      <c r="DD25" s="43">
        <v>0</v>
      </c>
      <c r="DE25" s="43">
        <v>0</v>
      </c>
      <c r="DF25" s="43">
        <v>0</v>
      </c>
      <c r="DG25" s="43">
        <v>0</v>
      </c>
      <c r="DH25" s="38">
        <f t="shared" si="25"/>
        <v>0</v>
      </c>
      <c r="DI25" s="39">
        <v>0</v>
      </c>
      <c r="DJ25" s="39">
        <v>0</v>
      </c>
      <c r="DK25" s="39">
        <v>0</v>
      </c>
      <c r="DL25" s="39">
        <v>0</v>
      </c>
      <c r="DM25" s="39">
        <v>0</v>
      </c>
      <c r="DN25" s="39">
        <v>0</v>
      </c>
      <c r="DO25" s="39">
        <v>0</v>
      </c>
      <c r="DP25" s="39">
        <v>0</v>
      </c>
      <c r="DQ25" s="38">
        <f t="shared" si="26"/>
        <v>0</v>
      </c>
      <c r="DR25" s="39">
        <v>0</v>
      </c>
      <c r="DS25" s="39">
        <v>0</v>
      </c>
      <c r="DT25" s="39">
        <v>0</v>
      </c>
      <c r="DU25" s="39">
        <v>0</v>
      </c>
      <c r="DV25" s="39">
        <v>0</v>
      </c>
      <c r="DW25" s="39">
        <v>0</v>
      </c>
      <c r="DX25" s="39">
        <v>0</v>
      </c>
      <c r="DY25" s="39">
        <v>0</v>
      </c>
      <c r="DZ25" s="38">
        <f t="shared" si="27"/>
        <v>0</v>
      </c>
      <c r="EA25" s="44">
        <v>0</v>
      </c>
      <c r="EB25" s="44"/>
      <c r="EC25" s="44">
        <v>0</v>
      </c>
      <c r="ED25" s="44">
        <v>0</v>
      </c>
      <c r="EE25" s="44">
        <v>0</v>
      </c>
      <c r="EF25" s="44">
        <v>0</v>
      </c>
      <c r="EG25" s="44">
        <v>0</v>
      </c>
      <c r="EH25" s="44">
        <v>0</v>
      </c>
      <c r="EI25" s="38">
        <f t="shared" si="28"/>
        <v>0</v>
      </c>
      <c r="EJ25" s="44">
        <v>0</v>
      </c>
      <c r="EK25" s="44">
        <v>0</v>
      </c>
      <c r="EL25" s="44">
        <v>0</v>
      </c>
      <c r="EM25" s="44">
        <v>0</v>
      </c>
      <c r="EN25" s="44">
        <v>0</v>
      </c>
      <c r="EO25" s="44">
        <v>0</v>
      </c>
      <c r="EP25" s="44">
        <v>0</v>
      </c>
      <c r="EQ25" s="44">
        <v>0</v>
      </c>
      <c r="ER25" s="38">
        <f t="shared" si="29"/>
        <v>0</v>
      </c>
      <c r="ES25" s="48"/>
      <c r="ET25" s="48"/>
      <c r="EU25" s="48"/>
      <c r="EV25" s="48"/>
      <c r="EW25" s="48"/>
      <c r="EX25" s="48"/>
      <c r="EY25" s="48"/>
      <c r="EZ25" s="48"/>
      <c r="FA25" s="38">
        <f t="shared" si="0"/>
        <v>0</v>
      </c>
      <c r="FB25" s="48"/>
      <c r="FC25" s="48"/>
      <c r="FD25" s="48"/>
      <c r="FE25" s="48"/>
      <c r="FF25" s="48"/>
      <c r="FG25" s="48"/>
      <c r="FH25" s="48"/>
      <c r="FI25" s="48"/>
      <c r="FJ25" s="38">
        <f t="shared" si="1"/>
        <v>0</v>
      </c>
      <c r="FK25" s="52">
        <v>0</v>
      </c>
      <c r="FL25" s="52">
        <v>0</v>
      </c>
      <c r="FM25" s="52">
        <v>0</v>
      </c>
      <c r="FN25" s="52">
        <v>0</v>
      </c>
      <c r="FO25" s="52">
        <v>0</v>
      </c>
      <c r="FP25" s="52">
        <v>0</v>
      </c>
      <c r="FQ25" s="52">
        <v>0</v>
      </c>
      <c r="FR25" s="52">
        <v>0</v>
      </c>
      <c r="FS25" s="38">
        <f t="shared" si="30"/>
        <v>0</v>
      </c>
      <c r="FT25" s="52">
        <v>0</v>
      </c>
      <c r="FU25" s="52">
        <v>0</v>
      </c>
      <c r="FV25" s="52">
        <v>0</v>
      </c>
      <c r="FW25" s="52">
        <v>0</v>
      </c>
      <c r="FX25" s="52">
        <v>0</v>
      </c>
      <c r="FY25" s="52">
        <v>0</v>
      </c>
      <c r="FZ25" s="52">
        <v>0</v>
      </c>
      <c r="GA25" s="52">
        <v>0</v>
      </c>
      <c r="GB25" s="38">
        <f t="shared" si="31"/>
        <v>0</v>
      </c>
      <c r="GC25" s="117"/>
      <c r="GD25" s="117"/>
      <c r="GE25" s="117"/>
      <c r="GF25" s="117"/>
      <c r="GG25" s="117"/>
      <c r="GH25" s="117"/>
      <c r="GI25" s="117"/>
      <c r="GJ25" s="117"/>
      <c r="GK25" s="118">
        <f t="shared" si="61"/>
        <v>0</v>
      </c>
      <c r="GL25" s="117"/>
      <c r="GM25" s="117"/>
      <c r="GN25" s="117"/>
      <c r="GO25" s="117"/>
      <c r="GP25" s="117"/>
      <c r="GQ25" s="117"/>
      <c r="GR25" s="117"/>
      <c r="GS25" s="117"/>
      <c r="GT25" s="118">
        <f t="shared" si="62"/>
        <v>0</v>
      </c>
      <c r="GU25" s="62"/>
      <c r="GV25" s="62"/>
      <c r="GW25" s="62"/>
      <c r="GX25" s="62"/>
      <c r="GY25" s="62"/>
      <c r="GZ25" s="62"/>
      <c r="HA25" s="62"/>
      <c r="HB25" s="62"/>
      <c r="HC25" s="118">
        <f t="shared" si="63"/>
        <v>0</v>
      </c>
      <c r="HD25" s="62"/>
      <c r="HE25" s="62"/>
      <c r="HF25" s="62"/>
      <c r="HG25" s="62"/>
      <c r="HH25" s="62"/>
      <c r="HI25" s="62"/>
      <c r="HJ25" s="62"/>
      <c r="HK25" s="62"/>
      <c r="HL25" s="118">
        <f t="shared" si="64"/>
        <v>0</v>
      </c>
      <c r="HM25" s="121"/>
      <c r="HN25" s="121"/>
      <c r="HO25" s="121"/>
      <c r="HP25" s="121"/>
      <c r="HQ25" s="121"/>
      <c r="HR25" s="121"/>
      <c r="HS25" s="121"/>
      <c r="HT25" s="121"/>
      <c r="HU25" s="118">
        <f t="shared" si="65"/>
        <v>0</v>
      </c>
      <c r="HV25" s="121"/>
      <c r="HW25" s="121"/>
      <c r="HX25" s="121"/>
      <c r="HY25" s="121"/>
      <c r="HZ25" s="121"/>
      <c r="IA25" s="121"/>
      <c r="IB25" s="121"/>
      <c r="IC25" s="121"/>
      <c r="ID25" s="118">
        <f t="shared" si="66"/>
        <v>0</v>
      </c>
      <c r="IE25" s="137"/>
      <c r="IF25" s="137"/>
      <c r="IG25" s="137"/>
      <c r="IH25" s="137"/>
      <c r="II25" s="137"/>
      <c r="IJ25" s="137"/>
      <c r="IK25" s="137"/>
      <c r="IL25" s="137"/>
      <c r="IM25" s="118">
        <f t="shared" si="67"/>
        <v>0</v>
      </c>
      <c r="IN25" s="137"/>
      <c r="IO25" s="137"/>
      <c r="IP25" s="137"/>
      <c r="IQ25" s="137"/>
      <c r="IR25" s="137"/>
      <c r="IS25" s="137"/>
      <c r="IT25" s="137"/>
      <c r="IU25" s="137"/>
      <c r="IV25" s="118">
        <f t="shared" si="68"/>
        <v>0</v>
      </c>
      <c r="IW25" s="147"/>
      <c r="IX25" s="147"/>
      <c r="IY25" s="147"/>
      <c r="IZ25" s="147"/>
      <c r="JA25" s="147"/>
      <c r="JB25" s="147"/>
      <c r="JC25" s="147"/>
      <c r="JD25" s="147"/>
      <c r="JE25" s="118">
        <f t="shared" si="69"/>
        <v>0</v>
      </c>
      <c r="JF25" s="147"/>
      <c r="JG25" s="147"/>
      <c r="JH25" s="147"/>
      <c r="JI25" s="147"/>
      <c r="JJ25" s="147"/>
      <c r="JK25" s="147"/>
      <c r="JL25" s="147"/>
      <c r="JM25" s="147"/>
      <c r="JN25" s="118">
        <f t="shared" si="70"/>
        <v>0</v>
      </c>
      <c r="JO25" s="14">
        <f t="shared" si="71"/>
        <v>0</v>
      </c>
      <c r="JP25" s="46">
        <f t="shared" si="72"/>
        <v>0</v>
      </c>
      <c r="JQ25" s="47">
        <f t="shared" si="46"/>
        <v>0</v>
      </c>
      <c r="JR25" s="46">
        <f>IF(D25&gt;0,D25-(JO25+JP25),"N/A")</f>
        <v>30</v>
      </c>
      <c r="JS25" s="15">
        <f>IF(ISBLANK(D25),"",JQ25/D25)</f>
        <v>0</v>
      </c>
    </row>
    <row r="26" spans="1:279" ht="24.5" thickBot="1" x14ac:dyDescent="0.55000000000000004">
      <c r="A26" s="70" t="s">
        <v>84</v>
      </c>
      <c r="B26" s="80" t="s">
        <v>88</v>
      </c>
      <c r="C26" s="75"/>
      <c r="D26" s="75">
        <v>30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8">
        <f t="shared" si="47"/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8">
        <f t="shared" si="15"/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8">
        <f t="shared" si="16"/>
        <v>0</v>
      </c>
      <c r="AF26" s="39"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0</v>
      </c>
      <c r="AL26" s="39">
        <v>0</v>
      </c>
      <c r="AM26" s="39">
        <v>0</v>
      </c>
      <c r="AN26" s="38">
        <f t="shared" si="17"/>
        <v>0</v>
      </c>
      <c r="AO26" s="40">
        <v>0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0</v>
      </c>
      <c r="AV26" s="40">
        <v>0</v>
      </c>
      <c r="AW26" s="38">
        <f t="shared" si="18"/>
        <v>0</v>
      </c>
      <c r="AX26" s="40">
        <v>0</v>
      </c>
      <c r="AY26" s="40">
        <v>0</v>
      </c>
      <c r="AZ26" s="40">
        <v>0</v>
      </c>
      <c r="BA26" s="40">
        <v>0</v>
      </c>
      <c r="BB26" s="40">
        <v>0</v>
      </c>
      <c r="BC26" s="40">
        <v>0</v>
      </c>
      <c r="BD26" s="40">
        <v>0</v>
      </c>
      <c r="BE26" s="40">
        <v>0</v>
      </c>
      <c r="BF26" s="38">
        <f t="shared" si="19"/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38">
        <f t="shared" si="20"/>
        <v>0</v>
      </c>
      <c r="BP26" s="41">
        <v>0</v>
      </c>
      <c r="BQ26" s="41"/>
      <c r="BR26" s="41">
        <v>0</v>
      </c>
      <c r="BS26" s="41">
        <v>0</v>
      </c>
      <c r="BT26" s="41">
        <v>0</v>
      </c>
      <c r="BU26" s="41">
        <v>0</v>
      </c>
      <c r="BV26" s="41">
        <v>0</v>
      </c>
      <c r="BW26" s="41">
        <v>0</v>
      </c>
      <c r="BX26" s="38">
        <f t="shared" si="21"/>
        <v>0</v>
      </c>
      <c r="BY26" s="42">
        <v>0</v>
      </c>
      <c r="BZ26" s="42">
        <v>0</v>
      </c>
      <c r="CA26" s="42">
        <v>0</v>
      </c>
      <c r="CB26" s="42">
        <v>0</v>
      </c>
      <c r="CC26" s="42">
        <v>0</v>
      </c>
      <c r="CD26" s="42">
        <v>0</v>
      </c>
      <c r="CE26" s="42">
        <v>0</v>
      </c>
      <c r="CF26" s="42">
        <v>0</v>
      </c>
      <c r="CG26" s="38">
        <f t="shared" si="22"/>
        <v>0</v>
      </c>
      <c r="CH26" s="42">
        <v>0</v>
      </c>
      <c r="CI26" s="42">
        <v>0</v>
      </c>
      <c r="CJ26" s="42">
        <v>0</v>
      </c>
      <c r="CK26" s="42">
        <v>0</v>
      </c>
      <c r="CL26" s="42">
        <v>0</v>
      </c>
      <c r="CM26" s="42">
        <v>0</v>
      </c>
      <c r="CN26" s="42">
        <v>0</v>
      </c>
      <c r="CO26" s="42">
        <v>0</v>
      </c>
      <c r="CP26" s="38">
        <f t="shared" si="23"/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38">
        <f t="shared" si="24"/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38">
        <f t="shared" si="25"/>
        <v>0</v>
      </c>
      <c r="DI26" s="39">
        <v>0</v>
      </c>
      <c r="DJ26" s="39">
        <v>0</v>
      </c>
      <c r="DK26" s="39">
        <v>0</v>
      </c>
      <c r="DL26" s="39">
        <v>0</v>
      </c>
      <c r="DM26" s="39">
        <v>0</v>
      </c>
      <c r="DN26" s="39">
        <v>0</v>
      </c>
      <c r="DO26" s="39">
        <v>0</v>
      </c>
      <c r="DP26" s="39">
        <v>0</v>
      </c>
      <c r="DQ26" s="38">
        <f t="shared" si="26"/>
        <v>0</v>
      </c>
      <c r="DR26" s="39">
        <v>0</v>
      </c>
      <c r="DS26" s="39">
        <v>0</v>
      </c>
      <c r="DT26" s="39">
        <v>0</v>
      </c>
      <c r="DU26" s="39">
        <v>0</v>
      </c>
      <c r="DV26" s="39">
        <v>0</v>
      </c>
      <c r="DW26" s="39">
        <v>0</v>
      </c>
      <c r="DX26" s="39">
        <v>0</v>
      </c>
      <c r="DY26" s="39">
        <v>0</v>
      </c>
      <c r="DZ26" s="38">
        <f t="shared" si="27"/>
        <v>0</v>
      </c>
      <c r="EA26" s="44">
        <v>0</v>
      </c>
      <c r="EB26" s="44"/>
      <c r="EC26" s="44">
        <v>0</v>
      </c>
      <c r="ED26" s="44">
        <v>0</v>
      </c>
      <c r="EE26" s="44">
        <v>0</v>
      </c>
      <c r="EF26" s="44">
        <v>0</v>
      </c>
      <c r="EG26" s="44">
        <v>0</v>
      </c>
      <c r="EH26" s="44">
        <v>0</v>
      </c>
      <c r="EI26" s="38">
        <f t="shared" si="28"/>
        <v>0</v>
      </c>
      <c r="EJ26" s="44">
        <v>0</v>
      </c>
      <c r="EK26" s="44">
        <v>0</v>
      </c>
      <c r="EL26" s="44">
        <v>0</v>
      </c>
      <c r="EM26" s="44">
        <v>0</v>
      </c>
      <c r="EN26" s="44">
        <v>0</v>
      </c>
      <c r="EO26" s="44">
        <v>0</v>
      </c>
      <c r="EP26" s="44">
        <v>0</v>
      </c>
      <c r="EQ26" s="44">
        <v>0</v>
      </c>
      <c r="ER26" s="38">
        <f t="shared" si="29"/>
        <v>0</v>
      </c>
      <c r="ES26" s="48"/>
      <c r="ET26" s="48"/>
      <c r="EU26" s="48"/>
      <c r="EV26" s="48"/>
      <c r="EW26" s="48"/>
      <c r="EX26" s="48"/>
      <c r="EY26" s="48"/>
      <c r="EZ26" s="48"/>
      <c r="FA26" s="38">
        <f t="shared" si="0"/>
        <v>0</v>
      </c>
      <c r="FB26" s="48"/>
      <c r="FC26" s="48"/>
      <c r="FD26" s="48"/>
      <c r="FE26" s="48"/>
      <c r="FF26" s="48"/>
      <c r="FG26" s="48"/>
      <c r="FH26" s="48"/>
      <c r="FI26" s="48"/>
      <c r="FJ26" s="38">
        <f t="shared" si="1"/>
        <v>0</v>
      </c>
      <c r="FK26" s="52">
        <v>0</v>
      </c>
      <c r="FL26" s="52">
        <v>0</v>
      </c>
      <c r="FM26" s="52">
        <v>0</v>
      </c>
      <c r="FN26" s="52">
        <v>0</v>
      </c>
      <c r="FO26" s="52">
        <v>0</v>
      </c>
      <c r="FP26" s="52">
        <v>0</v>
      </c>
      <c r="FQ26" s="52">
        <v>0</v>
      </c>
      <c r="FR26" s="52">
        <v>0</v>
      </c>
      <c r="FS26" s="38">
        <f t="shared" si="30"/>
        <v>0</v>
      </c>
      <c r="FT26" s="52">
        <v>0</v>
      </c>
      <c r="FU26" s="52">
        <v>0</v>
      </c>
      <c r="FV26" s="52">
        <v>0</v>
      </c>
      <c r="FW26" s="52">
        <v>0</v>
      </c>
      <c r="FX26" s="52">
        <v>0</v>
      </c>
      <c r="FY26" s="52">
        <v>0</v>
      </c>
      <c r="FZ26" s="52">
        <v>0</v>
      </c>
      <c r="GA26" s="52">
        <v>0</v>
      </c>
      <c r="GB26" s="38">
        <f t="shared" si="31"/>
        <v>0</v>
      </c>
      <c r="GC26" s="117"/>
      <c r="GD26" s="117"/>
      <c r="GE26" s="117"/>
      <c r="GF26" s="117"/>
      <c r="GG26" s="117"/>
      <c r="GH26" s="117"/>
      <c r="GI26" s="117"/>
      <c r="GJ26" s="117"/>
      <c r="GK26" s="118">
        <f t="shared" si="61"/>
        <v>0</v>
      </c>
      <c r="GL26" s="117"/>
      <c r="GM26" s="117"/>
      <c r="GN26" s="117"/>
      <c r="GO26" s="117"/>
      <c r="GP26" s="117"/>
      <c r="GQ26" s="117"/>
      <c r="GR26" s="117"/>
      <c r="GS26" s="117"/>
      <c r="GT26" s="118">
        <f t="shared" si="62"/>
        <v>0</v>
      </c>
      <c r="GU26" s="62"/>
      <c r="GV26" s="62"/>
      <c r="GW26" s="62"/>
      <c r="GX26" s="62"/>
      <c r="GY26" s="62"/>
      <c r="GZ26" s="62"/>
      <c r="HA26" s="62"/>
      <c r="HB26" s="62"/>
      <c r="HC26" s="118">
        <f t="shared" si="63"/>
        <v>0</v>
      </c>
      <c r="HD26" s="62"/>
      <c r="HE26" s="62"/>
      <c r="HF26" s="62"/>
      <c r="HG26" s="62"/>
      <c r="HH26" s="62"/>
      <c r="HI26" s="62"/>
      <c r="HJ26" s="62"/>
      <c r="HK26" s="62"/>
      <c r="HL26" s="118">
        <f t="shared" si="64"/>
        <v>0</v>
      </c>
      <c r="HM26" s="121"/>
      <c r="HN26" s="121"/>
      <c r="HO26" s="121"/>
      <c r="HP26" s="121"/>
      <c r="HQ26" s="121"/>
      <c r="HR26" s="121"/>
      <c r="HS26" s="121"/>
      <c r="HT26" s="121"/>
      <c r="HU26" s="118">
        <f t="shared" si="65"/>
        <v>0</v>
      </c>
      <c r="HV26" s="121"/>
      <c r="HW26" s="121"/>
      <c r="HX26" s="121"/>
      <c r="HY26" s="121"/>
      <c r="HZ26" s="121"/>
      <c r="IA26" s="121"/>
      <c r="IB26" s="121"/>
      <c r="IC26" s="121"/>
      <c r="ID26" s="118">
        <f t="shared" si="66"/>
        <v>0</v>
      </c>
      <c r="IE26" s="137"/>
      <c r="IF26" s="137"/>
      <c r="IG26" s="137"/>
      <c r="IH26" s="137"/>
      <c r="II26" s="137"/>
      <c r="IJ26" s="137"/>
      <c r="IK26" s="137"/>
      <c r="IL26" s="137"/>
      <c r="IM26" s="118">
        <f t="shared" si="67"/>
        <v>0</v>
      </c>
      <c r="IN26" s="137"/>
      <c r="IO26" s="137"/>
      <c r="IP26" s="137"/>
      <c r="IQ26" s="137"/>
      <c r="IR26" s="137"/>
      <c r="IS26" s="137"/>
      <c r="IT26" s="137"/>
      <c r="IU26" s="137"/>
      <c r="IV26" s="118">
        <f t="shared" si="68"/>
        <v>0</v>
      </c>
      <c r="IW26" s="147"/>
      <c r="IX26" s="147"/>
      <c r="IY26" s="147"/>
      <c r="IZ26" s="147"/>
      <c r="JA26" s="147"/>
      <c r="JB26" s="147"/>
      <c r="JC26" s="147"/>
      <c r="JD26" s="147"/>
      <c r="JE26" s="118">
        <f t="shared" si="69"/>
        <v>0</v>
      </c>
      <c r="JF26" s="147"/>
      <c r="JG26" s="147"/>
      <c r="JH26" s="147"/>
      <c r="JI26" s="147"/>
      <c r="JJ26" s="147"/>
      <c r="JK26" s="147"/>
      <c r="JL26" s="147"/>
      <c r="JM26" s="147"/>
      <c r="JN26" s="118">
        <f t="shared" si="70"/>
        <v>0</v>
      </c>
      <c r="JO26" s="14">
        <f t="shared" si="71"/>
        <v>0</v>
      </c>
      <c r="JP26" s="46">
        <f t="shared" si="72"/>
        <v>0</v>
      </c>
      <c r="JQ26" s="47">
        <f t="shared" si="46"/>
        <v>0</v>
      </c>
      <c r="JR26" s="46">
        <f>IF(D26&gt;0,D26-(JO26+JP26),"N/A")</f>
        <v>30</v>
      </c>
      <c r="JS26" s="15">
        <f>IF(ISBLANK(D26),"",JQ26/D26)</f>
        <v>0</v>
      </c>
    </row>
    <row r="27" spans="1:279" ht="23" thickBot="1" x14ac:dyDescent="0.7">
      <c r="E27" s="16">
        <f t="shared" ref="E27:M27" si="73">SUM(E5:E26)</f>
        <v>0</v>
      </c>
      <c r="F27" s="16">
        <f t="shared" si="73"/>
        <v>0</v>
      </c>
      <c r="G27" s="16">
        <f t="shared" si="73"/>
        <v>0</v>
      </c>
      <c r="H27" s="16">
        <f t="shared" si="73"/>
        <v>0</v>
      </c>
      <c r="I27" s="16">
        <f t="shared" si="73"/>
        <v>0</v>
      </c>
      <c r="J27" s="16">
        <f t="shared" si="73"/>
        <v>0</v>
      </c>
      <c r="K27" s="16">
        <f t="shared" si="73"/>
        <v>0</v>
      </c>
      <c r="L27" s="16">
        <f t="shared" si="73"/>
        <v>0</v>
      </c>
      <c r="M27" s="16">
        <f t="shared" si="73"/>
        <v>0</v>
      </c>
      <c r="N27" s="16">
        <f t="shared" ref="N27:BY27" si="74">SUM(N5:N26)</f>
        <v>0</v>
      </c>
      <c r="O27" s="16">
        <f t="shared" si="74"/>
        <v>0</v>
      </c>
      <c r="P27" s="16">
        <f t="shared" si="74"/>
        <v>0</v>
      </c>
      <c r="Q27" s="16">
        <f t="shared" si="74"/>
        <v>0</v>
      </c>
      <c r="R27" s="16">
        <f t="shared" si="74"/>
        <v>0</v>
      </c>
      <c r="S27" s="16">
        <f t="shared" si="74"/>
        <v>0</v>
      </c>
      <c r="T27" s="16">
        <f t="shared" si="74"/>
        <v>0</v>
      </c>
      <c r="U27" s="16">
        <f t="shared" si="74"/>
        <v>0</v>
      </c>
      <c r="V27" s="16">
        <f t="shared" si="74"/>
        <v>0</v>
      </c>
      <c r="W27" s="16">
        <f t="shared" si="74"/>
        <v>0</v>
      </c>
      <c r="X27" s="16">
        <f t="shared" si="74"/>
        <v>0</v>
      </c>
      <c r="Y27" s="16">
        <f t="shared" si="74"/>
        <v>1</v>
      </c>
      <c r="Z27" s="16">
        <f t="shared" si="74"/>
        <v>0</v>
      </c>
      <c r="AA27" s="16">
        <f t="shared" si="74"/>
        <v>0</v>
      </c>
      <c r="AB27" s="16">
        <f t="shared" si="74"/>
        <v>0</v>
      </c>
      <c r="AC27" s="16">
        <f t="shared" si="74"/>
        <v>0</v>
      </c>
      <c r="AD27" s="16">
        <f t="shared" si="74"/>
        <v>0</v>
      </c>
      <c r="AE27" s="16">
        <f t="shared" si="74"/>
        <v>1</v>
      </c>
      <c r="AF27" s="16">
        <f t="shared" si="74"/>
        <v>0</v>
      </c>
      <c r="AG27" s="16">
        <f t="shared" si="74"/>
        <v>0</v>
      </c>
      <c r="AH27" s="16">
        <f t="shared" si="74"/>
        <v>8</v>
      </c>
      <c r="AI27" s="16">
        <f t="shared" si="74"/>
        <v>0</v>
      </c>
      <c r="AJ27" s="16">
        <f t="shared" si="74"/>
        <v>0</v>
      </c>
      <c r="AK27" s="16">
        <f t="shared" si="74"/>
        <v>0</v>
      </c>
      <c r="AL27" s="16">
        <f t="shared" si="74"/>
        <v>0</v>
      </c>
      <c r="AM27" s="16">
        <f t="shared" si="74"/>
        <v>0</v>
      </c>
      <c r="AN27" s="16">
        <f t="shared" si="74"/>
        <v>8</v>
      </c>
      <c r="AO27" s="16">
        <f t="shared" si="74"/>
        <v>0</v>
      </c>
      <c r="AP27" s="16">
        <f t="shared" si="74"/>
        <v>0</v>
      </c>
      <c r="AQ27" s="16">
        <f t="shared" si="74"/>
        <v>14</v>
      </c>
      <c r="AR27" s="16">
        <f t="shared" si="74"/>
        <v>4</v>
      </c>
      <c r="AS27" s="16">
        <f t="shared" si="74"/>
        <v>0</v>
      </c>
      <c r="AT27" s="16">
        <f t="shared" si="74"/>
        <v>0</v>
      </c>
      <c r="AU27" s="16">
        <f t="shared" si="74"/>
        <v>5</v>
      </c>
      <c r="AV27" s="16">
        <f t="shared" si="74"/>
        <v>0</v>
      </c>
      <c r="AW27" s="16">
        <f t="shared" si="74"/>
        <v>23</v>
      </c>
      <c r="AX27" s="16">
        <f t="shared" si="74"/>
        <v>0</v>
      </c>
      <c r="AY27" s="16">
        <f t="shared" si="74"/>
        <v>0</v>
      </c>
      <c r="AZ27" s="16">
        <f t="shared" si="74"/>
        <v>29</v>
      </c>
      <c r="BA27" s="16">
        <f t="shared" si="74"/>
        <v>1</v>
      </c>
      <c r="BB27" s="16">
        <f t="shared" si="74"/>
        <v>0</v>
      </c>
      <c r="BC27" s="16">
        <f t="shared" si="74"/>
        <v>0</v>
      </c>
      <c r="BD27" s="16">
        <f t="shared" si="74"/>
        <v>7</v>
      </c>
      <c r="BE27" s="16">
        <f t="shared" si="74"/>
        <v>0</v>
      </c>
      <c r="BF27" s="16">
        <f t="shared" si="74"/>
        <v>37</v>
      </c>
      <c r="BG27" s="16">
        <f t="shared" si="74"/>
        <v>0</v>
      </c>
      <c r="BH27" s="16">
        <f t="shared" si="74"/>
        <v>0</v>
      </c>
      <c r="BI27" s="16">
        <f t="shared" si="74"/>
        <v>0</v>
      </c>
      <c r="BJ27" s="16">
        <f t="shared" si="74"/>
        <v>0</v>
      </c>
      <c r="BK27" s="16">
        <f t="shared" si="74"/>
        <v>0</v>
      </c>
      <c r="BL27" s="16">
        <f t="shared" si="74"/>
        <v>0</v>
      </c>
      <c r="BM27" s="16">
        <f t="shared" si="74"/>
        <v>0</v>
      </c>
      <c r="BN27" s="16">
        <f t="shared" si="74"/>
        <v>0</v>
      </c>
      <c r="BO27" s="16">
        <f t="shared" si="74"/>
        <v>0</v>
      </c>
      <c r="BP27" s="16">
        <f t="shared" si="74"/>
        <v>0</v>
      </c>
      <c r="BQ27" s="16">
        <f t="shared" si="74"/>
        <v>0</v>
      </c>
      <c r="BR27" s="16">
        <f t="shared" si="74"/>
        <v>24</v>
      </c>
      <c r="BS27" s="16">
        <f t="shared" si="74"/>
        <v>0</v>
      </c>
      <c r="BT27" s="16">
        <f t="shared" si="74"/>
        <v>0</v>
      </c>
      <c r="BU27" s="16">
        <f t="shared" si="74"/>
        <v>0</v>
      </c>
      <c r="BV27" s="16">
        <f t="shared" si="74"/>
        <v>0</v>
      </c>
      <c r="BW27" s="16">
        <f t="shared" si="74"/>
        <v>0</v>
      </c>
      <c r="BX27" s="16">
        <f t="shared" si="74"/>
        <v>24</v>
      </c>
      <c r="BY27" s="16">
        <f t="shared" si="74"/>
        <v>0</v>
      </c>
      <c r="BZ27" s="16">
        <f t="shared" ref="BZ27:EK27" si="75">SUM(BZ5:BZ26)</f>
        <v>0</v>
      </c>
      <c r="CA27" s="16">
        <f t="shared" si="75"/>
        <v>22</v>
      </c>
      <c r="CB27" s="16">
        <f t="shared" si="75"/>
        <v>7</v>
      </c>
      <c r="CC27" s="16">
        <f t="shared" si="75"/>
        <v>0</v>
      </c>
      <c r="CD27" s="16">
        <f t="shared" si="75"/>
        <v>7</v>
      </c>
      <c r="CE27" s="16">
        <f t="shared" si="75"/>
        <v>7</v>
      </c>
      <c r="CF27" s="16">
        <f t="shared" si="75"/>
        <v>1</v>
      </c>
      <c r="CG27" s="16">
        <f t="shared" si="75"/>
        <v>44</v>
      </c>
      <c r="CH27" s="16">
        <f t="shared" si="75"/>
        <v>0</v>
      </c>
      <c r="CI27" s="16">
        <f t="shared" si="75"/>
        <v>78</v>
      </c>
      <c r="CJ27" s="16">
        <f t="shared" si="75"/>
        <v>462</v>
      </c>
      <c r="CK27" s="16">
        <f t="shared" si="75"/>
        <v>26</v>
      </c>
      <c r="CL27" s="16">
        <f t="shared" si="75"/>
        <v>0</v>
      </c>
      <c r="CM27" s="16">
        <f t="shared" si="75"/>
        <v>0</v>
      </c>
      <c r="CN27" s="16">
        <f t="shared" si="75"/>
        <v>21</v>
      </c>
      <c r="CO27" s="16">
        <f t="shared" si="75"/>
        <v>0</v>
      </c>
      <c r="CP27" s="16">
        <f t="shared" si="75"/>
        <v>587</v>
      </c>
      <c r="CQ27" s="16">
        <f t="shared" si="75"/>
        <v>0</v>
      </c>
      <c r="CR27" s="16">
        <f t="shared" si="75"/>
        <v>0</v>
      </c>
      <c r="CS27" s="16">
        <f t="shared" si="75"/>
        <v>1</v>
      </c>
      <c r="CT27" s="16">
        <f t="shared" si="75"/>
        <v>0</v>
      </c>
      <c r="CU27" s="16">
        <f t="shared" si="75"/>
        <v>0</v>
      </c>
      <c r="CV27" s="16">
        <f t="shared" si="75"/>
        <v>0</v>
      </c>
      <c r="CW27" s="16">
        <f t="shared" si="75"/>
        <v>0</v>
      </c>
      <c r="CX27" s="16">
        <f t="shared" si="75"/>
        <v>0</v>
      </c>
      <c r="CY27" s="16">
        <f t="shared" si="75"/>
        <v>1</v>
      </c>
      <c r="CZ27" s="16">
        <f t="shared" si="75"/>
        <v>0</v>
      </c>
      <c r="DA27" s="16">
        <f t="shared" si="75"/>
        <v>0</v>
      </c>
      <c r="DB27" s="16">
        <f t="shared" si="75"/>
        <v>250</v>
      </c>
      <c r="DC27" s="16">
        <f t="shared" si="75"/>
        <v>0</v>
      </c>
      <c r="DD27" s="16">
        <f t="shared" si="75"/>
        <v>0</v>
      </c>
      <c r="DE27" s="16">
        <f t="shared" si="75"/>
        <v>0</v>
      </c>
      <c r="DF27" s="16">
        <f t="shared" si="75"/>
        <v>0</v>
      </c>
      <c r="DG27" s="16">
        <f t="shared" si="75"/>
        <v>0</v>
      </c>
      <c r="DH27" s="16">
        <f t="shared" si="75"/>
        <v>250</v>
      </c>
      <c r="DI27" s="16">
        <f t="shared" si="75"/>
        <v>0</v>
      </c>
      <c r="DJ27" s="16">
        <f t="shared" si="75"/>
        <v>0</v>
      </c>
      <c r="DK27" s="16">
        <f t="shared" si="75"/>
        <v>0</v>
      </c>
      <c r="DL27" s="16">
        <f t="shared" si="75"/>
        <v>0</v>
      </c>
      <c r="DM27" s="16">
        <f t="shared" si="75"/>
        <v>0</v>
      </c>
      <c r="DN27" s="16">
        <f t="shared" si="75"/>
        <v>0</v>
      </c>
      <c r="DO27" s="16">
        <f t="shared" si="75"/>
        <v>0</v>
      </c>
      <c r="DP27" s="16">
        <f t="shared" si="75"/>
        <v>0</v>
      </c>
      <c r="DQ27" s="16">
        <f t="shared" si="75"/>
        <v>0</v>
      </c>
      <c r="DR27" s="16">
        <f t="shared" si="75"/>
        <v>0</v>
      </c>
      <c r="DS27" s="16">
        <f t="shared" si="75"/>
        <v>21</v>
      </c>
      <c r="DT27" s="16">
        <f t="shared" si="75"/>
        <v>101</v>
      </c>
      <c r="DU27" s="16">
        <f t="shared" si="75"/>
        <v>0</v>
      </c>
      <c r="DV27" s="16">
        <f t="shared" si="75"/>
        <v>0</v>
      </c>
      <c r="DW27" s="16">
        <f t="shared" si="75"/>
        <v>0</v>
      </c>
      <c r="DX27" s="16">
        <f t="shared" si="75"/>
        <v>0</v>
      </c>
      <c r="DY27" s="16">
        <f t="shared" si="75"/>
        <v>0</v>
      </c>
      <c r="DZ27" s="16">
        <f t="shared" si="75"/>
        <v>122</v>
      </c>
      <c r="EA27" s="16">
        <f t="shared" si="75"/>
        <v>0</v>
      </c>
      <c r="EB27" s="16">
        <f t="shared" si="75"/>
        <v>26</v>
      </c>
      <c r="EC27" s="16">
        <f t="shared" si="75"/>
        <v>233</v>
      </c>
      <c r="ED27" s="16">
        <f t="shared" si="75"/>
        <v>0</v>
      </c>
      <c r="EE27" s="16">
        <f t="shared" si="75"/>
        <v>0</v>
      </c>
      <c r="EF27" s="16">
        <f t="shared" si="75"/>
        <v>0</v>
      </c>
      <c r="EG27" s="16">
        <f t="shared" si="75"/>
        <v>0</v>
      </c>
      <c r="EH27" s="16">
        <f t="shared" si="75"/>
        <v>0</v>
      </c>
      <c r="EI27" s="16">
        <f t="shared" si="75"/>
        <v>259</v>
      </c>
      <c r="EJ27" s="16">
        <f t="shared" si="75"/>
        <v>0</v>
      </c>
      <c r="EK27" s="16">
        <f t="shared" si="75"/>
        <v>130</v>
      </c>
      <c r="EL27" s="16">
        <f t="shared" ref="EL27:JQ27" si="76">SUM(EL5:EL26)</f>
        <v>772</v>
      </c>
      <c r="EM27" s="16">
        <f t="shared" si="76"/>
        <v>7</v>
      </c>
      <c r="EN27" s="16">
        <f t="shared" si="76"/>
        <v>0</v>
      </c>
      <c r="EO27" s="16">
        <f t="shared" si="76"/>
        <v>0</v>
      </c>
      <c r="EP27" s="16">
        <f t="shared" si="76"/>
        <v>0</v>
      </c>
      <c r="EQ27" s="16">
        <f t="shared" si="76"/>
        <v>0</v>
      </c>
      <c r="ER27" s="16">
        <f t="shared" si="76"/>
        <v>909</v>
      </c>
      <c r="ES27" s="16">
        <f t="shared" si="76"/>
        <v>0</v>
      </c>
      <c r="ET27" s="16">
        <f t="shared" si="76"/>
        <v>28</v>
      </c>
      <c r="EU27" s="16">
        <f t="shared" si="76"/>
        <v>0</v>
      </c>
      <c r="EV27" s="16">
        <f t="shared" si="76"/>
        <v>0</v>
      </c>
      <c r="EW27" s="16">
        <f t="shared" si="76"/>
        <v>0</v>
      </c>
      <c r="EX27" s="16">
        <f t="shared" si="76"/>
        <v>0</v>
      </c>
      <c r="EY27" s="16">
        <f t="shared" si="76"/>
        <v>0</v>
      </c>
      <c r="EZ27" s="16">
        <f t="shared" si="76"/>
        <v>0</v>
      </c>
      <c r="FA27" s="16">
        <f t="shared" si="76"/>
        <v>28</v>
      </c>
      <c r="FB27" s="16">
        <f t="shared" si="76"/>
        <v>0</v>
      </c>
      <c r="FC27" s="16">
        <f t="shared" si="76"/>
        <v>88</v>
      </c>
      <c r="FD27" s="16">
        <f t="shared" si="76"/>
        <v>256</v>
      </c>
      <c r="FE27" s="16">
        <f t="shared" si="76"/>
        <v>6</v>
      </c>
      <c r="FF27" s="16">
        <f t="shared" si="76"/>
        <v>0</v>
      </c>
      <c r="FG27" s="16">
        <f t="shared" si="76"/>
        <v>0</v>
      </c>
      <c r="FH27" s="16">
        <f t="shared" si="76"/>
        <v>0</v>
      </c>
      <c r="FI27" s="16">
        <f t="shared" si="76"/>
        <v>0</v>
      </c>
      <c r="FJ27" s="16">
        <f t="shared" si="76"/>
        <v>350</v>
      </c>
      <c r="FK27" s="16">
        <f t="shared" si="76"/>
        <v>0</v>
      </c>
      <c r="FL27" s="16">
        <f t="shared" si="76"/>
        <v>6</v>
      </c>
      <c r="FM27" s="16">
        <f t="shared" si="76"/>
        <v>0</v>
      </c>
      <c r="FN27" s="16">
        <f t="shared" si="76"/>
        <v>0</v>
      </c>
      <c r="FO27" s="16">
        <f t="shared" si="76"/>
        <v>0</v>
      </c>
      <c r="FP27" s="16">
        <f t="shared" si="76"/>
        <v>0</v>
      </c>
      <c r="FQ27" s="16">
        <f t="shared" si="76"/>
        <v>0</v>
      </c>
      <c r="FR27" s="16">
        <f t="shared" si="76"/>
        <v>0</v>
      </c>
      <c r="FS27" s="16">
        <f t="shared" si="76"/>
        <v>6</v>
      </c>
      <c r="FT27" s="16">
        <f t="shared" si="76"/>
        <v>0</v>
      </c>
      <c r="FU27" s="16">
        <f t="shared" si="76"/>
        <v>69</v>
      </c>
      <c r="FV27" s="16">
        <f t="shared" si="76"/>
        <v>270</v>
      </c>
      <c r="FW27" s="16">
        <f t="shared" si="76"/>
        <v>13</v>
      </c>
      <c r="FX27" s="16">
        <f t="shared" si="76"/>
        <v>0</v>
      </c>
      <c r="FY27" s="16">
        <f t="shared" si="76"/>
        <v>0</v>
      </c>
      <c r="FZ27" s="16">
        <f t="shared" si="76"/>
        <v>0</v>
      </c>
      <c r="GA27" s="16">
        <f t="shared" si="76"/>
        <v>0</v>
      </c>
      <c r="GB27" s="16">
        <f t="shared" si="76"/>
        <v>352</v>
      </c>
      <c r="GC27" s="113">
        <f t="shared" si="76"/>
        <v>0</v>
      </c>
      <c r="GD27" s="113">
        <f t="shared" si="76"/>
        <v>0</v>
      </c>
      <c r="GE27" s="113">
        <f t="shared" si="76"/>
        <v>1</v>
      </c>
      <c r="GF27" s="113">
        <f t="shared" si="76"/>
        <v>0</v>
      </c>
      <c r="GG27" s="113">
        <f t="shared" si="76"/>
        <v>0</v>
      </c>
      <c r="GH27" s="113">
        <f t="shared" si="76"/>
        <v>0</v>
      </c>
      <c r="GI27" s="113">
        <f t="shared" si="76"/>
        <v>0</v>
      </c>
      <c r="GJ27" s="113">
        <f t="shared" si="76"/>
        <v>0</v>
      </c>
      <c r="GK27" s="113">
        <f t="shared" si="76"/>
        <v>1</v>
      </c>
      <c r="GL27" s="113">
        <f t="shared" si="76"/>
        <v>0</v>
      </c>
      <c r="GM27" s="113">
        <f t="shared" si="76"/>
        <v>112</v>
      </c>
      <c r="GN27" s="113">
        <f t="shared" si="76"/>
        <v>382</v>
      </c>
      <c r="GO27" s="113">
        <f t="shared" si="76"/>
        <v>14</v>
      </c>
      <c r="GP27" s="113">
        <f t="shared" si="76"/>
        <v>0</v>
      </c>
      <c r="GQ27" s="113">
        <f t="shared" si="76"/>
        <v>0</v>
      </c>
      <c r="GR27" s="113">
        <f t="shared" si="76"/>
        <v>0</v>
      </c>
      <c r="GS27" s="113">
        <f t="shared" si="76"/>
        <v>0</v>
      </c>
      <c r="GT27" s="113">
        <f t="shared" si="76"/>
        <v>508</v>
      </c>
      <c r="GU27" s="113">
        <f t="shared" ref="GU27:HL27" si="77">SUM(GU5:GU26)</f>
        <v>0</v>
      </c>
      <c r="GV27" s="113">
        <f t="shared" si="77"/>
        <v>0</v>
      </c>
      <c r="GW27" s="113">
        <f t="shared" si="77"/>
        <v>0</v>
      </c>
      <c r="GX27" s="113">
        <f t="shared" si="77"/>
        <v>0</v>
      </c>
      <c r="GY27" s="113">
        <f t="shared" si="77"/>
        <v>0</v>
      </c>
      <c r="GZ27" s="113">
        <f t="shared" si="77"/>
        <v>0</v>
      </c>
      <c r="HA27" s="113">
        <f t="shared" si="77"/>
        <v>1</v>
      </c>
      <c r="HB27" s="113">
        <f t="shared" si="77"/>
        <v>0</v>
      </c>
      <c r="HC27" s="113">
        <f t="shared" si="77"/>
        <v>1</v>
      </c>
      <c r="HD27" s="113">
        <f t="shared" si="77"/>
        <v>1</v>
      </c>
      <c r="HE27" s="113">
        <f t="shared" si="77"/>
        <v>178</v>
      </c>
      <c r="HF27" s="113">
        <f t="shared" si="77"/>
        <v>248</v>
      </c>
      <c r="HG27" s="113">
        <f t="shared" si="77"/>
        <v>7</v>
      </c>
      <c r="HH27" s="113">
        <f t="shared" si="77"/>
        <v>0</v>
      </c>
      <c r="HI27" s="113">
        <f t="shared" si="77"/>
        <v>0</v>
      </c>
      <c r="HJ27" s="113">
        <f t="shared" si="77"/>
        <v>0</v>
      </c>
      <c r="HK27" s="113">
        <f t="shared" si="77"/>
        <v>0</v>
      </c>
      <c r="HL27" s="113">
        <f t="shared" si="77"/>
        <v>434</v>
      </c>
      <c r="HM27" s="113">
        <f t="shared" ref="HM27:ID27" si="78">SUM(HM5:HM26)</f>
        <v>0</v>
      </c>
      <c r="HN27" s="113">
        <f t="shared" si="78"/>
        <v>0</v>
      </c>
      <c r="HO27" s="113">
        <f t="shared" si="78"/>
        <v>33</v>
      </c>
      <c r="HP27" s="113">
        <f t="shared" si="78"/>
        <v>0</v>
      </c>
      <c r="HQ27" s="113">
        <f t="shared" si="78"/>
        <v>0</v>
      </c>
      <c r="HR27" s="113">
        <f t="shared" si="78"/>
        <v>0</v>
      </c>
      <c r="HS27" s="113">
        <f t="shared" si="78"/>
        <v>0</v>
      </c>
      <c r="HT27" s="113">
        <f t="shared" si="78"/>
        <v>0</v>
      </c>
      <c r="HU27" s="113">
        <f t="shared" si="78"/>
        <v>33</v>
      </c>
      <c r="HV27" s="113">
        <f t="shared" si="78"/>
        <v>0</v>
      </c>
      <c r="HW27" s="113">
        <f t="shared" si="78"/>
        <v>286</v>
      </c>
      <c r="HX27" s="113">
        <f t="shared" si="78"/>
        <v>355</v>
      </c>
      <c r="HY27" s="113">
        <f t="shared" si="78"/>
        <v>22</v>
      </c>
      <c r="HZ27" s="113">
        <f t="shared" si="78"/>
        <v>0</v>
      </c>
      <c r="IA27" s="113">
        <f t="shared" si="78"/>
        <v>0</v>
      </c>
      <c r="IB27" s="113">
        <f t="shared" si="78"/>
        <v>0</v>
      </c>
      <c r="IC27" s="113">
        <f t="shared" si="78"/>
        <v>0</v>
      </c>
      <c r="ID27" s="113">
        <f t="shared" si="78"/>
        <v>663</v>
      </c>
      <c r="IE27" s="113">
        <f t="shared" ref="IE27:IV27" si="79">SUM(IE5:IE26)</f>
        <v>0</v>
      </c>
      <c r="IF27" s="113">
        <f t="shared" si="79"/>
        <v>0</v>
      </c>
      <c r="IG27" s="113">
        <f t="shared" si="79"/>
        <v>227</v>
      </c>
      <c r="IH27" s="113">
        <f t="shared" si="79"/>
        <v>0</v>
      </c>
      <c r="II27" s="113">
        <f t="shared" si="79"/>
        <v>0</v>
      </c>
      <c r="IJ27" s="113">
        <f t="shared" si="79"/>
        <v>0</v>
      </c>
      <c r="IK27" s="113">
        <f t="shared" si="79"/>
        <v>0</v>
      </c>
      <c r="IL27" s="113">
        <f t="shared" si="79"/>
        <v>0</v>
      </c>
      <c r="IM27" s="113">
        <f t="shared" si="79"/>
        <v>227</v>
      </c>
      <c r="IN27" s="113">
        <f t="shared" si="79"/>
        <v>0</v>
      </c>
      <c r="IO27" s="113">
        <f t="shared" si="79"/>
        <v>235</v>
      </c>
      <c r="IP27" s="113">
        <f t="shared" si="79"/>
        <v>1152</v>
      </c>
      <c r="IQ27" s="113">
        <f t="shared" si="79"/>
        <v>0</v>
      </c>
      <c r="IR27" s="113">
        <f t="shared" si="79"/>
        <v>0</v>
      </c>
      <c r="IS27" s="113">
        <f t="shared" si="79"/>
        <v>0</v>
      </c>
      <c r="IT27" s="113">
        <f t="shared" si="79"/>
        <v>140</v>
      </c>
      <c r="IU27" s="113">
        <f t="shared" si="79"/>
        <v>0</v>
      </c>
      <c r="IV27" s="113">
        <f t="shared" si="79"/>
        <v>1527</v>
      </c>
      <c r="IW27" s="113">
        <f t="shared" ref="IW27:JN27" si="80">SUM(IW5:IW26)</f>
        <v>0</v>
      </c>
      <c r="IX27" s="113">
        <f t="shared" si="80"/>
        <v>0</v>
      </c>
      <c r="IY27" s="113">
        <f t="shared" si="80"/>
        <v>172</v>
      </c>
      <c r="IZ27" s="113">
        <f t="shared" si="80"/>
        <v>0</v>
      </c>
      <c r="JA27" s="113">
        <f t="shared" si="80"/>
        <v>0</v>
      </c>
      <c r="JB27" s="113">
        <f t="shared" si="80"/>
        <v>0</v>
      </c>
      <c r="JC27" s="113">
        <f t="shared" si="80"/>
        <v>0</v>
      </c>
      <c r="JD27" s="113">
        <f t="shared" si="80"/>
        <v>0</v>
      </c>
      <c r="JE27" s="113">
        <f t="shared" si="80"/>
        <v>172</v>
      </c>
      <c r="JF27" s="113"/>
      <c r="JG27" s="113"/>
      <c r="JH27" s="113"/>
      <c r="JI27" s="113"/>
      <c r="JJ27" s="113"/>
      <c r="JK27" s="113">
        <f t="shared" si="80"/>
        <v>0</v>
      </c>
      <c r="JL27" s="113">
        <f t="shared" si="80"/>
        <v>0</v>
      </c>
      <c r="JM27" s="113">
        <f t="shared" si="80"/>
        <v>0</v>
      </c>
      <c r="JN27" s="113">
        <f t="shared" si="80"/>
        <v>912</v>
      </c>
      <c r="JO27" s="16">
        <f t="shared" si="76"/>
        <v>796</v>
      </c>
      <c r="JP27" s="16">
        <f t="shared" si="76"/>
        <v>6683</v>
      </c>
      <c r="JQ27" s="16">
        <f t="shared" si="76"/>
        <v>7479</v>
      </c>
      <c r="JR27" s="16"/>
      <c r="JS27" s="15" t="str">
        <f>IF(ISBLANK(D27),"",(JO27+JP27)/D27)</f>
        <v/>
      </c>
    </row>
  </sheetData>
  <mergeCells count="156">
    <mergeCell ref="GU1:HL1"/>
    <mergeCell ref="GU2:HC2"/>
    <mergeCell ref="HD2:HL2"/>
    <mergeCell ref="GU3:GX3"/>
    <mergeCell ref="GY3:HB3"/>
    <mergeCell ref="HC3:HC4"/>
    <mergeCell ref="HD3:HG3"/>
    <mergeCell ref="HH3:HK3"/>
    <mergeCell ref="HL3:HL4"/>
    <mergeCell ref="B1:D3"/>
    <mergeCell ref="E6:JS6"/>
    <mergeCell ref="E7:JS7"/>
    <mergeCell ref="GC1:GT1"/>
    <mergeCell ref="GC2:GK2"/>
    <mergeCell ref="GL2:GT2"/>
    <mergeCell ref="GC3:GF3"/>
    <mergeCell ref="GG3:GJ3"/>
    <mergeCell ref="GK3:GK4"/>
    <mergeCell ref="GL3:GO3"/>
    <mergeCell ref="GP3:GS3"/>
    <mergeCell ref="GT3:GT4"/>
    <mergeCell ref="FK3:FN3"/>
    <mergeCell ref="FO3:FR3"/>
    <mergeCell ref="FS3:FS4"/>
    <mergeCell ref="FT3:FW3"/>
    <mergeCell ref="FX3:GA3"/>
    <mergeCell ref="GB3:GB4"/>
    <mergeCell ref="FK2:FS2"/>
    <mergeCell ref="FT2:GB2"/>
    <mergeCell ref="FK1:GB1"/>
    <mergeCell ref="EJ2:ER2"/>
    <mergeCell ref="ES2:FA2"/>
    <mergeCell ref="FB2:FJ2"/>
    <mergeCell ref="A1:A4"/>
    <mergeCell ref="E1:V1"/>
    <mergeCell ref="W1:AN1"/>
    <mergeCell ref="AO1:BF1"/>
    <mergeCell ref="BG1:BX1"/>
    <mergeCell ref="E3:H3"/>
    <mergeCell ref="I3:L3"/>
    <mergeCell ref="M3:M4"/>
    <mergeCell ref="N3:Q3"/>
    <mergeCell ref="V3:V4"/>
    <mergeCell ref="W3:Z3"/>
    <mergeCell ref="AA3:AD3"/>
    <mergeCell ref="AE3:AE4"/>
    <mergeCell ref="AF3:AI3"/>
    <mergeCell ref="AJ3:AM3"/>
    <mergeCell ref="AN3:AN4"/>
    <mergeCell ref="AO3:AR3"/>
    <mergeCell ref="AS3:AV3"/>
    <mergeCell ref="AW3:AW4"/>
    <mergeCell ref="AX3:BA3"/>
    <mergeCell ref="BB3:BE3"/>
    <mergeCell ref="BF3:BF4"/>
    <mergeCell ref="BG3:BJ3"/>
    <mergeCell ref="BK3:BN3"/>
    <mergeCell ref="JR1:JR4"/>
    <mergeCell ref="JS1:JS4"/>
    <mergeCell ref="E2:M2"/>
    <mergeCell ref="N2:V2"/>
    <mergeCell ref="W2:AE2"/>
    <mergeCell ref="AF2:AN2"/>
    <mergeCell ref="AO2:AW2"/>
    <mergeCell ref="AX2:BF2"/>
    <mergeCell ref="BG2:BO2"/>
    <mergeCell ref="BP2:BX2"/>
    <mergeCell ref="BY1:CP1"/>
    <mergeCell ref="CQ1:DH1"/>
    <mergeCell ref="DI1:DZ1"/>
    <mergeCell ref="EA1:ER1"/>
    <mergeCell ref="ES1:FJ1"/>
    <mergeCell ref="JO1:JQ3"/>
    <mergeCell ref="BY2:CG2"/>
    <mergeCell ref="CH2:CP2"/>
    <mergeCell ref="CQ2:CY2"/>
    <mergeCell ref="CZ2:DH2"/>
    <mergeCell ref="R3:U3"/>
    <mergeCell ref="DI2:DQ2"/>
    <mergeCell ref="DR2:DZ2"/>
    <mergeCell ref="EA2:EI2"/>
    <mergeCell ref="BO3:BO4"/>
    <mergeCell ref="BP3:BS3"/>
    <mergeCell ref="DR3:DU3"/>
    <mergeCell ref="CL3:CO3"/>
    <mergeCell ref="CP3:CP4"/>
    <mergeCell ref="CQ3:CT3"/>
    <mergeCell ref="CU3:CX3"/>
    <mergeCell ref="CY3:CY4"/>
    <mergeCell ref="CZ3:DC3"/>
    <mergeCell ref="BT3:BW3"/>
    <mergeCell ref="BX3:BX4"/>
    <mergeCell ref="BY3:CB3"/>
    <mergeCell ref="CC3:CF3"/>
    <mergeCell ref="CG3:CG4"/>
    <mergeCell ref="CH3:CK3"/>
    <mergeCell ref="DD3:DG3"/>
    <mergeCell ref="DH3:DH4"/>
    <mergeCell ref="DI3:DL3"/>
    <mergeCell ref="DM3:DP3"/>
    <mergeCell ref="DQ3:DQ4"/>
    <mergeCell ref="FF3:FI3"/>
    <mergeCell ref="FJ3:FJ4"/>
    <mergeCell ref="EN3:EQ3"/>
    <mergeCell ref="ER3:ER4"/>
    <mergeCell ref="ES3:EV3"/>
    <mergeCell ref="EW3:EZ3"/>
    <mergeCell ref="FA3:FA4"/>
    <mergeCell ref="FB3:FE3"/>
    <mergeCell ref="DV3:DY3"/>
    <mergeCell ref="DZ3:DZ4"/>
    <mergeCell ref="EA3:ED3"/>
    <mergeCell ref="EE3:EH3"/>
    <mergeCell ref="EI3:EI4"/>
    <mergeCell ref="EJ3:EM3"/>
    <mergeCell ref="JT8:JT9"/>
    <mergeCell ref="JU8:JU9"/>
    <mergeCell ref="A15:A20"/>
    <mergeCell ref="E22:JS22"/>
    <mergeCell ref="D8:D9"/>
    <mergeCell ref="JQ8:JQ9"/>
    <mergeCell ref="JR8:JR9"/>
    <mergeCell ref="JS8:JS9"/>
    <mergeCell ref="HD11:HK11"/>
    <mergeCell ref="HV11:IC11"/>
    <mergeCell ref="E14:JS14"/>
    <mergeCell ref="IN11:IU11"/>
    <mergeCell ref="JF11:JM11"/>
    <mergeCell ref="JF13:JM13"/>
    <mergeCell ref="HM1:ID1"/>
    <mergeCell ref="HM2:HU2"/>
    <mergeCell ref="HV2:ID2"/>
    <mergeCell ref="HM3:HP3"/>
    <mergeCell ref="HQ3:HT3"/>
    <mergeCell ref="HU3:HU4"/>
    <mergeCell ref="HV3:HY3"/>
    <mergeCell ref="HZ3:IC3"/>
    <mergeCell ref="ID3:ID4"/>
    <mergeCell ref="IE1:IV1"/>
    <mergeCell ref="IE2:IM2"/>
    <mergeCell ref="IN2:IV2"/>
    <mergeCell ref="IE3:IH3"/>
    <mergeCell ref="II3:IL3"/>
    <mergeCell ref="IM3:IM4"/>
    <mergeCell ref="IN3:IQ3"/>
    <mergeCell ref="IR3:IU3"/>
    <mergeCell ref="IV3:IV4"/>
    <mergeCell ref="IW1:JN1"/>
    <mergeCell ref="IW2:JE2"/>
    <mergeCell ref="JF2:JN2"/>
    <mergeCell ref="IW3:IZ3"/>
    <mergeCell ref="JA3:JD3"/>
    <mergeCell ref="JE3:JE4"/>
    <mergeCell ref="JF3:JI3"/>
    <mergeCell ref="JJ3:JM3"/>
    <mergeCell ref="JN3:JN4"/>
  </mergeCells>
  <conditionalFormatting sqref="JR5 JR15:JR21 JR23:JR26 JR8 JR10:JR13">
    <cfRule type="containsText" dxfId="0" priority="1" operator="containsText" text="N/A">
      <formula>NOT(ISERROR(SEARCH("N/A",JR5)))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Revised CP Activity tracker</vt:lpstr>
      <vt:lpstr>Revised GBV Activity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ANANDA Mutemi</dc:creator>
  <cp:keywords/>
  <dc:description/>
  <cp:lastModifiedBy>LENOVO</cp:lastModifiedBy>
  <cp:revision/>
  <dcterms:created xsi:type="dcterms:W3CDTF">2025-03-25T08:47:19Z</dcterms:created>
  <dcterms:modified xsi:type="dcterms:W3CDTF">2025-12-08T10:14:32Z</dcterms:modified>
  <cp:category/>
  <cp:contentStatus/>
</cp:coreProperties>
</file>