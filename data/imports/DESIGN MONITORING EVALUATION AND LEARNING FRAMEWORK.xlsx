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14"/>
  <workbookPr autoCompressPictures="0" defaultThemeVersion="124226"/>
  <mc:AlternateContent xmlns:mc="http://schemas.openxmlformats.org/markup-compatibility/2006">
    <mc:Choice Requires="x15">
      <x15ac:absPath xmlns:x15ac="http://schemas.microsoft.com/office/spreadsheetml/2010/11/ac" url="C:\Users\STEVEN\Documents\M&amp;E\"/>
    </mc:Choice>
  </mc:AlternateContent>
  <xr:revisionPtr revIDLastSave="0" documentId="8_{CF43E7C4-B2BB-4F48-B386-6812CDB5B5AA}" xr6:coauthVersionLast="47" xr6:coauthVersionMax="47" xr10:uidLastSave="{00000000-0000-0000-0000-000000000000}"/>
  <bookViews>
    <workbookView xWindow="-110" yWindow="-110" windowWidth="19420" windowHeight="10300" tabRatio="896" firstSheet="11" activeTab="16" xr2:uid="{00000000-000D-0000-FFFF-FFFF00000000}"/>
  </bookViews>
  <sheets>
    <sheet name="a. Problem Tree Documentation." sheetId="10" state="hidden" r:id="rId1"/>
    <sheet name="b. Problems to Objectives" sheetId="18" state="hidden" r:id="rId2"/>
    <sheet name="c. Results Framework" sheetId="8" state="hidden" r:id="rId3"/>
    <sheet name="d. LogFrame" sheetId="3" state="hidden" r:id="rId4"/>
    <sheet name="Detail M&amp;E Plan Instructions" sheetId="19" r:id="rId5"/>
    <sheet name="M&amp;E Matrix Description" sheetId="20" r:id="rId6"/>
    <sheet name="M&amp;E Matrix Cheat Sheet" sheetId="21" r:id="rId7"/>
    <sheet name="M&amp;E Matrix Example " sheetId="22" r:id="rId8"/>
    <sheet name="M&amp;E Matrix" sheetId="23" r:id="rId9"/>
    <sheet name="Baseline Table Description" sheetId="24" r:id="rId10"/>
    <sheet name="Baseline Table Cheat Sheet" sheetId="25" r:id="rId11"/>
    <sheet name="Baseline Table" sheetId="26" r:id="rId12"/>
    <sheet name="ITT Description" sheetId="27" r:id="rId13"/>
    <sheet name="ITT&quot;RESULTS Livelihoods&quot; Year 1" sheetId="31" r:id="rId14"/>
    <sheet name="Workplan" sheetId="6" r:id="rId15"/>
    <sheet name="ATT Description" sheetId="29" r:id="rId16"/>
    <sheet name="ATT &quot;RESULTS Livelihoods&quot;Year 1" sheetId="30" r:id="rId17"/>
  </sheets>
  <definedNames>
    <definedName name="_xlnm.Print_Area" localSheetId="0">'a. Problem Tree Documentation.'!$A$4:$N$32</definedName>
    <definedName name="_xlnm.Print_Area" localSheetId="1">'b. Problems to Objectives'!$A$2:$E$17</definedName>
    <definedName name="_xlnm.Print_Area" localSheetId="2">'c. Results Framework'!$A$2:$J$19</definedName>
    <definedName name="_xlnm.Print_Area" localSheetId="3">'d. LogFrame'!$A$1:$H$37</definedName>
    <definedName name="_xlnm.Print_Area" localSheetId="14">Workplan!$A$1:$AE$57</definedName>
    <definedName name="Z_ABB2EBC0_75A8_4650_B9C7_648A0C330DEA_.wvu.PrintArea" localSheetId="3" hidden="1">'d. LogFrame'!$A$2:$H$29</definedName>
  </definedNames>
  <calcPr calcId="191029"/>
  <customWorkbookViews>
    <customWorkbookView name="Jindra Cekan - Personal View" guid="{5B43930B-94B3-E14E-81EE-7E8A625CA6DA}" mergeInterval="0" personalView="1" yWindow="87" windowWidth="1246" windowHeight="696" activeSheetId="3" showFormulaBar="0"/>
    <customWorkbookView name="tjose@earo.crs.org - Personal View" guid="{ABB2EBC0-75A8-4650-B9C7-648A0C330DEA}" mergeInterval="0" personalView="1" maximized="1" xWindow="1" yWindow="1" windowWidth="1362" windowHeight="538" activeSheetId="3"/>
    <customWorkbookView name="Robert Delve - Personal View" guid="{0B355C98-F093-4F26-9D41-2F5DE1271F90}" mergeInterval="0" personalView="1" maximized="1" xWindow="1" yWindow="1" windowWidth="1276" windowHeight="799" activeSheetId="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P42" i="30" l="1"/>
  <c r="P41" i="30"/>
  <c r="P39" i="30"/>
  <c r="P40" i="30"/>
  <c r="P38" i="30"/>
  <c r="L34" i="30"/>
  <c r="L35" i="30"/>
  <c r="L36" i="30"/>
  <c r="I34" i="30"/>
  <c r="I35" i="30"/>
  <c r="I36" i="30"/>
  <c r="F34" i="30"/>
  <c r="F35" i="30"/>
  <c r="F36" i="30"/>
  <c r="R36" i="30"/>
  <c r="P35" i="30"/>
  <c r="S35" i="30" s="1"/>
  <c r="U35" i="30" s="1"/>
  <c r="P36" i="30"/>
  <c r="S36" i="30" s="1"/>
  <c r="U36" i="30" s="1"/>
  <c r="O35" i="30"/>
  <c r="O36" i="30"/>
  <c r="P30" i="30"/>
  <c r="R30" i="30" s="1"/>
  <c r="P31" i="30"/>
  <c r="R31" i="30" s="1"/>
  <c r="O31" i="30"/>
  <c r="O30" i="30"/>
  <c r="L31" i="30"/>
  <c r="L30" i="30"/>
  <c r="I31" i="30"/>
  <c r="I30" i="30"/>
  <c r="F31" i="30"/>
  <c r="F30" i="30"/>
  <c r="R35" i="30" l="1"/>
  <c r="S31" i="30"/>
  <c r="U31" i="30" s="1"/>
  <c r="S30" i="30"/>
  <c r="U30" i="30" s="1"/>
  <c r="P28" i="30"/>
  <c r="S28" i="30" s="1"/>
  <c r="U28" i="30" s="1"/>
  <c r="P29" i="30"/>
  <c r="S29" i="30" s="1"/>
  <c r="U29" i="30" s="1"/>
  <c r="O28" i="30"/>
  <c r="O29" i="30"/>
  <c r="L28" i="30"/>
  <c r="L29" i="30"/>
  <c r="I28" i="30"/>
  <c r="I29" i="30"/>
  <c r="F29" i="30"/>
  <c r="F28" i="30"/>
  <c r="P26" i="30"/>
  <c r="P24" i="30"/>
  <c r="S24" i="30" s="1"/>
  <c r="U24" i="30" s="1"/>
  <c r="O24" i="30"/>
  <c r="L24" i="30"/>
  <c r="I24" i="30"/>
  <c r="F24" i="30"/>
  <c r="A21" i="30"/>
  <c r="A20" i="30"/>
  <c r="V46" i="31"/>
  <c r="V45" i="31"/>
  <c r="U45" i="31"/>
  <c r="W45" i="31" s="1"/>
  <c r="U46" i="31"/>
  <c r="W46" i="31" s="1"/>
  <c r="T45" i="31"/>
  <c r="T46" i="31"/>
  <c r="S44" i="31"/>
  <c r="T44" i="31" s="1"/>
  <c r="S45" i="31"/>
  <c r="S46" i="31"/>
  <c r="R44" i="31"/>
  <c r="U44" i="31" s="1"/>
  <c r="R45" i="31"/>
  <c r="R46" i="31"/>
  <c r="Q44" i="31"/>
  <c r="Q45" i="31"/>
  <c r="Q46" i="31"/>
  <c r="N44" i="31"/>
  <c r="N45" i="31"/>
  <c r="N46" i="31"/>
  <c r="K44" i="31"/>
  <c r="K45" i="31"/>
  <c r="K46" i="31"/>
  <c r="H45" i="31"/>
  <c r="H46" i="31"/>
  <c r="H44" i="31"/>
  <c r="C23" i="26"/>
  <c r="B23" i="26"/>
  <c r="A23" i="26"/>
  <c r="A44" i="31" s="1"/>
  <c r="P12" i="30"/>
  <c r="S12" i="30" s="1"/>
  <c r="S18" i="30"/>
  <c r="U18" i="30" s="1"/>
  <c r="R18" i="30"/>
  <c r="P18" i="30"/>
  <c r="O18" i="30"/>
  <c r="P17" i="30"/>
  <c r="P16" i="30"/>
  <c r="A36" i="30"/>
  <c r="A35" i="30"/>
  <c r="A34" i="30"/>
  <c r="A33" i="30"/>
  <c r="A31" i="30"/>
  <c r="A27" i="30"/>
  <c r="A28" i="30"/>
  <c r="A29" i="30"/>
  <c r="A30" i="30"/>
  <c r="A26" i="30"/>
  <c r="A39" i="30"/>
  <c r="A40" i="30"/>
  <c r="A41" i="30"/>
  <c r="A42" i="30"/>
  <c r="A38" i="30"/>
  <c r="A24" i="30"/>
  <c r="A23" i="30"/>
  <c r="A10" i="30"/>
  <c r="R29" i="30" l="1"/>
  <c r="V44" i="31"/>
  <c r="W44" i="31" s="1"/>
  <c r="R28" i="30"/>
  <c r="R24" i="30"/>
  <c r="B25" i="6"/>
  <c r="B14" i="6"/>
  <c r="A18" i="26"/>
  <c r="A15" i="30" s="1"/>
  <c r="W16" i="31"/>
  <c r="W17" i="31"/>
  <c r="W18" i="31"/>
  <c r="V16" i="31"/>
  <c r="V17" i="31"/>
  <c r="V18" i="31"/>
  <c r="V19" i="31"/>
  <c r="V20" i="31"/>
  <c r="V21" i="31"/>
  <c r="W87" i="31"/>
  <c r="W88" i="31"/>
  <c r="U87" i="31"/>
  <c r="U88" i="31"/>
  <c r="T87" i="31"/>
  <c r="T88" i="31"/>
  <c r="S86" i="31"/>
  <c r="V86" i="31" s="1"/>
  <c r="S87" i="31"/>
  <c r="V87" i="31" s="1"/>
  <c r="S88" i="31"/>
  <c r="V88" i="31" s="1"/>
  <c r="R86" i="31"/>
  <c r="U86" i="31" s="1"/>
  <c r="R87" i="31"/>
  <c r="R88" i="31"/>
  <c r="Q86" i="31"/>
  <c r="Q87" i="31"/>
  <c r="Q88" i="31"/>
  <c r="N86" i="31"/>
  <c r="N87" i="31"/>
  <c r="N88" i="31"/>
  <c r="K86" i="31"/>
  <c r="K87" i="31"/>
  <c r="K88" i="31"/>
  <c r="H86" i="31"/>
  <c r="H87" i="31"/>
  <c r="H88" i="31"/>
  <c r="V83" i="31"/>
  <c r="V84" i="31"/>
  <c r="U83" i="31"/>
  <c r="W83" i="31" s="1"/>
  <c r="U84" i="31"/>
  <c r="W84" i="31" s="1"/>
  <c r="U85" i="31"/>
  <c r="S83" i="31"/>
  <c r="S84" i="31"/>
  <c r="S85" i="31"/>
  <c r="V85" i="31" s="1"/>
  <c r="R83" i="31"/>
  <c r="T83" i="31" s="1"/>
  <c r="R84" i="31"/>
  <c r="T84" i="31" s="1"/>
  <c r="R85" i="31"/>
  <c r="T85" i="31" s="1"/>
  <c r="Q83" i="31"/>
  <c r="Q84" i="31"/>
  <c r="Q85" i="31"/>
  <c r="N83" i="31"/>
  <c r="N84" i="31"/>
  <c r="N85" i="31"/>
  <c r="K83" i="31"/>
  <c r="K84" i="31"/>
  <c r="K85" i="31"/>
  <c r="H83" i="31"/>
  <c r="H84" i="31"/>
  <c r="H85" i="31"/>
  <c r="U77" i="31"/>
  <c r="U78" i="31"/>
  <c r="S76" i="31"/>
  <c r="V76" i="31" s="1"/>
  <c r="S77" i="31"/>
  <c r="V77" i="31" s="1"/>
  <c r="W77" i="31" s="1"/>
  <c r="S78" i="31"/>
  <c r="V78" i="31" s="1"/>
  <c r="W78" i="31" s="1"/>
  <c r="R76" i="31"/>
  <c r="U76" i="31" s="1"/>
  <c r="W76" i="31" s="1"/>
  <c r="R77" i="31"/>
  <c r="R78" i="31"/>
  <c r="Q76" i="31"/>
  <c r="Q77" i="31"/>
  <c r="Q78" i="31"/>
  <c r="N76" i="31"/>
  <c r="N77" i="31"/>
  <c r="N78" i="31"/>
  <c r="K76" i="31"/>
  <c r="K77" i="31"/>
  <c r="K78" i="31"/>
  <c r="H76" i="31"/>
  <c r="H77" i="31"/>
  <c r="H78" i="31"/>
  <c r="V73" i="31"/>
  <c r="V74" i="31"/>
  <c r="V75" i="31"/>
  <c r="U73" i="31"/>
  <c r="W73" i="31" s="1"/>
  <c r="U74" i="31"/>
  <c r="W74" i="31" s="1"/>
  <c r="U75" i="31"/>
  <c r="W75" i="31" s="1"/>
  <c r="S73" i="31"/>
  <c r="S74" i="31"/>
  <c r="S75" i="31"/>
  <c r="R73" i="31"/>
  <c r="T73" i="31" s="1"/>
  <c r="R74" i="31"/>
  <c r="T74" i="31" s="1"/>
  <c r="R75" i="31"/>
  <c r="T75" i="31" s="1"/>
  <c r="Q73" i="31"/>
  <c r="Q74" i="31"/>
  <c r="Q75" i="31"/>
  <c r="N73" i="31"/>
  <c r="N74" i="31"/>
  <c r="N75" i="31"/>
  <c r="K73" i="31"/>
  <c r="K74" i="31"/>
  <c r="K75" i="31"/>
  <c r="H73" i="31"/>
  <c r="H74" i="31"/>
  <c r="H75" i="31"/>
  <c r="W67" i="31"/>
  <c r="U67" i="31"/>
  <c r="U68" i="31"/>
  <c r="T67" i="31"/>
  <c r="S66" i="31"/>
  <c r="V66" i="31" s="1"/>
  <c r="S67" i="31"/>
  <c r="V67" i="31" s="1"/>
  <c r="S68" i="31"/>
  <c r="V68" i="31" s="1"/>
  <c r="W68" i="31" s="1"/>
  <c r="R66" i="31"/>
  <c r="U66" i="31" s="1"/>
  <c r="W66" i="31" s="1"/>
  <c r="R67" i="31"/>
  <c r="R68" i="31"/>
  <c r="Q66" i="31"/>
  <c r="Q67" i="31"/>
  <c r="Q68" i="31"/>
  <c r="N63" i="31"/>
  <c r="N64" i="31"/>
  <c r="N65" i="31"/>
  <c r="N66" i="31"/>
  <c r="N67" i="31"/>
  <c r="N68" i="31"/>
  <c r="K66" i="31"/>
  <c r="K67" i="31"/>
  <c r="K68" i="31"/>
  <c r="H67" i="31"/>
  <c r="H68" i="31"/>
  <c r="H66" i="31"/>
  <c r="H64" i="31"/>
  <c r="H65" i="31"/>
  <c r="W65" i="31"/>
  <c r="V63" i="31"/>
  <c r="W63" i="31" s="1"/>
  <c r="U63" i="31"/>
  <c r="U65" i="31"/>
  <c r="T65" i="31"/>
  <c r="S63" i="31"/>
  <c r="T63" i="31" s="1"/>
  <c r="S64" i="31"/>
  <c r="V64" i="31" s="1"/>
  <c r="S65" i="31"/>
  <c r="V65" i="31" s="1"/>
  <c r="R64" i="31"/>
  <c r="U64" i="31" s="1"/>
  <c r="W64" i="31" s="1"/>
  <c r="R65" i="31"/>
  <c r="R63" i="31"/>
  <c r="Q63" i="31"/>
  <c r="Q64" i="31"/>
  <c r="Q65" i="31"/>
  <c r="K63" i="31"/>
  <c r="K64" i="31"/>
  <c r="K65" i="31"/>
  <c r="H63" i="31"/>
  <c r="V51" i="31"/>
  <c r="U51" i="31"/>
  <c r="W51" i="31" s="1"/>
  <c r="U52" i="31"/>
  <c r="S51" i="31"/>
  <c r="S52" i="31"/>
  <c r="V52" i="31" s="1"/>
  <c r="S53" i="31"/>
  <c r="V53" i="31" s="1"/>
  <c r="R51" i="31"/>
  <c r="T51" i="31" s="1"/>
  <c r="R52" i="31"/>
  <c r="T52" i="31" s="1"/>
  <c r="R53" i="31"/>
  <c r="T53" i="31" s="1"/>
  <c r="Q51" i="31"/>
  <c r="Q52" i="31"/>
  <c r="Q53" i="31"/>
  <c r="N51" i="31"/>
  <c r="N52" i="31"/>
  <c r="N53" i="31"/>
  <c r="K51" i="31"/>
  <c r="K52" i="31"/>
  <c r="K53" i="31"/>
  <c r="H51" i="31"/>
  <c r="H52" i="31"/>
  <c r="H53" i="31"/>
  <c r="V38" i="31"/>
  <c r="V39" i="31"/>
  <c r="U39" i="31"/>
  <c r="W39" i="31" s="1"/>
  <c r="T39" i="31"/>
  <c r="S37" i="31"/>
  <c r="V37" i="31" s="1"/>
  <c r="S38" i="31"/>
  <c r="S39" i="31"/>
  <c r="R37" i="31"/>
  <c r="T37" i="31" s="1"/>
  <c r="R38" i="31"/>
  <c r="T38" i="31" s="1"/>
  <c r="R39" i="31"/>
  <c r="Q37" i="31"/>
  <c r="Q38" i="31"/>
  <c r="Q39" i="31"/>
  <c r="N39" i="31"/>
  <c r="N37" i="31"/>
  <c r="N38" i="31"/>
  <c r="K37" i="31"/>
  <c r="K38" i="31"/>
  <c r="K39" i="31"/>
  <c r="H37" i="31"/>
  <c r="H38" i="31"/>
  <c r="H39" i="31"/>
  <c r="N19" i="31"/>
  <c r="N20" i="31"/>
  <c r="N21" i="31"/>
  <c r="K19" i="31"/>
  <c r="K20" i="31"/>
  <c r="K21" i="31"/>
  <c r="H19" i="31"/>
  <c r="H20" i="31"/>
  <c r="H21" i="31"/>
  <c r="U19" i="31"/>
  <c r="W19" i="31" s="1"/>
  <c r="U20" i="31"/>
  <c r="W20" i="31" s="1"/>
  <c r="U21" i="31"/>
  <c r="W21" i="31" s="1"/>
  <c r="S19" i="31"/>
  <c r="S20" i="31"/>
  <c r="T20" i="31" s="1"/>
  <c r="S21" i="31"/>
  <c r="T21" i="31" s="1"/>
  <c r="R19" i="31"/>
  <c r="T19" i="31" s="1"/>
  <c r="R20" i="31"/>
  <c r="R21" i="31"/>
  <c r="U16" i="31"/>
  <c r="U17" i="31"/>
  <c r="U18" i="31"/>
  <c r="S16" i="31"/>
  <c r="S17" i="31"/>
  <c r="S18" i="31"/>
  <c r="Q16" i="31"/>
  <c r="Q17" i="31"/>
  <c r="Q18" i="31"/>
  <c r="N16" i="31"/>
  <c r="N17" i="31"/>
  <c r="N18" i="31"/>
  <c r="H16" i="31"/>
  <c r="H17" i="31"/>
  <c r="H18" i="31"/>
  <c r="K16" i="31"/>
  <c r="K17" i="31"/>
  <c r="K18" i="31"/>
  <c r="R16" i="31"/>
  <c r="T16" i="31" s="1"/>
  <c r="R17" i="31"/>
  <c r="T17" i="31" s="1"/>
  <c r="R18" i="31"/>
  <c r="D56" i="31"/>
  <c r="D19" i="31"/>
  <c r="D16" i="31"/>
  <c r="D13" i="31"/>
  <c r="C13" i="31"/>
  <c r="C16" i="31" s="1"/>
  <c r="C19" i="31" s="1"/>
  <c r="C23" i="31" s="1"/>
  <c r="C26" i="31" s="1"/>
  <c r="C30" i="31" s="1"/>
  <c r="C34" i="31" s="1"/>
  <c r="C37" i="31" s="1"/>
  <c r="C41" i="31" s="1"/>
  <c r="C40" i="26"/>
  <c r="C41" i="26"/>
  <c r="C39" i="26"/>
  <c r="B40" i="26"/>
  <c r="B41" i="26"/>
  <c r="A41" i="26"/>
  <c r="A86" i="31" s="1"/>
  <c r="A40" i="26"/>
  <c r="A83" i="31" s="1"/>
  <c r="C32" i="26"/>
  <c r="C33" i="26"/>
  <c r="B31" i="26"/>
  <c r="B32" i="26"/>
  <c r="B33" i="26"/>
  <c r="A33" i="26"/>
  <c r="A66" i="31" s="1"/>
  <c r="A32" i="26"/>
  <c r="A63" i="31" s="1"/>
  <c r="C37" i="26"/>
  <c r="C36" i="26"/>
  <c r="B36" i="26"/>
  <c r="B37" i="26"/>
  <c r="A37" i="26"/>
  <c r="A76" i="31" s="1"/>
  <c r="A36" i="26"/>
  <c r="A73" i="31" s="1"/>
  <c r="B35" i="26"/>
  <c r="C35" i="26"/>
  <c r="B26" i="26"/>
  <c r="C26" i="26"/>
  <c r="A26" i="26"/>
  <c r="A51" i="31" s="1"/>
  <c r="B25" i="26"/>
  <c r="C25" i="26"/>
  <c r="A25" i="26"/>
  <c r="A48" i="31" s="1"/>
  <c r="B22" i="26"/>
  <c r="C22" i="26"/>
  <c r="A22" i="26"/>
  <c r="A41" i="31" s="1"/>
  <c r="B20" i="26"/>
  <c r="C20" i="26"/>
  <c r="A20" i="26"/>
  <c r="A37" i="31" s="1"/>
  <c r="A24" i="26"/>
  <c r="A22" i="30" s="1"/>
  <c r="A21" i="26"/>
  <c r="A40" i="31" s="1"/>
  <c r="B12" i="26"/>
  <c r="C12" i="26"/>
  <c r="A12" i="26"/>
  <c r="A19" i="31" s="1"/>
  <c r="W85" i="31" l="1"/>
  <c r="W86" i="31"/>
  <c r="T68" i="31"/>
  <c r="T78" i="31"/>
  <c r="T77" i="31"/>
  <c r="T66" i="31"/>
  <c r="T76" i="31"/>
  <c r="T86" i="31"/>
  <c r="T64" i="31"/>
  <c r="T18" i="31"/>
  <c r="C48" i="31"/>
  <c r="C51" i="31" s="1"/>
  <c r="C56" i="31" s="1"/>
  <c r="C60" i="31" s="1"/>
  <c r="C63" i="31" s="1"/>
  <c r="C66" i="31" s="1"/>
  <c r="C70" i="31" s="1"/>
  <c r="C73" i="31" s="1"/>
  <c r="C76" i="31" s="1"/>
  <c r="C80" i="31" s="1"/>
  <c r="C83" i="31" s="1"/>
  <c r="C86" i="31" s="1"/>
  <c r="C44" i="31"/>
  <c r="A47" i="31"/>
  <c r="A19" i="30"/>
  <c r="W52" i="31"/>
  <c r="U38" i="31"/>
  <c r="W38" i="31" s="1"/>
  <c r="U37" i="31"/>
  <c r="W37" i="31" s="1"/>
  <c r="U53" i="31"/>
  <c r="W53" i="31" s="1"/>
  <c r="C11" i="26" l="1"/>
  <c r="B11" i="26"/>
  <c r="A11" i="26"/>
  <c r="A16" i="31" s="1"/>
  <c r="R48" i="31"/>
  <c r="S48" i="31"/>
  <c r="R49" i="31"/>
  <c r="S49" i="31"/>
  <c r="R50" i="31"/>
  <c r="S50" i="31"/>
  <c r="R13" i="31"/>
  <c r="S13" i="31"/>
  <c r="R14" i="31"/>
  <c r="S14" i="31"/>
  <c r="R15" i="31"/>
  <c r="S15" i="31"/>
  <c r="U13" i="31"/>
  <c r="V13" i="31"/>
  <c r="U14" i="31"/>
  <c r="V14" i="31"/>
  <c r="U15" i="31"/>
  <c r="V15" i="31"/>
  <c r="R23" i="31"/>
  <c r="S23" i="31"/>
  <c r="R24" i="31"/>
  <c r="S24" i="31"/>
  <c r="R25" i="31"/>
  <c r="S25" i="31"/>
  <c r="R26" i="31"/>
  <c r="S26" i="31"/>
  <c r="R27" i="31"/>
  <c r="S27" i="31"/>
  <c r="R28" i="31"/>
  <c r="S28" i="31"/>
  <c r="R30" i="31"/>
  <c r="S30" i="31"/>
  <c r="R31" i="31"/>
  <c r="S31" i="31"/>
  <c r="R32" i="31"/>
  <c r="S32" i="31"/>
  <c r="R34" i="31"/>
  <c r="S34" i="31"/>
  <c r="R35" i="31"/>
  <c r="S35" i="31"/>
  <c r="R36" i="31"/>
  <c r="S36" i="31"/>
  <c r="S81" i="31" l="1"/>
  <c r="S82" i="31"/>
  <c r="S80" i="31"/>
  <c r="N34" i="31"/>
  <c r="P14" i="30"/>
  <c r="L14" i="30"/>
  <c r="A13" i="31"/>
  <c r="V82" i="31" l="1"/>
  <c r="V81" i="31"/>
  <c r="V80" i="31"/>
  <c r="A12" i="31"/>
  <c r="U25" i="31" l="1"/>
  <c r="U26" i="31"/>
  <c r="U27" i="31"/>
  <c r="U28" i="31"/>
  <c r="U24" i="31"/>
  <c r="V23" i="31"/>
  <c r="U23" i="31"/>
  <c r="S42" i="30" l="1"/>
  <c r="Q42" i="30"/>
  <c r="T42" i="30" s="1"/>
  <c r="O42" i="30"/>
  <c r="L42" i="30"/>
  <c r="I42" i="30"/>
  <c r="F42" i="30"/>
  <c r="S41" i="30"/>
  <c r="Q41" i="30"/>
  <c r="T41" i="30" s="1"/>
  <c r="O41" i="30"/>
  <c r="L41" i="30"/>
  <c r="I41" i="30"/>
  <c r="F41" i="30"/>
  <c r="S40" i="30"/>
  <c r="Q40" i="30"/>
  <c r="T40" i="30" s="1"/>
  <c r="O40" i="30"/>
  <c r="L40" i="30"/>
  <c r="I40" i="30"/>
  <c r="F40" i="30"/>
  <c r="S39" i="30"/>
  <c r="Q39" i="30"/>
  <c r="T39" i="30" s="1"/>
  <c r="O39" i="30"/>
  <c r="L39" i="30"/>
  <c r="I39" i="30"/>
  <c r="F39" i="30"/>
  <c r="S38" i="30"/>
  <c r="Q38" i="30"/>
  <c r="T38" i="30" s="1"/>
  <c r="O38" i="30"/>
  <c r="L38" i="30"/>
  <c r="I38" i="30"/>
  <c r="F38" i="30"/>
  <c r="P23" i="30"/>
  <c r="S23" i="30" s="1"/>
  <c r="O23" i="30"/>
  <c r="L23" i="30"/>
  <c r="I23" i="30"/>
  <c r="F23" i="30"/>
  <c r="P21" i="30"/>
  <c r="O21" i="30"/>
  <c r="L21" i="30"/>
  <c r="I21" i="30"/>
  <c r="F21" i="30"/>
  <c r="P20" i="30"/>
  <c r="S20" i="30" s="1"/>
  <c r="O20" i="30"/>
  <c r="L20" i="30"/>
  <c r="I20" i="30"/>
  <c r="F20" i="30"/>
  <c r="A80" i="31"/>
  <c r="A79" i="31"/>
  <c r="A70" i="31"/>
  <c r="A69" i="31"/>
  <c r="H70" i="31"/>
  <c r="K70" i="31"/>
  <c r="N70" i="31"/>
  <c r="Q70" i="31"/>
  <c r="R70" i="31"/>
  <c r="S70" i="31"/>
  <c r="V70" i="31" s="1"/>
  <c r="A60" i="31"/>
  <c r="A59" i="31"/>
  <c r="S62" i="31"/>
  <c r="V62" i="31" s="1"/>
  <c r="R62" i="31"/>
  <c r="Q62" i="31"/>
  <c r="N62" i="31"/>
  <c r="K62" i="31"/>
  <c r="H62" i="31"/>
  <c r="S61" i="31"/>
  <c r="V61" i="31" s="1"/>
  <c r="R61" i="31"/>
  <c r="U61" i="31" s="1"/>
  <c r="W61" i="31" s="1"/>
  <c r="Q61" i="31"/>
  <c r="N61" i="31"/>
  <c r="K61" i="31"/>
  <c r="H61" i="31"/>
  <c r="S60" i="31"/>
  <c r="V60" i="31" s="1"/>
  <c r="R60" i="31"/>
  <c r="Q60" i="31"/>
  <c r="N60" i="31"/>
  <c r="K60" i="31"/>
  <c r="H60" i="31"/>
  <c r="A56" i="31"/>
  <c r="R82" i="31"/>
  <c r="Q82" i="31"/>
  <c r="N82" i="31"/>
  <c r="K82" i="31"/>
  <c r="H82" i="31"/>
  <c r="R81" i="31"/>
  <c r="Q81" i="31"/>
  <c r="N81" i="31"/>
  <c r="K81" i="31"/>
  <c r="H81" i="31"/>
  <c r="R80" i="31"/>
  <c r="Q80" i="31"/>
  <c r="N80" i="31"/>
  <c r="K80" i="31"/>
  <c r="H80" i="31"/>
  <c r="S72" i="31"/>
  <c r="V72" i="31" s="1"/>
  <c r="R72" i="31"/>
  <c r="Q72" i="31"/>
  <c r="N72" i="31"/>
  <c r="K72" i="31"/>
  <c r="H72" i="31"/>
  <c r="S71" i="31"/>
  <c r="V71" i="31" s="1"/>
  <c r="R71" i="31"/>
  <c r="Q71" i="31"/>
  <c r="N71" i="31"/>
  <c r="K71" i="31"/>
  <c r="H71" i="31"/>
  <c r="V50" i="31"/>
  <c r="V49" i="31"/>
  <c r="V48" i="31"/>
  <c r="S43" i="31"/>
  <c r="V43" i="31" s="1"/>
  <c r="S42" i="31"/>
  <c r="V42" i="31" s="1"/>
  <c r="S41" i="31"/>
  <c r="V41" i="31" s="1"/>
  <c r="R41" i="31"/>
  <c r="U41" i="31" s="1"/>
  <c r="U50" i="31"/>
  <c r="U49" i="31"/>
  <c r="U48" i="31"/>
  <c r="R43" i="31"/>
  <c r="U43" i="31" s="1"/>
  <c r="R42" i="31"/>
  <c r="U42" i="31" s="1"/>
  <c r="W42" i="31" s="1"/>
  <c r="Q50" i="31"/>
  <c r="Q49" i="31"/>
  <c r="Q48" i="31"/>
  <c r="N50" i="31"/>
  <c r="N49" i="31"/>
  <c r="N48" i="31"/>
  <c r="K50" i="31"/>
  <c r="K49" i="31"/>
  <c r="K48" i="31"/>
  <c r="Q43" i="31"/>
  <c r="Q42" i="31"/>
  <c r="Q41" i="31"/>
  <c r="N43" i="31"/>
  <c r="N42" i="31"/>
  <c r="N41" i="31"/>
  <c r="K43" i="31"/>
  <c r="K42" i="31"/>
  <c r="K41" i="31"/>
  <c r="H50" i="31"/>
  <c r="H49" i="31"/>
  <c r="H48" i="31"/>
  <c r="H43" i="31"/>
  <c r="H42" i="31"/>
  <c r="H41" i="31"/>
  <c r="B39" i="26"/>
  <c r="C31" i="26"/>
  <c r="A39" i="26"/>
  <c r="A38" i="26"/>
  <c r="A37" i="30" s="1"/>
  <c r="A35" i="26"/>
  <c r="A34" i="26"/>
  <c r="A32" i="30" s="1"/>
  <c r="A31" i="26"/>
  <c r="A30" i="26"/>
  <c r="A25" i="30" s="1"/>
  <c r="P34" i="30"/>
  <c r="S34" i="30" s="1"/>
  <c r="P33" i="30"/>
  <c r="S33" i="30" s="1"/>
  <c r="S26" i="30"/>
  <c r="S17" i="30"/>
  <c r="P11" i="30"/>
  <c r="S11" i="30" s="1"/>
  <c r="P10" i="30"/>
  <c r="S10" i="30" s="1"/>
  <c r="I14" i="30"/>
  <c r="F14" i="30"/>
  <c r="S57" i="31"/>
  <c r="V57" i="31" s="1"/>
  <c r="S58" i="31"/>
  <c r="V58" i="31" s="1"/>
  <c r="S56" i="31"/>
  <c r="V56" i="31" s="1"/>
  <c r="H25" i="31"/>
  <c r="R57" i="31"/>
  <c r="U57" i="31" s="1"/>
  <c r="W57" i="31" s="1"/>
  <c r="R58" i="31"/>
  <c r="U58" i="31" s="1"/>
  <c r="W58" i="31" s="1"/>
  <c r="R56" i="31"/>
  <c r="U56" i="31" s="1"/>
  <c r="V26" i="31"/>
  <c r="W26" i="31" s="1"/>
  <c r="V35" i="31"/>
  <c r="V36" i="31"/>
  <c r="V34" i="31"/>
  <c r="V30" i="31"/>
  <c r="V32" i="31"/>
  <c r="V24" i="31"/>
  <c r="W24" i="31" s="1"/>
  <c r="V25" i="31"/>
  <c r="V27" i="31"/>
  <c r="W27" i="31" s="1"/>
  <c r="V28" i="31"/>
  <c r="W28" i="31" s="1"/>
  <c r="W14" i="31"/>
  <c r="W15" i="31"/>
  <c r="P27" i="30"/>
  <c r="S27" i="30" s="1"/>
  <c r="S16" i="30"/>
  <c r="S14" i="30"/>
  <c r="W13" i="31"/>
  <c r="W23" i="31"/>
  <c r="Q58" i="31"/>
  <c r="N58" i="31"/>
  <c r="K58" i="31"/>
  <c r="H58" i="31"/>
  <c r="Q57" i="31"/>
  <c r="N57" i="31"/>
  <c r="K57" i="31"/>
  <c r="H57" i="31"/>
  <c r="Q56" i="31"/>
  <c r="N56" i="31"/>
  <c r="K56" i="31"/>
  <c r="H56" i="31"/>
  <c r="A55" i="31"/>
  <c r="Q36" i="31"/>
  <c r="N36" i="31"/>
  <c r="K36" i="31"/>
  <c r="H36" i="31"/>
  <c r="T35" i="31"/>
  <c r="Q35" i="31"/>
  <c r="N35" i="31"/>
  <c r="K35" i="31"/>
  <c r="H35" i="31"/>
  <c r="Q34" i="31"/>
  <c r="K34" i="31"/>
  <c r="H34" i="31"/>
  <c r="A34" i="31"/>
  <c r="A33" i="31"/>
  <c r="T32" i="31"/>
  <c r="Q32" i="31"/>
  <c r="N32" i="31"/>
  <c r="K32" i="31"/>
  <c r="H32" i="31"/>
  <c r="Q31" i="31"/>
  <c r="N31" i="31"/>
  <c r="K31" i="31"/>
  <c r="H31" i="31"/>
  <c r="Q30" i="31"/>
  <c r="N30" i="31"/>
  <c r="K30" i="31"/>
  <c r="H30" i="31"/>
  <c r="A30" i="31"/>
  <c r="A29" i="31"/>
  <c r="Q28" i="31"/>
  <c r="N28" i="31"/>
  <c r="K28" i="31"/>
  <c r="H28" i="31"/>
  <c r="Q27" i="31"/>
  <c r="N27" i="31"/>
  <c r="K27" i="31"/>
  <c r="H27" i="31"/>
  <c r="Q26" i="31"/>
  <c r="N26" i="31"/>
  <c r="K26" i="31"/>
  <c r="H26" i="31"/>
  <c r="A26" i="31"/>
  <c r="W25" i="31"/>
  <c r="Q25" i="31"/>
  <c r="N25" i="31"/>
  <c r="K25" i="31"/>
  <c r="Q24" i="31"/>
  <c r="N24" i="31"/>
  <c r="K24" i="31"/>
  <c r="H24" i="31"/>
  <c r="Q23" i="31"/>
  <c r="N23" i="31"/>
  <c r="K23" i="31"/>
  <c r="H23" i="31"/>
  <c r="T15" i="31"/>
  <c r="Q15" i="31"/>
  <c r="N15" i="31"/>
  <c r="K15" i="31"/>
  <c r="H15" i="31"/>
  <c r="Q14" i="31"/>
  <c r="N14" i="31"/>
  <c r="K14" i="31"/>
  <c r="H14" i="31"/>
  <c r="Q13" i="31"/>
  <c r="N13" i="31"/>
  <c r="K13" i="31"/>
  <c r="H13" i="31"/>
  <c r="A11" i="31"/>
  <c r="U5" i="31"/>
  <c r="T5" i="31"/>
  <c r="V4" i="31"/>
  <c r="V3" i="31"/>
  <c r="E3" i="26"/>
  <c r="B29" i="26"/>
  <c r="C29" i="26"/>
  <c r="A29" i="26"/>
  <c r="A28" i="26"/>
  <c r="B19" i="26"/>
  <c r="C19" i="26"/>
  <c r="A19" i="26"/>
  <c r="B17" i="26"/>
  <c r="C17" i="26"/>
  <c r="A17" i="26"/>
  <c r="A16" i="26"/>
  <c r="A13" i="30" s="1"/>
  <c r="B15" i="26"/>
  <c r="C15" i="26"/>
  <c r="A15" i="26"/>
  <c r="B14" i="26"/>
  <c r="C14" i="26"/>
  <c r="A14" i="26"/>
  <c r="A23" i="31" s="1"/>
  <c r="A13" i="26"/>
  <c r="B10" i="26"/>
  <c r="C10" i="26"/>
  <c r="A10" i="26"/>
  <c r="A9" i="26"/>
  <c r="A7" i="26"/>
  <c r="O34" i="30"/>
  <c r="O33" i="30"/>
  <c r="L33" i="30"/>
  <c r="I33" i="30"/>
  <c r="F33" i="30"/>
  <c r="O27" i="30"/>
  <c r="L27" i="30"/>
  <c r="I27" i="30"/>
  <c r="F27" i="30"/>
  <c r="O26" i="30"/>
  <c r="L26" i="30"/>
  <c r="I26" i="30"/>
  <c r="F26" i="30"/>
  <c r="O17" i="30"/>
  <c r="L17" i="30"/>
  <c r="I17" i="30"/>
  <c r="F17" i="30"/>
  <c r="O16" i="30"/>
  <c r="L16" i="30"/>
  <c r="I16" i="30"/>
  <c r="F16" i="30"/>
  <c r="O14" i="30"/>
  <c r="O12" i="30"/>
  <c r="L12" i="30"/>
  <c r="I12" i="30"/>
  <c r="F12" i="30"/>
  <c r="O11" i="30"/>
  <c r="L11" i="30"/>
  <c r="I11" i="30"/>
  <c r="F11" i="30"/>
  <c r="O10" i="30"/>
  <c r="L10" i="30"/>
  <c r="I10" i="30"/>
  <c r="F10" i="30"/>
  <c r="G8" i="8"/>
  <c r="H11" i="8"/>
  <c r="C8" i="8"/>
  <c r="C8" i="6"/>
  <c r="A12" i="30" s="1"/>
  <c r="C54" i="6"/>
  <c r="C57" i="6"/>
  <c r="B24" i="6"/>
  <c r="B23" i="6"/>
  <c r="B13" i="6"/>
  <c r="B12" i="6"/>
  <c r="B10" i="6"/>
  <c r="B8" i="6"/>
  <c r="B7" i="6"/>
  <c r="B6" i="6"/>
  <c r="B4" i="8"/>
  <c r="E3" i="3"/>
  <c r="J11" i="8"/>
  <c r="E35" i="3"/>
  <c r="C56" i="6"/>
  <c r="E34" i="3"/>
  <c r="C55" i="6"/>
  <c r="E31" i="3"/>
  <c r="C53" i="6"/>
  <c r="F11" i="8"/>
  <c r="E27" i="3" s="1"/>
  <c r="E8" i="8"/>
  <c r="E26" i="3" s="1"/>
  <c r="D13" i="8"/>
  <c r="E22" i="3"/>
  <c r="D11" i="8"/>
  <c r="E18" i="3"/>
  <c r="B15" i="8"/>
  <c r="E13" i="3"/>
  <c r="B13" i="8"/>
  <c r="E9" i="3"/>
  <c r="B11" i="8"/>
  <c r="E5" i="3" s="1"/>
  <c r="A8" i="8"/>
  <c r="E4" i="3" s="1"/>
  <c r="B2" i="8"/>
  <c r="E1" i="3"/>
  <c r="C35" i="3"/>
  <c r="C34" i="3"/>
  <c r="C31" i="3"/>
  <c r="C30" i="3"/>
  <c r="C27" i="3"/>
  <c r="C26" i="3"/>
  <c r="C22" i="3"/>
  <c r="C18" i="3"/>
  <c r="C17" i="3"/>
  <c r="C13" i="3"/>
  <c r="C9" i="3"/>
  <c r="C5" i="3"/>
  <c r="C4" i="3"/>
  <c r="C3" i="3"/>
  <c r="D35" i="3"/>
  <c r="D34" i="3"/>
  <c r="D31" i="3"/>
  <c r="D30" i="3"/>
  <c r="D27" i="3"/>
  <c r="D26" i="3"/>
  <c r="D22" i="3"/>
  <c r="D18" i="3"/>
  <c r="D17" i="3"/>
  <c r="D13" i="3"/>
  <c r="D9" i="3"/>
  <c r="D5" i="3"/>
  <c r="D4" i="3"/>
  <c r="D3" i="3"/>
  <c r="D9" i="8"/>
  <c r="F9" i="8" s="1"/>
  <c r="A18" i="3"/>
  <c r="A22" i="6" s="1"/>
  <c r="B4" i="3"/>
  <c r="B4" i="6" s="1"/>
  <c r="E30" i="3"/>
  <c r="C52" i="6" s="1"/>
  <c r="E17" i="3"/>
  <c r="A1" i="3"/>
  <c r="A5" i="3"/>
  <c r="A9" i="3" s="1"/>
  <c r="A5" i="6"/>
  <c r="A4" i="3"/>
  <c r="A4" i="6" s="1"/>
  <c r="A17" i="3"/>
  <c r="A21" i="6" s="1"/>
  <c r="A3" i="3"/>
  <c r="A3" i="6"/>
  <c r="C6" i="8"/>
  <c r="E6" i="8" s="1"/>
  <c r="G6" i="8" s="1"/>
  <c r="I6" i="8" s="1"/>
  <c r="B10" i="8"/>
  <c r="B12" i="8"/>
  <c r="C7" i="8"/>
  <c r="B17" i="3" s="1"/>
  <c r="B21" i="6" s="1"/>
  <c r="E7" i="8"/>
  <c r="F10" i="8" s="1"/>
  <c r="D10" i="8"/>
  <c r="B18" i="3" s="1"/>
  <c r="B22" i="6" s="1"/>
  <c r="D12" i="8"/>
  <c r="B22" i="3" s="1"/>
  <c r="B29" i="6" s="1"/>
  <c r="G7" i="8"/>
  <c r="B30" i="3" s="1"/>
  <c r="B52" i="6" s="1"/>
  <c r="B26" i="3"/>
  <c r="B40" i="6"/>
  <c r="A11" i="30"/>
  <c r="B5" i="3"/>
  <c r="B5" i="6"/>
  <c r="A22" i="3"/>
  <c r="A29" i="6" s="1"/>
  <c r="B9" i="3"/>
  <c r="B9" i="6"/>
  <c r="B14" i="8"/>
  <c r="B16" i="8" s="1"/>
  <c r="B18" i="8" s="1"/>
  <c r="F16" i="8"/>
  <c r="A9" i="6" l="1"/>
  <c r="A13" i="3"/>
  <c r="A11" i="6" s="1"/>
  <c r="F12" i="8"/>
  <c r="B27" i="3"/>
  <c r="B41" i="6" s="1"/>
  <c r="H9" i="8"/>
  <c r="A27" i="3"/>
  <c r="A41" i="6" s="1"/>
  <c r="H10" i="8"/>
  <c r="I7" i="8"/>
  <c r="W48" i="31"/>
  <c r="B13" i="3"/>
  <c r="B11" i="6" s="1"/>
  <c r="W50" i="31"/>
  <c r="D14" i="8"/>
  <c r="D16" i="8" s="1"/>
  <c r="D18" i="8" s="1"/>
  <c r="A26" i="3"/>
  <c r="A22" i="31"/>
  <c r="A9" i="30"/>
  <c r="R33" i="30"/>
  <c r="U17" i="30"/>
  <c r="R17" i="30"/>
  <c r="R34" i="30"/>
  <c r="U33" i="30"/>
  <c r="U20" i="30"/>
  <c r="U42" i="30"/>
  <c r="U34" i="30"/>
  <c r="R12" i="30"/>
  <c r="U26" i="30"/>
  <c r="W43" i="31"/>
  <c r="V5" i="31"/>
  <c r="T58" i="31"/>
  <c r="W56" i="31"/>
  <c r="T57" i="31"/>
  <c r="W49" i="31"/>
  <c r="W41" i="31"/>
  <c r="U23" i="30"/>
  <c r="R23" i="30"/>
  <c r="R21" i="30"/>
  <c r="U16" i="30"/>
  <c r="R16" i="30"/>
  <c r="S21" i="30"/>
  <c r="U21" i="30" s="1"/>
  <c r="R20" i="30"/>
  <c r="T82" i="31"/>
  <c r="U82" i="31"/>
  <c r="W82" i="31" s="1"/>
  <c r="T81" i="31"/>
  <c r="U81" i="31"/>
  <c r="W81" i="31" s="1"/>
  <c r="T80" i="31"/>
  <c r="U80" i="31"/>
  <c r="W80" i="31" s="1"/>
  <c r="T72" i="31"/>
  <c r="U72" i="31"/>
  <c r="W72" i="31" s="1"/>
  <c r="T71" i="31"/>
  <c r="U71" i="31"/>
  <c r="W71" i="31" s="1"/>
  <c r="T70" i="31"/>
  <c r="U70" i="31"/>
  <c r="W70" i="31" s="1"/>
  <c r="T60" i="31"/>
  <c r="U60" i="31"/>
  <c r="W60" i="31" s="1"/>
  <c r="T62" i="31"/>
  <c r="U62" i="31"/>
  <c r="W62" i="31" s="1"/>
  <c r="T43" i="31"/>
  <c r="T41" i="31"/>
  <c r="T36" i="31"/>
  <c r="T31" i="31"/>
  <c r="V31" i="31"/>
  <c r="T30" i="31"/>
  <c r="U41" i="30"/>
  <c r="U38" i="30"/>
  <c r="U27" i="30"/>
  <c r="R27" i="30"/>
  <c r="R26" i="30"/>
  <c r="U14" i="30"/>
  <c r="R14" i="30"/>
  <c r="R10" i="30"/>
  <c r="U10" i="30"/>
  <c r="R11" i="30"/>
  <c r="U11" i="30"/>
  <c r="U12" i="30"/>
  <c r="T34" i="31"/>
  <c r="T56" i="31"/>
  <c r="T61" i="31"/>
  <c r="T50" i="31"/>
  <c r="T49" i="31"/>
  <c r="T48" i="31"/>
  <c r="T42" i="31"/>
  <c r="U36" i="31"/>
  <c r="W36" i="31" s="1"/>
  <c r="U35" i="31"/>
  <c r="W35" i="31" s="1"/>
  <c r="U34" i="31"/>
  <c r="U32" i="31"/>
  <c r="W32" i="31" s="1"/>
  <c r="U31" i="31"/>
  <c r="U30" i="31"/>
  <c r="T28" i="31"/>
  <c r="T27" i="31"/>
  <c r="T26" i="31"/>
  <c r="T25" i="31"/>
  <c r="T24" i="31"/>
  <c r="T14" i="31"/>
  <c r="T13" i="31"/>
  <c r="T23" i="31"/>
  <c r="R42" i="30"/>
  <c r="R41" i="30"/>
  <c r="U40" i="30"/>
  <c r="U39" i="30"/>
  <c r="R39" i="30"/>
  <c r="R40" i="30"/>
  <c r="R38" i="30"/>
  <c r="A40" i="6" l="1"/>
  <c r="A30" i="3"/>
  <c r="J10" i="8"/>
  <c r="B34" i="3"/>
  <c r="B55" i="6" s="1"/>
  <c r="H12" i="8"/>
  <c r="H14" i="8" s="1"/>
  <c r="H16" i="8" s="1"/>
  <c r="H18" i="8" s="1"/>
  <c r="B31" i="3"/>
  <c r="B53" i="6" s="1"/>
  <c r="A31" i="3"/>
  <c r="J9" i="8"/>
  <c r="A35" i="3" s="1"/>
  <c r="W31" i="31"/>
  <c r="W34" i="31"/>
  <c r="W30" i="31"/>
  <c r="A56" i="6" l="1"/>
  <c r="A49" i="6"/>
  <c r="A53" i="6"/>
  <c r="A45" i="6"/>
  <c r="J12" i="8"/>
  <c r="J14" i="8" s="1"/>
  <c r="J16" i="8" s="1"/>
  <c r="J18" i="8" s="1"/>
  <c r="B35" i="3"/>
  <c r="B56" i="6" s="1"/>
  <c r="A52" i="6"/>
  <c r="A34" i="3"/>
  <c r="A5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Garrett Schiche</author>
  </authors>
  <commentList>
    <comment ref="A7" authorId="0" shapeId="0" xr:uid="{00000000-0006-0000-0800-000001000000}">
      <text>
        <r>
          <rPr>
            <sz val="9"/>
            <color indexed="81"/>
            <rFont val="Tahoma"/>
            <family val="2"/>
          </rPr>
          <t xml:space="preserve">The content in Column A is linked to the ITT. This makes the content entered here automatically copied to the ITT.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Garrett Schiche</author>
  </authors>
  <commentList>
    <comment ref="Y9" authorId="0" shapeId="0" xr:uid="{00000000-0006-0000-0D00-000001000000}">
      <text>
        <r>
          <rPr>
            <sz val="9"/>
            <color indexed="81"/>
            <rFont val="Tahoma"/>
            <family val="2"/>
          </rPr>
          <t>The “Status” column in the ITT can indicate the date the indicator data is expected to start and end, if it will only be collected at baseline and endline, if it is completed, or if it is ongoing. The “Status” column is NOT to be used to provide any narrative explanation about the indicator. This should be done in the Project Progress Report.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Garrett Schiche</author>
  </authors>
  <commentList>
    <comment ref="C3" authorId="0" shapeId="0" xr:uid="{00000000-0006-0000-0E00-000001000000}">
      <text>
        <r>
          <rPr>
            <sz val="9"/>
            <color indexed="81"/>
            <rFont val="Tahoma"/>
            <family val="2"/>
          </rPr>
          <t xml:space="preserve">The content in Column A is linked to the ITT. This makes the content entered here automatically copied to the ITT. 
</t>
        </r>
      </text>
    </comment>
  </commentList>
</comments>
</file>

<file path=xl/sharedStrings.xml><?xml version="1.0" encoding="utf-8"?>
<sst xmlns="http://schemas.openxmlformats.org/spreadsheetml/2006/main" count="1120" uniqueCount="603">
  <si>
    <t>Activity</t>
  </si>
  <si>
    <t>Q1</t>
  </si>
  <si>
    <t>Q2</t>
  </si>
  <si>
    <t>Q3</t>
  </si>
  <si>
    <t>Q4</t>
  </si>
  <si>
    <t>Where</t>
  </si>
  <si>
    <t>Year 3</t>
  </si>
  <si>
    <t>OBJECTIVELY VERIFIABLE INDICATOR</t>
  </si>
  <si>
    <t>MEANS OF VERIFICATION</t>
  </si>
  <si>
    <t>RISK AND ASSUMPTION</t>
  </si>
  <si>
    <t>Outcome</t>
  </si>
  <si>
    <t>GOAL:</t>
  </si>
  <si>
    <t>Project Title</t>
  </si>
  <si>
    <t>Output</t>
  </si>
  <si>
    <t>Year 4</t>
  </si>
  <si>
    <t>Year 5</t>
  </si>
  <si>
    <t>Year 2</t>
  </si>
  <si>
    <t>Objective Statement</t>
  </si>
  <si>
    <t>Person/Organization Responsible</t>
  </si>
  <si>
    <t>OBJECTIVE STATEMENT</t>
  </si>
  <si>
    <t xml:space="preserve">Budget Required </t>
  </si>
  <si>
    <t>Budget Narrative</t>
  </si>
  <si>
    <t>Cause 1</t>
  </si>
  <si>
    <t>Cause 2</t>
  </si>
  <si>
    <t>Cause 3</t>
  </si>
  <si>
    <t>Cause 4</t>
  </si>
  <si>
    <t>Cause 5</t>
  </si>
  <si>
    <t>Problem 1</t>
  </si>
  <si>
    <t>Cause 1.2</t>
  </si>
  <si>
    <t>Cause 1.3</t>
  </si>
  <si>
    <t>Cause 2.1</t>
  </si>
  <si>
    <t>Cause 2.2</t>
  </si>
  <si>
    <t>Cause 3.1</t>
  </si>
  <si>
    <t>EVIDENCE FOR PROBLEM-CAUSE W/ CITATION</t>
  </si>
  <si>
    <t>EVIDENCE OF PROBLEM-CAUSE WITH CITATION</t>
  </si>
  <si>
    <t>Cause 4.1</t>
  </si>
  <si>
    <t>Cause 5.1</t>
  </si>
  <si>
    <t>Outcome 1</t>
  </si>
  <si>
    <t>Output 1.1</t>
  </si>
  <si>
    <t>Output 1.2</t>
  </si>
  <si>
    <t>Output 1.3</t>
  </si>
  <si>
    <t>Output 2.1</t>
  </si>
  <si>
    <t>Output 2.2</t>
  </si>
  <si>
    <t>Output 3.1</t>
  </si>
  <si>
    <t>Outcome 3</t>
  </si>
  <si>
    <t>Output 4.1</t>
  </si>
  <si>
    <t>Outcome 4</t>
  </si>
  <si>
    <t>Outcome 5</t>
  </si>
  <si>
    <t>Output 5.1</t>
  </si>
  <si>
    <t>PROBLEM/CAUSE</t>
  </si>
  <si>
    <t>#</t>
  </si>
  <si>
    <t xml:space="preserve"># </t>
  </si>
  <si>
    <t>Outcome 2</t>
  </si>
  <si>
    <t xml:space="preserve">Project Title: </t>
  </si>
  <si>
    <t>Explanation</t>
  </si>
  <si>
    <t xml:space="preserve">Activity </t>
  </si>
  <si>
    <t>1.1.A.</t>
  </si>
  <si>
    <t>1.1.B.</t>
  </si>
  <si>
    <t>1.1.C.</t>
  </si>
  <si>
    <t>1.2.A.</t>
  </si>
  <si>
    <t>1.2.B.</t>
  </si>
  <si>
    <t>1.2.C.</t>
  </si>
  <si>
    <t>1.3.A.</t>
  </si>
  <si>
    <t>1.3.B.</t>
  </si>
  <si>
    <t>1.3.C.</t>
  </si>
  <si>
    <t>2.1.A.</t>
  </si>
  <si>
    <t>2.1.B.</t>
  </si>
  <si>
    <t>2.1.C.</t>
  </si>
  <si>
    <t>2.2.A.</t>
  </si>
  <si>
    <t>2.2.B.</t>
  </si>
  <si>
    <t>2.2.C.</t>
  </si>
  <si>
    <t>3.1.A.</t>
  </si>
  <si>
    <t>3.1.B.</t>
  </si>
  <si>
    <t>4.1.A.</t>
  </si>
  <si>
    <t>4.1.B.</t>
  </si>
  <si>
    <t>5.1.A.</t>
  </si>
  <si>
    <t>5.1.B.</t>
  </si>
  <si>
    <r>
      <rPr>
        <b/>
        <sz val="11"/>
        <color theme="1"/>
        <rFont val="Calibri"/>
        <family val="2"/>
        <scheme val="minor"/>
      </rPr>
      <t>KEY:</t>
    </r>
    <r>
      <rPr>
        <sz val="11"/>
        <color theme="1"/>
        <rFont val="Calibri"/>
        <family val="2"/>
        <scheme val="minor"/>
      </rPr>
      <t xml:space="preserve"> Any method or program can be used to document the results of the </t>
    </r>
    <r>
      <rPr>
        <u/>
        <sz val="11"/>
        <color theme="1"/>
        <rFont val="Calibri"/>
        <family val="2"/>
        <scheme val="minor"/>
      </rPr>
      <t>Problem Analysis</t>
    </r>
    <r>
      <rPr>
        <sz val="11"/>
        <color theme="1"/>
        <rFont val="Calibri"/>
        <family val="2"/>
        <scheme val="minor"/>
      </rPr>
      <t xml:space="preserve"> in the </t>
    </r>
    <r>
      <rPr>
        <u/>
        <sz val="11"/>
        <color theme="1"/>
        <rFont val="Calibri"/>
        <family val="2"/>
        <scheme val="minor"/>
      </rPr>
      <t>Project Design Workbook</t>
    </r>
    <r>
      <rPr>
        <sz val="11"/>
        <color theme="1"/>
        <rFont val="Calibri"/>
        <family val="2"/>
        <scheme val="minor"/>
      </rPr>
      <t>, including a photo of the document the group uses to work through this analysis. What is important is that the results are documented and can be clearly read.</t>
    </r>
  </si>
  <si>
    <r>
      <t xml:space="preserve">Below is an example of a Word template pasted in the tab using the Snipping Tool. Simply delete this example and paste your finalized </t>
    </r>
    <r>
      <rPr>
        <u/>
        <sz val="11"/>
        <color theme="1"/>
        <rFont val="Calibri"/>
        <family val="2"/>
        <scheme val="minor"/>
      </rPr>
      <t>Problem Analysis</t>
    </r>
    <r>
      <rPr>
        <sz val="11"/>
        <color theme="1"/>
        <rFont val="Calibri"/>
        <family val="2"/>
        <scheme val="minor"/>
      </rPr>
      <t xml:space="preserve"> results when it is completed.</t>
    </r>
  </si>
  <si>
    <r>
      <rPr>
        <b/>
        <sz val="11"/>
        <color theme="1"/>
        <rFont val="Calibri"/>
        <family val="2"/>
        <scheme val="minor"/>
      </rPr>
      <t>Instructions:</t>
    </r>
    <r>
      <rPr>
        <sz val="11"/>
        <color theme="1"/>
        <rFont val="Calibri"/>
        <family val="2"/>
        <scheme val="minor"/>
      </rPr>
      <t xml:space="preserve"> The easiest way to insert a final draft of the Problem Tree analysis into the </t>
    </r>
    <r>
      <rPr>
        <u/>
        <sz val="11"/>
        <color theme="1"/>
        <rFont val="Calibri"/>
        <family val="2"/>
        <scheme val="minor"/>
      </rPr>
      <t>Project Design Workbook</t>
    </r>
    <r>
      <rPr>
        <sz val="11"/>
        <color theme="1"/>
        <rFont val="Calibri"/>
        <family val="2"/>
        <scheme val="minor"/>
      </rPr>
      <t xml:space="preserve"> is to use the “Snipping Tool” which is a Microsoft tool found in the Start Menu: All Programs – Accessories – Snipping Tool. Select and copy the whole graphic and paste it into the </t>
    </r>
    <r>
      <rPr>
        <u/>
        <sz val="11"/>
        <color theme="1"/>
        <rFont val="Calibri"/>
        <family val="2"/>
        <scheme val="minor"/>
      </rPr>
      <t>Project Design Workbook</t>
    </r>
    <r>
      <rPr>
        <sz val="11"/>
        <color theme="1"/>
        <rFont val="Calibri"/>
        <family val="2"/>
        <scheme val="minor"/>
      </rPr>
      <t xml:space="preserve"> in the Problem Analysis Documentation tab. The Snipping Tool can be used to copy and paste from any electronic medium, including websites, Microsoft Office applications, etc.</t>
    </r>
  </si>
  <si>
    <t xml:space="preserve">The PROBLEM/CAUSE column: Enter the problems and causes from the Problem Analysis. 
Remember, the problems and causes are the reality currently experienced in the target area. These are therefore expressed as the negative condition. For example, "Poor agricultural productivity in the priority action zone."
</t>
  </si>
  <si>
    <t xml:space="preserve">The following 3 templates (Results Framework, Logframe, Work Plan) are designed to be used together and some cells are linked. When you enter information into the Results Framework, it automatically fills in details in the Logical Framework and Work Plan. This ensures that the objectives statements are consistent throughout the document. If edits are made to the objective statements, only make changes in the Results Framework. 
Because the Results Framework, LogFrame and WorkPlan are linked, it is very important to NOT modify the formulas in the objective statement columns of the Evidence for Cause, Logframe and Work Plan tabs. If you have any questions about modifying these templates, please contact the M&amp;E Unit for technical support.  
</t>
  </si>
  <si>
    <t xml:space="preserve">The OBJECTIVE STATEMENT column is where the project's objectives are documented. Having this column on the same page as the PROBLEM/CAUSE helps ensure that the proposed objective responds to the problems/causes identified during the assessment stage. 
The objectives statements are the opposite of negative condition identified in the Problem Analysis. They are written as the positive condition and as if the result has already been achieved. 
The Objective Analysis Tool Summary, as well as the guidance in the sections related to the objective analysis in the IFRC Project Planning Guidance, can assist in selecting the most appropriate objectives for the context of the project. The Results Framework can then be used to verify the logic between the selected Goal, Outcomes and Outputs. 
</t>
  </si>
  <si>
    <t xml:space="preserve">The EVIDENCE FOR PROBLEM/CAUSE W/CITATION column is a way to document the source of the evidence for each problem or cause. It helps ensure that the problems and causes identified in the project design are based on actual or observed situations. It is a way to document what is found in the Needs Assessment but can also come from peer agency needs assessments, government reports, agency reports or another published document. The document or source of the evidence for each problem/cause should be written in parenthesis after the evidence.
For example, if the Problem is "poor agricultural productivity in the priority action zone," then the evidence with citation could be “Agricultural output in the PAZ has decreased by 25% from 2011-2013 (Needs assessment section 2.1).” The citation helps document key information and can also assist in setting indicators or beneficiary targets.   
</t>
  </si>
  <si>
    <t>LWR PROBLEM TREE SAMPLE MODEL</t>
  </si>
  <si>
    <t>Effect 1: Food Insecurity</t>
  </si>
  <si>
    <t>Effect 2: Poor Household income</t>
  </si>
  <si>
    <t>Effect 3: Poor Nutrition</t>
  </si>
  <si>
    <t>Cause 1.1</t>
  </si>
  <si>
    <t>Effect 4: Poor Health</t>
  </si>
  <si>
    <r>
      <rPr>
        <b/>
        <sz val="11"/>
        <color theme="1"/>
        <rFont val="Calibri"/>
        <family val="2"/>
        <scheme val="minor"/>
      </rPr>
      <t>Problem Statement</t>
    </r>
    <r>
      <rPr>
        <sz val="11"/>
        <color theme="1"/>
        <rFont val="Calibri"/>
        <family val="2"/>
        <scheme val="minor"/>
      </rPr>
      <t>:Low income, self reliance and and livelihood opportunities for South Sudan refugees and their host communities in and around palabek settlement.</t>
    </r>
  </si>
  <si>
    <t>Cause 1: There is poor productivity and low income from agriculture for South Sudanese refugees and host communities</t>
  </si>
  <si>
    <r>
      <rPr>
        <b/>
        <sz val="11"/>
        <color theme="1"/>
        <rFont val="Calibri"/>
        <family val="2"/>
        <scheme val="minor"/>
      </rPr>
      <t xml:space="preserve">Cause 1.c: </t>
    </r>
    <r>
      <rPr>
        <sz val="11"/>
        <color theme="1"/>
        <rFont val="Calibri"/>
        <family val="2"/>
        <scheme val="minor"/>
      </rPr>
      <t xml:space="preserve">South Sudan refugees and host communities have poor knowledge on recommended agronomic practices. </t>
    </r>
  </si>
  <si>
    <t>Cause 2: South Sudan vulnerable refugees have poor living conditions</t>
  </si>
  <si>
    <r>
      <rPr>
        <b/>
        <sz val="11"/>
        <color theme="1"/>
        <rFont val="Calibri"/>
        <family val="2"/>
        <scheme val="minor"/>
      </rPr>
      <t xml:space="preserve">Cause 2.a: </t>
    </r>
    <r>
      <rPr>
        <sz val="11"/>
        <color theme="1"/>
        <rFont val="Calibri"/>
        <family val="2"/>
        <scheme val="minor"/>
      </rPr>
      <t>South Sudan vulnerable refugees have limited access to resources.</t>
    </r>
  </si>
  <si>
    <r>
      <rPr>
        <b/>
        <sz val="11"/>
        <color theme="1"/>
        <rFont val="Calibri"/>
        <family val="2"/>
        <scheme val="minor"/>
      </rPr>
      <t xml:space="preserve">Cause 1.a: </t>
    </r>
    <r>
      <rPr>
        <sz val="11"/>
        <color theme="1"/>
        <rFont val="Calibri"/>
        <family val="2"/>
        <scheme val="minor"/>
      </rPr>
      <t>South Sudan refugees and host communities have poor access to agricultural extension services</t>
    </r>
  </si>
  <si>
    <r>
      <rPr>
        <b/>
        <sz val="11"/>
        <color theme="1"/>
        <rFont val="Calibri"/>
        <family val="2"/>
        <scheme val="minor"/>
      </rPr>
      <t>Cause 1.b:</t>
    </r>
    <r>
      <rPr>
        <sz val="11"/>
        <color theme="1"/>
        <rFont val="Calibri"/>
        <family val="2"/>
        <scheme val="minor"/>
      </rPr>
      <t xml:space="preserve"> South Sudan and host communities have limited access to agricultural inputs</t>
    </r>
  </si>
  <si>
    <r>
      <rPr>
        <b/>
        <sz val="11"/>
        <color theme="1"/>
        <rFont val="Calibri"/>
        <family val="2"/>
        <scheme val="minor"/>
      </rPr>
      <t>Cause 2.b:</t>
    </r>
    <r>
      <rPr>
        <sz val="11"/>
        <color theme="1"/>
        <rFont val="Calibri"/>
        <family val="2"/>
        <scheme val="minor"/>
      </rPr>
      <t xml:space="preserve"> South Sudan refugee children have limited access to material resources.</t>
    </r>
  </si>
  <si>
    <t>Targeted South Sudan refugees and their host communities  optimize income, self reliance and livelihood opportunities</t>
  </si>
  <si>
    <t>Targeted South Sudan refugees and their host communities do not optimise income and livelihood opportunities</t>
  </si>
  <si>
    <t>Targeted South Sudan refugees and their host communities have poor productivity and low income from agriculture</t>
  </si>
  <si>
    <t>Targeted South Sudan refugees and their host communities have poor access to agricultural extension services</t>
  </si>
  <si>
    <t>Targeted South Sudan refugees and their host communities have poor knowledge on recommended agronomic practices</t>
  </si>
  <si>
    <t>Targeted South Sudn vulnerable refugees have poor living conditions</t>
  </si>
  <si>
    <t>Targeted South Sudan vulverable refugees have limited access to resources</t>
  </si>
  <si>
    <t>Targeted South Sudan refugees children have limited access to material resources</t>
  </si>
  <si>
    <t xml:space="preserve">Targeted South Sudan refugees and their host communities have improved productivity and increased income generated from agriculture </t>
  </si>
  <si>
    <t xml:space="preserve">Targeted South Sudan Refugees and their host communities have access to agricultural extension services </t>
  </si>
  <si>
    <t>Targeted South Sudan Refugees and their host communities have access to agricultural inputs</t>
  </si>
  <si>
    <t>Targeted South Sudan Refugees and their host communities practice climate smart agriculture</t>
  </si>
  <si>
    <t>Targeted South Sudan vulnerable refugees have improved living conditions</t>
  </si>
  <si>
    <t>Targeted South Sudan vulnerable refugees have access to resources (mission quilts and personal care kits)</t>
  </si>
  <si>
    <t>Targeted South Sudan refugee children have access to material resources (baby care kits)</t>
  </si>
  <si>
    <t xml:space="preserve">Identify volunteer youth farmers from Refugee households and host community </t>
  </si>
  <si>
    <t xml:space="preserve">Conduct a TOT for the Refugee Women Volunteers in Good agronomic practices </t>
  </si>
  <si>
    <t>Conduct regular field visits to host community farmers and Refugees HHs</t>
  </si>
  <si>
    <t>Formation of farmer groups at refugee and host community levels</t>
  </si>
  <si>
    <t>Provide Agricultural seeds to identified Refugee and host community HHs</t>
  </si>
  <si>
    <t>Conduct quarterly review meetings to review project progress</t>
  </si>
  <si>
    <t xml:space="preserve">Setup RHHs and host community backyard gardens </t>
  </si>
  <si>
    <t xml:space="preserve">Selection and documetnation of the most in need refugees </t>
  </si>
  <si>
    <t xml:space="preserve">Distribution of Quilts and personal Care kits </t>
  </si>
  <si>
    <t>Selection and documetnation refugee Women with new borns</t>
  </si>
  <si>
    <t xml:space="preserve">Distribution of baby care Kits to 2,682 babies </t>
  </si>
  <si>
    <t>REselience SUpport Leading To Sustainable Livelihoods for South Sudanese Refugees (RESULTS Livelihoods) Project</t>
  </si>
  <si>
    <t>Presence of backyard gardens in target refugee house holds</t>
  </si>
  <si>
    <t>Presence of Volunteer Refugee farmers that have been trained in good agronomic practices</t>
  </si>
  <si>
    <t>Refugees and host communities are interested in getting extension support</t>
  </si>
  <si>
    <t>Refugees  and host communities embrace the services provided by the project</t>
  </si>
  <si>
    <t>Presence of distribution records</t>
  </si>
  <si>
    <t>Presence of quality seed inputs and suppliers</t>
  </si>
  <si>
    <t>Presence of backyard gardens at target refugee and host community house holds</t>
  </si>
  <si>
    <t>Refugges and host communites are willing to learn</t>
  </si>
  <si>
    <t>Refugees and host communities are interested to learn how to use the items provided</t>
  </si>
  <si>
    <t>Presence of records of distribution lists for both the mothers and babies</t>
  </si>
  <si>
    <t>Presence of records of distribution lists for mission quilts and personal care kits</t>
  </si>
  <si>
    <t>Presence of records of distribution lists for baby care kits</t>
  </si>
  <si>
    <t>1a 80% of Refugee and host communities HHs report increased food production by Sept 2018</t>
  </si>
  <si>
    <t>1.1a 40 women refugee volunteers are identified and selected to support extension service provision                                                     1.1b 1800 refugees are receiving extension services from refugee volunteer farmers</t>
  </si>
  <si>
    <t>1.2.a 64 farmer groups of both refugees and host communities are formed                       1.2b 1920 refugees and host community HHs receive agricultural seeds (OLSP, beans and amaranth)</t>
  </si>
  <si>
    <t>1.3.a 1920 refugee households are applying good agronomic practices in their gardens</t>
  </si>
  <si>
    <t>2a 100% of vulnerable refugee women and children are properly selected and documented</t>
  </si>
  <si>
    <t>2.1.a 3000 vulnerable refugee women receive material resouces of mission quilts and personal care kits</t>
  </si>
  <si>
    <t>2.2.a 2,682 babies receive material resources of baby care kits</t>
  </si>
  <si>
    <t>Provide technical backstoping to model farmers</t>
  </si>
  <si>
    <t>Targeted South Sudan refugees and their host communities have limited access to agricultural inputs</t>
  </si>
  <si>
    <t>LWR Detailed M&amp;E Plan Instructions</t>
  </si>
  <si>
    <r>
      <t>1.</t>
    </r>
    <r>
      <rPr>
        <b/>
        <sz val="7"/>
        <rFont val="Times New Roman"/>
        <family val="1"/>
      </rPr>
      <t xml:space="preserve">       </t>
    </r>
    <r>
      <rPr>
        <b/>
        <sz val="11"/>
        <rFont val="Calibri"/>
        <family val="2"/>
      </rPr>
      <t xml:space="preserve">Complete the </t>
    </r>
    <r>
      <rPr>
        <b/>
        <u/>
        <sz val="11"/>
        <rFont val="Calibri"/>
        <family val="2"/>
      </rPr>
      <t>M&amp;E Matrix:</t>
    </r>
    <r>
      <rPr>
        <b/>
        <sz val="11"/>
        <rFont val="Calibri"/>
        <family val="2"/>
      </rPr>
      <t xml:space="preserve"> It can be developed within the tab or within a Word document and transferred to the </t>
    </r>
    <r>
      <rPr>
        <b/>
        <u/>
        <sz val="11"/>
        <rFont val="Calibri"/>
        <family val="2"/>
      </rPr>
      <t>M&amp;E Matrix</t>
    </r>
    <r>
      <rPr>
        <b/>
        <sz val="11"/>
        <rFont val="Calibri"/>
        <family val="2"/>
      </rPr>
      <t xml:space="preserve"> tab</t>
    </r>
    <r>
      <rPr>
        <b/>
        <sz val="11"/>
        <rFont val="Calibri"/>
        <family val="2"/>
      </rPr>
      <t>.</t>
    </r>
  </si>
  <si>
    <r>
      <t>a.</t>
    </r>
    <r>
      <rPr>
        <sz val="7"/>
        <rFont val="Times New Roman"/>
        <family val="1"/>
      </rPr>
      <t xml:space="preserve">       </t>
    </r>
    <r>
      <rPr>
        <sz val="11"/>
        <rFont val="Calibri"/>
        <family val="2"/>
      </rPr>
      <t xml:space="preserve">For detailed instructions on completing the content of the </t>
    </r>
    <r>
      <rPr>
        <u/>
        <sz val="11"/>
        <rFont val="Calibri"/>
        <family val="2"/>
      </rPr>
      <t>M&amp;E Matrix</t>
    </r>
    <r>
      <rPr>
        <sz val="11"/>
        <rFont val="Calibri"/>
        <family val="2"/>
      </rPr>
      <t xml:space="preserve">, please refer to tab c. </t>
    </r>
    <r>
      <rPr>
        <u/>
        <sz val="11"/>
        <rFont val="Calibri"/>
        <family val="2"/>
      </rPr>
      <t>M&amp;E Matrix Cheat Sheet</t>
    </r>
    <r>
      <rPr>
        <sz val="11"/>
        <rFont val="Calibri"/>
        <family val="2"/>
      </rPr>
      <t>.</t>
    </r>
  </si>
  <si>
    <r>
      <t>b.</t>
    </r>
    <r>
      <rPr>
        <sz val="7"/>
        <rFont val="Times New Roman"/>
        <family val="1"/>
      </rPr>
      <t xml:space="preserve">      </t>
    </r>
    <r>
      <rPr>
        <sz val="11"/>
        <rFont val="Calibri"/>
        <family val="2"/>
      </rPr>
      <t xml:space="preserve">Enter the objective statements and indicators ONLY in the </t>
    </r>
    <r>
      <rPr>
        <u/>
        <sz val="11"/>
        <rFont val="Calibri"/>
        <family val="2"/>
      </rPr>
      <t>M&amp;E Matrix</t>
    </r>
    <r>
      <rPr>
        <sz val="11"/>
        <rFont val="Calibri"/>
        <family val="2"/>
      </rPr>
      <t xml:space="preserve">. They are automatically linked to the </t>
    </r>
    <r>
      <rPr>
        <u/>
        <sz val="11"/>
        <rFont val="Calibri"/>
        <family val="2"/>
      </rPr>
      <t>Indicator Tracking Table</t>
    </r>
    <r>
      <rPr>
        <sz val="11"/>
        <rFont val="Calibri"/>
        <family val="2"/>
      </rPr>
      <t xml:space="preserve"> (ITT) and the </t>
    </r>
    <r>
      <rPr>
        <u/>
        <sz val="11"/>
        <rFont val="Calibri"/>
        <family val="2"/>
      </rPr>
      <t>Activity Tracking Table</t>
    </r>
    <r>
      <rPr>
        <sz val="11"/>
        <rFont val="Calibri"/>
        <family val="2"/>
      </rPr>
      <t xml:space="preserve"> (ATT).</t>
    </r>
  </si>
  <si>
    <r>
      <t>2.</t>
    </r>
    <r>
      <rPr>
        <b/>
        <sz val="7"/>
        <rFont val="Times New Roman"/>
        <family val="1"/>
      </rPr>
      <t xml:space="preserve">       </t>
    </r>
    <r>
      <rPr>
        <b/>
        <sz val="11"/>
        <rFont val="Calibri"/>
        <family val="2"/>
      </rPr>
      <t>Baseline Table:</t>
    </r>
  </si>
  <si>
    <r>
      <t xml:space="preserve">a.       Fill in the </t>
    </r>
    <r>
      <rPr>
        <u/>
        <sz val="11"/>
        <rFont val="Calibri"/>
        <family val="2"/>
      </rPr>
      <t>Baseline Table</t>
    </r>
    <r>
      <rPr>
        <sz val="11"/>
        <rFont val="Calibri"/>
        <family val="2"/>
      </rPr>
      <t xml:space="preserve"> after or as the baseline data is collected either by a consultant or the project team.</t>
    </r>
  </si>
  <si>
    <r>
      <t>3.</t>
    </r>
    <r>
      <rPr>
        <b/>
        <sz val="7"/>
        <rFont val="Times New Roman"/>
        <family val="1"/>
      </rPr>
      <t xml:space="preserve">       </t>
    </r>
    <r>
      <rPr>
        <b/>
        <sz val="11"/>
        <rFont val="Calibri"/>
        <family val="2"/>
      </rPr>
      <t xml:space="preserve">Complete the </t>
    </r>
    <r>
      <rPr>
        <b/>
        <u/>
        <sz val="11"/>
        <rFont val="Calibri"/>
        <family val="2"/>
      </rPr>
      <t>Indicator Tracking Table:</t>
    </r>
    <r>
      <rPr>
        <b/>
        <sz val="11"/>
        <rFont val="Calibri"/>
        <family val="2"/>
      </rPr>
      <t xml:space="preserve"> See tab i. for further instructions on using the ITT.</t>
    </r>
  </si>
  <si>
    <r>
      <t>a.</t>
    </r>
    <r>
      <rPr>
        <sz val="7"/>
        <rFont val="Times New Roman"/>
        <family val="1"/>
      </rPr>
      <t xml:space="preserve">       </t>
    </r>
    <r>
      <rPr>
        <sz val="11"/>
        <rFont val="Calibri"/>
        <family val="2"/>
      </rPr>
      <t>Fill in the Project Name and the Project Year (PY) for the ITT. The blank version of this workbook contains linked ITT and ATT tables for up to a three year project.</t>
    </r>
  </si>
  <si>
    <r>
      <t>b.</t>
    </r>
    <r>
      <rPr>
        <sz val="7"/>
        <rFont val="Times New Roman"/>
        <family val="1"/>
      </rPr>
      <t xml:space="preserve">      </t>
    </r>
    <r>
      <rPr>
        <sz val="11"/>
        <rFont val="Calibri"/>
        <family val="2"/>
      </rPr>
      <t xml:space="preserve">Fill in the baseline values for each indicator including the date it was collected and the unit of measurement. If the baseline values do not come from a consolidated baseline survey, note in the status column where the values are archived (the document, file, government database, etc). The baseline values are automatically populated in the Year 2 and Year 3 ITTs in the blank workbook. </t>
    </r>
  </si>
  <si>
    <r>
      <t>4.</t>
    </r>
    <r>
      <rPr>
        <b/>
        <sz val="7"/>
        <rFont val="Times New Roman"/>
        <family val="1"/>
      </rPr>
      <t xml:space="preserve">       </t>
    </r>
    <r>
      <rPr>
        <b/>
        <sz val="11"/>
        <rFont val="Calibri"/>
        <family val="2"/>
      </rPr>
      <t>Set indicator targets:</t>
    </r>
  </si>
  <si>
    <r>
      <t>a.</t>
    </r>
    <r>
      <rPr>
        <sz val="7"/>
        <rFont val="Times New Roman"/>
        <family val="1"/>
      </rPr>
      <t xml:space="preserve">       </t>
    </r>
    <r>
      <rPr>
        <sz val="11"/>
        <rFont val="Calibri"/>
        <family val="2"/>
      </rPr>
      <t>Indicator targets should be set for each indicator based upon the details outlined in the project proposal taking into consideration timelines, number of staff, and budget. Start with Life of Project (LOP) targets, then annual targets, then quarterly targets. Targets should be based on the project’s work plan/detailed implementation plan.</t>
    </r>
  </si>
  <si>
    <r>
      <t xml:space="preserve"> </t>
    </r>
    <r>
      <rPr>
        <sz val="11"/>
        <rFont val="Calibri"/>
        <family val="2"/>
      </rPr>
      <t>i.</t>
    </r>
    <r>
      <rPr>
        <sz val="7"/>
        <rFont val="Times New Roman"/>
        <family val="1"/>
      </rPr>
      <t xml:space="preserve">      </t>
    </r>
    <r>
      <rPr>
        <sz val="11"/>
        <rFont val="Calibri"/>
        <family val="2"/>
      </rPr>
      <t>All targets and actuals should be cumulative. This means that targets and actuals recorded for each quarter reflect what has been targeted or achieved to date. If a given indicator cannot be recorded in a cumulative manner for some reason, include a note in the status column.</t>
    </r>
  </si>
  <si>
    <r>
      <rPr>
        <sz val="11"/>
        <rFont val="Calibri"/>
        <family val="2"/>
      </rPr>
      <t>ii.</t>
    </r>
    <r>
      <rPr>
        <sz val="7"/>
        <rFont val="Times New Roman"/>
        <family val="1"/>
      </rPr>
      <t xml:space="preserve">      </t>
    </r>
    <r>
      <rPr>
        <sz val="11"/>
        <rFont val="Calibri"/>
        <family val="2"/>
      </rPr>
      <t>Values for indicators should be numeric with narrative detail reserved for the Narrative Report.</t>
    </r>
  </si>
  <si>
    <r>
      <rPr>
        <sz val="11"/>
        <rFont val="Calibri"/>
        <family val="2"/>
      </rPr>
      <t>iii.</t>
    </r>
    <r>
      <rPr>
        <sz val="7"/>
        <rFont val="Times New Roman"/>
        <family val="1"/>
      </rPr>
      <t xml:space="preserve">      </t>
    </r>
    <r>
      <rPr>
        <sz val="11"/>
        <rFont val="Calibri"/>
        <family val="2"/>
      </rPr>
      <t>LOP targets will be included in each ITT on an annual basis. The LOP targets should remain the same throughout, but in each new annual ITT any cumulative data should be transferred.</t>
    </r>
  </si>
  <si>
    <r>
      <rPr>
        <sz val="11"/>
        <rFont val="Calibri"/>
        <family val="2"/>
      </rPr>
      <t>iv.</t>
    </r>
    <r>
      <rPr>
        <sz val="7"/>
        <rFont val="Times New Roman"/>
        <family val="1"/>
      </rPr>
      <t xml:space="preserve">      </t>
    </r>
    <r>
      <rPr>
        <sz val="11"/>
        <rFont val="Calibri"/>
        <family val="2"/>
      </rPr>
      <t xml:space="preserve">Impact indicators (Outcome and Goal) are often measured at the start of project (baseline) and end of project (endline) and therefore will only require LOP targets. </t>
    </r>
    <r>
      <rPr>
        <sz val="11"/>
        <color indexed="10"/>
        <rFont val="Calibri"/>
        <family val="2"/>
      </rPr>
      <t xml:space="preserve">Shade out the reporting periods that do not have targets so that reviewers are clear that no data will be gathered during that period. </t>
    </r>
  </si>
  <si>
    <r>
      <t>b.</t>
    </r>
    <r>
      <rPr>
        <sz val="7"/>
        <rFont val="Times New Roman"/>
        <family val="1"/>
      </rPr>
      <t xml:space="preserve">      </t>
    </r>
    <r>
      <rPr>
        <sz val="11"/>
        <rFont val="Calibri"/>
        <family val="2"/>
      </rPr>
      <t>The values in the "Target" and "Actual" columns should be entered as whole numbers, not percentages. This will help to ensure that the numerator and denominator are clearly expressed, which reduces calculation errors.</t>
    </r>
  </si>
  <si>
    <r>
      <t>c.</t>
    </r>
    <r>
      <rPr>
        <sz val="7"/>
        <rFont val="Times New Roman"/>
        <family val="1"/>
      </rPr>
      <t xml:space="preserve">       </t>
    </r>
    <r>
      <rPr>
        <sz val="11"/>
        <rFont val="Calibri"/>
        <family val="2"/>
      </rPr>
      <t xml:space="preserve">Formulas can be used in Excel so that percentages and other calculations are done automatically, reducing the amount of data that must be entered manually. However, formulas can be tricky and should be double-checked to ensure that the data has been calculated correctly. </t>
    </r>
  </si>
  <si>
    <r>
      <t>5.</t>
    </r>
    <r>
      <rPr>
        <b/>
        <sz val="7"/>
        <rFont val="Times New Roman"/>
        <family val="1"/>
      </rPr>
      <t xml:space="preserve">       </t>
    </r>
    <r>
      <rPr>
        <b/>
        <sz val="11"/>
        <rFont val="Calibri"/>
        <family val="2"/>
      </rPr>
      <t xml:space="preserve">Using the </t>
    </r>
    <r>
      <rPr>
        <b/>
        <u/>
        <sz val="11"/>
        <rFont val="Calibri"/>
        <family val="2"/>
      </rPr>
      <t>Indicator Tracking Table:</t>
    </r>
    <r>
      <rPr>
        <b/>
        <sz val="11"/>
        <rFont val="Calibri"/>
        <family val="2"/>
      </rPr>
      <t xml:space="preserve"> </t>
    </r>
  </si>
  <si>
    <r>
      <t>a.</t>
    </r>
    <r>
      <rPr>
        <sz val="7"/>
        <rFont val="Times New Roman"/>
        <family val="1"/>
      </rPr>
      <t xml:space="preserve">       </t>
    </r>
    <r>
      <rPr>
        <sz val="11"/>
        <rFont val="Calibri"/>
        <family val="2"/>
      </rPr>
      <t xml:space="preserve">Actual data reported should be confirmed data that has been collected during the reporting period, not estimates or guesses. If you are confused about what an indicator means or how to enter the data, refer to your project’s </t>
    </r>
    <r>
      <rPr>
        <u/>
        <sz val="11"/>
        <rFont val="Calibri"/>
        <family val="2"/>
      </rPr>
      <t>M&amp;E Matrix</t>
    </r>
    <r>
      <rPr>
        <sz val="11"/>
        <rFont val="Calibri"/>
        <family val="2"/>
      </rPr>
      <t>.</t>
    </r>
  </si>
  <si>
    <r>
      <t>b.</t>
    </r>
    <r>
      <rPr>
        <sz val="7"/>
        <rFont val="Times New Roman"/>
        <family val="1"/>
      </rPr>
      <t xml:space="preserve">      </t>
    </r>
    <r>
      <rPr>
        <sz val="11"/>
        <rFont val="Calibri"/>
        <family val="2"/>
      </rPr>
      <t xml:space="preserve">The ITT should be filled out on a quarterly basis, before starting work on the </t>
    </r>
    <r>
      <rPr>
        <u/>
        <sz val="11"/>
        <rFont val="Calibri"/>
        <family val="2"/>
      </rPr>
      <t>Project Progress Report</t>
    </r>
    <r>
      <rPr>
        <sz val="11"/>
        <rFont val="Calibri"/>
        <family val="2"/>
      </rPr>
      <t>.</t>
    </r>
  </si>
  <si>
    <r>
      <t>c.</t>
    </r>
    <r>
      <rPr>
        <sz val="7"/>
        <rFont val="Times New Roman"/>
        <family val="1"/>
      </rPr>
      <t xml:space="preserve">       </t>
    </r>
    <r>
      <rPr>
        <sz val="11"/>
        <rFont val="Calibri"/>
        <family val="2"/>
      </rPr>
      <t xml:space="preserve">Some indicators will require the roll-up of data from multiple communities, districts, regions, etc. The </t>
    </r>
    <r>
      <rPr>
        <sz val="11"/>
        <color indexed="10"/>
        <rFont val="Calibri"/>
        <family val="2"/>
      </rPr>
      <t xml:space="preserve">primary </t>
    </r>
    <r>
      <rPr>
        <sz val="11"/>
        <rFont val="Calibri"/>
        <family val="2"/>
      </rPr>
      <t xml:space="preserve">data from each individual source should be kept in </t>
    </r>
    <r>
      <rPr>
        <strike/>
        <sz val="11"/>
        <color indexed="10"/>
        <rFont val="Calibri"/>
        <family val="2"/>
      </rPr>
      <t xml:space="preserve">a </t>
    </r>
    <r>
      <rPr>
        <sz val="11"/>
        <rFont val="Calibri"/>
        <family val="2"/>
      </rPr>
      <t xml:space="preserve"> </t>
    </r>
    <r>
      <rPr>
        <strike/>
        <sz val="11"/>
        <color indexed="10"/>
        <rFont val="Calibri"/>
        <family val="2"/>
      </rPr>
      <t>table on</t>
    </r>
    <r>
      <rPr>
        <sz val="11"/>
        <rFont val="Calibri"/>
        <family val="2"/>
      </rPr>
      <t xml:space="preserve"> another tab within this file, with the sum linked to the Actual column for that indicator. This will help assist in data verification.</t>
    </r>
  </si>
  <si>
    <r>
      <t>d.</t>
    </r>
    <r>
      <rPr>
        <sz val="7"/>
        <rFont val="Times New Roman"/>
        <family val="1"/>
      </rPr>
      <t xml:space="preserve">      </t>
    </r>
    <r>
      <rPr>
        <sz val="11"/>
        <rFont val="Calibri"/>
        <family val="2"/>
      </rPr>
      <t xml:space="preserve">Make sure to update actual beneficiary numbers in the ITT in each project reporting period. </t>
    </r>
  </si>
  <si>
    <r>
      <t>6.</t>
    </r>
    <r>
      <rPr>
        <b/>
        <sz val="7"/>
        <rFont val="Times New Roman"/>
        <family val="1"/>
      </rPr>
      <t xml:space="preserve">       </t>
    </r>
    <r>
      <rPr>
        <b/>
        <sz val="11"/>
        <rFont val="Calibri"/>
        <family val="2"/>
      </rPr>
      <t xml:space="preserve">Complete the </t>
    </r>
    <r>
      <rPr>
        <b/>
        <u/>
        <sz val="11"/>
        <rFont val="Calibri"/>
        <family val="2"/>
      </rPr>
      <t>Activity Tracking Table</t>
    </r>
    <r>
      <rPr>
        <b/>
        <sz val="11"/>
        <rFont val="Calibri"/>
        <family val="2"/>
      </rPr>
      <t>:</t>
    </r>
    <r>
      <rPr>
        <sz val="11"/>
        <rFont val="Calibri"/>
        <family val="2"/>
      </rPr>
      <t xml:space="preserve"> </t>
    </r>
    <r>
      <rPr>
        <b/>
        <sz val="11"/>
        <rFont val="Calibri"/>
        <family val="2"/>
      </rPr>
      <t>The ATT is a complimentary tool to the ITT. It allows activities to be tracked in a summary manner in a separate tab from the indicators so that the progress towards the project indicators in the ITT can be easily read. See tab k. for further instructions on using the ATT.</t>
    </r>
  </si>
  <si>
    <r>
      <t>a.</t>
    </r>
    <r>
      <rPr>
        <sz val="7"/>
        <rFont val="Times New Roman"/>
        <family val="1"/>
      </rPr>
      <t xml:space="preserve">       </t>
    </r>
    <r>
      <rPr>
        <sz val="11"/>
        <rFont val="Calibri"/>
        <family val="2"/>
      </rPr>
      <t>List the high level projects activities in the first column as outlined in the project proposal. Make sure that the activities listed under each Output are associated specifically with that Output.</t>
    </r>
  </si>
  <si>
    <r>
      <t>b.</t>
    </r>
    <r>
      <rPr>
        <sz val="7"/>
        <rFont val="Times New Roman"/>
        <family val="1"/>
      </rPr>
      <t xml:space="preserve">      </t>
    </r>
    <r>
      <rPr>
        <sz val="11"/>
        <rFont val="Calibri"/>
        <family val="2"/>
      </rPr>
      <t>Complete the "targets" for each activity for each reporting period, year, and LOP based upon the project's detailed implementation plan.</t>
    </r>
  </si>
  <si>
    <r>
      <t>c.</t>
    </r>
    <r>
      <rPr>
        <sz val="7"/>
        <rFont val="Times New Roman"/>
        <family val="1"/>
      </rPr>
      <t xml:space="preserve">       </t>
    </r>
    <r>
      <rPr>
        <sz val="11"/>
        <rFont val="Calibri"/>
        <family val="2"/>
      </rPr>
      <t>The ATT should be filled out on a quarterly basis with activities accomplished during the reporting period.</t>
    </r>
  </si>
  <si>
    <r>
      <t>d.</t>
    </r>
    <r>
      <rPr>
        <sz val="7"/>
        <rFont val="Times New Roman"/>
        <family val="1"/>
      </rPr>
      <t xml:space="preserve">      </t>
    </r>
    <r>
      <rPr>
        <sz val="11"/>
        <rFont val="Calibri"/>
        <family val="2"/>
      </rPr>
      <t>For each reporting period, update the status of the activity in column W. It should be updated with "Not yet started," In progress," or "Completed." If it is completed, list the date completed.</t>
    </r>
  </si>
  <si>
    <t>TOOL SUMMARY: M&amp;E MATRIX INSTRUCTIONS</t>
  </si>
  <si>
    <t>Purpose</t>
  </si>
  <si>
    <r>
      <t xml:space="preserve">The purpose of this tool is to guide staff to complete each column of the </t>
    </r>
    <r>
      <rPr>
        <u/>
        <sz val="11"/>
        <rFont val="Calibri"/>
        <family val="2"/>
      </rPr>
      <t>M&amp;E Matrix</t>
    </r>
    <r>
      <rPr>
        <sz val="11"/>
        <rFont val="Calibri"/>
        <family val="2"/>
      </rPr>
      <t>.</t>
    </r>
  </si>
  <si>
    <r>
      <t>·</t>
    </r>
    <r>
      <rPr>
        <sz val="7"/>
        <rFont val="Times New Roman"/>
        <family val="1"/>
      </rPr>
      <t xml:space="preserve">         </t>
    </r>
    <r>
      <rPr>
        <sz val="11"/>
        <rFont val="Calibri"/>
        <family val="2"/>
      </rPr>
      <t xml:space="preserve">The </t>
    </r>
    <r>
      <rPr>
        <u/>
        <sz val="11"/>
        <rFont val="Calibri"/>
        <family val="2"/>
      </rPr>
      <t>M&amp;E Matrix</t>
    </r>
    <r>
      <rPr>
        <sz val="11"/>
        <rFont val="Calibri"/>
        <family val="2"/>
      </rPr>
      <t xml:space="preserve"> is a critical tool for planning and managing data collection, analysis, and use. It expands on the </t>
    </r>
    <r>
      <rPr>
        <u/>
        <sz val="11"/>
        <rFont val="Calibri"/>
        <family val="2"/>
      </rPr>
      <t>Logframe</t>
    </r>
    <r>
      <rPr>
        <sz val="11"/>
        <rFont val="Calibri"/>
        <family val="2"/>
      </rPr>
      <t xml:space="preserve"> to identify key information requirements for each indicator and summarizes the key M&amp;E tasks for the project.</t>
    </r>
  </si>
  <si>
    <r>
      <t>o</t>
    </r>
    <r>
      <rPr>
        <sz val="7"/>
        <rFont val="Times New Roman"/>
        <family val="1"/>
      </rPr>
      <t xml:space="preserve">   </t>
    </r>
    <r>
      <rPr>
        <sz val="11"/>
        <rFont val="Calibri"/>
        <family val="2"/>
      </rPr>
      <t>It helps staff determine if a proposed indicator can effectively measure the result to which it is linked.</t>
    </r>
  </si>
  <si>
    <r>
      <t>o</t>
    </r>
    <r>
      <rPr>
        <sz val="7"/>
        <rFont val="Times New Roman"/>
        <family val="1"/>
      </rPr>
      <t xml:space="preserve">   </t>
    </r>
    <r>
      <rPr>
        <sz val="11"/>
        <rFont val="Calibri"/>
        <family val="2"/>
      </rPr>
      <t xml:space="preserve">It helps staff determine if the proposed indicators can feasibly be collected given time and resource constraints. </t>
    </r>
  </si>
  <si>
    <t>Information Sources</t>
  </si>
  <si>
    <r>
      <t xml:space="preserve">Information the project team should have before starting the </t>
    </r>
    <r>
      <rPr>
        <b/>
        <u/>
        <sz val="11"/>
        <rFont val="Calibri"/>
        <family val="2"/>
      </rPr>
      <t>M&amp;E Matrix</t>
    </r>
    <r>
      <rPr>
        <b/>
        <sz val="11"/>
        <rFont val="Calibri"/>
        <family val="2"/>
      </rPr>
      <t>:</t>
    </r>
  </si>
  <si>
    <r>
      <t>·</t>
    </r>
    <r>
      <rPr>
        <sz val="7"/>
        <rFont val="Times New Roman"/>
        <family val="1"/>
      </rPr>
      <t xml:space="preserve">         </t>
    </r>
    <r>
      <rPr>
        <u/>
        <sz val="11"/>
        <rFont val="Calibri"/>
        <family val="2"/>
      </rPr>
      <t>Logframe</t>
    </r>
  </si>
  <si>
    <r>
      <t>·</t>
    </r>
    <r>
      <rPr>
        <sz val="7"/>
        <rFont val="Times New Roman"/>
        <family val="1"/>
      </rPr>
      <t xml:space="preserve">         </t>
    </r>
    <r>
      <rPr>
        <sz val="11"/>
        <rFont val="Calibri"/>
        <family val="2"/>
      </rPr>
      <t>Project Proposal (</t>
    </r>
    <r>
      <rPr>
        <strike/>
        <u/>
        <sz val="11"/>
        <color indexed="10"/>
        <rFont val="Calibri"/>
        <family val="2"/>
      </rPr>
      <t xml:space="preserve">Initial </t>
    </r>
    <r>
      <rPr>
        <u/>
        <sz val="11"/>
        <rFont val="Calibri"/>
        <family val="2"/>
      </rPr>
      <t>M&amp;E Plan</t>
    </r>
    <r>
      <rPr>
        <sz val="11"/>
        <rFont val="Calibri"/>
        <family val="2"/>
      </rPr>
      <t>)</t>
    </r>
  </si>
  <si>
    <r>
      <t xml:space="preserve">Guidance for </t>
    </r>
    <r>
      <rPr>
        <b/>
        <u/>
        <sz val="11"/>
        <rFont val="Calibri"/>
        <family val="2"/>
      </rPr>
      <t>M&amp;E Matrix</t>
    </r>
    <r>
      <rPr>
        <b/>
        <sz val="11"/>
        <rFont val="Calibri"/>
        <family val="2"/>
      </rPr>
      <t>:</t>
    </r>
  </si>
  <si>
    <r>
      <t>·</t>
    </r>
    <r>
      <rPr>
        <sz val="7"/>
        <rFont val="Times New Roman"/>
        <family val="1"/>
      </rPr>
      <t xml:space="preserve">         </t>
    </r>
    <r>
      <rPr>
        <sz val="11"/>
        <rFont val="Calibri"/>
        <family val="2"/>
      </rPr>
      <t>CRS SMILER Guide</t>
    </r>
  </si>
  <si>
    <t>Who</t>
  </si>
  <si>
    <r>
      <t xml:space="preserve">This tool is a reference that can be used </t>
    </r>
    <r>
      <rPr>
        <strike/>
        <sz val="11"/>
        <color indexed="10"/>
        <rFont val="Calibri"/>
        <family val="2"/>
      </rPr>
      <t xml:space="preserve">as a reference for </t>
    </r>
    <r>
      <rPr>
        <sz val="11"/>
        <color indexed="10"/>
        <rFont val="Calibri"/>
        <family val="2"/>
      </rPr>
      <t>by</t>
    </r>
    <r>
      <rPr>
        <sz val="11"/>
        <rFont val="Calibri"/>
        <family val="2"/>
      </rPr>
      <t xml:space="preserve"> any staff working to complete the </t>
    </r>
    <r>
      <rPr>
        <u/>
        <sz val="11"/>
        <rFont val="Calibri"/>
        <family val="2"/>
      </rPr>
      <t>M&amp;E Matrix</t>
    </r>
  </si>
  <si>
    <t>When</t>
  </si>
  <si>
    <r>
      <t xml:space="preserve">Given that the </t>
    </r>
    <r>
      <rPr>
        <u/>
        <sz val="11"/>
        <rFont val="Calibri"/>
        <family val="2"/>
      </rPr>
      <t>M&amp;E Matrix</t>
    </r>
    <r>
      <rPr>
        <sz val="11"/>
        <rFont val="Calibri"/>
        <family val="2"/>
      </rPr>
      <t xml:space="preserve"> helps define the scope (cost, time) of the project’s monitoring system, it is recommended that the Indicator Definition, Frequency/Schedule, and Responsible Person columns be completed before finalizing the project proposal.</t>
    </r>
  </si>
  <si>
    <r>
      <t xml:space="preserve">The remaining columns of the </t>
    </r>
    <r>
      <rPr>
        <u/>
        <sz val="11"/>
        <rFont val="Calibri"/>
        <family val="2"/>
      </rPr>
      <t>M&amp;E Matrix</t>
    </r>
    <r>
      <rPr>
        <sz val="11"/>
        <rFont val="Calibri"/>
        <family val="2"/>
      </rPr>
      <t xml:space="preserve"> should be filled out as the information becomes available, but must be finalized within the following timeframes:</t>
    </r>
  </si>
  <si>
    <r>
      <t>·</t>
    </r>
    <r>
      <rPr>
        <sz val="7"/>
        <rFont val="Times New Roman"/>
        <family val="1"/>
      </rPr>
      <t xml:space="preserve">         </t>
    </r>
    <r>
      <rPr>
        <sz val="11"/>
        <rFont val="Calibri"/>
        <family val="2"/>
      </rPr>
      <t>Projects 1 year or less: complete a detailed M&amp;E plan within 60 days of the project approval</t>
    </r>
  </si>
  <si>
    <r>
      <t>·</t>
    </r>
    <r>
      <rPr>
        <sz val="7"/>
        <rFont val="Times New Roman"/>
        <family val="1"/>
      </rPr>
      <t xml:space="preserve">         </t>
    </r>
    <r>
      <rPr>
        <sz val="11"/>
        <rFont val="Calibri"/>
        <family val="2"/>
      </rPr>
      <t>Projects with a duration of 1-3 years:  complete a detailed M&amp;E plan within 90 days of the project approval</t>
    </r>
  </si>
  <si>
    <r>
      <t>·</t>
    </r>
    <r>
      <rPr>
        <sz val="7"/>
        <rFont val="Times New Roman"/>
        <family val="1"/>
      </rPr>
      <t xml:space="preserve">         </t>
    </r>
    <r>
      <rPr>
        <sz val="11"/>
        <rFont val="Calibri"/>
        <family val="2"/>
      </rPr>
      <t>Projects with a duration of 3-5 years: complete a detailed M&amp;E plan within 120 days of project approval</t>
    </r>
  </si>
  <si>
    <t>Requirements</t>
  </si>
  <si>
    <t>REQUIREMENTS:</t>
  </si>
  <si>
    <r>
      <t>·</t>
    </r>
    <r>
      <rPr>
        <sz val="7"/>
        <rFont val="Times New Roman"/>
        <family val="1"/>
      </rPr>
      <t xml:space="preserve">         </t>
    </r>
    <r>
      <rPr>
        <sz val="11"/>
        <rFont val="Calibri"/>
        <family val="2"/>
      </rPr>
      <t xml:space="preserve">This </t>
    </r>
    <r>
      <rPr>
        <u/>
        <sz val="11"/>
        <rFont val="Calibri"/>
        <family val="2"/>
      </rPr>
      <t>M&amp;E Matrix</t>
    </r>
    <r>
      <rPr>
        <sz val="11"/>
        <rFont val="Calibri"/>
        <family val="2"/>
      </rPr>
      <t xml:space="preserve"> should be used for all LWR projects.</t>
    </r>
  </si>
  <si>
    <r>
      <t>·</t>
    </r>
    <r>
      <rPr>
        <sz val="7"/>
        <rFont val="Times New Roman"/>
        <family val="1"/>
      </rPr>
      <t xml:space="preserve">         </t>
    </r>
    <r>
      <rPr>
        <sz val="11"/>
        <rFont val="Calibri"/>
        <family val="2"/>
      </rPr>
      <t xml:space="preserve">The </t>
    </r>
    <r>
      <rPr>
        <u/>
        <sz val="11"/>
        <rFont val="Calibri"/>
        <family val="2"/>
      </rPr>
      <t>M&amp;E Matrix</t>
    </r>
    <r>
      <rPr>
        <sz val="11"/>
        <rFont val="Calibri"/>
        <family val="2"/>
      </rPr>
      <t xml:space="preserve"> is a living document and should be updated based upon relevant project adjustments</t>
    </r>
  </si>
  <si>
    <r>
      <t>o</t>
    </r>
    <r>
      <rPr>
        <sz val="7"/>
        <rFont val="Times New Roman"/>
        <family val="1"/>
      </rPr>
      <t xml:space="preserve">   </t>
    </r>
    <r>
      <rPr>
        <sz val="11"/>
        <rFont val="Calibri"/>
        <family val="2"/>
      </rPr>
      <t xml:space="preserve">If the </t>
    </r>
    <r>
      <rPr>
        <u/>
        <sz val="11"/>
        <rFont val="Calibri"/>
        <family val="2"/>
      </rPr>
      <t>M&amp;E Matrix</t>
    </r>
    <r>
      <rPr>
        <sz val="11"/>
        <rFont val="Calibri"/>
        <family val="2"/>
      </rPr>
      <t xml:space="preserve"> is changed report the changes, the reason, and how it affects other aspects of the M&amp;E and project implementation plan</t>
    </r>
  </si>
  <si>
    <r>
      <t>o</t>
    </r>
    <r>
      <rPr>
        <sz val="7"/>
        <rFont val="Times New Roman"/>
        <family val="1"/>
      </rPr>
      <t xml:space="preserve">   </t>
    </r>
    <r>
      <rPr>
        <sz val="11"/>
        <rFont val="Calibri"/>
        <family val="2"/>
      </rPr>
      <t>If changes are made to the plan, ensure that HQ, the country office, and the partner have the updated version</t>
    </r>
  </si>
  <si>
    <t>RECOMMENDATIONS:</t>
  </si>
  <si>
    <r>
      <t>·</t>
    </r>
    <r>
      <rPr>
        <sz val="7"/>
        <rFont val="Times New Roman"/>
        <family val="1"/>
      </rPr>
      <t xml:space="preserve">         </t>
    </r>
    <r>
      <rPr>
        <sz val="11"/>
        <rFont val="Calibri"/>
        <family val="2"/>
      </rPr>
      <t xml:space="preserve">Ideally, the </t>
    </r>
    <r>
      <rPr>
        <u/>
        <sz val="11"/>
        <rFont val="Calibri"/>
        <family val="2"/>
      </rPr>
      <t>M&amp;E Matrix</t>
    </r>
    <r>
      <rPr>
        <sz val="11"/>
        <rFont val="Calibri"/>
        <family val="2"/>
      </rPr>
      <t xml:space="preserve"> will be finalized during a joint project planning meeting (project kick-off meeting) with participation from both key partner and LWR staff.</t>
    </r>
  </si>
  <si>
    <t xml:space="preserve">SMART Criteria: </t>
  </si>
  <si>
    <r>
      <t>·</t>
    </r>
    <r>
      <rPr>
        <sz val="7"/>
        <rFont val="Times New Roman"/>
        <family val="1"/>
      </rPr>
      <t xml:space="preserve">         </t>
    </r>
    <r>
      <rPr>
        <sz val="11"/>
        <rFont val="Calibri"/>
        <family val="2"/>
      </rPr>
      <t>SMART criteria are: Specific, Measurable, Attainable, Relevant, and Timebound.</t>
    </r>
  </si>
  <si>
    <r>
      <t>·</t>
    </r>
    <r>
      <rPr>
        <sz val="7"/>
        <color indexed="8"/>
        <rFont val="Times New Roman"/>
        <family val="1"/>
      </rPr>
      <t xml:space="preserve">         </t>
    </r>
    <r>
      <rPr>
        <sz val="11"/>
        <color indexed="8"/>
        <rFont val="Calibri"/>
        <family val="2"/>
      </rPr>
      <t xml:space="preserve">It is recommended that objective statements in the </t>
    </r>
    <r>
      <rPr>
        <u/>
        <sz val="11"/>
        <color indexed="8"/>
        <rFont val="Calibri"/>
        <family val="2"/>
      </rPr>
      <t>Logframe</t>
    </r>
    <r>
      <rPr>
        <sz val="11"/>
        <color indexed="8"/>
        <rFont val="Calibri"/>
        <family val="2"/>
      </rPr>
      <t xml:space="preserve"> are </t>
    </r>
    <r>
      <rPr>
        <b/>
        <sz val="11"/>
        <color indexed="8"/>
        <rFont val="Calibri"/>
        <family val="2"/>
      </rPr>
      <t>NOT</t>
    </r>
    <r>
      <rPr>
        <sz val="11"/>
        <color indexed="8"/>
        <rFont val="Calibri"/>
        <family val="2"/>
      </rPr>
      <t xml:space="preserve"> written using SMART criteria.</t>
    </r>
  </si>
  <si>
    <r>
      <t>o</t>
    </r>
    <r>
      <rPr>
        <sz val="7"/>
        <color indexed="8"/>
        <rFont val="Times New Roman"/>
        <family val="1"/>
      </rPr>
      <t xml:space="preserve">   </t>
    </r>
    <r>
      <rPr>
        <sz val="11"/>
        <color indexed="8"/>
        <rFont val="Calibri"/>
        <family val="2"/>
      </rPr>
      <t xml:space="preserve">Nevertheless, SMART objective statements can sometimes be used effectively within project proposals to show all the details of the expected result in one statement.  </t>
    </r>
  </si>
  <si>
    <r>
      <t>·</t>
    </r>
    <r>
      <rPr>
        <sz val="7"/>
        <color indexed="8"/>
        <rFont val="Times New Roman"/>
        <family val="1"/>
      </rPr>
      <t xml:space="preserve">         </t>
    </r>
    <r>
      <rPr>
        <sz val="11"/>
        <color indexed="8"/>
        <rFont val="Calibri"/>
        <family val="2"/>
      </rPr>
      <t>SMART criteria should be applied to indicators, not objective statements. (reference p. 37 of IFRC Project Planning Guidance Manual for further information on SMART criteria).</t>
    </r>
  </si>
  <si>
    <r>
      <t>·</t>
    </r>
    <r>
      <rPr>
        <sz val="7"/>
        <color indexed="8"/>
        <rFont val="Times New Roman"/>
        <family val="1"/>
      </rPr>
      <t xml:space="preserve">         </t>
    </r>
    <r>
      <rPr>
        <sz val="11"/>
        <color indexed="8"/>
        <rFont val="Calibri"/>
        <family val="2"/>
      </rPr>
      <t xml:space="preserve">Follow the instructions and examples for writing indicators found in the </t>
    </r>
    <r>
      <rPr>
        <u/>
        <sz val="11"/>
        <color indexed="8"/>
        <rFont val="Calibri"/>
        <family val="2"/>
      </rPr>
      <t>Logframe Cheat Sheet</t>
    </r>
    <r>
      <rPr>
        <sz val="11"/>
        <color indexed="8"/>
        <rFont val="Calibri"/>
        <family val="2"/>
      </rPr>
      <t>.</t>
    </r>
  </si>
  <si>
    <r>
      <rPr>
        <sz val="11"/>
        <rFont val="Symbol"/>
        <family val="1"/>
        <charset val="2"/>
      </rPr>
      <t>·</t>
    </r>
    <r>
      <rPr>
        <sz val="7"/>
        <rFont val="Times New Roman"/>
        <family val="1"/>
      </rPr>
      <t xml:space="preserve">         </t>
    </r>
    <r>
      <rPr>
        <sz val="11"/>
        <rFont val="Calibri"/>
        <family val="2"/>
      </rPr>
      <t xml:space="preserve">As presented in the </t>
    </r>
    <r>
      <rPr>
        <u/>
        <sz val="11"/>
        <rFont val="Calibri"/>
        <family val="2"/>
      </rPr>
      <t>Logframe</t>
    </r>
    <r>
      <rPr>
        <sz val="11"/>
        <rFont val="Calibri"/>
        <family val="2"/>
      </rPr>
      <t xml:space="preserve">, each indicator may not meet all the SMART criteria, but once the </t>
    </r>
    <r>
      <rPr>
        <u/>
        <sz val="11"/>
        <rFont val="Calibri"/>
        <family val="2"/>
      </rPr>
      <t>M&amp;E Matrix</t>
    </r>
    <r>
      <rPr>
        <sz val="11"/>
        <rFont val="Calibri"/>
        <family val="2"/>
      </rPr>
      <t xml:space="preserve"> is fully developed the indicators should be SMART.</t>
    </r>
  </si>
  <si>
    <t>Tips</t>
  </si>
  <si>
    <r>
      <t>·</t>
    </r>
    <r>
      <rPr>
        <sz val="7"/>
        <color indexed="8"/>
        <rFont val="Times New Roman"/>
        <family val="1"/>
      </rPr>
      <t xml:space="preserve">         </t>
    </r>
    <r>
      <rPr>
        <sz val="11"/>
        <color indexed="8"/>
        <rFont val="Calibri"/>
        <family val="2"/>
      </rPr>
      <t xml:space="preserve">The </t>
    </r>
    <r>
      <rPr>
        <u/>
        <sz val="11"/>
        <rFont val="Calibri"/>
        <family val="2"/>
      </rPr>
      <t>M&amp;E Matrix</t>
    </r>
    <r>
      <rPr>
        <sz val="11"/>
        <rFont val="Calibri"/>
        <family val="2"/>
      </rPr>
      <t xml:space="preserve"> </t>
    </r>
    <r>
      <rPr>
        <sz val="11"/>
        <color indexed="8"/>
        <rFont val="Calibri"/>
        <family val="2"/>
      </rPr>
      <t xml:space="preserve">should be completed by those who will be using it. This allows the project team to crosscheck the </t>
    </r>
    <r>
      <rPr>
        <u/>
        <sz val="11"/>
        <color indexed="8"/>
        <rFont val="Calibri"/>
        <family val="2"/>
      </rPr>
      <t>Logframe</t>
    </r>
    <r>
      <rPr>
        <sz val="11"/>
        <color indexed="8"/>
        <rFont val="Calibri"/>
        <family val="2"/>
      </rPr>
      <t xml:space="preserve"> and indicators before project implementation (ensuring they are sensitive to field realities and team capacities). Team involvement is essential because the </t>
    </r>
    <r>
      <rPr>
        <u/>
        <sz val="11"/>
        <rFont val="Calibri"/>
        <family val="2"/>
      </rPr>
      <t>M&amp;E Matrix</t>
    </r>
    <r>
      <rPr>
        <sz val="11"/>
        <color indexed="8"/>
        <rFont val="Calibri"/>
        <family val="2"/>
      </rPr>
      <t xml:space="preserve"> requires their detailed knowledge of the project context, and their involvement reinforces their understanding of what data they are to collect and how they will collect them.</t>
    </r>
  </si>
  <si>
    <r>
      <t>·</t>
    </r>
    <r>
      <rPr>
        <sz val="7"/>
        <color indexed="8"/>
        <rFont val="Times New Roman"/>
        <family val="1"/>
      </rPr>
      <t xml:space="preserve">         </t>
    </r>
    <r>
      <rPr>
        <sz val="11"/>
        <color indexed="8"/>
        <rFont val="Calibri"/>
        <family val="2"/>
      </rPr>
      <t xml:space="preserve">Keep the </t>
    </r>
    <r>
      <rPr>
        <u/>
        <sz val="11"/>
        <rFont val="Calibri"/>
        <family val="2"/>
      </rPr>
      <t>M&amp;E Matrix</t>
    </r>
    <r>
      <rPr>
        <sz val="11"/>
        <rFont val="Calibri"/>
        <family val="2"/>
      </rPr>
      <t xml:space="preserve"> </t>
    </r>
    <r>
      <rPr>
        <strike/>
        <sz val="11"/>
        <color indexed="10"/>
        <rFont val="Calibri"/>
        <family val="2"/>
      </rPr>
      <t>plan</t>
    </r>
    <r>
      <rPr>
        <sz val="11"/>
        <color indexed="8"/>
        <rFont val="Calibri"/>
        <family val="2"/>
      </rPr>
      <t xml:space="preserve"> appropriate for the scale and timeframe of the project. Remember, it should be ‘good enough’.</t>
    </r>
  </si>
  <si>
    <r>
      <t>·</t>
    </r>
    <r>
      <rPr>
        <sz val="7"/>
        <color indexed="8"/>
        <rFont val="Times New Roman"/>
        <family val="1"/>
      </rPr>
      <t xml:space="preserve">         </t>
    </r>
    <r>
      <rPr>
        <sz val="11"/>
        <color indexed="8"/>
        <rFont val="Calibri"/>
        <family val="2"/>
      </rPr>
      <t>Double check that your indicators can be measured in a realistic manner. Balance qualitative and quantitative data to measure indicators.</t>
    </r>
  </si>
  <si>
    <r>
      <t>·</t>
    </r>
    <r>
      <rPr>
        <sz val="7"/>
        <color indexed="8"/>
        <rFont val="Times New Roman"/>
        <family val="1"/>
      </rPr>
      <t xml:space="preserve">         </t>
    </r>
    <r>
      <rPr>
        <sz val="11"/>
        <color indexed="8"/>
        <rFont val="Calibri"/>
        <family val="2"/>
      </rPr>
      <t xml:space="preserve">Make sure to be clear who within the project team is responsible for “owning the </t>
    </r>
    <r>
      <rPr>
        <u/>
        <sz val="11"/>
        <rFont val="Calibri"/>
        <family val="2"/>
      </rPr>
      <t>M&amp;E Matrix</t>
    </r>
    <r>
      <rPr>
        <sz val="11"/>
        <color indexed="8"/>
        <rFont val="Calibri"/>
        <family val="2"/>
      </rPr>
      <t xml:space="preserve">.” This includes ensuring it is thoroughly completed, that all relevant project stakeholders understand it and have copies of it, that any changes made are fully incorporated and shared, and to regularly monitor and manage that all outlined tasks are being completed. The same person should also be responsible for managing the </t>
    </r>
    <r>
      <rPr>
        <u/>
        <sz val="11"/>
        <color indexed="8"/>
        <rFont val="Calibri"/>
        <family val="2"/>
      </rPr>
      <t>Indicator Tracking Table</t>
    </r>
    <r>
      <rPr>
        <sz val="11"/>
        <color indexed="8"/>
        <rFont val="Calibri"/>
        <family val="2"/>
      </rPr>
      <t xml:space="preserve"> and the </t>
    </r>
    <r>
      <rPr>
        <u/>
        <sz val="11"/>
        <color indexed="8"/>
        <rFont val="Calibri"/>
        <family val="2"/>
      </rPr>
      <t>Activity Tracking Table</t>
    </r>
    <r>
      <rPr>
        <sz val="11"/>
        <color indexed="8"/>
        <rFont val="Calibri"/>
        <family val="2"/>
      </rPr>
      <t>.</t>
    </r>
  </si>
  <si>
    <r>
      <t>·</t>
    </r>
    <r>
      <rPr>
        <sz val="7"/>
        <color indexed="8"/>
        <rFont val="Times New Roman"/>
        <family val="1"/>
      </rPr>
      <t xml:space="preserve">         </t>
    </r>
    <r>
      <rPr>
        <sz val="11"/>
        <rFont val="Calibri"/>
        <family val="2"/>
      </rPr>
      <t xml:space="preserve">The </t>
    </r>
    <r>
      <rPr>
        <u/>
        <sz val="11"/>
        <rFont val="Calibri"/>
        <family val="2"/>
      </rPr>
      <t>M&amp;E Matrix</t>
    </r>
    <r>
      <rPr>
        <sz val="11"/>
        <rFont val="Calibri"/>
        <family val="2"/>
      </rPr>
      <t xml:space="preserve"> is nearly identical to USAID’s Performance Monitoring Plan. The instructions for the </t>
    </r>
    <r>
      <rPr>
        <u/>
        <sz val="11"/>
        <rFont val="Calibri"/>
        <family val="2"/>
      </rPr>
      <t>M&amp;E Matrix</t>
    </r>
    <r>
      <rPr>
        <sz val="11"/>
        <rFont val="Calibri"/>
        <family val="2"/>
      </rPr>
      <t xml:space="preserve"> can be applied to complete USAID’s PMP.</t>
    </r>
  </si>
  <si>
    <t>How to Address Gender Issues</t>
  </si>
  <si>
    <r>
      <rPr>
        <sz val="11"/>
        <rFont val="Symbol"/>
        <family val="1"/>
        <charset val="2"/>
      </rPr>
      <t>·</t>
    </r>
    <r>
      <rPr>
        <sz val="7"/>
        <rFont val="Times New Roman"/>
        <family val="1"/>
      </rPr>
      <t xml:space="preserve">         </t>
    </r>
    <r>
      <rPr>
        <sz val="11"/>
        <rFont val="Calibri"/>
        <family val="2"/>
      </rPr>
      <t>Sex-disaggregate data of all indicators for which people are the unit of measure.</t>
    </r>
  </si>
  <si>
    <r>
      <rPr>
        <sz val="11"/>
        <rFont val="Symbol"/>
        <family val="1"/>
        <charset val="2"/>
      </rPr>
      <t>·</t>
    </r>
    <r>
      <rPr>
        <sz val="7"/>
        <rFont val="Times New Roman"/>
        <family val="1"/>
      </rPr>
      <t xml:space="preserve">         </t>
    </r>
    <r>
      <rPr>
        <sz val="11"/>
        <rFont val="Calibri"/>
        <family val="2"/>
      </rPr>
      <t>Include qualitative and quantitative indicators .</t>
    </r>
  </si>
  <si>
    <r>
      <t>M&amp;E Matrix Cheat Sheet</t>
    </r>
    <r>
      <rPr>
        <sz val="14"/>
        <rFont val="Calibri"/>
        <family val="2"/>
      </rPr>
      <t> </t>
    </r>
    <r>
      <rPr>
        <b/>
        <vertAlign val="superscript"/>
        <sz val="14"/>
        <rFont val="Calibri"/>
        <family val="2"/>
      </rPr>
      <t>[1]</t>
    </r>
    <r>
      <rPr>
        <sz val="14"/>
        <rFont val="Calibri"/>
        <family val="2"/>
      </rPr>
      <t> </t>
    </r>
  </si>
  <si>
    <t>PERFORMANCE INDICATORS</t>
  </si>
  <si>
    <t>DATA GATHERING</t>
  </si>
  <si>
    <t>ANALYSIS, USE, REPORTING</t>
  </si>
  <si>
    <t>Indicator</t>
  </si>
  <si>
    <t xml:space="preserve">Indicator Definition </t>
  </si>
  <si>
    <t>Unit of Measurement</t>
  </si>
  <si>
    <r>
      <t>Method</t>
    </r>
    <r>
      <rPr>
        <sz val="11"/>
        <rFont val="Calibri"/>
        <family val="2"/>
      </rPr>
      <t> </t>
    </r>
  </si>
  <si>
    <t>Means of Verification (Data Source/Tools)</t>
  </si>
  <si>
    <t>Frequency &amp; Schedule</t>
  </si>
  <si>
    <t>Responsible Person</t>
  </si>
  <si>
    <t xml:space="preserve">Data Analysis </t>
  </si>
  <si>
    <t>Information Use/Audience</t>
  </si>
  <si>
    <t xml:space="preserve">Reporting </t>
  </si>
  <si>
    <t xml:space="preserve">- Indicators are taken from the logframe. When transferring them, check to ensure they are SMART (specific, measureable, achievable, relevant, and time-bound).
- Often, the indicator may need to be revised according to field realities. If this is the case, be sure any revisions are approved by LWR and/or the donor. 
- If indicators are updated here, ensure the logframe is also updated.
</t>
  </si>
  <si>
    <t xml:space="preserve">- Each indicator needs a detailed definition of its key terms, including an explanation of specific aspects that will be measured (such as who, what, and where the indicator applies). 
- Define subjective words as necessary, such as “appropriate,” “successful,” “sustainable,” “sufficient,” “capacity,” etc. 
- The definition should explain precisely how the indicator will be calculated, such as the numerator and denominator of a percent measure.
- This column should also note if the indicator is to be disaggregated by sex, age, ethnicity, or some other variable.
</t>
  </si>
  <si>
    <t xml:space="preserve">-Each indicator must have a clear unit of measure. </t>
  </si>
  <si>
    <t xml:space="preserve"> -This column can be used to outline if the indicator will be collected during the baseline, during monitoring, and/or at the end of the project. Each of these require specific methods by which data will be collected during that period. These can include approaches such as use of secondary data, regular monitoring, baseline or endline surveys, PRA, focus group discussions, etc.
-The method should match the Means of Verification. For example, if the method is ‘regular monitoring,’ the means of verification should be some type of report regularly produced by project staff.
</t>
  </si>
  <si>
    <t xml:space="preserve">- This column identifies sources of information. 
- If multiple sources are listed, it must be clear how the information in the various sources will come together to make one aggregated data point for the indicator that can be entered into the ITT.
- This column should also indicate whether data collection tools (questionnaires, checklists) are pre-existing or will need to be developed. 
- The logframe column on “Means of Verification” may list only one source (field agent report). The M&amp;E plan requires much more detail, since the M&amp;E system much include all responsbilities and related data collection templates and timeframes. 
</t>
  </si>
  <si>
    <t xml:space="preserve">- This column states the frequency for each indicator (monthly, quarterly, annually) as well as the scheduled (day/month/year). 
- The frequency and schedule listed must match the targets set in the Indicator Tracking Table. 
- When planning for data collection timing, it is important to consider factors such as planting and harvest periods, seasonal variations, school schedules, holidays, and religious observances (i.e. Ramadan).
</t>
  </si>
  <si>
    <t xml:space="preserve">- This column lists the people responsible and accountable for the data collection and analysis, i.e., community volunteers, field staff, project managers, local partner/s, and external consultants.
- In addition to specific people’s names, use the position title to ensure clarity in case of personnel changes. 
- This column is useful to budget for M&amp;E staff and planning for their capacity building.
</t>
  </si>
  <si>
    <t xml:space="preserve">-This column should be used by the project team for whatever reminders or support are deemed practical. It describes the process for compiling and analyzing the data. This process gauges if the indicator has been met.
- For example, survey data usually requires statistical analysis, while qualitative data may be reviewed by research staff or community members.
- Include any questions that the project team may want to ask to better understand the data once it is compiled.
</t>
  </si>
  <si>
    <t xml:space="preserve">- This column identifies the intended audience and use of the information. 
- For example, the findings could be used for monitoring project implementation, evaluating the interventions, planning future project work, or reporting to policy makers or donors. 
- Defining how you will use the information helps eliminate unnecessary indicators or analysis. The data should be linked clearly to decision making and/or accountability. 
- Reduce the quantity and frequency of data collection if the tabulation and analysis cannot be done in time for decision-making or communications and reporting.
</t>
  </si>
  <si>
    <t xml:space="preserve">- It is important to identify in which reports each indicator data will appear. Communication and reporting mapping will assist in identifying where each indicator is reported.
- This column should also state ways that the findings will be formatted (tables, graphs, maps, histograms, narrative reports). This will help to ensure that only the most relevant data and information is reported to each stakeholder, and will increase the likelihood of feedback on reported information.
</t>
  </si>
  <si>
    <r>
      <t>[1]</t>
    </r>
    <r>
      <rPr>
        <sz val="9"/>
        <rFont val="Calibri"/>
        <family val="2"/>
      </rPr>
      <t xml:space="preserve"> M&amp;E Plan Matrix template was derived from IFRC’s M&amp;E Plan Template (April 6, 2011): http://ifrc.org/en/who-we-are/performance-and-accountability/monitoring-and-evaluation/, and CRS’ ProPak. The content for the instructions were borrowed primarily from IFRC’s M&amp;E Plan Template (April 6, 2011) with additional content  borrowed from CRS’ M&amp;E in Emergencies, DESIGN: How to develop an M&amp;E plan in an emergency project M&amp;E Plan Template, Appendix 3, p. 54.</t>
    </r>
  </si>
  <si>
    <t>Project Name:</t>
  </si>
  <si>
    <t>Project Location:</t>
  </si>
  <si>
    <t>Project Year:</t>
  </si>
  <si>
    <t>Identifier</t>
  </si>
  <si>
    <t>Partner:</t>
  </si>
  <si>
    <t>Project Start Date:</t>
  </si>
  <si>
    <t>Project Sector(s):</t>
  </si>
  <si>
    <t>Project End Date:</t>
  </si>
  <si>
    <t>Method</t>
  </si>
  <si>
    <t>Means of Verification</t>
  </si>
  <si>
    <t>Frequency and Schedule</t>
  </si>
  <si>
    <t>Reponsible person/ team</t>
  </si>
  <si>
    <t>Data Analysis</t>
  </si>
  <si>
    <t>Information 
Use/Audience</t>
  </si>
  <si>
    <t>GOAL: Communities living along Nepal- India boarder have a better quality of life as a result of being more resilient to flooding</t>
  </si>
  <si>
    <t>OUTCOME 1: Households living along the Nepal-India border have more robust livelihoods</t>
  </si>
  <si>
    <r>
      <rPr>
        <b/>
        <sz val="11"/>
        <rFont val="Calibri"/>
        <family val="2"/>
      </rPr>
      <t>Indicator 1.a:</t>
    </r>
    <r>
      <rPr>
        <sz val="11"/>
        <rFont val="Calibri"/>
        <family val="2"/>
      </rPr>
      <t xml:space="preserve"> % increase in household savings. </t>
    </r>
  </si>
  <si>
    <r>
      <rPr>
        <b/>
        <sz val="11"/>
        <rFont val="Calibri"/>
        <family val="2"/>
      </rPr>
      <t>% increase calculation:</t>
    </r>
    <r>
      <rPr>
        <sz val="11"/>
        <rFont val="Calibri"/>
        <family val="2"/>
      </rPr>
      <t xml:space="preserve"> ((new period savings value - prior period savings value)/prior period savings value))*100
</t>
    </r>
    <r>
      <rPr>
        <b/>
        <sz val="11"/>
        <rFont val="Calibri"/>
        <family val="2"/>
      </rPr>
      <t xml:space="preserve">HH calculation: </t>
    </r>
    <r>
      <rPr>
        <sz val="11"/>
        <rFont val="Calibri"/>
        <family val="2"/>
      </rPr>
      <t xml:space="preserve">(savings increase of men + savings increase of women)/# members in HH with savings
</t>
    </r>
    <r>
      <rPr>
        <b/>
        <sz val="11"/>
        <rFont val="Calibri"/>
        <family val="2"/>
      </rPr>
      <t xml:space="preserve">ITT Calculation: </t>
    </r>
    <r>
      <rPr>
        <sz val="11"/>
        <rFont val="Calibri"/>
        <family val="2"/>
      </rPr>
      <t xml:space="preserve"> sum of all HH savings increase/total # HH
Disaggregated by savings held by men and women within the household. </t>
    </r>
  </si>
  <si>
    <r>
      <t xml:space="preserve">Unit (s): 
</t>
    </r>
    <r>
      <rPr>
        <sz val="11"/>
        <rFont val="Calibri"/>
        <family val="2"/>
      </rPr>
      <t xml:space="preserve">Men and Women (in HH with savings)
</t>
    </r>
    <r>
      <rPr>
        <b/>
        <sz val="11"/>
        <rFont val="Calibri"/>
        <family val="2"/>
      </rPr>
      <t xml:space="preserve">
</t>
    </r>
    <r>
      <rPr>
        <sz val="11"/>
        <rFont val="Calibri"/>
        <family val="2"/>
      </rPr>
      <t>Household</t>
    </r>
  </si>
  <si>
    <r>
      <rPr>
        <b/>
        <sz val="11"/>
        <rFont val="Calibri"/>
        <family val="2"/>
      </rPr>
      <t>Baseline:</t>
    </r>
    <r>
      <rPr>
        <sz val="11"/>
        <rFont val="Calibri"/>
        <family val="2"/>
      </rPr>
      <t xml:space="preserve"> 
1. Household survey 
</t>
    </r>
    <r>
      <rPr>
        <b/>
        <sz val="11"/>
        <rFont val="Calibri"/>
        <family val="2"/>
      </rPr>
      <t xml:space="preserve">Monitoring:
</t>
    </r>
    <r>
      <rPr>
        <sz val="11"/>
        <rFont val="Calibri"/>
        <family val="2"/>
      </rPr>
      <t xml:space="preserve">2. Census 
</t>
    </r>
    <r>
      <rPr>
        <b/>
        <sz val="11"/>
        <rFont val="Calibri"/>
        <family val="2"/>
      </rPr>
      <t xml:space="preserve">Endline: 
</t>
    </r>
    <r>
      <rPr>
        <sz val="11"/>
        <rFont val="Calibri"/>
        <family val="2"/>
      </rPr>
      <t>N/A</t>
    </r>
  </si>
  <si>
    <t xml:space="preserve">
1. Consultant database/Baseline Report
2.1. ITT 
2.2. Director database
2.3. Consolidated savings group records
2.4 Savings group records 
</t>
  </si>
  <si>
    <t xml:space="preserve">
1. Beginning of project (Oct. 31, 2016)  
2.1 Annually (Jan. 30) 
2.2 Annually (Jan. 15)
2.3. Annually (Jan. 2)
2.4. Ongoing</t>
  </si>
  <si>
    <t xml:space="preserve">
1.  Consultant
2.1. Project Director
2.2. Data entry officer
2.3. Field officer
2.4. Savings group record keeper 
</t>
  </si>
  <si>
    <t xml:space="preserve">Are men and women's savings rate different? If so, why? 
How much of the household savings is being used for livelihood activities? 
What is the minimum rate of savings that creates a robust livelihood? </t>
  </si>
  <si>
    <t xml:space="preserve">Project management team to determine if savings rates are increasing sufficiently to create more robust livelihoods. 
Savings group leaders to determine which members are more successful than others and how they can improve savings rates overall. </t>
  </si>
  <si>
    <t xml:space="preserve">Quarterly LWR progress reports. </t>
  </si>
  <si>
    <t>OUTPUT 1.1: Target communities have improved access to  financial services</t>
  </si>
  <si>
    <t>Indicator 1.1.a: # of saving and credit groups/cooperatives formed and strengthened</t>
  </si>
  <si>
    <r>
      <rPr>
        <b/>
        <sz val="11"/>
        <rFont val="Calibri"/>
        <family val="2"/>
      </rPr>
      <t>Calculation:</t>
    </r>
    <r>
      <rPr>
        <sz val="11"/>
        <rFont val="Calibri"/>
        <family val="2"/>
      </rPr>
      <t xml:space="preserve"> Count number of formal/informal gropus involved in saving and Credits, 
</t>
    </r>
    <r>
      <rPr>
        <b/>
        <sz val="11"/>
        <rFont val="Calibri"/>
        <family val="2"/>
      </rPr>
      <t>Savings and Credit Group/Cooperative</t>
    </r>
    <r>
      <rPr>
        <sz val="11"/>
        <rFont val="Calibri"/>
        <family val="2"/>
      </rPr>
      <t xml:space="preserve">: Regulating fund mobilization at the community level
</t>
    </r>
    <r>
      <rPr>
        <b/>
        <sz val="11"/>
        <rFont val="Calibri"/>
        <family val="2"/>
      </rPr>
      <t>Formed</t>
    </r>
    <r>
      <rPr>
        <sz val="11"/>
        <rFont val="Calibri"/>
        <family val="2"/>
      </rPr>
      <t xml:space="preserve">: created
</t>
    </r>
    <r>
      <rPr>
        <b/>
        <sz val="11"/>
        <rFont val="Calibri"/>
        <family val="2"/>
      </rPr>
      <t>Strengthened</t>
    </r>
    <r>
      <rPr>
        <sz val="11"/>
        <rFont val="Calibri"/>
        <family val="2"/>
      </rPr>
      <t>: trained on purpose, norms</t>
    </r>
  </si>
  <si>
    <r>
      <rPr>
        <b/>
        <sz val="11"/>
        <rFont val="Calibri"/>
        <family val="2"/>
      </rPr>
      <t>Unit:</t>
    </r>
    <r>
      <rPr>
        <sz val="11"/>
        <rFont val="Calibri"/>
        <family val="2"/>
      </rPr>
      <t xml:space="preserve"> Number of Saving and Credits groups
</t>
    </r>
  </si>
  <si>
    <t>Ongoing monitoring; Cooperative/self-help group meetings
Partner responsible for Baseline data</t>
  </si>
  <si>
    <t>1. ITT
2. Project Coordinator database
3. Social Mobilizer report</t>
  </si>
  <si>
    <t>1. Quarterly
2. Quarterly
3. Monthly</t>
  </si>
  <si>
    <t>1. Program Manager
2. Project Coordinator
3. Social Mobilizer</t>
  </si>
  <si>
    <t>Is the number of groups increasing over time?
Are the groups getting stronger and/or improving their ability to provide service?</t>
  </si>
  <si>
    <t>Partners</t>
  </si>
  <si>
    <t>Quarterly</t>
  </si>
  <si>
    <t>Identifier:</t>
  </si>
  <si>
    <t>Agriculture</t>
  </si>
  <si>
    <t>Mean of Verification</t>
  </si>
  <si>
    <t>Reporting Deadline</t>
  </si>
  <si>
    <t>TOOL SUMMARY: BASELINE TABLE</t>
  </si>
  <si>
    <r>
      <t xml:space="preserve">The purpose of this tool is to ensure that all relevant, and only relevant, baseline data information is collected and documented. The baseline information is later used to determine targets. 
NOTE: The </t>
    </r>
    <r>
      <rPr>
        <u/>
        <sz val="11"/>
        <rFont val="Calibri"/>
        <family val="2"/>
      </rPr>
      <t>Baseline</t>
    </r>
    <r>
      <rPr>
        <sz val="11"/>
        <rFont val="Calibri"/>
        <family val="2"/>
      </rPr>
      <t xml:space="preserve"> is NOT a </t>
    </r>
    <r>
      <rPr>
        <u/>
        <sz val="11"/>
        <rFont val="Calibri"/>
        <family val="2"/>
      </rPr>
      <t>Needs Assessment</t>
    </r>
    <r>
      <rPr>
        <sz val="11"/>
        <rFont val="Calibri"/>
        <family val="2"/>
      </rPr>
      <t xml:space="preserve">. The </t>
    </r>
    <r>
      <rPr>
        <u/>
        <sz val="11"/>
        <rFont val="Calibri"/>
        <family val="2"/>
      </rPr>
      <t>Baseline</t>
    </r>
    <r>
      <rPr>
        <sz val="11"/>
        <rFont val="Calibri"/>
        <family val="2"/>
      </rPr>
      <t xml:space="preserve"> collects starting data for indicators and should not seek to collect information that will require the project theory of change to be adjusted.  </t>
    </r>
  </si>
  <si>
    <r>
      <t xml:space="preserve">Information the project team should have before starting work on the </t>
    </r>
    <r>
      <rPr>
        <b/>
        <u/>
        <sz val="11"/>
        <rFont val="Calibri"/>
        <family val="2"/>
      </rPr>
      <t>Baseline</t>
    </r>
    <r>
      <rPr>
        <b/>
        <sz val="11"/>
        <rFont val="Calibri"/>
        <family val="2"/>
      </rPr>
      <t>:</t>
    </r>
  </si>
  <si>
    <r>
      <t>·</t>
    </r>
    <r>
      <rPr>
        <sz val="7"/>
        <color indexed="8"/>
        <rFont val="Times New Roman"/>
        <family val="1"/>
      </rPr>
      <t xml:space="preserve">         </t>
    </r>
    <r>
      <rPr>
        <sz val="11"/>
        <color indexed="8"/>
        <rFont val="Calibri"/>
        <family val="2"/>
      </rPr>
      <t xml:space="preserve">Complete </t>
    </r>
    <r>
      <rPr>
        <u/>
        <sz val="11"/>
        <color indexed="8"/>
        <rFont val="Calibri"/>
        <family val="2"/>
      </rPr>
      <t>M&amp;E Matrix</t>
    </r>
  </si>
  <si>
    <r>
      <t>·</t>
    </r>
    <r>
      <rPr>
        <sz val="7"/>
        <color indexed="8"/>
        <rFont val="Times New Roman"/>
        <family val="1"/>
      </rPr>
      <t xml:space="preserve">         </t>
    </r>
    <r>
      <rPr>
        <sz val="11"/>
        <color indexed="8"/>
        <rFont val="Calibri"/>
        <family val="2"/>
      </rPr>
      <t>Project Proposal (Initial M&amp;E Plan)</t>
    </r>
  </si>
  <si>
    <t>One person should be chosen to lead the baseline process. This person is responsible to ensure the table is completed, but is not necessarily responsible for collecting all the data. If a consultant is hired to collect primary data, he/she should be responsible for completing the table for the assigned indicators.</t>
  </si>
  <si>
    <r>
      <t xml:space="preserve">According to the IPD policy regarding the submission of </t>
    </r>
    <r>
      <rPr>
        <u/>
        <sz val="11"/>
        <rFont val="Calibri"/>
        <family val="2"/>
      </rPr>
      <t>Detailed M&amp;E Plans</t>
    </r>
    <r>
      <rPr>
        <sz val="11"/>
        <rFont val="Calibri"/>
        <family val="2"/>
      </rPr>
      <t xml:space="preserve"> and indicator baseline values of projects starting as of April 1, 2014, the final submission of the </t>
    </r>
    <r>
      <rPr>
        <u/>
        <sz val="11"/>
        <rFont val="Calibri"/>
        <family val="2"/>
      </rPr>
      <t>Detailed M&amp;E Plan</t>
    </r>
    <r>
      <rPr>
        <sz val="11"/>
        <rFont val="Calibri"/>
        <family val="2"/>
      </rPr>
      <t xml:space="preserve"> (</t>
    </r>
    <r>
      <rPr>
        <u/>
        <sz val="11"/>
        <rFont val="Calibri"/>
        <family val="2"/>
      </rPr>
      <t>M&amp;E Matrix</t>
    </r>
    <r>
      <rPr>
        <sz val="11"/>
        <rFont val="Calibri"/>
        <family val="2"/>
      </rPr>
      <t xml:space="preserve">, </t>
    </r>
    <r>
      <rPr>
        <u/>
        <sz val="11"/>
        <rFont val="Calibri"/>
        <family val="2"/>
      </rPr>
      <t>Baseline Table</t>
    </r>
    <r>
      <rPr>
        <sz val="11"/>
        <rFont val="Calibri"/>
        <family val="2"/>
      </rPr>
      <t xml:space="preserve">, and the </t>
    </r>
    <r>
      <rPr>
        <u/>
        <sz val="11"/>
        <rFont val="Calibri"/>
        <family val="2"/>
      </rPr>
      <t>Indicator Tracking Table</t>
    </r>
    <r>
      <rPr>
        <sz val="11"/>
        <rFont val="Calibri"/>
        <family val="2"/>
      </rPr>
      <t xml:space="preserve">) must not exceed the following deadlines: </t>
    </r>
  </si>
  <si>
    <r>
      <rPr>
        <sz val="11"/>
        <rFont val="Symbol"/>
        <family val="1"/>
        <charset val="2"/>
      </rPr>
      <t>·</t>
    </r>
    <r>
      <rPr>
        <sz val="7"/>
        <rFont val="Times New Roman"/>
        <family val="1"/>
      </rPr>
      <t xml:space="preserve">         </t>
    </r>
    <r>
      <rPr>
        <sz val="11"/>
        <rFont val="Calibri"/>
        <family val="2"/>
      </rPr>
      <t>Projects of less than one year of duration: 60 days from project start date</t>
    </r>
  </si>
  <si>
    <r>
      <rPr>
        <sz val="11"/>
        <rFont val="Symbol"/>
        <family val="1"/>
        <charset val="2"/>
      </rPr>
      <t>·</t>
    </r>
    <r>
      <rPr>
        <sz val="7"/>
        <rFont val="Times New Roman"/>
        <family val="1"/>
      </rPr>
      <t xml:space="preserve">         </t>
    </r>
    <r>
      <rPr>
        <sz val="11"/>
        <rFont val="Calibri"/>
        <family val="2"/>
      </rPr>
      <t>Projects between one and three years of duration: 90 days from project start date</t>
    </r>
  </si>
  <si>
    <r>
      <rPr>
        <sz val="11"/>
        <rFont val="Symbol"/>
        <family val="1"/>
        <charset val="2"/>
      </rPr>
      <t>·</t>
    </r>
    <r>
      <rPr>
        <sz val="7"/>
        <rFont val="Times New Roman"/>
        <family val="1"/>
      </rPr>
      <t xml:space="preserve">         </t>
    </r>
    <r>
      <rPr>
        <sz val="11"/>
        <rFont val="Calibri"/>
        <family val="2"/>
      </rPr>
      <t xml:space="preserve">Projects between three and five years of duration: 120 days from project start date </t>
    </r>
  </si>
  <si>
    <r>
      <rPr>
        <sz val="11"/>
        <rFont val="Symbol"/>
        <family val="1"/>
        <charset val="2"/>
      </rPr>
      <t>·</t>
    </r>
    <r>
      <rPr>
        <sz val="7"/>
        <rFont val="Times New Roman"/>
        <family val="1"/>
      </rPr>
      <t xml:space="preserve">         </t>
    </r>
    <r>
      <rPr>
        <sz val="11"/>
        <rFont val="Calibri"/>
        <family val="2"/>
      </rPr>
      <t>Filling out this table is required for all UNRESTRICTED projects.</t>
    </r>
  </si>
  <si>
    <r>
      <rPr>
        <sz val="11"/>
        <rFont val="Symbol"/>
        <family val="1"/>
        <charset val="2"/>
      </rPr>
      <t>·</t>
    </r>
    <r>
      <rPr>
        <sz val="7"/>
        <rFont val="Times New Roman"/>
        <family val="1"/>
      </rPr>
      <t xml:space="preserve">         </t>
    </r>
    <r>
      <rPr>
        <sz val="11"/>
        <rFont val="Calibri"/>
        <family val="2"/>
      </rPr>
      <t>For RESTRICTED projects, donor requirements should be followed. If there are no donor requirements, default to these guidelines.</t>
    </r>
  </si>
  <si>
    <r>
      <rPr>
        <sz val="11"/>
        <rFont val="Symbol"/>
        <family val="1"/>
        <charset val="2"/>
      </rPr>
      <t>·</t>
    </r>
    <r>
      <rPr>
        <sz val="7"/>
        <rFont val="Times New Roman"/>
        <family val="1"/>
      </rPr>
      <t xml:space="preserve">         </t>
    </r>
    <r>
      <rPr>
        <sz val="11"/>
        <rFont val="Calibri"/>
        <family val="2"/>
      </rPr>
      <t xml:space="preserve">If a consultant is hired, he/she should provide a database with all the cleaned data from surveys for project records to ensure transparency and validity.  </t>
    </r>
  </si>
  <si>
    <r>
      <rPr>
        <sz val="11"/>
        <rFont val="Symbol"/>
        <family val="1"/>
        <charset val="2"/>
      </rPr>
      <t>·</t>
    </r>
    <r>
      <rPr>
        <sz val="7"/>
        <rFont val="Times New Roman"/>
        <family val="1"/>
      </rPr>
      <t xml:space="preserve">         </t>
    </r>
    <r>
      <rPr>
        <sz val="11"/>
        <rFont val="Calibri"/>
        <family val="2"/>
      </rPr>
      <t xml:space="preserve">The information contained in the </t>
    </r>
    <r>
      <rPr>
        <u/>
        <sz val="11"/>
        <rFont val="Calibri"/>
        <family val="2"/>
      </rPr>
      <t>Baseline Table</t>
    </r>
    <r>
      <rPr>
        <sz val="11"/>
        <rFont val="Calibri"/>
        <family val="2"/>
      </rPr>
      <t xml:space="preserve"> should only be modified if changes are made to indicators or their definitions that respond to specific and documented technical feedback that complies with donor and LWR standards. </t>
    </r>
  </si>
  <si>
    <r>
      <t>o</t>
    </r>
    <r>
      <rPr>
        <sz val="7"/>
        <rFont val="Times New Roman"/>
        <family val="1"/>
      </rPr>
      <t xml:space="preserve">   </t>
    </r>
    <r>
      <rPr>
        <sz val="11"/>
        <rFont val="Calibri"/>
        <family val="2"/>
      </rPr>
      <t xml:space="preserve">If changes are made, document and report the reason why the changes were made and how it will impact any other aspects of the project's M&amp;E system and/or project implementation. It is recommended </t>
    </r>
    <r>
      <rPr>
        <b/>
        <i/>
        <u/>
        <sz val="11"/>
        <rFont val="Calibri"/>
        <family val="2"/>
      </rPr>
      <t>not to eliminate the rows</t>
    </r>
    <r>
      <rPr>
        <sz val="11"/>
        <rFont val="Calibri"/>
        <family val="2"/>
      </rPr>
      <t xml:space="preserve"> of the indicators that have been changed. Rather, it is suggested to</t>
    </r>
    <r>
      <rPr>
        <b/>
        <u/>
        <sz val="11"/>
        <rFont val="Calibri"/>
        <family val="2"/>
      </rPr>
      <t xml:space="preserve"> </t>
    </r>
    <r>
      <rPr>
        <b/>
        <i/>
        <u/>
        <sz val="11"/>
        <rFont val="Calibri"/>
        <family val="2"/>
      </rPr>
      <t>create another row to record the new version of the indicator</t>
    </r>
    <r>
      <rPr>
        <i/>
        <sz val="11"/>
        <rFont val="Calibri"/>
        <family val="2"/>
      </rPr>
      <t xml:space="preserve"> </t>
    </r>
    <r>
      <rPr>
        <sz val="11"/>
        <rFont val="Calibri"/>
        <family val="2"/>
      </rPr>
      <t xml:space="preserve">even if only minor changes have been made to the definition or any other aspect of it.  The Comments column can also be used to explain all that is considered worth explaining. </t>
    </r>
  </si>
  <si>
    <r>
      <t>o</t>
    </r>
    <r>
      <rPr>
        <sz val="7"/>
        <rFont val="Times New Roman"/>
        <family val="1"/>
      </rPr>
      <t xml:space="preserve">   </t>
    </r>
    <r>
      <rPr>
        <sz val="11"/>
        <rFont val="Calibri"/>
        <family val="2"/>
      </rPr>
      <t xml:space="preserve">If changes are made to the </t>
    </r>
    <r>
      <rPr>
        <u/>
        <sz val="11"/>
        <rFont val="Calibri"/>
        <family val="2"/>
      </rPr>
      <t>Baseline Table</t>
    </r>
    <r>
      <rPr>
        <sz val="11"/>
        <rFont val="Calibri"/>
        <family val="2"/>
      </rPr>
      <t xml:space="preserve"> make sure LWR´s headquarters, the country office and the partner have and use the up-to-date version.</t>
    </r>
  </si>
  <si>
    <r>
      <t>o</t>
    </r>
    <r>
      <rPr>
        <sz val="7"/>
        <rFont val="Times New Roman"/>
        <family val="1"/>
      </rPr>
      <t xml:space="preserve">   </t>
    </r>
    <r>
      <rPr>
        <sz val="11"/>
        <rFont val="Calibri"/>
        <family val="2"/>
      </rPr>
      <t>LWR staff need to ensure that the most up-to-date document is in Phoenix.</t>
    </r>
  </si>
  <si>
    <r>
      <rPr>
        <sz val="11"/>
        <color indexed="8"/>
        <rFont val="Symbol"/>
        <family val="1"/>
        <charset val="2"/>
      </rPr>
      <t>·</t>
    </r>
    <r>
      <rPr>
        <sz val="7"/>
        <color indexed="8"/>
        <rFont val="Times New Roman"/>
        <family val="1"/>
      </rPr>
      <t xml:space="preserve">         </t>
    </r>
    <r>
      <rPr>
        <sz val="11"/>
        <color indexed="8"/>
        <rFont val="Calibri"/>
        <family val="2"/>
      </rPr>
      <t xml:space="preserve">Those who will use the </t>
    </r>
    <r>
      <rPr>
        <u/>
        <sz val="11"/>
        <color indexed="8"/>
        <rFont val="Calibri"/>
        <family val="2"/>
      </rPr>
      <t>Baseline Table</t>
    </r>
    <r>
      <rPr>
        <sz val="11"/>
        <color indexed="8"/>
        <rFont val="Calibri"/>
        <family val="2"/>
      </rPr>
      <t xml:space="preserve"> should fill it out. This allows the project team to verify their understanding of the definition and method used to collect the baseline data and use this same understanding for ongoing data collection or data collection at the end of the project (endline).  </t>
    </r>
  </si>
  <si>
    <r>
      <rPr>
        <sz val="11"/>
        <color indexed="8"/>
        <rFont val="Symbol"/>
        <family val="1"/>
        <charset val="2"/>
      </rPr>
      <t>·</t>
    </r>
    <r>
      <rPr>
        <sz val="7"/>
        <color indexed="8"/>
        <rFont val="Times New Roman"/>
        <family val="1"/>
      </rPr>
      <t xml:space="preserve">         </t>
    </r>
    <r>
      <rPr>
        <sz val="11"/>
        <color indexed="8"/>
        <rFont val="Calibri"/>
        <family val="2"/>
      </rPr>
      <t xml:space="preserve">Make sure to define who should take "ownership" of the </t>
    </r>
    <r>
      <rPr>
        <u/>
        <sz val="11"/>
        <color indexed="8"/>
        <rFont val="Calibri"/>
        <family val="2"/>
      </rPr>
      <t>Baseline Table.</t>
    </r>
    <r>
      <rPr>
        <sz val="11"/>
        <color indexed="8"/>
        <rFont val="Calibri"/>
        <family val="2"/>
      </rPr>
      <t xml:space="preserve"> This involves ensuring that the table is finalized, that all the interested parties understand the information contained in it and have the final versions, and that any future changes are fully incorporate into the project plan and shared with all stakeholders. </t>
    </r>
  </si>
  <si>
    <r>
      <rPr>
        <sz val="10"/>
        <rFont val="Courier New"/>
        <family val="3"/>
      </rPr>
      <t>o</t>
    </r>
    <r>
      <rPr>
        <sz val="7"/>
        <rFont val="Times New Roman"/>
        <family val="1"/>
      </rPr>
      <t xml:space="preserve">   </t>
    </r>
    <r>
      <rPr>
        <sz val="11"/>
        <rFont val="Calibri"/>
        <family val="2"/>
      </rPr>
      <t xml:space="preserve">The same person should be in charge of the </t>
    </r>
    <r>
      <rPr>
        <u/>
        <sz val="11"/>
        <rFont val="Calibri"/>
        <family val="2"/>
      </rPr>
      <t>Indicator Tracking Table</t>
    </r>
    <r>
      <rPr>
        <sz val="11"/>
        <rFont val="Calibri"/>
        <family val="2"/>
      </rPr>
      <t xml:space="preserve"> and the </t>
    </r>
    <r>
      <rPr>
        <u/>
        <sz val="11"/>
        <rFont val="Calibri"/>
        <family val="2"/>
      </rPr>
      <t>Activity Tracking Table</t>
    </r>
    <r>
      <rPr>
        <sz val="11"/>
        <rFont val="Calibri"/>
        <family val="2"/>
      </rPr>
      <t>.</t>
    </r>
  </si>
  <si>
    <r>
      <rPr>
        <sz val="11"/>
        <color indexed="8"/>
        <rFont val="Symbol"/>
        <family val="1"/>
        <charset val="2"/>
      </rPr>
      <t>·</t>
    </r>
    <r>
      <rPr>
        <sz val="7"/>
        <color indexed="8"/>
        <rFont val="Times New Roman"/>
        <family val="1"/>
      </rPr>
      <t xml:space="preserve">         </t>
    </r>
    <r>
      <rPr>
        <sz val="11"/>
        <color indexed="8"/>
        <rFont val="Calibri"/>
        <family val="2"/>
      </rPr>
      <t>If the baseline is being conducted internally and there are questions about sample size calculations, contact your relevant M&amp;E representative.</t>
    </r>
  </si>
  <si>
    <r>
      <rPr>
        <sz val="11"/>
        <color indexed="8"/>
        <rFont val="Symbol"/>
        <family val="1"/>
        <charset val="2"/>
      </rPr>
      <t>·</t>
    </r>
    <r>
      <rPr>
        <sz val="7"/>
        <color indexed="8"/>
        <rFont val="Times New Roman"/>
        <family val="1"/>
      </rPr>
      <t xml:space="preserve">         </t>
    </r>
    <r>
      <rPr>
        <sz val="11"/>
        <color indexed="8"/>
        <rFont val="Calibri"/>
        <family val="2"/>
      </rPr>
      <t xml:space="preserve">Baseline studies establish the starting point for each indicator which is necessary for determining if indicator targets defined in the project design need adjustment. </t>
    </r>
  </si>
  <si>
    <r>
      <t>Indicator table for the Baseline of "</t>
    </r>
    <r>
      <rPr>
        <b/>
        <sz val="12"/>
        <color indexed="13"/>
        <rFont val="Calibri"/>
        <family val="2"/>
      </rPr>
      <t>Name of the Project</t>
    </r>
    <r>
      <rPr>
        <b/>
        <sz val="12"/>
        <color indexed="9"/>
        <rFont val="Calibri"/>
        <family val="2"/>
      </rPr>
      <t>"</t>
    </r>
  </si>
  <si>
    <t>Name of the project:</t>
  </si>
  <si>
    <t>Location of the project:</t>
  </si>
  <si>
    <t>Project duration (in years):</t>
  </si>
  <si>
    <t xml:space="preserve">Identifier: </t>
  </si>
  <si>
    <t>Project start date:</t>
  </si>
  <si>
    <t>Sector(s) of the project:</t>
  </si>
  <si>
    <t>Project end date:</t>
  </si>
  <si>
    <t xml:space="preserve">INDICATORS </t>
  </si>
  <si>
    <t>TARGETS AND BASELINE VALUES</t>
  </si>
  <si>
    <t>DOCUMENTATION</t>
  </si>
  <si>
    <t>Indicator definition</t>
  </si>
  <si>
    <t>Unit of measurement</t>
  </si>
  <si>
    <t>Life of project target</t>
  </si>
  <si>
    <t>Baseline value</t>
  </si>
  <si>
    <t>Date of the baseline value</t>
  </si>
  <si>
    <t>Source of the baseline value</t>
  </si>
  <si>
    <t>Comments</t>
  </si>
  <si>
    <r>
      <t xml:space="preserve">Indicators are taken directly from the </t>
    </r>
    <r>
      <rPr>
        <u/>
        <sz val="10"/>
        <rFont val="Calibri"/>
        <family val="2"/>
      </rPr>
      <t>M&amp;E Matrix</t>
    </r>
    <r>
      <rPr>
        <sz val="10"/>
        <rFont val="Calibri"/>
        <family val="2"/>
      </rPr>
      <t xml:space="preserve">. 
Include all indicators as even indicators with a zero starting value should have documented justification for this value.  
</t>
    </r>
    <r>
      <rPr>
        <sz val="10"/>
        <color indexed="10"/>
        <rFont val="Calibri"/>
        <family val="2"/>
      </rPr>
      <t xml:space="preserve">
 </t>
    </r>
  </si>
  <si>
    <r>
      <t xml:space="preserve">Indicator definitions come directly from the </t>
    </r>
    <r>
      <rPr>
        <u/>
        <sz val="10"/>
        <rFont val="Calibri"/>
        <family val="2"/>
      </rPr>
      <t>M&amp;E Matrix</t>
    </r>
    <r>
      <rPr>
        <sz val="10"/>
        <rFont val="Calibri"/>
        <family val="2"/>
      </rPr>
      <t xml:space="preserve">. They are repeated here only for ease of reading and understanding their definitions in relation to the baseline values. 
Refer to the </t>
    </r>
    <r>
      <rPr>
        <u/>
        <sz val="10"/>
        <rFont val="Calibri"/>
        <family val="2"/>
      </rPr>
      <t>M&amp;E Matrix Cheat Sheet</t>
    </r>
    <r>
      <rPr>
        <sz val="10"/>
        <rFont val="Calibri"/>
        <family val="2"/>
      </rPr>
      <t xml:space="preserve"> for more information on indicator definitions. 
</t>
    </r>
  </si>
  <si>
    <r>
      <t>A unit of measure is a standard quantity that serves to establish the magnitude of the value of an indicator. 
It answers the question: What are we counting?  
Units of measure often used in LWR projects are:
S</t>
    </r>
    <r>
      <rPr>
        <b/>
        <sz val="10"/>
        <rFont val="Calibri"/>
        <family val="2"/>
      </rPr>
      <t>imple (one element):</t>
    </r>
    <r>
      <rPr>
        <sz val="10"/>
        <rFont val="Calibri"/>
        <family val="2"/>
      </rPr>
      <t xml:space="preserve">
people
kilos or pounds
tons
plot
hectares
Best practices</t>
    </r>
    <r>
      <rPr>
        <b/>
        <sz val="10"/>
        <rFont val="Calibri"/>
        <family val="2"/>
      </rPr>
      <t xml:space="preserve">
</t>
    </r>
    <r>
      <rPr>
        <sz val="10"/>
        <rFont val="Calibri"/>
        <family val="2"/>
      </rPr>
      <t xml:space="preserve">
C</t>
    </r>
    <r>
      <rPr>
        <b/>
        <sz val="10"/>
        <rFont val="Calibri"/>
        <family val="2"/>
      </rPr>
      <t xml:space="preserve">omplex (more than one element):
</t>
    </r>
    <r>
      <rPr>
        <i/>
        <sz val="10"/>
        <rFont val="Calibri"/>
        <family val="2"/>
      </rPr>
      <t>productivity:</t>
    </r>
    <r>
      <rPr>
        <b/>
        <sz val="10"/>
        <rFont val="Calibri"/>
        <family val="2"/>
      </rPr>
      <t xml:space="preserve">
</t>
    </r>
    <r>
      <rPr>
        <sz val="10"/>
        <rFont val="Calibri"/>
        <family val="2"/>
      </rPr>
      <t xml:space="preserve">Kilos or tons per hectare 
</t>
    </r>
    <r>
      <rPr>
        <i/>
        <sz val="10"/>
        <rFont val="Calibri"/>
        <family val="2"/>
      </rPr>
      <t>density:</t>
    </r>
    <r>
      <rPr>
        <sz val="10"/>
        <rFont val="Calibri"/>
        <family val="2"/>
      </rPr>
      <t xml:space="preserve">
trees per plot or hectare</t>
    </r>
    <r>
      <rPr>
        <b/>
        <sz val="10"/>
        <rFont val="Calibri"/>
        <family val="2"/>
      </rPr>
      <t xml:space="preserve">
</t>
    </r>
    <r>
      <rPr>
        <i/>
        <sz val="10"/>
        <rFont val="Calibri"/>
        <family val="2"/>
      </rPr>
      <t>poverty:</t>
    </r>
    <r>
      <rPr>
        <b/>
        <sz val="10"/>
        <rFont val="Calibri"/>
        <family val="2"/>
      </rPr>
      <t xml:space="preserve">
</t>
    </r>
    <r>
      <rPr>
        <sz val="10"/>
        <rFont val="Calibri"/>
        <family val="2"/>
      </rPr>
      <t xml:space="preserve">Income per year
Income per year per hectare 
</t>
    </r>
    <r>
      <rPr>
        <b/>
        <sz val="10"/>
        <rFont val="Calibri"/>
        <family val="2"/>
      </rPr>
      <t xml:space="preserve">
</t>
    </r>
    <r>
      <rPr>
        <sz val="10"/>
        <rFont val="Calibri"/>
        <family val="2"/>
      </rPr>
      <t xml:space="preserve">
</t>
    </r>
  </si>
  <si>
    <t>This is the value of the indicator that the project team hopes to achieve by the end of the project. It is expressed in the unit of measurement defined in column C. 
Example: 300 people trained in soil management practices, 100 coffee plantations managed with best pruning practices, cacao productivity of 2 tones per hectare, net income of $150 per family from legume sales 
For quantitative indicators based on mathematical formulas (Ex.: percentage, rate, etc) it is suggested to redocument the components of the formula (the values that make up the numerator and the denominator).</t>
  </si>
  <si>
    <r>
      <t>This is the value of the indicator at the beginning of the project. This value is expressed in the</t>
    </r>
    <r>
      <rPr>
        <b/>
        <sz val="10"/>
        <rFont val="Calibri"/>
        <family val="2"/>
      </rPr>
      <t xml:space="preserve"> same unit of measure</t>
    </r>
    <r>
      <rPr>
        <sz val="10"/>
        <rFont val="Calibri"/>
        <family val="2"/>
      </rPr>
      <t xml:space="preserve"> as the target.
</t>
    </r>
    <r>
      <rPr>
        <u/>
        <sz val="10"/>
        <rFont val="Calibri"/>
        <family val="2"/>
      </rPr>
      <t>OUTPUT indicators</t>
    </r>
    <r>
      <rPr>
        <sz val="10"/>
        <rFont val="Calibri"/>
        <family val="2"/>
      </rPr>
      <t xml:space="preserve">: 
OUTPUT baseline values are often zero (0) as these type of indicators are used to measure the results of implementing project activities.  However, depending on how the logframe was built, OUTCOME indicators such as production and productivity could be assigned to the OUTPUT LEVEL (Ex. Three tons of potatoes per hectare per year). 
Examples of common OUTPUT indicators: N° of people trained, N° of infrastructures built, N° of pieces of equipment delivered, N° of plans developed and approved, N° of contracts signed with cacao buyers.
</t>
    </r>
    <r>
      <rPr>
        <u/>
        <sz val="10"/>
        <rFont val="Calibri"/>
        <family val="2"/>
      </rPr>
      <t xml:space="preserve">OUTCOME indicators: </t>
    </r>
    <r>
      <rPr>
        <sz val="10"/>
        <rFont val="Calibri"/>
        <family val="2"/>
      </rPr>
      <t xml:space="preserve">are located above the OUTPUTS in the chain of the project's intended results and refer to conditions already present in the target population that can be measured to show change. They normally measure a change in behavior, attitudes and/or practices. 
Examples of common OUTCOME indicators: N° of producers who consistently apply best practices,  N° of students who wash their hands according to the five key steps, annual net family income from coffee sales. </t>
    </r>
  </si>
  <si>
    <t>The date (month and year) when the initial value (Ex. 250 pounds per hectare per year) was gathered in the field from a primary source (Ex. A producer survey, a coop´s production registries).
If the value is obtained from a secondary source (a needs assessment, an agrarian census, baselines or studies by other organizations, etc) it may not be possible to know the date when  value for the indicator was actually gathered. In that case, put the publication date of the document.</t>
  </si>
  <si>
    <t xml:space="preserve">Refers to the document (in physical or electronic format) in which the indicator value is stated. These documents can be either primary or secondary sources.
Primary sources are data that were collected directly by LWR or its partners. These include household surveys, registries, databases, various types of reports, etc. It is important to state the type of document that contains the value for the indicator (Ex. A coop´s registry of cacao sales).      
Secondary sources are those that LWR or its partners did not collect directly. They include agrarian or other types of census, studies by international organizations such as the UN, LWR peer organizations or LWR partners not participating in the project. It is necessary to be explicit with regards to the title of the document and the author(s), be it an institution or a person, and the publication date. 
If the value of the indicator was taken from a Website (Ex. From the Ministry of Agriculture or from the National Statisics Department) it is important to document the URL and it is also recommened to save a copy of the screen (use the print screen function) which states the date in which that data was collected.         </t>
  </si>
  <si>
    <t>This is a space to put information about the indicator that is deemed by the project team to be of value to better understand the project results. 
Complementary information can refer to any of the aspects addressed in the preceeding columns. Some examples are: (i) for an indicator of production or productivity, if the original unit of measure was a locally used one (Ex. Manzanas in Nicaragua) and was transformed to hectares due to a donor´s request, it can be explained in this section putting the equivalence between manzanas and hectares (1 mz=0.7 Has), (ii) if the indicator value corresponds to some of the geographic areas participating in the project and not to others it can be explained here, (iii) if the indicator value was obtained using a sample of a certain type (Ex. Probabilistic, by quotas, voluntary, etc.) or a census.</t>
  </si>
  <si>
    <t>TOOL SUMMARY: INDICATOR TRACKING TABLE INSTRUCTIONS</t>
  </si>
  <si>
    <r>
      <t xml:space="preserve">The </t>
    </r>
    <r>
      <rPr>
        <u/>
        <sz val="11"/>
        <rFont val="Calibri"/>
        <family val="2"/>
      </rPr>
      <t>Indicator Tracking Table</t>
    </r>
    <r>
      <rPr>
        <sz val="11"/>
        <rFont val="Calibri"/>
        <family val="2"/>
      </rPr>
      <t xml:space="preserve"> (ITT) is a tool that is used as a tracking mechanism for all project indicators.</t>
    </r>
  </si>
  <si>
    <t>Information the project design team should have before starting the ITT:</t>
  </si>
  <si>
    <r>
      <t>·</t>
    </r>
    <r>
      <rPr>
        <sz val="7"/>
        <rFont val="Times New Roman"/>
        <family val="1"/>
      </rPr>
      <t xml:space="preserve">         </t>
    </r>
    <r>
      <rPr>
        <u/>
        <sz val="11"/>
        <rFont val="Calibri"/>
        <family val="2"/>
      </rPr>
      <t>Needs Assessment</t>
    </r>
  </si>
  <si>
    <r>
      <t>·</t>
    </r>
    <r>
      <rPr>
        <sz val="7"/>
        <rFont val="Times New Roman"/>
        <family val="1"/>
      </rPr>
      <t xml:space="preserve">         </t>
    </r>
    <r>
      <rPr>
        <sz val="11"/>
        <rFont val="Calibri"/>
        <family val="2"/>
      </rPr>
      <t>Project Proposal</t>
    </r>
  </si>
  <si>
    <r>
      <t>·</t>
    </r>
    <r>
      <rPr>
        <sz val="7"/>
        <rFont val="Times New Roman"/>
        <family val="1"/>
      </rPr>
      <t xml:space="preserve">         </t>
    </r>
    <r>
      <rPr>
        <sz val="11"/>
        <rFont val="Calibri"/>
        <family val="2"/>
      </rPr>
      <t>Baseline Data</t>
    </r>
  </si>
  <si>
    <r>
      <t>·</t>
    </r>
    <r>
      <rPr>
        <sz val="7"/>
        <rFont val="Times New Roman"/>
        <family val="1"/>
      </rPr>
      <t xml:space="preserve">         </t>
    </r>
    <r>
      <rPr>
        <u/>
        <sz val="11"/>
        <rFont val="Calibri"/>
        <family val="2"/>
      </rPr>
      <t>M&amp;E Matrix</t>
    </r>
  </si>
  <si>
    <r>
      <t xml:space="preserve">The ITT should be completed by the partner, reviewed by the LWR PM, and included in each </t>
    </r>
    <r>
      <rPr>
        <u/>
        <sz val="11"/>
        <rFont val="Calibri"/>
        <family val="2"/>
      </rPr>
      <t>Project Progress Report</t>
    </r>
  </si>
  <si>
    <r>
      <t xml:space="preserve">The ITT is a sub-tool of the </t>
    </r>
    <r>
      <rPr>
        <u/>
        <sz val="11"/>
        <rFont val="Calibri"/>
        <family val="2"/>
      </rPr>
      <t>Detailed M&amp;E Plan</t>
    </r>
    <r>
      <rPr>
        <sz val="11"/>
        <rFont val="Calibri"/>
        <family val="2"/>
      </rPr>
      <t xml:space="preserve"> and should therefore be completed according to the timeframe set out for the completion of the </t>
    </r>
    <r>
      <rPr>
        <u/>
        <sz val="11"/>
        <rFont val="Calibri"/>
        <family val="2"/>
      </rPr>
      <t>Detailed M&amp;E Plan</t>
    </r>
    <r>
      <rPr>
        <sz val="11"/>
        <rFont val="Calibri"/>
        <family val="2"/>
      </rPr>
      <t xml:space="preserve">.   It is normally developed after the </t>
    </r>
    <r>
      <rPr>
        <u/>
        <sz val="11"/>
        <rFont val="Calibri"/>
        <family val="2"/>
      </rPr>
      <t>M&amp;E Matrix</t>
    </r>
    <r>
      <rPr>
        <sz val="11"/>
        <rFont val="Calibri"/>
        <family val="2"/>
      </rPr>
      <t xml:space="preserve"> has been completed and after the baseline data has been collected.</t>
    </r>
  </si>
  <si>
    <r>
      <t>·</t>
    </r>
    <r>
      <rPr>
        <sz val="7"/>
        <rFont val="Times New Roman"/>
        <family val="1"/>
      </rPr>
      <t xml:space="preserve">         </t>
    </r>
    <r>
      <rPr>
        <sz val="11"/>
        <rFont val="Calibri"/>
        <family val="2"/>
      </rPr>
      <t>Every project is required to have an ITT.</t>
    </r>
  </si>
  <si>
    <r>
      <t>·</t>
    </r>
    <r>
      <rPr>
        <sz val="7"/>
        <rFont val="Times New Roman"/>
        <family val="1"/>
      </rPr>
      <t xml:space="preserve">         </t>
    </r>
    <r>
      <rPr>
        <sz val="11"/>
        <rFont val="Calibri"/>
        <family val="2"/>
      </rPr>
      <t>The ITT requires setting targets for indicators on quarterly, annual, and life of project timeframes.</t>
    </r>
  </si>
  <si>
    <r>
      <t>·</t>
    </r>
    <r>
      <rPr>
        <sz val="7"/>
        <rFont val="Times New Roman"/>
        <family val="1"/>
      </rPr>
      <t xml:space="preserve">         </t>
    </r>
    <r>
      <rPr>
        <sz val="11"/>
        <rFont val="Calibri"/>
        <family val="2"/>
      </rPr>
      <t xml:space="preserve">The ITT should be updated with actual data for every reporting period. The ITT should be updated before beginning the narrative </t>
    </r>
    <r>
      <rPr>
        <u/>
        <sz val="11"/>
        <rFont val="Calibri"/>
        <family val="2"/>
      </rPr>
      <t>Project Progress Report</t>
    </r>
    <r>
      <rPr>
        <sz val="11"/>
        <rFont val="Calibri"/>
        <family val="2"/>
      </rPr>
      <t>.</t>
    </r>
  </si>
  <si>
    <r>
      <t>o</t>
    </r>
    <r>
      <rPr>
        <sz val="7"/>
        <rFont val="Times New Roman"/>
        <family val="1"/>
      </rPr>
      <t xml:space="preserve">   </t>
    </r>
    <r>
      <rPr>
        <sz val="11"/>
        <rFont val="Calibri"/>
        <family val="2"/>
      </rPr>
      <t>The ITT is a very useful management tool and is most effective when used on a quarterly basis. Use on a quarterly basis provides project managers with more regular data and can help in making timely adjustments and improvements to the project.</t>
    </r>
  </si>
  <si>
    <r>
      <t>·</t>
    </r>
    <r>
      <rPr>
        <sz val="7"/>
        <rFont val="Times New Roman"/>
        <family val="1"/>
      </rPr>
      <t xml:space="preserve">         </t>
    </r>
    <r>
      <rPr>
        <sz val="11"/>
        <rFont val="Calibri"/>
        <family val="2"/>
      </rPr>
      <t xml:space="preserve">If the required reporting period is semiannually, it is suggested that the ITT be completed on a quarterly basis, but that the analysis included in the </t>
    </r>
    <r>
      <rPr>
        <u/>
        <sz val="11"/>
        <rFont val="Calibri"/>
        <family val="2"/>
      </rPr>
      <t>Project Progress Report</t>
    </r>
    <r>
      <rPr>
        <sz val="11"/>
        <rFont val="Calibri"/>
        <family val="2"/>
      </rPr>
      <t xml:space="preserve"> focus on progress for the entire six month period.</t>
    </r>
  </si>
  <si>
    <r>
      <t>·</t>
    </r>
    <r>
      <rPr>
        <sz val="7"/>
        <rFont val="Times New Roman"/>
        <family val="1"/>
      </rPr>
      <t xml:space="preserve">         </t>
    </r>
    <r>
      <rPr>
        <sz val="11"/>
        <rFont val="Calibri"/>
        <family val="2"/>
      </rPr>
      <t>Targets can be revised, but there should be clear and convincing reasoning behind the revision. Indicator target revisions are not common and should be done only when there has been a major change to the scope or context of the project.</t>
    </r>
  </si>
  <si>
    <r>
      <t>o</t>
    </r>
    <r>
      <rPr>
        <sz val="7"/>
        <rFont val="Times New Roman"/>
        <family val="1"/>
      </rPr>
      <t xml:space="preserve">   </t>
    </r>
    <r>
      <rPr>
        <sz val="11"/>
        <rFont val="Calibri"/>
        <family val="2"/>
      </rPr>
      <t>For restricted projects, consult with the LWR Grants Manager before revising indicator targets. Target revisions should also be communicated clearly to the donor.</t>
    </r>
  </si>
  <si>
    <r>
      <t>o</t>
    </r>
    <r>
      <rPr>
        <sz val="7"/>
        <rFont val="Times New Roman"/>
        <family val="1"/>
      </rPr>
      <t xml:space="preserve">   </t>
    </r>
    <r>
      <rPr>
        <sz val="11"/>
        <rFont val="Calibri"/>
        <family val="2"/>
      </rPr>
      <t>For unrestricted projects, coordinate with the Program Associate before revising indicator targets.</t>
    </r>
  </si>
  <si>
    <r>
      <t>o</t>
    </r>
    <r>
      <rPr>
        <sz val="7"/>
        <rFont val="Times New Roman"/>
        <family val="1"/>
      </rPr>
      <t xml:space="preserve">   </t>
    </r>
    <r>
      <rPr>
        <sz val="11"/>
        <rFont val="Calibri"/>
        <family val="2"/>
      </rPr>
      <t>If approval is given to revise indicator targets:</t>
    </r>
  </si>
  <si>
    <r>
      <t>§</t>
    </r>
    <r>
      <rPr>
        <sz val="7"/>
        <rFont val="Times New Roman"/>
        <family val="1"/>
      </rPr>
      <t xml:space="preserve">  </t>
    </r>
    <r>
      <rPr>
        <sz val="11"/>
        <rFont val="Calibri"/>
        <family val="2"/>
      </rPr>
      <t>Highlight revised targets in progress reports and provide clear and specific reasoning for the revisions.</t>
    </r>
  </si>
  <si>
    <r>
      <t>§</t>
    </r>
    <r>
      <rPr>
        <sz val="7"/>
        <rFont val="Times New Roman"/>
        <family val="1"/>
      </rPr>
      <t xml:space="preserve">  </t>
    </r>
    <r>
      <rPr>
        <sz val="11"/>
        <rFont val="Calibri"/>
        <family val="2"/>
      </rPr>
      <t>Ensure that new targets are updated in the ITT and that all subsequent quarterly targets and annual and life of project targets reflect the revision.</t>
    </r>
  </si>
  <si>
    <r>
      <t>·</t>
    </r>
    <r>
      <rPr>
        <sz val="7"/>
        <rFont val="Times New Roman"/>
        <family val="1"/>
      </rPr>
      <t xml:space="preserve">         </t>
    </r>
    <r>
      <rPr>
        <sz val="11"/>
        <rFont val="Calibri"/>
        <family val="2"/>
      </rPr>
      <t xml:space="preserve">The “Status” column in the ITT can indicate the date the indicator data is expected to start and end, if it will only be collected at baseline and endline, if it is completed, or if it is ongoing. The “Status” column is </t>
    </r>
    <r>
      <rPr>
        <b/>
        <sz val="11"/>
        <rFont val="Calibri"/>
        <family val="2"/>
      </rPr>
      <t xml:space="preserve">NOT </t>
    </r>
    <r>
      <rPr>
        <sz val="11"/>
        <rFont val="Calibri"/>
        <family val="2"/>
      </rPr>
      <t xml:space="preserve">to be used to provide any narrative explanation about the indicator. This should be done in the </t>
    </r>
    <r>
      <rPr>
        <u/>
        <sz val="11"/>
        <rFont val="Calibri"/>
        <family val="2"/>
      </rPr>
      <t>Project Progress Report</t>
    </r>
    <r>
      <rPr>
        <sz val="11"/>
        <rFont val="Calibri"/>
        <family val="2"/>
      </rPr>
      <t>.</t>
    </r>
  </si>
  <si>
    <r>
      <t>·</t>
    </r>
    <r>
      <rPr>
        <sz val="7"/>
        <rFont val="Times New Roman"/>
        <family val="1"/>
      </rPr>
      <t xml:space="preserve">         </t>
    </r>
    <r>
      <rPr>
        <sz val="11"/>
        <rFont val="Calibri"/>
        <family val="2"/>
      </rPr>
      <t>Not meeting a target should be viewed as a learning experience, not as a failure.</t>
    </r>
  </si>
  <si>
    <r>
      <t>o</t>
    </r>
    <r>
      <rPr>
        <sz val="7"/>
        <rFont val="Times New Roman"/>
        <family val="1"/>
      </rPr>
      <t xml:space="preserve">   </t>
    </r>
    <r>
      <rPr>
        <sz val="11"/>
        <rFont val="Calibri"/>
        <family val="2"/>
      </rPr>
      <t>Discussions about why actual data is over or under a target is important.</t>
    </r>
  </si>
  <si>
    <r>
      <t>o</t>
    </r>
    <r>
      <rPr>
        <sz val="7"/>
        <rFont val="Times New Roman"/>
        <family val="1"/>
      </rPr>
      <t xml:space="preserve">   </t>
    </r>
    <r>
      <rPr>
        <sz val="11"/>
        <rFont val="Calibri"/>
        <family val="2"/>
      </rPr>
      <t>Set ambitious targets, but also make them realistic by linking them as closely as possible to the project’s detailed implementation plan.</t>
    </r>
  </si>
  <si>
    <r>
      <t>·</t>
    </r>
    <r>
      <rPr>
        <sz val="7"/>
        <rFont val="Times New Roman"/>
        <family val="1"/>
      </rPr>
      <t xml:space="preserve">         </t>
    </r>
    <r>
      <rPr>
        <sz val="11"/>
        <rFont val="Calibri"/>
        <family val="2"/>
      </rPr>
      <t>Use the ITT as a key analysis and reporting tool.</t>
    </r>
  </si>
  <si>
    <r>
      <t>o</t>
    </r>
    <r>
      <rPr>
        <sz val="7"/>
        <rFont val="Times New Roman"/>
        <family val="1"/>
      </rPr>
      <t xml:space="preserve">   </t>
    </r>
    <r>
      <rPr>
        <sz val="11"/>
        <rFont val="Calibri"/>
        <family val="2"/>
      </rPr>
      <t>Analyze why or why not targets were met to help you understand what adjustments to the project’s implementation should be made.</t>
    </r>
  </si>
  <si>
    <r>
      <t>·</t>
    </r>
    <r>
      <rPr>
        <sz val="7"/>
        <rFont val="Times New Roman"/>
        <family val="1"/>
      </rPr>
      <t xml:space="preserve">         </t>
    </r>
    <r>
      <rPr>
        <sz val="11"/>
        <rFont val="Calibri"/>
        <family val="2"/>
      </rPr>
      <t>Key findings from the analysis becomes central information for project reports, and can be shared with all relevant stakeholders.</t>
    </r>
  </si>
  <si>
    <t>LUTHERAN WORLD RELIEF INDICATOR TRACKING TABLE</t>
  </si>
  <si>
    <t>Project Beneficiaries</t>
  </si>
  <si>
    <t xml:space="preserve">Female </t>
  </si>
  <si>
    <t>Male</t>
  </si>
  <si>
    <t>Total</t>
  </si>
  <si>
    <t xml:space="preserve">Report Period: </t>
  </si>
  <si>
    <t>Project Year</t>
  </si>
  <si>
    <t xml:space="preserve">Direct </t>
  </si>
  <si>
    <t>Indirect</t>
  </si>
  <si>
    <t>30th September 2018</t>
  </si>
  <si>
    <t xml:space="preserve">RESULTS </t>
  </si>
  <si>
    <t>Project 
Baseline</t>
  </si>
  <si>
    <t>Annual Target</t>
  </si>
  <si>
    <t>Year to Date Actual</t>
  </si>
  <si>
    <t xml:space="preserve">% of Annual Target
</t>
  </si>
  <si>
    <t>Life of Project Target</t>
  </si>
  <si>
    <t>Life of Project Actual</t>
  </si>
  <si>
    <t>% of LoP Target</t>
  </si>
  <si>
    <t>Project Component</t>
  </si>
  <si>
    <t>Status</t>
  </si>
  <si>
    <t>Date</t>
  </si>
  <si>
    <t>Value</t>
  </si>
  <si>
    <t>Unit</t>
  </si>
  <si>
    <t>Target</t>
  </si>
  <si>
    <t>Actual</t>
  </si>
  <si>
    <t>% of Target</t>
  </si>
  <si>
    <t>Males</t>
  </si>
  <si>
    <t>Females</t>
  </si>
  <si>
    <t>TOOL SUMMARY: ACTIVITY TRACKING TABLE INSTRUCTIONS</t>
  </si>
  <si>
    <r>
      <t xml:space="preserve">The </t>
    </r>
    <r>
      <rPr>
        <u/>
        <sz val="11"/>
        <rFont val="Calibri"/>
        <family val="2"/>
      </rPr>
      <t>Activity Tracking Table</t>
    </r>
    <r>
      <rPr>
        <sz val="11"/>
        <rFont val="Calibri"/>
        <family val="2"/>
      </rPr>
      <t xml:space="preserve"> is a complimentary tool to </t>
    </r>
    <r>
      <rPr>
        <u/>
        <sz val="11"/>
        <rFont val="Calibri"/>
        <family val="2"/>
      </rPr>
      <t>the Indicator Tracking Table</t>
    </r>
    <r>
      <rPr>
        <sz val="11"/>
        <rFont val="Calibri"/>
        <family val="2"/>
      </rPr>
      <t xml:space="preserve">. It allows activities to be tracked in a summary manner and in a separate tab. This helps show project progress towards achieving the project’s outputs without complicating the ITT. </t>
    </r>
  </si>
  <si>
    <r>
      <t xml:space="preserve">The ATT is a tool that is used in assisting the project team, the LWR PM, and LWR HQ track progress on the completion of planned activities. The ATT elaborates on the general </t>
    </r>
    <r>
      <rPr>
        <u/>
        <sz val="11"/>
        <rFont val="Calibri"/>
        <family val="2"/>
      </rPr>
      <t>Project Work Plan</t>
    </r>
    <r>
      <rPr>
        <sz val="11"/>
        <rFont val="Calibri"/>
        <family val="2"/>
      </rPr>
      <t xml:space="preserve"> contained in the </t>
    </r>
    <r>
      <rPr>
        <u/>
        <sz val="11"/>
        <rFont val="Calibri"/>
        <family val="2"/>
      </rPr>
      <t>Project Design Workbook</t>
    </r>
    <r>
      <rPr>
        <sz val="11"/>
        <rFont val="Calibri"/>
        <family val="2"/>
      </rPr>
      <t xml:space="preserve"> by listing all project activities and the estimated targets for each reporting period.</t>
    </r>
  </si>
  <si>
    <t>Information the project team should have before starting the ATT:</t>
  </si>
  <si>
    <r>
      <t>·</t>
    </r>
    <r>
      <rPr>
        <sz val="7"/>
        <rFont val="Times New Roman"/>
        <family val="1"/>
      </rPr>
      <t xml:space="preserve">         </t>
    </r>
    <r>
      <rPr>
        <u/>
        <sz val="11"/>
        <rFont val="Calibri"/>
        <family val="2"/>
      </rPr>
      <t>Indicator Tracking Table</t>
    </r>
  </si>
  <si>
    <r>
      <t xml:space="preserve">The ATT should be completed and updated by the partner, reviewed by the LWR PM, and included in each </t>
    </r>
    <r>
      <rPr>
        <u/>
        <sz val="11"/>
        <rFont val="Calibri"/>
        <family val="2"/>
      </rPr>
      <t>Project Progress Report</t>
    </r>
    <r>
      <rPr>
        <sz val="11"/>
        <rFont val="Calibri"/>
        <family val="2"/>
      </rPr>
      <t>.</t>
    </r>
  </si>
  <si>
    <r>
      <t xml:space="preserve">The ATT is a sub-tool of the </t>
    </r>
    <r>
      <rPr>
        <u/>
        <sz val="11"/>
        <rFont val="Calibri"/>
        <family val="2"/>
      </rPr>
      <t>Detailed M&amp;E Plan</t>
    </r>
    <r>
      <rPr>
        <sz val="11"/>
        <rFont val="Calibri"/>
        <family val="2"/>
      </rPr>
      <t xml:space="preserve"> and should therefore be completed according to the timeframe set out for the completion of the </t>
    </r>
    <r>
      <rPr>
        <u/>
        <sz val="11"/>
        <rFont val="Calibri"/>
        <family val="2"/>
      </rPr>
      <t>Detailed M&amp;E Plan</t>
    </r>
    <r>
      <rPr>
        <sz val="11"/>
        <rFont val="Calibri"/>
        <family val="2"/>
      </rPr>
      <t xml:space="preserve">. </t>
    </r>
  </si>
  <si>
    <r>
      <t>·</t>
    </r>
    <r>
      <rPr>
        <sz val="7"/>
        <rFont val="Times New Roman"/>
        <family val="1"/>
      </rPr>
      <t xml:space="preserve">         </t>
    </r>
    <r>
      <rPr>
        <sz val="11"/>
        <rFont val="Calibri"/>
        <family val="2"/>
      </rPr>
      <t>Every project is required to have an ATT.</t>
    </r>
  </si>
  <si>
    <r>
      <t>·</t>
    </r>
    <r>
      <rPr>
        <sz val="7"/>
        <rFont val="Times New Roman"/>
        <family val="1"/>
      </rPr>
      <t xml:space="preserve">         </t>
    </r>
    <r>
      <rPr>
        <sz val="11"/>
        <rFont val="Calibri"/>
        <family val="2"/>
      </rPr>
      <t>The ATT requires setting targets for activity completion on quarterly, annual, and life of project timeframes.</t>
    </r>
  </si>
  <si>
    <r>
      <t>·</t>
    </r>
    <r>
      <rPr>
        <sz val="7"/>
        <rFont val="Times New Roman"/>
        <family val="1"/>
      </rPr>
      <t xml:space="preserve">         </t>
    </r>
    <r>
      <rPr>
        <sz val="11"/>
        <rFont val="Calibri"/>
        <family val="2"/>
      </rPr>
      <t xml:space="preserve">The ATT should be updated with actual data for every reporting period. The ATT should be updated before beginning the narrative </t>
    </r>
    <r>
      <rPr>
        <u/>
        <sz val="11"/>
        <rFont val="Calibri"/>
        <family val="2"/>
      </rPr>
      <t>Project Progress Report</t>
    </r>
    <r>
      <rPr>
        <sz val="11"/>
        <rFont val="Calibri"/>
        <family val="2"/>
      </rPr>
      <t>.</t>
    </r>
  </si>
  <si>
    <r>
      <t>o</t>
    </r>
    <r>
      <rPr>
        <sz val="7"/>
        <rFont val="Times New Roman"/>
        <family val="1"/>
      </rPr>
      <t xml:space="preserve">   </t>
    </r>
    <r>
      <rPr>
        <sz val="11"/>
        <rFont val="Calibri"/>
        <family val="2"/>
      </rPr>
      <t xml:space="preserve">The ATT is a key management tool and is most effective when used on a quarterly basis. Use on a quarterly basis provides project managers with more regular data and can help in making timely adjustments and improvements to the project. </t>
    </r>
  </si>
  <si>
    <r>
      <t>o</t>
    </r>
    <r>
      <rPr>
        <sz val="7"/>
        <rFont val="Times New Roman"/>
        <family val="1"/>
      </rPr>
      <t xml:space="preserve">   </t>
    </r>
    <r>
      <rPr>
        <sz val="11"/>
        <rFont val="Calibri"/>
        <family val="2"/>
      </rPr>
      <t xml:space="preserve">If the required reporting period is semiannually, it is suggested that the ATT be completed on a quarterly basis, but that the analysis included in the </t>
    </r>
    <r>
      <rPr>
        <u/>
        <sz val="11"/>
        <rFont val="Calibri"/>
        <family val="2"/>
      </rPr>
      <t>Project Progress Report</t>
    </r>
    <r>
      <rPr>
        <sz val="11"/>
        <rFont val="Calibri"/>
        <family val="2"/>
      </rPr>
      <t xml:space="preserve"> focus on progress for the entire six month period.</t>
    </r>
  </si>
  <si>
    <r>
      <t>·</t>
    </r>
    <r>
      <rPr>
        <sz val="7"/>
        <rFont val="Times New Roman"/>
        <family val="1"/>
      </rPr>
      <t xml:space="preserve">         </t>
    </r>
    <r>
      <rPr>
        <sz val="11"/>
        <rFont val="Calibri"/>
        <family val="2"/>
      </rPr>
      <t>The ATT is linked to the ITT and is used to track project progress. It therefore has similar requirements and recommendations as the ITT.</t>
    </r>
  </si>
  <si>
    <r>
      <t>·</t>
    </r>
    <r>
      <rPr>
        <sz val="7"/>
        <rFont val="Times New Roman"/>
        <family val="1"/>
      </rPr>
      <t xml:space="preserve">         </t>
    </r>
    <r>
      <rPr>
        <sz val="11"/>
        <rFont val="Calibri"/>
        <family val="2"/>
      </rPr>
      <t>The completion of activities tells us little about changes in development conditions or in the lives of people. It is the results of these activities that is significant. Nevertheless, tracking the completion of planned activities is a very important management tool. LWR therefore encourages the use of the ATT instead of including the tracking of activities in the ITT or in a logframe template.</t>
    </r>
  </si>
  <si>
    <r>
      <t>·</t>
    </r>
    <r>
      <rPr>
        <sz val="7"/>
        <rFont val="Times New Roman"/>
        <family val="1"/>
      </rPr>
      <t xml:space="preserve">         </t>
    </r>
    <r>
      <rPr>
        <sz val="11"/>
        <rFont val="Calibri"/>
        <family val="2"/>
      </rPr>
      <t>Setting targets for the number of activities to be completed in a reporting period is a way to ensure that all activities are completed by the end of the project. LWR understands that many factors affect the completion of activities according to plan. Nevertheless, the project should strive to complete activities as planned, which is most easily measured by tracking the completion of activities according to targets.</t>
    </r>
  </si>
  <si>
    <r>
      <t>o</t>
    </r>
    <r>
      <rPr>
        <sz val="7"/>
        <rFont val="Times New Roman"/>
        <family val="1"/>
      </rPr>
      <t xml:space="preserve">   </t>
    </r>
    <r>
      <rPr>
        <sz val="11"/>
        <rFont val="Calibri"/>
        <family val="2"/>
      </rPr>
      <t xml:space="preserve">Section 3.1.a. of the </t>
    </r>
    <r>
      <rPr>
        <u/>
        <sz val="11"/>
        <rFont val="Calibri"/>
        <family val="2"/>
      </rPr>
      <t>Project Progress Report</t>
    </r>
    <r>
      <rPr>
        <sz val="11"/>
        <rFont val="Calibri"/>
        <family val="2"/>
      </rPr>
      <t xml:space="preserve"> is dedicated to an analysis of the progress towards meeting activity targets. This will allow the project team to explain in more detail the simplified quantitative activity tracking of the ATT.   </t>
    </r>
  </si>
  <si>
    <r>
      <t>o</t>
    </r>
    <r>
      <rPr>
        <sz val="7"/>
        <rFont val="Times New Roman"/>
        <family val="1"/>
      </rPr>
      <t xml:space="preserve">   </t>
    </r>
    <r>
      <rPr>
        <sz val="11"/>
        <rFont val="Calibri"/>
        <family val="2"/>
      </rPr>
      <t>Discussing why actual data is over or under a target is important.</t>
    </r>
  </si>
  <si>
    <r>
      <t>·</t>
    </r>
    <r>
      <rPr>
        <sz val="7"/>
        <rFont val="Times New Roman"/>
        <family val="1"/>
      </rPr>
      <t xml:space="preserve">         </t>
    </r>
    <r>
      <rPr>
        <sz val="11"/>
        <rFont val="Calibri"/>
        <family val="2"/>
      </rPr>
      <t>Use the ATT as a key analysis and reporting tool</t>
    </r>
  </si>
  <si>
    <r>
      <t>o</t>
    </r>
    <r>
      <rPr>
        <sz val="7"/>
        <rFont val="Times New Roman"/>
        <family val="1"/>
      </rPr>
      <t xml:space="preserve">   </t>
    </r>
    <r>
      <rPr>
        <sz val="11"/>
        <rFont val="Calibri"/>
        <family val="2"/>
      </rPr>
      <t>Analyze why activity targets were or were not met, analyze them in the context of how they relate to meeting impact indicator targets, and use the results to help you determine any adjustments to the project’s implementation plan that should be made.</t>
    </r>
  </si>
  <si>
    <r>
      <t>o</t>
    </r>
    <r>
      <rPr>
        <sz val="7"/>
        <rFont val="Times New Roman"/>
        <family val="1"/>
      </rPr>
      <t xml:space="preserve">   </t>
    </r>
    <r>
      <rPr>
        <sz val="11"/>
        <rFont val="Calibri"/>
        <family val="2"/>
      </rPr>
      <t>Key findings from the analysis becomes central information for project reports, and can be shared with all relevant stakeholders.</t>
    </r>
  </si>
  <si>
    <r>
      <t>·</t>
    </r>
    <r>
      <rPr>
        <sz val="7"/>
        <rFont val="Times New Roman"/>
        <family val="1"/>
      </rPr>
      <t xml:space="preserve">         </t>
    </r>
    <r>
      <rPr>
        <sz val="11"/>
        <rFont val="Calibri"/>
        <family val="2"/>
      </rPr>
      <t xml:space="preserve">Reporting detailed information about sub-tasks to complete activities can be time-consuming and confusing for report reviewers at the regional and Headquarters level. Keep it simple, clear, and concise. </t>
    </r>
  </si>
  <si>
    <t>LUTHERAN WORLD RELIEF ACTIVITY TRACKING TABLE</t>
  </si>
  <si>
    <t>Q1 Reporting Period
Date X - Date Y</t>
  </si>
  <si>
    <t>RESULTS Livelihoods</t>
  </si>
  <si>
    <t>Lamwo District</t>
  </si>
  <si>
    <t>1.01.2018</t>
  </si>
  <si>
    <t>18-2210-1</t>
  </si>
  <si>
    <t>African Women and Youth Action for Development</t>
  </si>
  <si>
    <t>January 2018 -September 2018</t>
  </si>
  <si>
    <t>30.09.2018</t>
  </si>
  <si>
    <r>
      <t>Indicator table for the Baseline of "</t>
    </r>
    <r>
      <rPr>
        <b/>
        <sz val="12"/>
        <color indexed="13"/>
        <rFont val="Calibri"/>
        <family val="2"/>
      </rPr>
      <t>RESULTS Livelihoods</t>
    </r>
    <r>
      <rPr>
        <b/>
        <sz val="12"/>
        <color indexed="9"/>
        <rFont val="Calibri"/>
        <family val="2"/>
      </rPr>
      <t>"</t>
    </r>
  </si>
  <si>
    <t>(Jan 2018 - Sept 2018)</t>
  </si>
  <si>
    <t>All beneficiaries are receiving food rations from WFP</t>
  </si>
  <si>
    <t>African Wowen and Youth Action for Development</t>
  </si>
  <si>
    <t>1st January 2018</t>
  </si>
  <si>
    <t>January 2018 - September 2018</t>
  </si>
  <si>
    <t>Q2 Reporting Period
Jan 2018 - Mar 2018</t>
  </si>
  <si>
    <t>Q3 Reporting Period
April 2018 - June 2018</t>
  </si>
  <si>
    <t>Q4 Reporting Period
Jul 2018 - Sept 2018</t>
  </si>
  <si>
    <t>Q1 Reporting Period
Oct - Dec 2018</t>
  </si>
  <si>
    <t>Q2 Reporting Period
Jan - Mar 2019</t>
  </si>
  <si>
    <t>Q3 Reporting Period
April - June 2019</t>
  </si>
  <si>
    <t>Q4 Reporting Period
July - Sept 2019</t>
  </si>
  <si>
    <t>19-24th Feb 2018</t>
  </si>
  <si>
    <t>Baseline Survey Report</t>
  </si>
  <si>
    <t xml:space="preserve">No community owned extension workers </t>
  </si>
  <si>
    <t xml:space="preserve">As a result of extension support previusly, some of the refugees </t>
  </si>
  <si>
    <t xml:space="preserve">Though some of the refugees were supported to plant some seeds last year (2017), none of them saved any seeds. They lost most of them to drought and consumed the little they had. </t>
  </si>
  <si>
    <t xml:space="preserve">women only since babies can not be interviewed. </t>
  </si>
  <si>
    <t>women</t>
  </si>
  <si>
    <t>people</t>
  </si>
  <si>
    <t xml:space="preserve">Males </t>
  </si>
  <si>
    <t xml:space="preserve">Output </t>
  </si>
  <si>
    <t>1.4.A</t>
  </si>
  <si>
    <t>1.4.B</t>
  </si>
  <si>
    <t>1.5.A</t>
  </si>
  <si>
    <t>3.2.B</t>
  </si>
  <si>
    <t>3.2.C</t>
  </si>
  <si>
    <t>3.1.B</t>
  </si>
  <si>
    <t>3.1.C</t>
  </si>
  <si>
    <t>3.2.A</t>
  </si>
  <si>
    <t>3.3.A</t>
  </si>
  <si>
    <t>3.3.B</t>
  </si>
  <si>
    <t>Support vulnerable women and youth open up small businesses</t>
  </si>
  <si>
    <t>Train vulnerable women in business management</t>
  </si>
  <si>
    <t>Train refugee and host community farmers in VSLA</t>
  </si>
  <si>
    <t>High numbers of refugees led to increase in the targets.</t>
  </si>
  <si>
    <t>GOAL:  Increased household self-reliance and resilience among refugees and host community members in Palabek and Kyaka II refugee settlements.</t>
  </si>
  <si>
    <t xml:space="preserve">Outcome 1. Increased household food security and incomes among refugees and host communities </t>
  </si>
  <si>
    <r>
      <t xml:space="preserve">Unit (s): 
</t>
    </r>
    <r>
      <rPr>
        <sz val="11"/>
        <rFont val="Calibri"/>
        <family val="2"/>
      </rPr>
      <t xml:space="preserve">Men and Women (in HH with Assets)
</t>
    </r>
    <r>
      <rPr>
        <b/>
        <sz val="11"/>
        <rFont val="Calibri"/>
        <family val="2"/>
      </rPr>
      <t xml:space="preserve">
</t>
    </r>
    <r>
      <rPr>
        <sz val="11"/>
        <rFont val="Calibri"/>
        <family val="2"/>
      </rPr>
      <t>Household</t>
    </r>
  </si>
  <si>
    <r>
      <rPr>
        <b/>
        <sz val="11"/>
        <rFont val="Calibri"/>
        <family val="2"/>
      </rPr>
      <t>Baseline:</t>
    </r>
    <r>
      <rPr>
        <sz val="11"/>
        <rFont val="Calibri"/>
        <family val="2"/>
      </rPr>
      <t xml:space="preserve"> 
1. Household survey 
</t>
    </r>
    <r>
      <rPr>
        <b/>
        <sz val="11"/>
        <rFont val="Calibri"/>
        <family val="2"/>
      </rPr>
      <t xml:space="preserve">Monitoring:
</t>
    </r>
    <r>
      <rPr>
        <sz val="11"/>
        <rFont val="Calibri"/>
        <family val="2"/>
      </rPr>
      <t xml:space="preserve">2. Census 
</t>
    </r>
    <r>
      <rPr>
        <b/>
        <sz val="11"/>
        <rFont val="Calibri"/>
        <family val="2"/>
      </rPr>
      <t xml:space="preserve">Endline: 
</t>
    </r>
    <r>
      <rPr>
        <sz val="11"/>
        <rFont val="Calibri"/>
        <family val="2"/>
      </rPr>
      <t>3. Household survey</t>
    </r>
  </si>
  <si>
    <t xml:space="preserve">
1. Consultant database/Endline Report
2.1. ITT 
2.2. Consolidated savings group records
2.3. Savings group records 
</t>
  </si>
  <si>
    <r>
      <rPr>
        <b/>
        <sz val="11"/>
        <rFont val="Calibri"/>
        <family val="2"/>
      </rPr>
      <t>Baseline:</t>
    </r>
    <r>
      <rPr>
        <sz val="11"/>
        <rFont val="Calibri"/>
        <family val="2"/>
      </rPr>
      <t xml:space="preserve"> 
1. Household survey 
</t>
    </r>
    <r>
      <rPr>
        <b/>
        <sz val="11"/>
        <rFont val="Calibri"/>
        <family val="2"/>
      </rPr>
      <t xml:space="preserve">Monitoring:
</t>
    </r>
    <r>
      <rPr>
        <sz val="11"/>
        <rFont val="Calibri"/>
        <family val="2"/>
      </rPr>
      <t xml:space="preserve">2. Census 
</t>
    </r>
    <r>
      <rPr>
        <b/>
        <sz val="11"/>
        <rFont val="Calibri"/>
        <family val="2"/>
      </rPr>
      <t xml:space="preserve">Endline: 
</t>
    </r>
    <r>
      <rPr>
        <sz val="11"/>
        <rFont val="Calibri"/>
        <family val="2"/>
      </rPr>
      <t>3. Household survey</t>
    </r>
  </si>
  <si>
    <t xml:space="preserve">
1. Beginning of year 2 (Oct. 31, 2018)  
2. End of qourter 1 (31st December) 
2. End of Quarter 2 (March 31st)
3. End of Quarter 3 (June 30th)
4. End of year (Sept 30th)
5. Endline Survey 
6. Ongoing</t>
  </si>
  <si>
    <t xml:space="preserve">
1. Consultant database/Endline Report
2.1. ITT 
2.2. Consolidated  group production records
2.3. Household group records 
</t>
  </si>
  <si>
    <t xml:space="preserve">
1. Consultant database/Endline Report
2.1. ITT 
2.3.Household asset purchase records 
</t>
  </si>
  <si>
    <t xml:space="preserve">
1.  Consultant
2.1. Project Manager
2.2. Project Ext officer
2.3. Field officer
2.4. Household record keeper 
</t>
  </si>
  <si>
    <t xml:space="preserve">Are men and women to accumulating assets? If not, why? 
Howare the assets being used for generating better livelihoods? 
What are the key assets a household should have to promote resilient livelihoods? </t>
  </si>
  <si>
    <t xml:space="preserve">1. United Nations High Commission for Refugees (UNHCR)
2. Office of the Prime Minister (OPM)
3. Lamwo &amp; Kyegegwa District Local Governments.                    4. LWR Country Office &amp; HQ. </t>
  </si>
  <si>
    <t xml:space="preserve">Is own food production reducing dependence on food aid?  If not, why? 
Is own food production contributing to increase in consumption diversity? 
Between male and female headed households, which are more food secure? </t>
  </si>
  <si>
    <r>
      <t xml:space="preserve">Unit (s): 
</t>
    </r>
    <r>
      <rPr>
        <sz val="11"/>
        <rFont val="Calibri"/>
        <family val="2"/>
      </rPr>
      <t xml:space="preserve">Men and Women (engaged in own food production)
</t>
    </r>
    <r>
      <rPr>
        <b/>
        <sz val="11"/>
        <rFont val="Calibri"/>
        <family val="2"/>
      </rPr>
      <t xml:space="preserve">
</t>
    </r>
    <r>
      <rPr>
        <sz val="11"/>
        <rFont val="Calibri"/>
        <family val="2"/>
      </rPr>
      <t>Household</t>
    </r>
  </si>
  <si>
    <t xml:space="preserve">OUTPUT 1.2: Targeted refugees and host community members have access to improved high yielding seeds. </t>
  </si>
  <si>
    <r>
      <rPr>
        <b/>
        <sz val="11"/>
        <rFont val="Calibri"/>
        <family val="2"/>
      </rPr>
      <t>30% increase in food production calculation:</t>
    </r>
    <r>
      <rPr>
        <sz val="11"/>
        <rFont val="Calibri"/>
        <family val="2"/>
      </rPr>
      <t xml:space="preserve"> ((new period amount of food produced - prior period amount of food produced)/prior period amount of food produced))*100                                                                                       
</t>
    </r>
    <r>
      <rPr>
        <b/>
        <sz val="11"/>
        <rFont val="Calibri"/>
        <family val="2"/>
      </rPr>
      <t>ITT Calculation:</t>
    </r>
    <r>
      <rPr>
        <sz val="11"/>
        <rFont val="Calibri"/>
        <family val="2"/>
      </rPr>
      <t xml:space="preserve"> Count all refugees and host communities who achieved 30% + food production a year.                                                                                                                                                                   </t>
    </r>
  </si>
  <si>
    <t xml:space="preserve">Indicator 1.B. 800 refugees and host communities acquire atleast one productive household asset and one non-productive asset. </t>
  </si>
  <si>
    <r>
      <t xml:space="preserve"> </t>
    </r>
    <r>
      <rPr>
        <b/>
        <sz val="11"/>
        <rFont val="Calibri"/>
        <family val="2"/>
      </rPr>
      <t xml:space="preserve">ITT Calculation: </t>
    </r>
    <r>
      <rPr>
        <sz val="11"/>
        <rFont val="Calibri"/>
        <family val="2"/>
      </rPr>
      <t xml:space="preserve"> 
1. Count number of women who bought a productive asset within project period.                                                                                                                                               2. Count number of women who bought a productive asset within project period.                                                                                                                                                                                                                                                                                                                                                              3. Add the number of women and men who bought a productive asset within project period.                                               A productive asset may include: Farm tools, business equipment, livestock, bodaboda, truck, land, house, etc.</t>
    </r>
  </si>
  <si>
    <t>Indicator 1.A. 1200 refugees and host communities achieve atleast 30%  increase in household food production.</t>
  </si>
  <si>
    <r>
      <rPr>
        <b/>
        <sz val="11"/>
        <rFont val="Calibri"/>
        <family val="2"/>
      </rPr>
      <t>% increase calculation:</t>
    </r>
    <r>
      <rPr>
        <sz val="11"/>
        <rFont val="Calibri"/>
        <family val="2"/>
      </rPr>
      <t xml:space="preserve"> ((new period savings value - prior period savings value)/prior period savings value))*100
</t>
    </r>
    <r>
      <rPr>
        <b/>
        <sz val="11"/>
        <rFont val="Calibri"/>
        <family val="2"/>
      </rPr>
      <t>ITT Calculation:</t>
    </r>
    <r>
      <rPr>
        <sz val="11"/>
        <rFont val="Calibri"/>
        <family val="2"/>
      </rPr>
      <t xml:space="preserve"> Count all refugees and host community members who increased their savings by 50% + during the project period.     
Disaggregated by savings held by men and women within the household. </t>
    </r>
  </si>
  <si>
    <t>Households</t>
  </si>
  <si>
    <r>
      <rPr>
        <b/>
        <sz val="11"/>
        <rFont val="Calibri"/>
        <family val="2"/>
      </rPr>
      <t>Baseline:</t>
    </r>
    <r>
      <rPr>
        <sz val="11"/>
        <rFont val="Calibri"/>
        <family val="2"/>
      </rPr>
      <t xml:space="preserve"> 
1. Household survey 
</t>
    </r>
    <r>
      <rPr>
        <b/>
        <sz val="11"/>
        <rFont val="Calibri"/>
        <family val="2"/>
      </rPr>
      <t xml:space="preserve">Monitoring:
</t>
    </r>
    <r>
      <rPr>
        <sz val="11"/>
        <rFont val="Calibri"/>
        <family val="2"/>
      </rPr>
      <t xml:space="preserve">2. Census/ongoing
</t>
    </r>
    <r>
      <rPr>
        <b/>
        <sz val="11"/>
        <rFont val="Calibri"/>
        <family val="2"/>
      </rPr>
      <t xml:space="preserve">Endline: 
</t>
    </r>
    <r>
      <rPr>
        <sz val="11"/>
        <rFont val="Calibri"/>
        <family val="2"/>
      </rPr>
      <t>3. Household survey</t>
    </r>
  </si>
  <si>
    <t xml:space="preserve">
1. Beginning of year 2 (Oct. 31, 2018)  
2. End of qourter 1 (31st December) 
2. End of Quarter 2 (March 31st)
3. End of Quarter 3 (June 30th)
4. End of year (Sept 30th)
5. Endline Survey Report
6. Ongoing</t>
  </si>
  <si>
    <t>Indicator 1.C: 800 refugees and host community members  increase their savings by atleast 50%</t>
  </si>
  <si>
    <t>Lead Farmers</t>
  </si>
  <si>
    <r>
      <t xml:space="preserve">Indicator </t>
    </r>
    <r>
      <rPr>
        <b/>
        <sz val="11"/>
        <color indexed="8"/>
        <rFont val="Calibri"/>
        <family val="2"/>
      </rPr>
      <t>1.1.b:</t>
    </r>
    <r>
      <rPr>
        <sz val="11"/>
        <color indexed="8"/>
        <rFont val="Calibri"/>
        <family val="2"/>
      </rPr>
      <t xml:space="preserve"> 1600 refugees &amp; host communities receive extension services from lead/model farmers.</t>
    </r>
  </si>
  <si>
    <r>
      <rPr>
        <b/>
        <sz val="11"/>
        <rFont val="Calibri"/>
        <family val="2"/>
        <scheme val="minor"/>
      </rPr>
      <t>Refugee</t>
    </r>
    <r>
      <rPr>
        <sz val="11"/>
        <rFont val="Calibri"/>
        <family val="2"/>
        <scheme val="minor"/>
      </rPr>
      <t xml:space="preserve"> = South Sudanese nationals who have been forced to leave their country to seek asylum in Uganda(Palabek refugee settlement)
</t>
    </r>
    <r>
      <rPr>
        <b/>
        <sz val="11"/>
        <rFont val="Calibri"/>
        <family val="2"/>
        <scheme val="minor"/>
      </rPr>
      <t>Host communities</t>
    </r>
    <r>
      <rPr>
        <sz val="11"/>
        <rFont val="Calibri"/>
        <family val="2"/>
        <scheme val="minor"/>
      </rPr>
      <t xml:space="preserve">  = Ugandan nationals living in and around Palabek refugee settlement.
</t>
    </r>
    <r>
      <rPr>
        <b/>
        <sz val="11"/>
        <rFont val="Calibri"/>
        <family val="2"/>
        <scheme val="minor"/>
      </rPr>
      <t xml:space="preserve">ITT Calculation                                              </t>
    </r>
    <r>
      <rPr>
        <sz val="11"/>
        <rFont val="Calibri"/>
        <family val="2"/>
        <scheme val="minor"/>
      </rPr>
      <t xml:space="preserve">Count the number of refugee and host community farmers who recieved advice/knowledge/skills from the lead farmers. </t>
    </r>
  </si>
  <si>
    <r>
      <rPr>
        <b/>
        <sz val="11"/>
        <rFont val="Calibri"/>
        <family val="2"/>
        <scheme val="minor"/>
      </rPr>
      <t xml:space="preserve">
Lead/Model Farmer</t>
    </r>
    <r>
      <rPr>
        <sz val="11"/>
        <rFont val="Calibri"/>
        <family val="2"/>
        <scheme val="minor"/>
      </rPr>
      <t xml:space="preserve"> - A refugee or host farmer is a member of the refugee/host farmer group selected by group as their peer leader/trainer. 
</t>
    </r>
    <r>
      <rPr>
        <b/>
        <sz val="11"/>
        <rFont val="Calibri"/>
        <family val="2"/>
        <scheme val="minor"/>
      </rPr>
      <t>Farmer-to-Farmer Extension services</t>
    </r>
    <r>
      <rPr>
        <sz val="11"/>
        <rFont val="Calibri"/>
        <family val="2"/>
        <scheme val="minor"/>
      </rPr>
      <t xml:space="preserve"> - Refers to knowledge &amp; skills provided by the lead/model farmers to  at group level or household level during monitoring visit. 
</t>
    </r>
    <r>
      <rPr>
        <b/>
        <sz val="11"/>
        <rFont val="Calibri"/>
        <family val="2"/>
        <scheme val="minor"/>
      </rPr>
      <t>ITT Calculation:</t>
    </r>
    <r>
      <rPr>
        <sz val="11"/>
        <rFont val="Calibri"/>
        <family val="2"/>
        <scheme val="minor"/>
      </rPr>
      <t xml:space="preserve">
Count the number of lead farmers who receieved atleast 10 training modules  in Agronomy, PHH and eco-system management. 
</t>
    </r>
  </si>
  <si>
    <t>Disaggregate by gender (women &amp;  men)</t>
  </si>
  <si>
    <t xml:space="preserve">
Disaggregate by gender (women &amp;  men)</t>
  </si>
  <si>
    <r>
      <rPr>
        <b/>
        <sz val="11"/>
        <rFont val="Calibri"/>
        <family val="2"/>
        <scheme val="minor"/>
      </rPr>
      <t>Agricultural seeds</t>
    </r>
    <r>
      <rPr>
        <sz val="11"/>
        <rFont val="Calibri"/>
        <family val="2"/>
        <scheme val="minor"/>
      </rPr>
      <t xml:space="preserve"> = high yielding varieties of OSLP, cassava, okra, spinanch, onion, egg plant, and amaranth   
Host communities  = Ugandan nationals living in and around Palabek refugee settlement. 
</t>
    </r>
    <r>
      <rPr>
        <b/>
        <sz val="11"/>
        <rFont val="Calibri"/>
        <family val="2"/>
        <scheme val="minor"/>
      </rPr>
      <t xml:space="preserve">ITT Calculation:                                                 </t>
    </r>
    <r>
      <rPr>
        <sz val="11"/>
        <rFont val="Calibri"/>
        <family val="2"/>
        <scheme val="minor"/>
      </rPr>
      <t>Count the number of refugees and Host communities  who receive the one of the the following seeds: cassava, okra, OSP.</t>
    </r>
  </si>
  <si>
    <r>
      <rPr>
        <b/>
        <sz val="11"/>
        <rFont val="Calibri"/>
        <family val="2"/>
      </rPr>
      <t>Baseline:</t>
    </r>
    <r>
      <rPr>
        <sz val="11"/>
        <rFont val="Calibri"/>
        <family val="2"/>
      </rPr>
      <t xml:space="preserve"> 
1. Household survey 
</t>
    </r>
    <r>
      <rPr>
        <b/>
        <sz val="11"/>
        <rFont val="Calibri"/>
        <family val="2"/>
      </rPr>
      <t xml:space="preserve">Monitoring:
</t>
    </r>
    <r>
      <rPr>
        <sz val="11"/>
        <rFont val="Calibri"/>
        <family val="2"/>
      </rPr>
      <t xml:space="preserve">2. Census/ ongoing 
</t>
    </r>
    <r>
      <rPr>
        <b/>
        <sz val="11"/>
        <rFont val="Calibri"/>
        <family val="2"/>
      </rPr>
      <t xml:space="preserve">Endline: 
</t>
    </r>
    <r>
      <rPr>
        <sz val="11"/>
        <rFont val="Calibri"/>
        <family val="2"/>
      </rPr>
      <t>3. Household survey</t>
    </r>
  </si>
  <si>
    <r>
      <rPr>
        <b/>
        <sz val="11"/>
        <rFont val="Calibri"/>
        <family val="2"/>
      </rPr>
      <t>Baseline:</t>
    </r>
    <r>
      <rPr>
        <sz val="11"/>
        <rFont val="Calibri"/>
        <family val="2"/>
      </rPr>
      <t xml:space="preserve"> 
1. Household survey 
</t>
    </r>
    <r>
      <rPr>
        <b/>
        <sz val="11"/>
        <rFont val="Calibri"/>
        <family val="2"/>
      </rPr>
      <t xml:space="preserve">Monitoring:
</t>
    </r>
    <r>
      <rPr>
        <sz val="11"/>
        <rFont val="Calibri"/>
        <family val="2"/>
      </rPr>
      <t xml:space="preserve">2. Census/ongoing
</t>
    </r>
    <r>
      <rPr>
        <b/>
        <sz val="11"/>
        <rFont val="Calibri"/>
        <family val="2"/>
      </rPr>
      <t xml:space="preserve">Endline: 
</t>
    </r>
    <r>
      <rPr>
        <sz val="11"/>
        <rFont val="Calibri"/>
        <family val="2"/>
      </rPr>
      <t>3. Household survey</t>
    </r>
  </si>
  <si>
    <r>
      <t xml:space="preserve">
</t>
    </r>
    <r>
      <rPr>
        <b/>
        <sz val="11"/>
        <rFont val="Calibri"/>
        <family val="2"/>
        <scheme val="minor"/>
      </rPr>
      <t>Small-scale business</t>
    </r>
    <r>
      <rPr>
        <sz val="11"/>
        <rFont val="Calibri"/>
        <family val="2"/>
        <scheme val="minor"/>
      </rPr>
      <t xml:space="preserve"> - a business that has low capital investments and does not have a high volume of sales.
</t>
    </r>
    <r>
      <rPr>
        <b/>
        <sz val="11"/>
        <rFont val="Calibri"/>
        <family val="2"/>
        <scheme val="minor"/>
      </rPr>
      <t>ITT Calculation:</t>
    </r>
    <r>
      <rPr>
        <sz val="11"/>
        <rFont val="Calibri"/>
        <family val="2"/>
        <scheme val="minor"/>
      </rPr>
      <t xml:space="preserve">
Count the number of refugees who acquired a loan from the VSLA cash grants provided by LWR. 
</t>
    </r>
  </si>
  <si>
    <t>Men and women operating businesses</t>
  </si>
  <si>
    <t xml:space="preserve">
1. Consultant database/Endline Report
2.1. ITT 
2.2. Consolidated  group production records
2.3. Business records 
</t>
  </si>
  <si>
    <r>
      <rPr>
        <b/>
        <sz val="11"/>
        <rFont val="Calibri"/>
        <family val="2"/>
      </rPr>
      <t xml:space="preserve">Honey </t>
    </r>
    <r>
      <rPr>
        <sz val="11"/>
        <rFont val="Calibri"/>
        <family val="2"/>
      </rPr>
      <t xml:space="preserve"> = A product of bees got from bee hives.
</t>
    </r>
    <r>
      <rPr>
        <b/>
        <sz val="11"/>
        <rFont val="Calibri"/>
        <family val="2"/>
      </rPr>
      <t>Honey Production:</t>
    </r>
    <r>
      <rPr>
        <sz val="11"/>
        <rFont val="Calibri"/>
        <family val="2"/>
      </rPr>
      <t xml:space="preserve"> Process of getting honey from bee hives. 
</t>
    </r>
    <r>
      <rPr>
        <b/>
        <sz val="11"/>
        <rFont val="Calibri"/>
        <family val="2"/>
      </rPr>
      <t xml:space="preserve">
Honey Marketing: </t>
    </r>
    <r>
      <rPr>
        <sz val="11"/>
        <rFont val="Calibri"/>
        <family val="2"/>
      </rPr>
      <t xml:space="preserve">A process of selling honey. 
</t>
    </r>
    <r>
      <rPr>
        <b/>
        <sz val="11"/>
        <rFont val="Calibri"/>
        <family val="2"/>
      </rPr>
      <t xml:space="preserve">
ITT Calculation: 
</t>
    </r>
    <r>
      <rPr>
        <sz val="11"/>
        <rFont val="Calibri"/>
        <family val="2"/>
      </rPr>
      <t xml:space="preserve">Count the number of refugee and host community members producing and selling honey. </t>
    </r>
  </si>
  <si>
    <t>Men and women engaged in honey production and selling.</t>
  </si>
  <si>
    <t>Refugee and host community farmers</t>
  </si>
  <si>
    <r>
      <rPr>
        <b/>
        <sz val="11"/>
        <rFont val="Calibri"/>
        <family val="2"/>
      </rPr>
      <t>Woodlots:</t>
    </r>
    <r>
      <rPr>
        <sz val="11"/>
        <rFont val="Calibri"/>
        <family val="2"/>
      </rPr>
      <t xml:space="preserve"> 
Number of trees planted.  
</t>
    </r>
    <r>
      <rPr>
        <b/>
        <sz val="11"/>
        <rFont val="Calibri"/>
        <family val="2"/>
      </rPr>
      <t xml:space="preserve">ITT Calculation:
</t>
    </r>
    <r>
      <rPr>
        <sz val="11"/>
        <rFont val="Calibri"/>
        <family val="2"/>
      </rPr>
      <t xml:space="preserve">Count the number of refugees and host communities who planted trees provided by the project. </t>
    </r>
    <r>
      <rPr>
        <b/>
        <sz val="11"/>
        <rFont val="Calibri"/>
        <family val="2"/>
      </rPr>
      <t xml:space="preserve"> </t>
    </r>
    <r>
      <rPr>
        <sz val="11"/>
        <rFont val="Calibri"/>
        <family val="2"/>
      </rPr>
      <t xml:space="preserve">
</t>
    </r>
    <r>
      <rPr>
        <b/>
        <sz val="11"/>
        <rFont val="Calibri"/>
        <family val="2"/>
      </rPr>
      <t xml:space="preserve">Endline: 
</t>
    </r>
    <r>
      <rPr>
        <sz val="11"/>
        <rFont val="Calibri"/>
        <family val="2"/>
      </rPr>
      <t>3. Household survey</t>
    </r>
  </si>
  <si>
    <r>
      <rPr>
        <b/>
        <sz val="11"/>
        <rFont val="Calibri"/>
        <family val="2"/>
      </rPr>
      <t>Baseline:</t>
    </r>
    <r>
      <rPr>
        <sz val="11"/>
        <rFont val="Calibri"/>
        <family val="2"/>
      </rPr>
      <t xml:space="preserve"> 
1. Household survey 
</t>
    </r>
    <r>
      <rPr>
        <b/>
        <sz val="11"/>
        <rFont val="Calibri"/>
        <family val="2"/>
      </rPr>
      <t xml:space="preserve">Monitoring:
</t>
    </r>
    <r>
      <rPr>
        <sz val="11"/>
        <rFont val="Calibri"/>
        <family val="2"/>
      </rPr>
      <t xml:space="preserve">2. Census/ongoing 
</t>
    </r>
    <r>
      <rPr>
        <b/>
        <sz val="11"/>
        <rFont val="Calibri"/>
        <family val="2"/>
      </rPr>
      <t xml:space="preserve">Endline: 
</t>
    </r>
    <r>
      <rPr>
        <sz val="11"/>
        <rFont val="Calibri"/>
        <family val="2"/>
      </rPr>
      <t>3. Household survey</t>
    </r>
  </si>
  <si>
    <r>
      <rPr>
        <b/>
        <sz val="11"/>
        <rFont val="Calibri"/>
        <family val="2"/>
      </rPr>
      <t>ITT Calculation:</t>
    </r>
    <r>
      <rPr>
        <sz val="11"/>
        <rFont val="Calibri"/>
        <family val="2"/>
      </rPr>
      <t xml:space="preserve"> Count number of farmer gropus involved in VSLA.
</t>
    </r>
    <r>
      <rPr>
        <b/>
        <sz val="11"/>
        <rFont val="Calibri"/>
        <family val="2"/>
      </rPr>
      <t>Savings and Credit Group/Cooperative</t>
    </r>
    <r>
      <rPr>
        <sz val="11"/>
        <rFont val="Calibri"/>
        <family val="2"/>
      </rPr>
      <t xml:space="preserve">: Regulating fund mobilization at the community level
</t>
    </r>
    <r>
      <rPr>
        <b/>
        <sz val="11"/>
        <rFont val="Calibri"/>
        <family val="2"/>
      </rPr>
      <t>Formed</t>
    </r>
    <r>
      <rPr>
        <sz val="11"/>
        <rFont val="Calibri"/>
        <family val="2"/>
      </rPr>
      <t xml:space="preserve">: created
</t>
    </r>
    <r>
      <rPr>
        <b/>
        <sz val="11"/>
        <rFont val="Calibri"/>
        <family val="2"/>
      </rPr>
      <t>Strengthened</t>
    </r>
    <r>
      <rPr>
        <sz val="11"/>
        <rFont val="Calibri"/>
        <family val="2"/>
      </rPr>
      <t>: trained on purpose, norms</t>
    </r>
  </si>
  <si>
    <r>
      <rPr>
        <b/>
        <sz val="11"/>
        <rFont val="Calibri"/>
        <family val="2"/>
      </rPr>
      <t>Organic Manure:</t>
    </r>
    <r>
      <rPr>
        <sz val="11"/>
        <rFont val="Calibri"/>
        <family val="2"/>
      </rPr>
      <t xml:space="preserve"> 
Fermented/rotten waste materials prepared by farmers from natural plant materials and animal wastes. 
</t>
    </r>
    <r>
      <rPr>
        <b/>
        <sz val="11"/>
        <rFont val="Calibri"/>
        <family val="2"/>
      </rPr>
      <t xml:space="preserve">Organic Pesticide:
</t>
    </r>
    <r>
      <rPr>
        <sz val="11"/>
        <rFont val="Calibri"/>
        <family val="2"/>
      </rPr>
      <t xml:space="preserve">Fermented liquid made from natural plant materials, herbs and pepper.
</t>
    </r>
    <r>
      <rPr>
        <b/>
        <sz val="11"/>
        <rFont val="Calibri"/>
        <family val="2"/>
      </rPr>
      <t xml:space="preserve">ITT Calculation: 
</t>
    </r>
    <r>
      <rPr>
        <sz val="11"/>
        <rFont val="Calibri"/>
        <family val="2"/>
      </rPr>
      <t xml:space="preserve">Count number of refugee and host community members who adopt use of organic manure and pesticides. </t>
    </r>
  </si>
  <si>
    <t>OUTCOME 2: Increased community action towards reduction of SGBV risks, promotion of  protection, safety, dignity and fundamental human rights of vulnerable refugees and host communities.</t>
  </si>
  <si>
    <r>
      <rPr>
        <b/>
        <sz val="11"/>
        <rFont val="Calibri"/>
        <family val="2"/>
        <scheme val="minor"/>
      </rPr>
      <t xml:space="preserve">Positive Actions include: </t>
    </r>
    <r>
      <rPr>
        <sz val="11"/>
        <rFont val="Calibri"/>
        <family val="2"/>
        <scheme val="minor"/>
      </rPr>
      <t xml:space="preserve">Creating awarenss, advocacy, identifying risks, human rights violations and reporting geared towards prevention &amp; response to SGBV and protection concerns of vulnerable persons in the community. 
</t>
    </r>
    <r>
      <rPr>
        <b/>
        <sz val="11"/>
        <rFont val="Calibri"/>
        <family val="2"/>
        <scheme val="minor"/>
      </rPr>
      <t xml:space="preserve">Protection &amp; SGBV Risks include: </t>
    </r>
    <r>
      <rPr>
        <sz val="11"/>
        <rFont val="Calibri"/>
        <family val="2"/>
        <scheme val="minor"/>
      </rPr>
      <t xml:space="preserve">Sexual assualt, sexual harrasment, Rape, Defilement, Domestic violence, Child marriage, Child sacrifice, Child labour, Human traficking and forced marriage.  
</t>
    </r>
    <r>
      <rPr>
        <b/>
        <sz val="11"/>
        <rFont val="Calibri"/>
        <family val="2"/>
        <scheme val="minor"/>
      </rPr>
      <t>Fundalmental human rights include:</t>
    </r>
    <r>
      <rPr>
        <sz val="11"/>
        <rFont val="Calibri"/>
        <family val="2"/>
        <scheme val="minor"/>
      </rPr>
      <t xml:space="preserve"> the right to life with dignity, the right to receive humanitarian assistance and the right to protection and security. 
</t>
    </r>
    <r>
      <rPr>
        <b/>
        <sz val="11"/>
        <rFont val="Calibri"/>
        <family val="2"/>
        <scheme val="minor"/>
      </rPr>
      <t>ITT Calculation</t>
    </r>
    <r>
      <rPr>
        <sz val="11"/>
        <rFont val="Calibri"/>
        <family val="2"/>
        <scheme val="minor"/>
      </rPr>
      <t xml:space="preserve">:                                             Count the number of community members who took atleast one positive action towards reduction of protection and SGBV risks as well as promotion  of fundamental human rights of vulnerable refugees and host communities. 
</t>
    </r>
  </si>
  <si>
    <t>Men, Women, boys and girls.</t>
  </si>
  <si>
    <t>Are men and women's involvement in taking action towards reduction of protection and SGBV risks as well as promotion  of fundamental human rights of vulnerable refugees and host communities, the same? If not why?
If not what actions must be taken to ensure that both men and women are equally involved? 
How are the local leaders involved?</t>
  </si>
  <si>
    <r>
      <rPr>
        <b/>
        <sz val="11"/>
        <rFont val="Calibri"/>
        <family val="2"/>
      </rPr>
      <t>SGBV information dissemination activities include:</t>
    </r>
    <r>
      <rPr>
        <sz val="11"/>
        <rFont val="Calibri"/>
        <family val="2"/>
      </rPr>
      <t xml:space="preserve"> awareness campaigns, FGDs, conversations, IEC, trainings, media ttalk shows.  
</t>
    </r>
    <r>
      <rPr>
        <b/>
        <sz val="11"/>
        <rFont val="Calibri"/>
        <family val="2"/>
      </rPr>
      <t xml:space="preserve">ITT Calculation:
</t>
    </r>
    <r>
      <rPr>
        <sz val="11"/>
        <rFont val="Calibri"/>
        <family val="2"/>
      </rPr>
      <t xml:space="preserve">Count the number of refugees and host community members who participate in atleast 1 SGBV information dissemination activity. </t>
    </r>
  </si>
  <si>
    <r>
      <rPr>
        <b/>
        <sz val="11"/>
        <rFont val="Calibri"/>
        <family val="2"/>
      </rPr>
      <t xml:space="preserve">Leadership Structures: </t>
    </r>
    <r>
      <rPr>
        <sz val="11"/>
        <rFont val="Calibri"/>
        <family val="2"/>
      </rPr>
      <t xml:space="preserve">Include RWCs, Protection Committees, etc.
</t>
    </r>
    <r>
      <rPr>
        <b/>
        <sz val="11"/>
        <rFont val="Calibri"/>
        <family val="2"/>
      </rPr>
      <t>Community groups i</t>
    </r>
    <r>
      <rPr>
        <sz val="11"/>
        <rFont val="Calibri"/>
        <family val="2"/>
      </rPr>
      <t>nclude livelihood groups and women groups/women own fora.</t>
    </r>
    <r>
      <rPr>
        <b/>
        <sz val="11"/>
        <rFont val="Calibri"/>
        <family val="2"/>
      </rPr>
      <t xml:space="preserve"> </t>
    </r>
    <r>
      <rPr>
        <sz val="11"/>
        <rFont val="Calibri"/>
        <family val="2"/>
      </rPr>
      <t xml:space="preserve">
</t>
    </r>
    <r>
      <rPr>
        <b/>
        <sz val="11"/>
        <rFont val="Calibri"/>
        <family val="2"/>
      </rPr>
      <t xml:space="preserve">ITT Calculation:                                             1. </t>
    </r>
    <r>
      <rPr>
        <sz val="11"/>
        <rFont val="Calibri"/>
        <family val="2"/>
      </rPr>
      <t xml:space="preserve">Count the number of women in leadership structures                                    2. Count the number of women in community groups                                        3. Add the numbers in 1 &amp; 2. </t>
    </r>
  </si>
  <si>
    <r>
      <rPr>
        <b/>
        <sz val="11"/>
        <rFont val="Calibri"/>
        <family val="2"/>
      </rPr>
      <t xml:space="preserve">Complaits: </t>
    </r>
    <r>
      <rPr>
        <sz val="11"/>
        <rFont val="Calibri"/>
        <family val="2"/>
      </rPr>
      <t xml:space="preserve">Any issue of concern to the refugee or host community member that needs to be addressed. 
</t>
    </r>
    <r>
      <rPr>
        <b/>
        <sz val="11"/>
        <rFont val="Calibri"/>
        <family val="2"/>
      </rPr>
      <t xml:space="preserve">Feedback Mechanism: </t>
    </r>
    <r>
      <rPr>
        <sz val="11"/>
        <rFont val="Calibri"/>
        <family val="2"/>
      </rPr>
      <t xml:space="preserve">Refers to the complaits desks, and Protection committees.
</t>
    </r>
    <r>
      <rPr>
        <b/>
        <sz val="11"/>
        <rFont val="Calibri"/>
        <family val="2"/>
      </rPr>
      <t xml:space="preserve">ITT Calculation 
</t>
    </r>
    <r>
      <rPr>
        <sz val="11"/>
        <rFont val="Calibri"/>
        <family val="2"/>
      </rPr>
      <t xml:space="preserve">Count all received and addressed complaits that have been documented in complaits records at the complaits desks. </t>
    </r>
  </si>
  <si>
    <t>Complaits</t>
  </si>
  <si>
    <t>OUTPUT 2.1: Protection of all refugees are strengthened through meaningful engagement with communities, with particular attention to at-risk group</t>
  </si>
  <si>
    <t>Indicator 2.1.a. 820 of women in leadership structures and community groups for community self-management and empowerment</t>
  </si>
  <si>
    <t>Indicator 2.1.b. 2000 of complaints addressed through effective feedback mechanisms</t>
  </si>
  <si>
    <t>Indicator 2.1.C. 10,000 of persons with specific needs provided with targeted support</t>
  </si>
  <si>
    <t xml:space="preserve">OUTPUT 2.2: Social cohesion and Peaceful co-existence among refugees and host communities strengthened </t>
  </si>
  <si>
    <t>“REAP PROJECT” M&amp;E Matrix</t>
  </si>
  <si>
    <r>
      <rPr>
        <b/>
        <sz val="11"/>
        <rFont val="Calibri"/>
        <family val="2"/>
      </rPr>
      <t>Pesrsons with Specific Needs (PSNS):</t>
    </r>
    <r>
      <rPr>
        <sz val="11"/>
        <rFont val="Calibri"/>
        <family val="2"/>
      </rPr>
      <t xml:space="preserve"> 
include: People with disability, elderly, child headed households, terminally ill, SGBV survivors, poor pregnant mothers, poor breast feeding mothers, single mothers, school girls. 
</t>
    </r>
    <r>
      <rPr>
        <b/>
        <sz val="11"/>
        <rFont val="Calibri"/>
        <family val="2"/>
      </rPr>
      <t xml:space="preserve">Trageted support:
</t>
    </r>
    <r>
      <rPr>
        <sz val="11"/>
        <rFont val="Calibri"/>
        <family val="2"/>
      </rPr>
      <t xml:space="preserve">Includes any support that is given to address PSNs specific vulnerability. This support may include provision of RUMPs, Cash grants, clothing, beddings, baby kits, personal care kits, misson quilts, etc. 
</t>
    </r>
    <r>
      <rPr>
        <b/>
        <sz val="11"/>
        <rFont val="Calibri"/>
        <family val="2"/>
      </rPr>
      <t xml:space="preserve">Endline: 
</t>
    </r>
    <r>
      <rPr>
        <sz val="11"/>
        <rFont val="Calibri"/>
        <family val="2"/>
      </rPr>
      <t>3. Household survey</t>
    </r>
  </si>
  <si>
    <t>PSNs</t>
  </si>
  <si>
    <t xml:space="preserve">Indicator 2.2.a. 40 incidents of conflict within refugee communities as well as between host communities and refugees documented and reported. </t>
  </si>
  <si>
    <t>Indicator 2.2.b. 24 dialogues conducted to resolve conflicts and promote peaceful co-existence.</t>
  </si>
  <si>
    <r>
      <rPr>
        <b/>
        <sz val="11"/>
        <rFont val="Calibri"/>
        <family val="2"/>
      </rPr>
      <t xml:space="preserve">Conflicts: </t>
    </r>
    <r>
      <rPr>
        <sz val="11"/>
        <rFont val="Calibri"/>
        <family val="2"/>
      </rPr>
      <t xml:space="preserve">
Missunderstandings between two parties.
</t>
    </r>
    <r>
      <rPr>
        <b/>
        <sz val="11"/>
        <rFont val="Calibri"/>
        <family val="2"/>
      </rPr>
      <t xml:space="preserve">ITT Calculation
</t>
    </r>
    <r>
      <rPr>
        <sz val="11"/>
        <rFont val="Calibri"/>
        <family val="2"/>
      </rPr>
      <t xml:space="preserve">Count the number of conflicts that have been recorded. </t>
    </r>
  </si>
  <si>
    <r>
      <rPr>
        <b/>
        <sz val="11"/>
        <rFont val="Calibri"/>
        <family val="2"/>
      </rPr>
      <t xml:space="preserve">Dialogues: </t>
    </r>
    <r>
      <rPr>
        <sz val="11"/>
        <rFont val="Calibri"/>
        <family val="2"/>
      </rPr>
      <t xml:space="preserve">
Discussion between two parties to resolve pending missunderstandings between the  two parties.
</t>
    </r>
    <r>
      <rPr>
        <b/>
        <sz val="11"/>
        <rFont val="Calibri"/>
        <family val="2"/>
      </rPr>
      <t xml:space="preserve">ITT Calculation
</t>
    </r>
    <r>
      <rPr>
        <sz val="11"/>
        <rFont val="Calibri"/>
        <family val="2"/>
      </rPr>
      <t xml:space="preserve">Count the number of dialogues that have been conducted based on the reports. </t>
    </r>
  </si>
  <si>
    <t>dialogues</t>
  </si>
  <si>
    <t>conflicts</t>
  </si>
  <si>
    <r>
      <rPr>
        <b/>
        <sz val="11"/>
        <rFont val="Calibri"/>
        <family val="2"/>
      </rPr>
      <t xml:space="preserve">Social Cohesion Activities: </t>
    </r>
    <r>
      <rPr>
        <sz val="11"/>
        <rFont val="Calibri"/>
        <family val="2"/>
      </rPr>
      <t xml:space="preserve">
Include community dialogues, sports activities and Music, dance and drama activities. 
</t>
    </r>
    <r>
      <rPr>
        <b/>
        <sz val="11"/>
        <rFont val="Calibri"/>
        <family val="2"/>
      </rPr>
      <t xml:space="preserve">ITT Calculation
</t>
    </r>
    <r>
      <rPr>
        <sz val="11"/>
        <rFont val="Calibri"/>
        <family val="2"/>
      </rPr>
      <t xml:space="preserve">Count the number of dialogues that have been conducted based on the reports. </t>
    </r>
  </si>
  <si>
    <t xml:space="preserve">Indicator 2.3. a. 4000 refugees and host community members participate in SGBV information dissemination activities. </t>
  </si>
  <si>
    <t xml:space="preserve">OUTPUT 2.3: Protection systems and mechanisms SGBV prevention and response strengthened </t>
  </si>
  <si>
    <t>Indicator 2.3.b. 200 SGBV survivors identified and referred to receiving appropriate multi-sectoral support.</t>
  </si>
  <si>
    <r>
      <rPr>
        <b/>
        <sz val="11"/>
        <rFont val="Calibri"/>
        <family val="2"/>
      </rPr>
      <t>SGBV Survivors:</t>
    </r>
    <r>
      <rPr>
        <sz val="11"/>
        <rFont val="Calibri"/>
        <family val="2"/>
      </rPr>
      <t xml:space="preserve"> 
Women, girls, boys and men who have suffered from SGBV.  
</t>
    </r>
    <r>
      <rPr>
        <b/>
        <sz val="11"/>
        <rFont val="Calibri"/>
        <family val="2"/>
      </rPr>
      <t xml:space="preserve">Multi-sectoral Support:
</t>
    </r>
    <r>
      <rPr>
        <sz val="11"/>
        <rFont val="Calibri"/>
        <family val="2"/>
      </rPr>
      <t xml:space="preserve">Protection support, legal, health, psycho-social and livelihoods support given to SGBV survivor.
</t>
    </r>
    <r>
      <rPr>
        <b/>
        <sz val="11"/>
        <rFont val="Calibri"/>
        <family val="2"/>
      </rPr>
      <t xml:space="preserve">ITT Calculation: 
</t>
    </r>
    <r>
      <rPr>
        <sz val="11"/>
        <rFont val="Calibri"/>
        <family val="2"/>
      </rPr>
      <t xml:space="preserve">Count the number of SGBV survivors who have received at least one of the multi-sectoral support listed above. </t>
    </r>
  </si>
  <si>
    <r>
      <rPr>
        <b/>
        <sz val="11"/>
        <rFont val="Calibri"/>
        <family val="2"/>
      </rPr>
      <t>ITT Calculation:</t>
    </r>
    <r>
      <rPr>
        <sz val="11"/>
        <rFont val="Calibri"/>
        <family val="2"/>
      </rPr>
      <t xml:space="preserve"> Count the number of functional community structures (protection committees, women own fora and men own fora) trained and supporting SGBV survivors.</t>
    </r>
  </si>
  <si>
    <t xml:space="preserve">
1.  Consultant
2.1. Project Director
2.2. Data entry officer
2.3. Field officer
</t>
  </si>
  <si>
    <t xml:space="preserve">
1.  Consultant
2.1. Project Manager
2.2. Project Ext officer
2.3. Field officer
2.4. Group record keeper 
</t>
  </si>
  <si>
    <t>1. Program Manager
2. Project Coordinator
3. Project Officer</t>
  </si>
  <si>
    <t xml:space="preserve">
1.  Consultant
2.1. Project Director
2.2. Data entry officer
2.3. Field officer
</t>
  </si>
  <si>
    <t xml:space="preserve">
1.  Consultant
2.1. Project Director
2.2. Data entry officer
2.3. Field officer
</t>
  </si>
  <si>
    <t xml:space="preserve">
1.  Consultant
2.1. Project Director
2.2. Data entry officer
2.3. Field officer
</t>
  </si>
  <si>
    <r>
      <rPr>
        <b/>
        <sz val="11"/>
        <rFont val="Calibri"/>
        <family val="2"/>
      </rPr>
      <t>Indicator 1.2.a:</t>
    </r>
    <r>
      <rPr>
        <sz val="11"/>
        <rFont val="Calibri"/>
        <family val="2"/>
      </rPr>
      <t xml:space="preserve"> 1200 refugees and host community HHs receive high yeilding seeds </t>
    </r>
  </si>
  <si>
    <r>
      <t>OUTPUT 1.3:</t>
    </r>
    <r>
      <rPr>
        <sz val="11"/>
        <color theme="1"/>
        <rFont val="Calibri"/>
        <family val="2"/>
        <scheme val="minor"/>
      </rPr>
      <t xml:space="preserve"> </t>
    </r>
    <r>
      <rPr>
        <b/>
        <sz val="11"/>
        <color theme="1"/>
        <rFont val="Calibri"/>
        <family val="2"/>
        <scheme val="minor"/>
      </rPr>
      <t>Targeted refugees engage in off-farm income generating activities.</t>
    </r>
  </si>
  <si>
    <t xml:space="preserve">Indicator 1.3. a. 200 refugees supported to establish small scale businesses. </t>
  </si>
  <si>
    <t>Indicator 1.3.b. 50 refugee and host communities generating income from honey production and Marketing.</t>
  </si>
  <si>
    <t>OUTPUT 1.4: Targeted refugees and host community members in engage in VSLA.</t>
  </si>
  <si>
    <t>Indicator 1.4.a: 30 Village Savings and Lending Associations (groups) formed and strengthened</t>
  </si>
  <si>
    <t>Output 1.5: Targeted refugees and host community members engage in eco-system activities that enhance agriculture productivity.</t>
  </si>
  <si>
    <t>Indicator 1.5.a: 1000 refugee and host community members who established woodlots.</t>
  </si>
  <si>
    <t xml:space="preserve">Indicator 1.5.b: 1000 of refugee and host community members who adopt use of organic manure and pesticides. </t>
  </si>
  <si>
    <t xml:space="preserve">Indicator 2.A: 1000  refugees and host community members  taking positive actions towards reduction of protection and SGBV risks as well as promotion  of fundamental human rights of vulnerable refugees and host communities. </t>
  </si>
  <si>
    <t>SGBV Survivors</t>
  </si>
  <si>
    <t>Structures</t>
  </si>
  <si>
    <t xml:space="preserve">Indicator 2.2.C. 2000 refugees and host community engaged in social cohesion activities. </t>
  </si>
  <si>
    <t>NA</t>
  </si>
  <si>
    <t>complaits</t>
  </si>
  <si>
    <t>structures</t>
  </si>
  <si>
    <t xml:space="preserve">OUTPUT 1.1: Targeted Refugees and their host communities have access to communty extension services </t>
  </si>
  <si>
    <r>
      <t xml:space="preserve">Indicator </t>
    </r>
    <r>
      <rPr>
        <b/>
        <sz val="11"/>
        <color indexed="8"/>
        <rFont val="Calibri"/>
        <family val="2"/>
      </rPr>
      <t>1.1.a:</t>
    </r>
    <r>
      <rPr>
        <sz val="11"/>
        <color indexed="8"/>
        <rFont val="Calibri"/>
        <family val="2"/>
      </rPr>
      <t xml:space="preserve"> 10 training modules (agronomy, PHH and eco-system mgt) conducted for lead/modal farmers</t>
    </r>
  </si>
  <si>
    <t>modules</t>
  </si>
  <si>
    <t>groups</t>
  </si>
  <si>
    <t xml:space="preserve"> 12 functional community structures (protection committees, women own fora and men own fora) trained and able to support survivors.</t>
  </si>
  <si>
    <t>Train refugee and host community members in bee keeping and honey production</t>
  </si>
  <si>
    <t>Increased household self-reliance and resilience among refugees and host community members in Palabek and Kyaka II refugee settlements.</t>
  </si>
  <si>
    <t xml:space="preserve">Increased household food security and incomes among refugees and host communities </t>
  </si>
  <si>
    <t xml:space="preserve">Targeted Refugees and their host communities have access to communty extension services </t>
  </si>
  <si>
    <t>Provide planting materials/seeds to targeted refugees and host community members</t>
  </si>
  <si>
    <t xml:space="preserve">Conduct ToTs for Lead/Model Farmers in agronomy and postharvest handling. </t>
  </si>
  <si>
    <t xml:space="preserve">Support Lead/Model Farmers conduct group trainings in agronomy and postharvest handling for selected crop enterprises. </t>
  </si>
  <si>
    <t>Support vulnerable women and men open up small businesses</t>
  </si>
  <si>
    <t>Train vulnerable women and men in business management</t>
  </si>
  <si>
    <t xml:space="preserve">Train refugee and host community groups in bee keeping and honey production/marketing. </t>
  </si>
  <si>
    <t xml:space="preserve">Distribute tree seedlings to communities for establishment of woodlots. </t>
  </si>
  <si>
    <t xml:space="preserve">Train refugee and host community farmers on preparation and application of organic manure and pesticides. </t>
  </si>
  <si>
    <t>1.5.B</t>
  </si>
  <si>
    <t>Increased community action towards reduction of SGBV risks, promotion of  protection, safety, dignity and fundamental human rights of vulnerable refugees and host communities.</t>
  </si>
  <si>
    <t>Provide training to refugee women groups on gender and leadership empowerment for women led social change</t>
  </si>
  <si>
    <t xml:space="preserve"> </t>
  </si>
  <si>
    <t>Establish a complaints, feedback and referral desks</t>
  </si>
  <si>
    <t xml:space="preserve">Train and provide materials for making hand crafts as a social enterprise for promoting recovery and empowerment of women vulnerable to SGBV.  </t>
  </si>
  <si>
    <t>Train and support women groups to make Re-Usable Menstrual Pads (RUMPs)</t>
  </si>
  <si>
    <t>Distribution of Quilts and personal care kits to women</t>
  </si>
  <si>
    <t>Distribution of education kits to school children.</t>
  </si>
  <si>
    <t>2.1.D</t>
  </si>
  <si>
    <t>2.1.E</t>
  </si>
  <si>
    <t>2.1.F</t>
  </si>
  <si>
    <t>2.2.D.</t>
  </si>
  <si>
    <t xml:space="preserve">Provision of MDD and sports kits for social cohesion and awareness creation </t>
  </si>
  <si>
    <t>Organize MDD and Sports galas to promote social cohesion</t>
  </si>
  <si>
    <t xml:space="preserve">Monitor and document emerging conflicts among refugees and host communities. </t>
  </si>
  <si>
    <t xml:space="preserve">Facilitate community dialogues to resolve emerging conflicts and peaceful coexistence among refugees and host communities. </t>
  </si>
  <si>
    <t xml:space="preserve">KYAKA II </t>
  </si>
  <si>
    <t>LWR</t>
  </si>
  <si>
    <t>SEE BUDGET TEMPLATE</t>
  </si>
  <si>
    <t xml:space="preserve">Protection systems and mechanisms SGBV prevention and response strengthened </t>
  </si>
  <si>
    <t>Conduct awareness meetings on SGBV, child protection and general protection of all persons of concern.</t>
  </si>
  <si>
    <t>Produce IEC materials (message bill boards) on SGBV among refugees and host communities.</t>
  </si>
  <si>
    <t>Provide visibility wear for community protection committees and visibility materials</t>
  </si>
  <si>
    <t xml:space="preserve">Train the established protection committees to empower them deliver efficient and effective community protection services to all Persons of Concern (POCs) </t>
  </si>
  <si>
    <t xml:space="preserve">Identify SGBV cases and refer them for redress, management and psychosocial support. </t>
  </si>
  <si>
    <t>2.3.A</t>
  </si>
  <si>
    <t>2.3.B.</t>
  </si>
  <si>
    <t>2.3.C.</t>
  </si>
  <si>
    <t>2.3.D.</t>
  </si>
  <si>
    <t>2.3.E.</t>
  </si>
  <si>
    <t xml:space="preserve">Indicator 1.4 b. 600 refugee and host community members engaged in VSLA activities (saving and borrowing). </t>
  </si>
  <si>
    <r>
      <rPr>
        <b/>
        <sz val="11"/>
        <rFont val="Calibri"/>
        <family val="2"/>
      </rPr>
      <t>ITT Calculation:</t>
    </r>
    <r>
      <rPr>
        <sz val="11"/>
        <rFont val="Calibri"/>
        <family val="2"/>
      </rPr>
      <t xml:space="preserve"> Count number of refugees and host communities  involved in saving money into the VSLA and involved in taking loans from the group. 
</t>
    </r>
    <r>
      <rPr>
        <b/>
        <sz val="11"/>
        <rFont val="Calibri"/>
        <family val="2"/>
      </rPr>
      <t>Savings:</t>
    </r>
    <r>
      <rPr>
        <sz val="11"/>
        <rFont val="Calibri"/>
        <family val="2"/>
      </rPr>
      <t xml:space="preserve"> Individual VSLA group member takes a stipulated amount of money to VSLA group for keeping/using on his behalf for a stipulated amount of time.
Borrowing: Involves a member taking a loan from the VSLA group with a purpose of using the money and later returning it with interest. </t>
    </r>
  </si>
  <si>
    <t xml:space="preserve">Unit: people (men and women)
</t>
  </si>
  <si>
    <r>
      <rPr>
        <b/>
        <sz val="11"/>
        <rFont val="Calibri"/>
        <family val="2"/>
      </rPr>
      <t>Baseline:</t>
    </r>
    <r>
      <rPr>
        <sz val="11"/>
        <rFont val="Calibri"/>
        <family val="2"/>
      </rPr>
      <t xml:space="preserve"> 
1. Household survey 
</t>
    </r>
    <r>
      <rPr>
        <b/>
        <sz val="11"/>
        <rFont val="Calibri"/>
        <family val="2"/>
      </rPr>
      <t xml:space="preserve">Monitoring:
</t>
    </r>
    <r>
      <rPr>
        <sz val="11"/>
        <rFont val="Calibri"/>
        <family val="2"/>
      </rPr>
      <t xml:space="preserve">2. Census/ongoing
</t>
    </r>
    <r>
      <rPr>
        <b/>
        <sz val="11"/>
        <rFont val="Calibri"/>
        <family val="2"/>
      </rPr>
      <t xml:space="preserve">Endline: 
</t>
    </r>
    <r>
      <rPr>
        <sz val="11"/>
        <rFont val="Calibri"/>
        <family val="2"/>
      </rPr>
      <t>3. Household survey</t>
    </r>
  </si>
  <si>
    <t xml:space="preserve">
1. Consultant database/Endline Report
2.1. ITT 
2.2. Group records
</t>
  </si>
  <si>
    <t xml:space="preserve">
1. Consultant database/Endline Report
2.1. ITT 
2.2. Consolidated savings group records
2.3. Savings group records &amp; members pass books
</t>
  </si>
  <si>
    <t>19-24th Feb 2019</t>
  </si>
  <si>
    <t>men</t>
  </si>
  <si>
    <t>Provide refugee and host community farmer groups with VSLA kits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</si>
</sst>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_);_(&quot;$&quot;* \(#,##0\);_(&quot;$&quot;* &quot;-&quot;_);_(@_)"/>
    <numFmt numFmtId="165" formatCode="0.0"/>
    <numFmt numFmtId="166" formatCode="[$-409]mmmm\ d\,\ yyyy;@"/>
    <numFmt numFmtId="167" formatCode="[$-409]d\-mmm\-yy;@"/>
    <numFmt numFmtId="168" formatCode="0.0%"/>
  </numFmts>
  <fonts count="77" x14ac:knownFonts="1">
    <font>
      <sz val="11"/>
      <color theme="1"/>
      <name val="Calibri"/>
      <family val="2"/>
      <scheme val="minor"/>
    </font>
    <font>
      <sz val="10"/>
      <name val="Calibri"/>
      <family val="2"/>
    </font>
    <font>
      <sz val="8"/>
      <name val="Calibri"/>
      <family val="2"/>
    </font>
    <font>
      <b/>
      <sz val="10"/>
      <name val="Calibri"/>
      <family val="2"/>
    </font>
    <font>
      <sz val="10"/>
      <name val="Calibri"/>
      <family val="2"/>
      <scheme val="minor"/>
    </font>
    <font>
      <b/>
      <sz val="10"/>
      <name val="Calibri"/>
      <family val="2"/>
      <scheme val="minor"/>
    </font>
    <font>
      <b/>
      <sz val="10"/>
      <color theme="1"/>
      <name val="Calibri"/>
      <family val="2"/>
      <scheme val="minor"/>
    </font>
    <font>
      <b/>
      <sz val="11"/>
      <color theme="1"/>
      <name val="Calibri"/>
      <family val="2"/>
      <scheme val="minor"/>
    </font>
    <font>
      <u/>
      <sz val="11"/>
      <color theme="1"/>
      <name val="Calibri"/>
      <family val="2"/>
      <scheme val="minor"/>
    </font>
    <font>
      <b/>
      <sz val="12"/>
      <name val="Calibri"/>
      <family val="2"/>
      <scheme val="minor"/>
    </font>
    <font>
      <sz val="11"/>
      <name val="Calibri"/>
      <family val="2"/>
    </font>
    <font>
      <sz val="14"/>
      <name val="Calibri"/>
      <family val="2"/>
      <scheme val="minor"/>
    </font>
    <font>
      <sz val="10"/>
      <color theme="1"/>
      <name val="Calibri"/>
      <family val="2"/>
      <scheme val="minor"/>
    </font>
    <font>
      <b/>
      <sz val="14"/>
      <name val="Calibri"/>
      <family val="2"/>
      <scheme val="minor"/>
    </font>
    <font>
      <b/>
      <sz val="16"/>
      <name val="Calibri"/>
      <family val="2"/>
      <scheme val="minor"/>
    </font>
    <font>
      <b/>
      <sz val="18"/>
      <name val="Calibri"/>
      <family val="2"/>
      <scheme val="minor"/>
    </font>
    <font>
      <sz val="18"/>
      <name val="Calibri"/>
      <family val="2"/>
      <scheme val="minor"/>
    </font>
    <font>
      <sz val="12"/>
      <name val="Calibri"/>
      <family val="2"/>
      <scheme val="minor"/>
    </font>
    <font>
      <sz val="11"/>
      <color rgb="FF000000"/>
      <name val="Calibri"/>
      <family val="2"/>
      <scheme val="minor"/>
    </font>
    <font>
      <sz val="11"/>
      <color theme="1"/>
      <name val="Calibri"/>
      <family val="2"/>
      <scheme val="minor"/>
    </font>
    <font>
      <b/>
      <sz val="14"/>
      <name val="Calibri"/>
      <family val="2"/>
    </font>
    <font>
      <b/>
      <sz val="11"/>
      <name val="Calibri"/>
      <family val="2"/>
    </font>
    <font>
      <b/>
      <sz val="7"/>
      <name val="Times New Roman"/>
      <family val="1"/>
    </font>
    <font>
      <b/>
      <u/>
      <sz val="11"/>
      <name val="Calibri"/>
      <family val="2"/>
    </font>
    <font>
      <sz val="7"/>
      <name val="Times New Roman"/>
      <family val="1"/>
    </font>
    <font>
      <u/>
      <sz val="11"/>
      <name val="Calibri"/>
      <family val="2"/>
    </font>
    <font>
      <sz val="11"/>
      <color indexed="10"/>
      <name val="Calibri"/>
      <family val="2"/>
    </font>
    <font>
      <strike/>
      <sz val="11"/>
      <color indexed="10"/>
      <name val="Calibri"/>
      <family val="2"/>
    </font>
    <font>
      <sz val="11"/>
      <color rgb="FFFFFFFF"/>
      <name val="Franklin Gothic Demi"/>
      <family val="2"/>
    </font>
    <font>
      <sz val="11"/>
      <name val="Symbol"/>
      <family val="1"/>
      <charset val="2"/>
    </font>
    <font>
      <sz val="11"/>
      <name val="Courier New"/>
      <family val="3"/>
    </font>
    <font>
      <strike/>
      <u/>
      <sz val="11"/>
      <color indexed="10"/>
      <name val="Calibri"/>
      <family val="2"/>
    </font>
    <font>
      <sz val="11"/>
      <color rgb="FF000000"/>
      <name val="Symbol"/>
      <family val="1"/>
      <charset val="2"/>
    </font>
    <font>
      <sz val="7"/>
      <color indexed="8"/>
      <name val="Times New Roman"/>
      <family val="1"/>
    </font>
    <font>
      <sz val="11"/>
      <color indexed="8"/>
      <name val="Calibri"/>
      <family val="2"/>
    </font>
    <font>
      <u/>
      <sz val="11"/>
      <color indexed="8"/>
      <name val="Calibri"/>
      <family val="2"/>
    </font>
    <font>
      <b/>
      <sz val="11"/>
      <color indexed="8"/>
      <name val="Calibri"/>
      <family val="2"/>
    </font>
    <font>
      <sz val="11"/>
      <color rgb="FF000000"/>
      <name val="Courier New"/>
      <family val="3"/>
    </font>
    <font>
      <sz val="11"/>
      <name val="Calibri"/>
      <family val="2"/>
      <scheme val="minor"/>
    </font>
    <font>
      <sz val="14"/>
      <name val="Calibri"/>
      <family val="2"/>
    </font>
    <font>
      <b/>
      <vertAlign val="superscript"/>
      <sz val="14"/>
      <name val="Calibri"/>
      <family val="2"/>
    </font>
    <font>
      <b/>
      <sz val="11"/>
      <color rgb="FF000000"/>
      <name val="Calibri"/>
      <family val="2"/>
    </font>
    <font>
      <vertAlign val="superscript"/>
      <sz val="9"/>
      <name val="Calibri"/>
      <family val="2"/>
    </font>
    <font>
      <sz val="9"/>
      <name val="Calibri"/>
      <family val="2"/>
    </font>
    <font>
      <b/>
      <sz val="11"/>
      <name val="Calibri"/>
      <family val="2"/>
      <scheme val="minor"/>
    </font>
    <font>
      <b/>
      <sz val="11"/>
      <color rgb="FF000000"/>
      <name val="Calibri"/>
      <family val="2"/>
      <scheme val="minor"/>
    </font>
    <font>
      <b/>
      <sz val="14"/>
      <color theme="0"/>
      <name val="Calibri"/>
      <family val="2"/>
      <scheme val="minor"/>
    </font>
    <font>
      <b/>
      <sz val="14"/>
      <color rgb="FF000000"/>
      <name val="Calibri"/>
      <family val="2"/>
      <scheme val="minor"/>
    </font>
    <font>
      <b/>
      <sz val="10"/>
      <color rgb="FF000000"/>
      <name val="Calibri"/>
      <family val="2"/>
      <scheme val="minor"/>
    </font>
    <font>
      <b/>
      <sz val="9"/>
      <name val="Calibri"/>
      <family val="2"/>
      <scheme val="minor"/>
    </font>
    <font>
      <sz val="9"/>
      <name val="Calibri"/>
      <family val="2"/>
      <scheme val="minor"/>
    </font>
    <font>
      <sz val="9"/>
      <color theme="1"/>
      <name val="Calibri"/>
      <family val="2"/>
      <scheme val="minor"/>
    </font>
    <font>
      <b/>
      <sz val="9"/>
      <name val="Calibri"/>
      <family val="2"/>
    </font>
    <font>
      <sz val="9"/>
      <color indexed="81"/>
      <name val="Tahoma"/>
      <family val="2"/>
    </font>
    <font>
      <b/>
      <i/>
      <u/>
      <sz val="11"/>
      <name val="Calibri"/>
      <family val="2"/>
    </font>
    <font>
      <i/>
      <sz val="11"/>
      <name val="Calibri"/>
      <family val="2"/>
    </font>
    <font>
      <sz val="11"/>
      <color indexed="8"/>
      <name val="Symbol"/>
      <family val="1"/>
      <charset val="2"/>
    </font>
    <font>
      <sz val="10"/>
      <name val="Courier New"/>
      <family val="3"/>
    </font>
    <font>
      <b/>
      <sz val="12"/>
      <color theme="0"/>
      <name val="Calibri"/>
      <family val="2"/>
      <scheme val="minor"/>
    </font>
    <font>
      <b/>
      <sz val="12"/>
      <color indexed="13"/>
      <name val="Calibri"/>
      <family val="2"/>
    </font>
    <font>
      <b/>
      <sz val="12"/>
      <color indexed="9"/>
      <name val="Calibri"/>
      <family val="2"/>
    </font>
    <font>
      <u/>
      <sz val="10"/>
      <name val="Calibri"/>
      <family val="2"/>
    </font>
    <font>
      <sz val="10"/>
      <color indexed="10"/>
      <name val="Calibri"/>
      <family val="2"/>
    </font>
    <font>
      <i/>
      <sz val="10"/>
      <name val="Calibri"/>
      <family val="2"/>
    </font>
    <font>
      <sz val="11"/>
      <name val="Wingdings"/>
      <charset val="2"/>
    </font>
    <font>
      <u/>
      <sz val="10"/>
      <color theme="10"/>
      <name val="Arial"/>
      <family val="2"/>
    </font>
    <font>
      <b/>
      <sz val="10"/>
      <color theme="0"/>
      <name val="Arial"/>
      <family val="2"/>
    </font>
    <font>
      <sz val="10"/>
      <name val="Arial"/>
      <family val="2"/>
    </font>
    <font>
      <sz val="10"/>
      <color theme="0"/>
      <name val="Arial"/>
      <family val="2"/>
    </font>
    <font>
      <sz val="11"/>
      <name val="Arial"/>
      <family val="2"/>
    </font>
    <font>
      <sz val="11"/>
      <color indexed="10"/>
      <name val="Calibri"/>
      <family val="2"/>
      <scheme val="minor"/>
    </font>
    <font>
      <b/>
      <sz val="10"/>
      <color rgb="FF0070C0"/>
      <name val="Calibri"/>
      <family val="2"/>
      <scheme val="minor"/>
    </font>
    <font>
      <b/>
      <sz val="9"/>
      <color theme="1"/>
      <name val="Calibri"/>
      <family val="2"/>
      <scheme val="minor"/>
    </font>
    <font>
      <sz val="10"/>
      <color rgb="FFFF0000"/>
      <name val="Calibri"/>
      <family val="2"/>
      <scheme val="minor"/>
    </font>
    <font>
      <b/>
      <sz val="11"/>
      <color theme="0"/>
      <name val="Calibri"/>
      <family val="2"/>
      <scheme val="minor"/>
    </font>
    <font>
      <sz val="12"/>
      <color theme="1"/>
      <name val="Calibri"/>
      <family val="2"/>
      <scheme val="minor"/>
    </font>
    <font>
      <sz val="10"/>
      <color rgb="FF00B0F0"/>
      <name val="Calibri"/>
      <family val="2"/>
      <scheme val="minor"/>
    </font>
  </fonts>
  <fills count="54">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rgb="FFA6CE39"/>
        <bgColor indexed="64"/>
      </patternFill>
    </fill>
    <fill>
      <patternFill patternType="solid">
        <fgColor theme="0" tint="-4.9989318521683403E-2"/>
        <bgColor indexed="64"/>
      </patternFill>
    </fill>
    <fill>
      <patternFill patternType="gray125">
        <bgColor theme="0"/>
      </patternFill>
    </fill>
    <fill>
      <patternFill patternType="solid">
        <fgColor theme="0" tint="-0.499984740745262"/>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9" tint="-0.249977111117893"/>
        <bgColor indexed="64"/>
      </patternFill>
    </fill>
    <fill>
      <patternFill patternType="solid">
        <fgColor rgb="FF00B0F0"/>
        <bgColor indexed="64"/>
      </patternFill>
    </fill>
    <fill>
      <patternFill patternType="solid">
        <fgColor rgb="FF404040"/>
        <bgColor indexed="64"/>
      </patternFill>
    </fill>
    <fill>
      <patternFill patternType="solid">
        <fgColor rgb="FFFFFFFF"/>
        <bgColor indexed="64"/>
      </patternFill>
    </fill>
    <fill>
      <patternFill patternType="solid">
        <fgColor rgb="FF808080"/>
        <bgColor indexed="64"/>
      </patternFill>
    </fill>
    <fill>
      <patternFill patternType="solid">
        <fgColor rgb="FFA6A6A6"/>
        <bgColor indexed="64"/>
      </patternFill>
    </fill>
    <fill>
      <patternFill patternType="solid">
        <fgColor rgb="FF92D050"/>
        <bgColor indexed="64"/>
      </patternFill>
    </fill>
    <fill>
      <patternFill patternType="solid">
        <fgColor theme="3" tint="0.59999389629810485"/>
        <bgColor indexed="64"/>
      </patternFill>
    </fill>
    <fill>
      <patternFill patternType="solid">
        <fgColor theme="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CCFF99"/>
        <bgColor indexed="64"/>
      </patternFill>
    </fill>
    <fill>
      <patternFill patternType="solid">
        <fgColor theme="4" tint="0.39997558519241921"/>
        <bgColor indexed="64"/>
      </patternFill>
    </fill>
    <fill>
      <patternFill patternType="solid">
        <fgColor rgb="FFC4D79B"/>
        <bgColor indexed="64"/>
      </patternFill>
    </fill>
    <fill>
      <patternFill patternType="solid">
        <fgColor indexed="8"/>
        <bgColor indexed="64"/>
      </patternFill>
    </fill>
    <fill>
      <patternFill patternType="solid">
        <fgColor rgb="FF009900"/>
        <bgColor indexed="64"/>
      </patternFill>
    </fill>
    <fill>
      <patternFill patternType="solid">
        <fgColor indexed="44"/>
        <bgColor indexed="64"/>
      </patternFill>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solid">
        <fgColor theme="1" tint="0.499984740745262"/>
        <bgColor indexed="64"/>
      </patternFill>
    </fill>
    <fill>
      <patternFill patternType="solid">
        <fgColor theme="0" tint="-0.34998626667073579"/>
        <bgColor indexed="64"/>
      </patternFill>
    </fill>
    <fill>
      <patternFill patternType="solid">
        <fgColor indexed="9"/>
        <bgColor indexed="64"/>
      </patternFill>
    </fill>
    <fill>
      <patternFill patternType="solid">
        <fgColor rgb="FF87FF61"/>
        <bgColor indexed="64"/>
      </patternFill>
    </fill>
    <fill>
      <patternFill patternType="solid">
        <fgColor indexed="65"/>
        <bgColor indexed="64"/>
      </patternFill>
    </fill>
    <fill>
      <patternFill patternType="solid">
        <fgColor theme="0" tint="-0.14999847407452621"/>
        <bgColor indexed="64"/>
      </patternFill>
    </fill>
    <fill>
      <patternFill patternType="solid">
        <fgColor rgb="FFFF0000"/>
        <bgColor indexed="64"/>
      </patternFill>
    </fill>
    <fill>
      <patternFill patternType="solid">
        <fgColor rgb="FF00FF00"/>
        <bgColor indexed="64"/>
      </patternFill>
    </fill>
    <fill>
      <patternFill patternType="solid">
        <fgColor rgb="FF99CCFF"/>
        <bgColor indexed="64"/>
      </patternFill>
    </fill>
  </fills>
  <borders count="115">
    <border>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style="medium">
        <color indexed="64"/>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thick">
        <color indexed="64"/>
      </right>
      <top style="thick">
        <color indexed="64"/>
      </top>
      <bottom/>
      <diagonal/>
    </border>
    <border>
      <left/>
      <right style="thick">
        <color indexed="64"/>
      </right>
      <top/>
      <bottom style="thick">
        <color indexed="64"/>
      </bottom>
      <diagonal/>
    </border>
    <border>
      <left style="thick">
        <color indexed="64"/>
      </left>
      <right style="thick">
        <color indexed="64"/>
      </right>
      <top style="thick">
        <color indexed="64"/>
      </top>
      <bottom/>
      <diagonal/>
    </border>
    <border>
      <left style="medium">
        <color indexed="64"/>
      </left>
      <right/>
      <top style="medium">
        <color indexed="64"/>
      </top>
      <bottom style="thick">
        <color indexed="64"/>
      </bottom>
      <diagonal/>
    </border>
    <border>
      <left/>
      <right style="medium">
        <color indexed="64"/>
      </right>
      <top style="medium">
        <color indexed="64"/>
      </top>
      <bottom style="thick">
        <color indexed="64"/>
      </bottom>
      <diagonal/>
    </border>
    <border>
      <left style="medium">
        <color indexed="64"/>
      </left>
      <right style="thick">
        <color indexed="64"/>
      </right>
      <top style="thick">
        <color indexed="64"/>
      </top>
      <bottom/>
      <diagonal/>
    </border>
    <border>
      <left style="medium">
        <color indexed="64"/>
      </left>
      <right style="thick">
        <color indexed="64"/>
      </right>
      <top/>
      <bottom/>
      <diagonal/>
    </border>
    <border>
      <left/>
      <right style="medium">
        <color indexed="64"/>
      </right>
      <top/>
      <bottom style="thick">
        <color indexed="64"/>
      </bottom>
      <diagonal/>
    </border>
    <border>
      <left/>
      <right style="medium">
        <color indexed="64"/>
      </right>
      <top style="thick">
        <color indexed="64"/>
      </top>
      <bottom/>
      <diagonal/>
    </border>
    <border>
      <left style="medium">
        <color indexed="64"/>
      </left>
      <right style="thick">
        <color indexed="64"/>
      </right>
      <top/>
      <bottom style="thick">
        <color indexed="64"/>
      </bottom>
      <diagonal/>
    </border>
    <border>
      <left style="medium">
        <color indexed="64"/>
      </left>
      <right style="thick">
        <color indexed="64"/>
      </right>
      <top style="thick">
        <color indexed="64"/>
      </top>
      <bottom style="thick">
        <color indexed="64"/>
      </bottom>
      <diagonal/>
    </border>
    <border>
      <left/>
      <right style="medium">
        <color indexed="64"/>
      </right>
      <top style="thick">
        <color indexed="64"/>
      </top>
      <bottom style="thick">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thick">
        <color indexed="64"/>
      </bottom>
      <diagonal/>
    </border>
    <border>
      <left style="medium">
        <color indexed="64"/>
      </left>
      <right/>
      <top style="thick">
        <color indexed="64"/>
      </top>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right style="medium">
        <color indexed="64"/>
      </right>
      <top style="thin">
        <color indexed="64"/>
      </top>
      <bottom style="medium">
        <color indexed="64"/>
      </bottom>
      <diagonal/>
    </border>
    <border>
      <left style="thick">
        <color indexed="64"/>
      </left>
      <right style="thin">
        <color indexed="64"/>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style="thin">
        <color indexed="64"/>
      </top>
      <bottom/>
      <diagonal/>
    </border>
    <border>
      <left/>
      <right/>
      <top style="thin">
        <color indexed="64"/>
      </top>
      <bottom/>
      <diagonal/>
    </border>
    <border>
      <left style="thick">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right/>
      <top/>
      <bottom style="thin">
        <color indexed="64"/>
      </bottom>
      <diagonal/>
    </border>
    <border>
      <left style="thin">
        <color indexed="64"/>
      </left>
      <right/>
      <top style="thin">
        <color indexed="64"/>
      </top>
      <bottom/>
      <diagonal/>
    </border>
    <border>
      <left style="medium">
        <color indexed="64"/>
      </left>
      <right/>
      <top/>
      <bottom style="thin">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medium">
        <color indexed="64"/>
      </top>
      <bottom/>
      <diagonal/>
    </border>
    <border>
      <left style="thick">
        <color indexed="64"/>
      </left>
      <right style="thick">
        <color indexed="64"/>
      </right>
      <top/>
      <bottom style="medium">
        <color indexed="64"/>
      </bottom>
      <diagonal/>
    </border>
    <border>
      <left style="medium">
        <color indexed="64"/>
      </left>
      <right/>
      <top style="thin">
        <color indexed="64"/>
      </top>
      <bottom style="medium">
        <color indexed="64"/>
      </bottom>
      <diagonal/>
    </border>
    <border>
      <left style="thick">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medium">
        <color indexed="64"/>
      </right>
      <top style="medium">
        <color indexed="64"/>
      </top>
      <bottom style="medium">
        <color indexed="64"/>
      </bottom>
      <diagonal/>
    </border>
    <border>
      <left style="medium">
        <color indexed="64"/>
      </left>
      <right style="thick">
        <color indexed="64"/>
      </right>
      <top style="medium">
        <color indexed="64"/>
      </top>
      <bottom style="medium">
        <color indexed="64"/>
      </bottom>
      <diagonal/>
    </border>
    <border>
      <left/>
      <right style="thick">
        <color indexed="64"/>
      </right>
      <top/>
      <bottom/>
      <diagonal/>
    </border>
    <border>
      <left style="thick">
        <color indexed="64"/>
      </left>
      <right style="medium">
        <color indexed="64"/>
      </right>
      <top/>
      <bottom style="medium">
        <color indexed="64"/>
      </bottom>
      <diagonal/>
    </border>
    <border>
      <left/>
      <right style="thick">
        <color indexed="64"/>
      </right>
      <top/>
      <bottom style="medium">
        <color indexed="64"/>
      </bottom>
      <diagonal/>
    </border>
    <border>
      <left style="thick">
        <color indexed="64"/>
      </left>
      <right style="medium">
        <color indexed="64"/>
      </right>
      <top style="medium">
        <color indexed="64"/>
      </top>
      <bottom/>
      <diagonal/>
    </border>
    <border>
      <left/>
      <right style="thick">
        <color indexed="64"/>
      </right>
      <top style="medium">
        <color indexed="64"/>
      </top>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
      <left/>
      <right style="thin">
        <color indexed="64"/>
      </right>
      <top/>
      <bottom style="medium">
        <color indexed="64"/>
      </bottom>
      <diagonal/>
    </border>
  </borders>
  <cellStyleXfs count="3">
    <xf numFmtId="0" fontId="0" fillId="0" borderId="0"/>
    <xf numFmtId="9" fontId="19" fillId="0" borderId="0" applyFont="0" applyFill="0" applyBorder="0" applyAlignment="0" applyProtection="0"/>
    <xf numFmtId="0" fontId="65" fillId="0" borderId="0" applyNumberFormat="0" applyFill="0" applyBorder="0" applyAlignment="0" applyProtection="0"/>
  </cellStyleXfs>
  <cellXfs count="1422">
    <xf numFmtId="0" fontId="0" fillId="0" borderId="0" xfId="0"/>
    <xf numFmtId="0" fontId="3" fillId="0" borderId="0" xfId="0" applyFont="1" applyFill="1" applyAlignment="1" applyProtection="1">
      <alignment vertical="top"/>
    </xf>
    <xf numFmtId="0" fontId="1" fillId="0" borderId="0" xfId="0" applyFont="1" applyFill="1" applyAlignment="1" applyProtection="1">
      <alignment vertical="top"/>
    </xf>
    <xf numFmtId="0" fontId="1" fillId="0" borderId="0" xfId="0" applyFont="1" applyFill="1" applyAlignment="1" applyProtection="1">
      <alignment horizontal="center" vertical="top"/>
    </xf>
    <xf numFmtId="0" fontId="3" fillId="0" borderId="0" xfId="0" applyFont="1" applyFill="1" applyAlignment="1" applyProtection="1">
      <alignment vertical="top" wrapText="1"/>
    </xf>
    <xf numFmtId="0" fontId="4" fillId="0" borderId="0" xfId="0" applyFont="1" applyFill="1" applyAlignment="1" applyProtection="1">
      <alignment horizontal="left" vertical="top" wrapText="1"/>
    </xf>
    <xf numFmtId="0" fontId="4" fillId="0" borderId="0" xfId="0" applyFont="1" applyAlignment="1" applyProtection="1">
      <alignment horizontal="left" vertical="top" wrapText="1"/>
    </xf>
    <xf numFmtId="49" fontId="1" fillId="0" borderId="0" xfId="0" applyNumberFormat="1" applyFont="1" applyFill="1" applyAlignment="1" applyProtection="1">
      <alignment horizontal="left" vertical="top" wrapText="1"/>
    </xf>
    <xf numFmtId="49" fontId="4" fillId="0" borderId="0" xfId="0" applyNumberFormat="1" applyFont="1" applyAlignment="1" applyProtection="1">
      <alignment horizontal="left" vertical="top" wrapText="1"/>
    </xf>
    <xf numFmtId="49" fontId="4" fillId="0" borderId="0" xfId="0" applyNumberFormat="1" applyFont="1" applyFill="1" applyAlignment="1" applyProtection="1">
      <alignment horizontal="left" vertical="top" wrapText="1"/>
    </xf>
    <xf numFmtId="49" fontId="4" fillId="6" borderId="2" xfId="0" applyNumberFormat="1" applyFont="1" applyFill="1" applyBorder="1" applyAlignment="1" applyProtection="1">
      <alignment horizontal="left" vertical="top" wrapText="1"/>
    </xf>
    <xf numFmtId="49" fontId="4" fillId="6" borderId="3" xfId="0" applyNumberFormat="1" applyFont="1" applyFill="1" applyBorder="1" applyAlignment="1" applyProtection="1">
      <alignment horizontal="left" vertical="top" wrapText="1"/>
    </xf>
    <xf numFmtId="49" fontId="4" fillId="4" borderId="2" xfId="0" applyNumberFormat="1" applyFont="1" applyFill="1" applyBorder="1" applyAlignment="1" applyProtection="1">
      <alignment horizontal="left" vertical="top" wrapText="1"/>
    </xf>
    <xf numFmtId="165" fontId="5" fillId="0" borderId="0" xfId="0" applyNumberFormat="1" applyFont="1" applyBorder="1" applyAlignment="1" applyProtection="1">
      <alignment horizontal="left" vertical="top" wrapText="1"/>
    </xf>
    <xf numFmtId="0" fontId="5" fillId="0" borderId="0" xfId="0" applyFont="1" applyFill="1" applyBorder="1" applyAlignment="1" applyProtection="1">
      <alignment horizontal="left" vertical="top" wrapText="1"/>
    </xf>
    <xf numFmtId="165" fontId="5" fillId="0" borderId="0" xfId="0" applyNumberFormat="1" applyFont="1" applyFill="1" applyBorder="1" applyAlignment="1" applyProtection="1">
      <alignment horizontal="left" vertical="top" wrapText="1"/>
    </xf>
    <xf numFmtId="0" fontId="5" fillId="0" borderId="0" xfId="0" applyFont="1" applyBorder="1" applyAlignment="1" applyProtection="1">
      <alignment horizontal="left" vertical="top" wrapText="1"/>
    </xf>
    <xf numFmtId="0" fontId="5" fillId="0" borderId="0" xfId="0" applyFont="1" applyFill="1" applyAlignment="1" applyProtection="1">
      <alignment horizontal="left" vertical="top" wrapText="1"/>
    </xf>
    <xf numFmtId="0" fontId="5" fillId="0" borderId="0" xfId="0" applyFont="1" applyAlignment="1" applyProtection="1">
      <alignment horizontal="left" vertical="top" wrapText="1"/>
    </xf>
    <xf numFmtId="0" fontId="1" fillId="0" borderId="0" xfId="0" applyFont="1" applyFill="1" applyAlignment="1" applyProtection="1">
      <alignment horizontal="center" vertical="top" wrapText="1"/>
    </xf>
    <xf numFmtId="0" fontId="5" fillId="0" borderId="34" xfId="0" applyFont="1" applyFill="1" applyBorder="1" applyAlignment="1" applyProtection="1">
      <alignment horizontal="center" vertical="center" wrapText="1"/>
    </xf>
    <xf numFmtId="0" fontId="4" fillId="0" borderId="7" xfId="0" applyFont="1" applyFill="1" applyBorder="1" applyAlignment="1" applyProtection="1">
      <alignment horizontal="center" vertical="top" wrapText="1"/>
    </xf>
    <xf numFmtId="0" fontId="4" fillId="0" borderId="8" xfId="0" applyFont="1" applyFill="1" applyBorder="1" applyAlignment="1" applyProtection="1">
      <alignment horizontal="center" vertical="top" wrapText="1"/>
    </xf>
    <xf numFmtId="0" fontId="4" fillId="0" borderId="38" xfId="0" applyFont="1" applyFill="1" applyBorder="1" applyAlignment="1" applyProtection="1">
      <alignment horizontal="center" vertical="top" wrapText="1"/>
    </xf>
    <xf numFmtId="0" fontId="4" fillId="0" borderId="45" xfId="0" applyFont="1" applyFill="1" applyBorder="1" applyAlignment="1" applyProtection="1">
      <alignment horizontal="center" vertical="top" wrapText="1"/>
    </xf>
    <xf numFmtId="0" fontId="4" fillId="0" borderId="46" xfId="0" applyFont="1" applyFill="1" applyBorder="1" applyAlignment="1" applyProtection="1">
      <alignment horizontal="center" vertical="top" wrapText="1"/>
    </xf>
    <xf numFmtId="0" fontId="4" fillId="0" borderId="31" xfId="0" applyFont="1" applyFill="1" applyBorder="1" applyAlignment="1" applyProtection="1">
      <alignment horizontal="center" vertical="top"/>
    </xf>
    <xf numFmtId="0" fontId="4" fillId="3" borderId="25" xfId="0" applyFont="1" applyFill="1" applyBorder="1" applyAlignment="1" applyProtection="1">
      <alignment horizontal="center" vertical="top" wrapText="1"/>
    </xf>
    <xf numFmtId="0" fontId="4" fillId="3" borderId="26" xfId="0" applyFont="1" applyFill="1" applyBorder="1" applyAlignment="1" applyProtection="1">
      <alignment horizontal="center" vertical="top" wrapText="1"/>
    </xf>
    <xf numFmtId="0" fontId="4" fillId="3" borderId="18" xfId="0" applyFont="1" applyFill="1" applyBorder="1" applyAlignment="1" applyProtection="1">
      <alignment horizontal="center" vertical="top" wrapText="1"/>
    </xf>
    <xf numFmtId="0" fontId="4" fillId="3" borderId="36" xfId="0" applyFont="1" applyFill="1" applyBorder="1" applyAlignment="1" applyProtection="1">
      <alignment horizontal="center" vertical="top" wrapText="1"/>
    </xf>
    <xf numFmtId="0" fontId="4" fillId="3" borderId="33" xfId="0" applyFont="1" applyFill="1" applyBorder="1" applyAlignment="1" applyProtection="1">
      <alignment horizontal="center" vertical="top" wrapText="1"/>
    </xf>
    <xf numFmtId="0" fontId="4" fillId="3" borderId="24" xfId="0" applyFont="1" applyFill="1" applyBorder="1" applyAlignment="1" applyProtection="1">
      <alignment horizontal="center" vertical="top"/>
    </xf>
    <xf numFmtId="0" fontId="4" fillId="6" borderId="1" xfId="0" applyFont="1" applyFill="1" applyBorder="1" applyAlignment="1" applyProtection="1">
      <alignment horizontal="center" vertical="top" wrapText="1"/>
    </xf>
    <xf numFmtId="0" fontId="4" fillId="6" borderId="2" xfId="0" applyFont="1" applyFill="1" applyBorder="1" applyAlignment="1">
      <alignment horizontal="center" vertical="center" wrapText="1"/>
    </xf>
    <xf numFmtId="0" fontId="4" fillId="6" borderId="3" xfId="0" applyFont="1" applyFill="1" applyBorder="1" applyAlignment="1" applyProtection="1">
      <alignment horizontal="center" vertical="top" wrapText="1"/>
    </xf>
    <xf numFmtId="0" fontId="4" fillId="6" borderId="11" xfId="0" applyFont="1" applyFill="1" applyBorder="1" applyAlignment="1" applyProtection="1">
      <alignment horizontal="center" vertical="top" wrapText="1"/>
    </xf>
    <xf numFmtId="0" fontId="4" fillId="6" borderId="2" xfId="0" applyFont="1" applyFill="1" applyBorder="1" applyAlignment="1" applyProtection="1">
      <alignment horizontal="center" vertical="top" wrapText="1"/>
    </xf>
    <xf numFmtId="0" fontId="4" fillId="6" borderId="4" xfId="0" applyFont="1" applyFill="1" applyBorder="1" applyAlignment="1" applyProtection="1">
      <alignment horizontal="center" vertical="top" wrapText="1"/>
    </xf>
    <xf numFmtId="0" fontId="4" fillId="6" borderId="14" xfId="0" applyFont="1" applyFill="1" applyBorder="1" applyAlignment="1" applyProtection="1">
      <alignment horizontal="center" vertical="top"/>
    </xf>
    <xf numFmtId="0" fontId="4" fillId="6" borderId="13" xfId="0" applyFont="1" applyFill="1" applyBorder="1" applyAlignment="1" applyProtection="1">
      <alignment horizontal="center" vertical="top" wrapText="1"/>
    </xf>
    <xf numFmtId="0" fontId="5" fillId="5" borderId="15" xfId="0" applyFont="1" applyFill="1" applyBorder="1" applyAlignment="1" applyProtection="1">
      <alignment horizontal="center" vertical="top" wrapText="1"/>
    </xf>
    <xf numFmtId="0" fontId="5" fillId="5" borderId="9" xfId="0" applyFont="1" applyFill="1" applyBorder="1" applyAlignment="1" applyProtection="1">
      <alignment horizontal="center" vertical="top" wrapText="1"/>
    </xf>
    <xf numFmtId="0" fontId="5" fillId="5" borderId="10" xfId="0" applyFont="1" applyFill="1" applyBorder="1" applyAlignment="1" applyProtection="1">
      <alignment horizontal="center" vertical="top" wrapText="1"/>
    </xf>
    <xf numFmtId="0" fontId="5" fillId="5" borderId="16" xfId="0" applyFont="1" applyFill="1" applyBorder="1" applyAlignment="1" applyProtection="1">
      <alignment horizontal="center" vertical="top" wrapText="1"/>
    </xf>
    <xf numFmtId="0" fontId="5" fillId="5" borderId="35" xfId="0" applyFont="1" applyFill="1" applyBorder="1" applyAlignment="1" applyProtection="1">
      <alignment horizontal="center" vertical="top" wrapText="1"/>
    </xf>
    <xf numFmtId="0" fontId="5" fillId="5" borderId="22" xfId="0" applyFont="1" applyFill="1" applyBorder="1" applyAlignment="1" applyProtection="1">
      <alignment horizontal="center" vertical="top"/>
    </xf>
    <xf numFmtId="0" fontId="4" fillId="4" borderId="1" xfId="0" applyFont="1" applyFill="1" applyBorder="1" applyAlignment="1" applyProtection="1">
      <alignment horizontal="center" vertical="top" wrapText="1"/>
    </xf>
    <xf numFmtId="0" fontId="4" fillId="4" borderId="2" xfId="0" applyFont="1" applyFill="1" applyBorder="1" applyAlignment="1" applyProtection="1">
      <alignment horizontal="center" vertical="top" wrapText="1"/>
    </xf>
    <xf numFmtId="0" fontId="4" fillId="4" borderId="3" xfId="0" applyFont="1" applyFill="1" applyBorder="1" applyAlignment="1" applyProtection="1">
      <alignment horizontal="center" vertical="top" wrapText="1"/>
    </xf>
    <xf numFmtId="0" fontId="4" fillId="4" borderId="11" xfId="0" applyFont="1" applyFill="1" applyBorder="1" applyAlignment="1" applyProtection="1">
      <alignment horizontal="center" vertical="top" wrapText="1"/>
    </xf>
    <xf numFmtId="0" fontId="4" fillId="4" borderId="4" xfId="0" applyFont="1" applyFill="1" applyBorder="1" applyAlignment="1" applyProtection="1">
      <alignment horizontal="center" vertical="top" wrapText="1"/>
    </xf>
    <xf numFmtId="0" fontId="4" fillId="4" borderId="14" xfId="0" applyFont="1" applyFill="1" applyBorder="1" applyAlignment="1" applyProtection="1">
      <alignment horizontal="center" vertical="top"/>
    </xf>
    <xf numFmtId="0" fontId="4" fillId="4" borderId="13" xfId="0" applyFont="1" applyFill="1" applyBorder="1" applyAlignment="1" applyProtection="1">
      <alignment horizontal="center" vertical="top" wrapText="1"/>
    </xf>
    <xf numFmtId="0" fontId="5" fillId="7" borderId="25" xfId="0" applyFont="1" applyFill="1" applyBorder="1" applyAlignment="1" applyProtection="1">
      <alignment horizontal="center" vertical="top" wrapText="1"/>
    </xf>
    <xf numFmtId="0" fontId="5" fillId="7" borderId="26" xfId="0" applyFont="1" applyFill="1" applyBorder="1" applyAlignment="1">
      <alignment horizontal="center" vertical="center" wrapText="1"/>
    </xf>
    <xf numFmtId="0" fontId="5" fillId="7" borderId="18" xfId="0" applyFont="1" applyFill="1" applyBorder="1" applyAlignment="1">
      <alignment horizontal="center" vertical="center" wrapText="1"/>
    </xf>
    <xf numFmtId="0" fontId="5" fillId="7" borderId="36" xfId="0" applyFont="1" applyFill="1" applyBorder="1" applyAlignment="1" applyProtection="1">
      <alignment horizontal="center" vertical="top" wrapText="1"/>
    </xf>
    <xf numFmtId="0" fontId="5" fillId="7" borderId="26" xfId="0" applyFont="1" applyFill="1" applyBorder="1" applyAlignment="1" applyProtection="1">
      <alignment horizontal="center" vertical="top" wrapText="1"/>
    </xf>
    <xf numFmtId="0" fontId="5" fillId="7" borderId="33" xfId="0" applyFont="1" applyFill="1" applyBorder="1" applyAlignment="1" applyProtection="1">
      <alignment horizontal="center" vertical="top" wrapText="1"/>
    </xf>
    <xf numFmtId="0" fontId="5" fillId="7" borderId="18" xfId="0" applyFont="1" applyFill="1" applyBorder="1" applyAlignment="1" applyProtection="1">
      <alignment horizontal="center" vertical="top" wrapText="1"/>
    </xf>
    <xf numFmtId="0" fontId="5" fillId="7" borderId="24" xfId="0" applyFont="1" applyFill="1" applyBorder="1" applyAlignment="1" applyProtection="1">
      <alignment horizontal="center" vertical="top"/>
    </xf>
    <xf numFmtId="0" fontId="4" fillId="8" borderId="1" xfId="0" applyFont="1" applyFill="1" applyBorder="1" applyAlignment="1" applyProtection="1">
      <alignment horizontal="center" vertical="top" wrapText="1"/>
    </xf>
    <xf numFmtId="0" fontId="4" fillId="8" borderId="2" xfId="0" applyFont="1" applyFill="1" applyBorder="1" applyAlignment="1">
      <alignment horizontal="center" vertical="center" wrapText="1"/>
    </xf>
    <xf numFmtId="0" fontId="4" fillId="8" borderId="11" xfId="0" applyFont="1" applyFill="1" applyBorder="1" applyAlignment="1" applyProtection="1">
      <alignment horizontal="center" vertical="top" wrapText="1"/>
    </xf>
    <xf numFmtId="0" fontId="4" fillId="8" borderId="2" xfId="0" applyFont="1" applyFill="1" applyBorder="1" applyAlignment="1" applyProtection="1">
      <alignment horizontal="center" vertical="top" wrapText="1"/>
    </xf>
    <xf numFmtId="0" fontId="4" fillId="8" borderId="4" xfId="0" applyFont="1" applyFill="1" applyBorder="1" applyAlignment="1" applyProtection="1">
      <alignment horizontal="center" vertical="top" wrapText="1"/>
    </xf>
    <xf numFmtId="0" fontId="4" fillId="8" borderId="3" xfId="0" applyFont="1" applyFill="1" applyBorder="1" applyAlignment="1" applyProtection="1">
      <alignment horizontal="center" vertical="top" wrapText="1"/>
    </xf>
    <xf numFmtId="0" fontId="4" fillId="8" borderId="14" xfId="0" applyFont="1" applyFill="1" applyBorder="1" applyAlignment="1" applyProtection="1">
      <alignment horizontal="center" vertical="top"/>
    </xf>
    <xf numFmtId="0" fontId="4" fillId="8" borderId="13" xfId="0" applyFont="1" applyFill="1" applyBorder="1" applyAlignment="1" applyProtection="1">
      <alignment horizontal="center" vertical="top" wrapText="1"/>
    </xf>
    <xf numFmtId="0" fontId="4" fillId="11" borderId="1" xfId="0" applyFont="1" applyFill="1" applyBorder="1" applyAlignment="1" applyProtection="1">
      <alignment horizontal="center" vertical="top" wrapText="1"/>
    </xf>
    <xf numFmtId="0" fontId="4" fillId="11" borderId="2" xfId="0" applyFont="1" applyFill="1" applyBorder="1" applyAlignment="1" applyProtection="1">
      <alignment horizontal="center" vertical="top" wrapText="1"/>
    </xf>
    <xf numFmtId="0" fontId="4" fillId="11" borderId="3" xfId="0" applyFont="1" applyFill="1" applyBorder="1" applyAlignment="1" applyProtection="1">
      <alignment horizontal="center" vertical="top" wrapText="1"/>
    </xf>
    <xf numFmtId="0" fontId="4" fillId="11" borderId="11" xfId="0" applyFont="1" applyFill="1" applyBorder="1" applyAlignment="1" applyProtection="1">
      <alignment horizontal="center" vertical="top" wrapText="1"/>
    </xf>
    <xf numFmtId="0" fontId="4" fillId="11" borderId="4" xfId="0" applyFont="1" applyFill="1" applyBorder="1" applyAlignment="1" applyProtection="1">
      <alignment horizontal="center" vertical="top" wrapText="1"/>
    </xf>
    <xf numFmtId="0" fontId="4" fillId="11" borderId="14" xfId="0" applyFont="1" applyFill="1" applyBorder="1" applyAlignment="1" applyProtection="1">
      <alignment horizontal="center" vertical="top"/>
    </xf>
    <xf numFmtId="0" fontId="4" fillId="11" borderId="13" xfId="0" applyFont="1" applyFill="1" applyBorder="1" applyAlignment="1" applyProtection="1">
      <alignment horizontal="center" vertical="top" wrapText="1"/>
    </xf>
    <xf numFmtId="0" fontId="5" fillId="10" borderId="25" xfId="0" applyFont="1" applyFill="1" applyBorder="1" applyAlignment="1" applyProtection="1">
      <alignment horizontal="center" vertical="center" wrapText="1"/>
    </xf>
    <xf numFmtId="0" fontId="5" fillId="10" borderId="26" xfId="0" applyFont="1" applyFill="1" applyBorder="1" applyAlignment="1" applyProtection="1">
      <alignment horizontal="center" vertical="center" wrapText="1"/>
    </xf>
    <xf numFmtId="0" fontId="5" fillId="10" borderId="18" xfId="0" applyFont="1" applyFill="1" applyBorder="1" applyAlignment="1" applyProtection="1">
      <alignment horizontal="center" vertical="center" wrapText="1"/>
    </xf>
    <xf numFmtId="0" fontId="5" fillId="10" borderId="36" xfId="0" applyFont="1" applyFill="1" applyBorder="1" applyAlignment="1" applyProtection="1">
      <alignment horizontal="center" vertical="center" wrapText="1"/>
    </xf>
    <xf numFmtId="0" fontId="5" fillId="10" borderId="33" xfId="0" applyFont="1" applyFill="1" applyBorder="1" applyAlignment="1" applyProtection="1">
      <alignment horizontal="center" vertical="center" wrapText="1"/>
    </xf>
    <xf numFmtId="0" fontId="5" fillId="10" borderId="24" xfId="0" applyFont="1" applyFill="1" applyBorder="1" applyAlignment="1" applyProtection="1">
      <alignment horizontal="center" vertical="top"/>
    </xf>
    <xf numFmtId="0" fontId="4" fillId="12" borderId="14" xfId="0" applyFont="1" applyFill="1" applyBorder="1" applyAlignment="1" applyProtection="1">
      <alignment horizontal="center" vertical="top"/>
    </xf>
    <xf numFmtId="0" fontId="4" fillId="12" borderId="13" xfId="0" applyFont="1" applyFill="1" applyBorder="1" applyAlignment="1" applyProtection="1">
      <alignment horizontal="center" vertical="top" wrapText="1"/>
    </xf>
    <xf numFmtId="0" fontId="4" fillId="0" borderId="0" xfId="0" applyFont="1" applyFill="1" applyBorder="1"/>
    <xf numFmtId="0" fontId="4" fillId="0" borderId="0" xfId="0" applyFont="1" applyFill="1" applyBorder="1" applyAlignment="1">
      <alignment horizontal="center"/>
    </xf>
    <xf numFmtId="0" fontId="4" fillId="3" borderId="20" xfId="0" applyFont="1" applyFill="1" applyBorder="1" applyAlignment="1">
      <alignment horizontal="center" wrapText="1"/>
    </xf>
    <xf numFmtId="0" fontId="4" fillId="7" borderId="20" xfId="0" applyFont="1" applyFill="1" applyBorder="1" applyAlignment="1">
      <alignment horizontal="center" wrapText="1"/>
    </xf>
    <xf numFmtId="0" fontId="4" fillId="9" borderId="20" xfId="0" applyFont="1" applyFill="1" applyBorder="1" applyAlignment="1">
      <alignment horizontal="center" wrapText="1"/>
    </xf>
    <xf numFmtId="0" fontId="4" fillId="10" borderId="20" xfId="0" applyFont="1" applyFill="1" applyBorder="1" applyAlignment="1">
      <alignment horizontal="center" wrapText="1"/>
    </xf>
    <xf numFmtId="0" fontId="4" fillId="4" borderId="20" xfId="0" applyFont="1" applyFill="1" applyBorder="1" applyAlignment="1">
      <alignment horizontal="center" wrapText="1"/>
    </xf>
    <xf numFmtId="0" fontId="4" fillId="6" borderId="20" xfId="0" applyFont="1" applyFill="1" applyBorder="1" applyAlignment="1">
      <alignment horizontal="center" wrapText="1"/>
    </xf>
    <xf numFmtId="0" fontId="4" fillId="5" borderId="20" xfId="0" applyFont="1" applyFill="1" applyBorder="1" applyAlignment="1">
      <alignment horizontal="center" wrapText="1"/>
    </xf>
    <xf numFmtId="0" fontId="4" fillId="8" borderId="20" xfId="0" applyFont="1" applyFill="1" applyBorder="1" applyAlignment="1">
      <alignment horizontal="center" wrapText="1"/>
    </xf>
    <xf numFmtId="0" fontId="4" fillId="11" borderId="20" xfId="0" applyFont="1" applyFill="1" applyBorder="1" applyAlignment="1">
      <alignment horizontal="center" wrapText="1"/>
    </xf>
    <xf numFmtId="0" fontId="4" fillId="12" borderId="20" xfId="0" applyFont="1" applyFill="1" applyBorder="1" applyAlignment="1">
      <alignment horizontal="center" wrapText="1"/>
    </xf>
    <xf numFmtId="0" fontId="4" fillId="0" borderId="0" xfId="0" applyFont="1" applyFill="1" applyBorder="1" applyAlignment="1">
      <alignment horizontal="right"/>
    </xf>
    <xf numFmtId="0" fontId="4" fillId="6" borderId="2" xfId="0" applyNumberFormat="1" applyFont="1" applyFill="1" applyBorder="1" applyAlignment="1" applyProtection="1">
      <alignment horizontal="left" vertical="top" wrapText="1"/>
    </xf>
    <xf numFmtId="0" fontId="4" fillId="6" borderId="2" xfId="0" applyNumberFormat="1" applyFont="1" applyFill="1" applyBorder="1" applyAlignment="1">
      <alignment horizontal="left" vertical="top" wrapText="1"/>
    </xf>
    <xf numFmtId="0" fontId="5" fillId="0" borderId="0" xfId="0" applyFont="1" applyFill="1" applyBorder="1" applyAlignment="1">
      <alignment horizontal="center"/>
    </xf>
    <xf numFmtId="0" fontId="4" fillId="4" borderId="2" xfId="0" applyNumberFormat="1" applyFont="1" applyFill="1" applyBorder="1" applyAlignment="1">
      <alignment horizontal="left" vertical="top" wrapText="1"/>
    </xf>
    <xf numFmtId="165" fontId="3" fillId="0" borderId="0" xfId="0" applyNumberFormat="1" applyFont="1" applyFill="1" applyAlignment="1" applyProtection="1">
      <alignment horizontal="left" vertical="top" wrapText="1"/>
    </xf>
    <xf numFmtId="165" fontId="5" fillId="0" borderId="41" xfId="0" applyNumberFormat="1" applyFont="1" applyFill="1" applyBorder="1" applyAlignment="1" applyProtection="1">
      <alignment horizontal="left" vertical="center" wrapText="1"/>
    </xf>
    <xf numFmtId="165" fontId="5" fillId="0" borderId="0" xfId="0" applyNumberFormat="1" applyFont="1" applyFill="1" applyBorder="1" applyAlignment="1" applyProtection="1">
      <alignment horizontal="left" vertical="center" wrapText="1"/>
    </xf>
    <xf numFmtId="0" fontId="4" fillId="6" borderId="15" xfId="0" applyFont="1" applyFill="1" applyBorder="1" applyAlignment="1" applyProtection="1">
      <alignment horizontal="center" vertical="top" wrapText="1"/>
    </xf>
    <xf numFmtId="0" fontId="4" fillId="13" borderId="1" xfId="0" applyFont="1" applyFill="1" applyBorder="1" applyAlignment="1" applyProtection="1">
      <alignment horizontal="center" vertical="top" wrapText="1"/>
    </xf>
    <xf numFmtId="0" fontId="4" fillId="13" borderId="2" xfId="0" applyFont="1" applyFill="1" applyBorder="1" applyAlignment="1">
      <alignment horizontal="center" vertical="center" wrapText="1"/>
    </xf>
    <xf numFmtId="0" fontId="4" fillId="13" borderId="3" xfId="0" applyFont="1" applyFill="1" applyBorder="1" applyAlignment="1" applyProtection="1">
      <alignment horizontal="center" vertical="top" wrapText="1"/>
    </xf>
    <xf numFmtId="0" fontId="4" fillId="13" borderId="11" xfId="0" applyFont="1" applyFill="1" applyBorder="1" applyAlignment="1" applyProtection="1">
      <alignment horizontal="center" vertical="top" wrapText="1"/>
    </xf>
    <xf numFmtId="0" fontId="4" fillId="13" borderId="2" xfId="0" applyFont="1" applyFill="1" applyBorder="1" applyAlignment="1" applyProtection="1">
      <alignment horizontal="center" vertical="top" wrapText="1"/>
    </xf>
    <xf numFmtId="0" fontId="4" fillId="13" borderId="4" xfId="0" applyFont="1" applyFill="1" applyBorder="1" applyAlignment="1" applyProtection="1">
      <alignment horizontal="center" vertical="top" wrapText="1"/>
    </xf>
    <xf numFmtId="0" fontId="4" fillId="13" borderId="14" xfId="0" applyFont="1" applyFill="1" applyBorder="1" applyAlignment="1" applyProtection="1">
      <alignment horizontal="center" vertical="top"/>
    </xf>
    <xf numFmtId="0" fontId="4" fillId="13" borderId="3" xfId="0" applyFont="1" applyFill="1" applyBorder="1" applyAlignment="1">
      <alignment horizontal="center" vertical="center" wrapText="1"/>
    </xf>
    <xf numFmtId="0" fontId="4" fillId="14" borderId="1" xfId="0" applyFont="1" applyFill="1" applyBorder="1" applyAlignment="1" applyProtection="1">
      <alignment horizontal="center" vertical="top" wrapText="1"/>
    </xf>
    <xf numFmtId="0" fontId="4" fillId="14" borderId="2" xfId="0" applyFont="1" applyFill="1" applyBorder="1" applyAlignment="1" applyProtection="1">
      <alignment horizontal="center" vertical="top" wrapText="1"/>
    </xf>
    <xf numFmtId="0" fontId="4" fillId="14" borderId="3" xfId="0" applyFont="1" applyFill="1" applyBorder="1" applyAlignment="1" applyProtection="1">
      <alignment horizontal="center" vertical="top" wrapText="1"/>
    </xf>
    <xf numFmtId="0" fontId="4" fillId="14" borderId="11" xfId="0" applyFont="1" applyFill="1" applyBorder="1" applyAlignment="1" applyProtection="1">
      <alignment horizontal="center" vertical="top" wrapText="1"/>
    </xf>
    <xf numFmtId="0" fontId="4" fillId="14" borderId="4" xfId="0" applyFont="1" applyFill="1" applyBorder="1" applyAlignment="1" applyProtection="1">
      <alignment horizontal="center" vertical="top" wrapText="1"/>
    </xf>
    <xf numFmtId="0" fontId="4" fillId="14" borderId="14" xfId="0" applyFont="1" applyFill="1" applyBorder="1" applyAlignment="1" applyProtection="1">
      <alignment horizontal="center" vertical="top"/>
    </xf>
    <xf numFmtId="0" fontId="4" fillId="15" borderId="3" xfId="0" applyFont="1" applyFill="1" applyBorder="1" applyAlignment="1" applyProtection="1">
      <alignment horizontal="center" vertical="top" wrapText="1"/>
    </xf>
    <xf numFmtId="0" fontId="4" fillId="15" borderId="11" xfId="0" applyFont="1" applyFill="1" applyBorder="1" applyAlignment="1" applyProtection="1">
      <alignment horizontal="center" vertical="top" wrapText="1"/>
    </xf>
    <xf numFmtId="0" fontId="4" fillId="15" borderId="2" xfId="0" applyFont="1" applyFill="1" applyBorder="1" applyAlignment="1" applyProtection="1">
      <alignment horizontal="center" vertical="top" wrapText="1"/>
    </xf>
    <xf numFmtId="0" fontId="4" fillId="15" borderId="4" xfId="0" applyFont="1" applyFill="1" applyBorder="1" applyAlignment="1" applyProtection="1">
      <alignment horizontal="center" vertical="top" wrapText="1"/>
    </xf>
    <xf numFmtId="0" fontId="4" fillId="15" borderId="1" xfId="0" applyFont="1" applyFill="1" applyBorder="1" applyAlignment="1" applyProtection="1">
      <alignment horizontal="center" vertical="top" wrapText="1"/>
    </xf>
    <xf numFmtId="0" fontId="4" fillId="15" borderId="14" xfId="0" applyFont="1" applyFill="1" applyBorder="1" applyAlignment="1" applyProtection="1">
      <alignment horizontal="center" vertical="top"/>
    </xf>
    <xf numFmtId="0" fontId="4" fillId="16" borderId="2" xfId="0" applyFont="1" applyFill="1" applyBorder="1" applyAlignment="1">
      <alignment horizontal="center" vertical="center" wrapText="1"/>
    </xf>
    <xf numFmtId="0" fontId="4" fillId="16" borderId="3" xfId="0" applyFont="1" applyFill="1" applyBorder="1" applyAlignment="1" applyProtection="1">
      <alignment horizontal="center" vertical="top" wrapText="1"/>
    </xf>
    <xf numFmtId="0" fontId="4" fillId="16" borderId="11" xfId="0" applyFont="1" applyFill="1" applyBorder="1" applyAlignment="1" applyProtection="1">
      <alignment horizontal="center" vertical="top" wrapText="1"/>
    </xf>
    <xf numFmtId="0" fontId="4" fillId="16" borderId="2" xfId="0" applyFont="1" applyFill="1" applyBorder="1" applyAlignment="1" applyProtection="1">
      <alignment horizontal="center" vertical="top" wrapText="1"/>
    </xf>
    <xf numFmtId="0" fontId="4" fillId="16" borderId="4" xfId="0" applyFont="1" applyFill="1" applyBorder="1" applyAlignment="1" applyProtection="1">
      <alignment horizontal="center" vertical="top" wrapText="1"/>
    </xf>
    <xf numFmtId="0" fontId="4" fillId="16" borderId="1" xfId="0" applyFont="1" applyFill="1" applyBorder="1" applyAlignment="1" applyProtection="1">
      <alignment horizontal="center" vertical="top" wrapText="1"/>
    </xf>
    <xf numFmtId="0" fontId="4" fillId="16" borderId="14" xfId="0" applyFont="1" applyFill="1" applyBorder="1" applyAlignment="1" applyProtection="1">
      <alignment horizontal="center" vertical="top"/>
    </xf>
    <xf numFmtId="0" fontId="4" fillId="4" borderId="2" xfId="0" applyFont="1" applyFill="1" applyBorder="1" applyAlignment="1">
      <alignment horizontal="center" vertical="center" wrapText="1"/>
    </xf>
    <xf numFmtId="0" fontId="4" fillId="11" borderId="2" xfId="0" applyFont="1" applyFill="1" applyBorder="1" applyAlignment="1">
      <alignment horizontal="center" vertical="center" wrapText="1"/>
    </xf>
    <xf numFmtId="0" fontId="4" fillId="16" borderId="3" xfId="0" applyFont="1" applyFill="1" applyBorder="1" applyAlignment="1">
      <alignment horizontal="center" vertical="center" wrapText="1"/>
    </xf>
    <xf numFmtId="0" fontId="5" fillId="9" borderId="25" xfId="0" applyFont="1" applyFill="1" applyBorder="1" applyAlignment="1" applyProtection="1">
      <alignment horizontal="center" vertical="top" wrapText="1"/>
    </xf>
    <xf numFmtId="0" fontId="5" fillId="9" borderId="26" xfId="0" applyFont="1" applyFill="1" applyBorder="1" applyAlignment="1" applyProtection="1">
      <alignment horizontal="center" vertical="top" wrapText="1"/>
    </xf>
    <xf numFmtId="0" fontId="5" fillId="9" borderId="18" xfId="0" applyFont="1" applyFill="1" applyBorder="1" applyAlignment="1" applyProtection="1">
      <alignment horizontal="center" vertical="top" wrapText="1"/>
    </xf>
    <xf numFmtId="0" fontId="5" fillId="9" borderId="36" xfId="0" applyFont="1" applyFill="1" applyBorder="1" applyAlignment="1" applyProtection="1">
      <alignment horizontal="center" vertical="top" wrapText="1"/>
    </xf>
    <xf numFmtId="0" fontId="5" fillId="9" borderId="33" xfId="0" applyFont="1" applyFill="1" applyBorder="1" applyAlignment="1" applyProtection="1">
      <alignment horizontal="center" vertical="top" wrapText="1"/>
    </xf>
    <xf numFmtId="0" fontId="5" fillId="9" borderId="24" xfId="0" applyFont="1" applyFill="1" applyBorder="1" applyAlignment="1" applyProtection="1">
      <alignment horizontal="center" vertical="top"/>
    </xf>
    <xf numFmtId="0" fontId="4" fillId="17" borderId="1" xfId="0" applyFont="1" applyFill="1" applyBorder="1" applyAlignment="1" applyProtection="1">
      <alignment horizontal="center" vertical="center" wrapText="1"/>
    </xf>
    <xf numFmtId="0" fontId="4" fillId="17" borderId="2" xfId="0" applyFont="1" applyFill="1" applyBorder="1" applyAlignment="1" applyProtection="1">
      <alignment horizontal="center" vertical="center" wrapText="1"/>
    </xf>
    <xf numFmtId="0" fontId="4" fillId="17" borderId="3" xfId="0" applyFont="1" applyFill="1" applyBorder="1" applyAlignment="1" applyProtection="1">
      <alignment horizontal="center" vertical="center" wrapText="1"/>
    </xf>
    <xf numFmtId="0" fontId="4" fillId="17" borderId="11" xfId="0" applyFont="1" applyFill="1" applyBorder="1" applyAlignment="1" applyProtection="1">
      <alignment horizontal="center" vertical="center" wrapText="1"/>
    </xf>
    <xf numFmtId="0" fontId="4" fillId="17" borderId="4" xfId="0" applyFont="1" applyFill="1" applyBorder="1" applyAlignment="1" applyProtection="1">
      <alignment horizontal="center" vertical="center" wrapText="1"/>
    </xf>
    <xf numFmtId="0" fontId="4" fillId="17" borderId="14" xfId="0" applyFont="1" applyFill="1" applyBorder="1" applyAlignment="1" applyProtection="1">
      <alignment horizontal="center" vertical="top"/>
    </xf>
    <xf numFmtId="0" fontId="4" fillId="12" borderId="1" xfId="0" applyFont="1" applyFill="1" applyBorder="1" applyAlignment="1" applyProtection="1">
      <alignment horizontal="center" vertical="top" wrapText="1"/>
    </xf>
    <xf numFmtId="0" fontId="4" fillId="12" borderId="2" xfId="0" applyFont="1" applyFill="1" applyBorder="1" applyAlignment="1">
      <alignment horizontal="center" vertical="center" wrapText="1"/>
    </xf>
    <xf numFmtId="0" fontId="4" fillId="12" borderId="3" xfId="0" applyFont="1" applyFill="1" applyBorder="1" applyAlignment="1" applyProtection="1">
      <alignment horizontal="center" vertical="top" wrapText="1"/>
    </xf>
    <xf numFmtId="0" fontId="4" fillId="12" borderId="11" xfId="0" applyFont="1" applyFill="1" applyBorder="1" applyAlignment="1" applyProtection="1">
      <alignment horizontal="center" vertical="top" wrapText="1"/>
    </xf>
    <xf numFmtId="0" fontId="4" fillId="12" borderId="2" xfId="0" applyFont="1" applyFill="1" applyBorder="1" applyAlignment="1" applyProtection="1">
      <alignment horizontal="center" vertical="top" wrapText="1"/>
    </xf>
    <xf numFmtId="0" fontId="4" fillId="12" borderId="4" xfId="0" applyFont="1" applyFill="1" applyBorder="1" applyAlignment="1" applyProtection="1">
      <alignment horizontal="center" vertical="top" wrapText="1"/>
    </xf>
    <xf numFmtId="0" fontId="0" fillId="0" borderId="0" xfId="0"/>
    <xf numFmtId="49" fontId="4" fillId="0" borderId="0" xfId="0" applyNumberFormat="1" applyFont="1" applyAlignment="1" applyProtection="1">
      <alignment horizontal="left" vertical="top" wrapText="1"/>
    </xf>
    <xf numFmtId="165" fontId="5" fillId="0" borderId="0" xfId="0" applyNumberFormat="1" applyFont="1" applyBorder="1" applyAlignment="1" applyProtection="1">
      <alignment horizontal="left" vertical="top" wrapText="1"/>
    </xf>
    <xf numFmtId="165" fontId="5" fillId="0" borderId="0" xfId="0" applyNumberFormat="1" applyFont="1" applyFill="1" applyBorder="1" applyAlignment="1" applyProtection="1">
      <alignment horizontal="left" vertical="top" wrapText="1"/>
    </xf>
    <xf numFmtId="0" fontId="4" fillId="4" borderId="1" xfId="0" applyFont="1" applyFill="1" applyBorder="1" applyAlignment="1" applyProtection="1">
      <alignment horizontal="left" vertical="top" wrapText="1"/>
    </xf>
    <xf numFmtId="165" fontId="4" fillId="4" borderId="2" xfId="0" applyNumberFormat="1" applyFont="1" applyFill="1" applyBorder="1" applyAlignment="1" applyProtection="1">
      <alignment horizontal="left" vertical="top" wrapText="1"/>
    </xf>
    <xf numFmtId="0" fontId="4" fillId="6" borderId="1" xfId="0" applyFont="1" applyFill="1" applyBorder="1" applyAlignment="1" applyProtection="1">
      <alignment horizontal="left" vertical="top" wrapText="1"/>
    </xf>
    <xf numFmtId="165" fontId="4" fillId="6" borderId="2" xfId="0" applyNumberFormat="1" applyFont="1" applyFill="1" applyBorder="1" applyAlignment="1" applyProtection="1">
      <alignment horizontal="left" vertical="top" wrapText="1"/>
    </xf>
    <xf numFmtId="0" fontId="4" fillId="6" borderId="13" xfId="0" applyFont="1" applyFill="1" applyBorder="1" applyAlignment="1" applyProtection="1">
      <alignment horizontal="center" vertical="top" wrapText="1"/>
    </xf>
    <xf numFmtId="0" fontId="4" fillId="4" borderId="13" xfId="0" applyFont="1" applyFill="1" applyBorder="1" applyAlignment="1" applyProtection="1">
      <alignment horizontal="center" vertical="top" wrapText="1"/>
    </xf>
    <xf numFmtId="0" fontId="4" fillId="8" borderId="13" xfId="0" applyFont="1" applyFill="1" applyBorder="1" applyAlignment="1" applyProtection="1">
      <alignment horizontal="center" vertical="top" wrapText="1"/>
    </xf>
    <xf numFmtId="0" fontId="4" fillId="11" borderId="13" xfId="0" applyFont="1" applyFill="1" applyBorder="1" applyAlignment="1" applyProtection="1">
      <alignment horizontal="center" vertical="top" wrapText="1"/>
    </xf>
    <xf numFmtId="0" fontId="4" fillId="12" borderId="13" xfId="0" applyFont="1" applyFill="1" applyBorder="1" applyAlignment="1" applyProtection="1">
      <alignment horizontal="center" vertical="top" wrapText="1"/>
    </xf>
    <xf numFmtId="164" fontId="4" fillId="6" borderId="13" xfId="0" applyNumberFormat="1" applyFont="1" applyFill="1" applyBorder="1" applyAlignment="1" applyProtection="1">
      <alignment horizontal="center" vertical="top" wrapText="1"/>
    </xf>
    <xf numFmtId="164" fontId="4" fillId="4" borderId="13" xfId="0" applyNumberFormat="1" applyFont="1" applyFill="1" applyBorder="1" applyAlignment="1" applyProtection="1">
      <alignment horizontal="center" vertical="top" wrapText="1"/>
    </xf>
    <xf numFmtId="164" fontId="4" fillId="8" borderId="13" xfId="0" applyNumberFormat="1" applyFont="1" applyFill="1" applyBorder="1" applyAlignment="1" applyProtection="1">
      <alignment horizontal="center" vertical="top" wrapText="1"/>
    </xf>
    <xf numFmtId="164" fontId="4" fillId="11" borderId="13" xfId="0" applyNumberFormat="1" applyFont="1" applyFill="1" applyBorder="1" applyAlignment="1" applyProtection="1">
      <alignment horizontal="center" vertical="top" wrapText="1"/>
    </xf>
    <xf numFmtId="164" fontId="4" fillId="12" borderId="13" xfId="0" applyNumberFormat="1" applyFont="1" applyFill="1" applyBorder="1" applyAlignment="1" applyProtection="1">
      <alignment horizontal="center" vertical="top" wrapText="1"/>
    </xf>
    <xf numFmtId="0" fontId="5" fillId="0" borderId="20" xfId="0" applyFont="1" applyFill="1" applyBorder="1" applyAlignment="1" applyProtection="1">
      <alignment horizontal="left" vertical="top" wrapText="1"/>
    </xf>
    <xf numFmtId="0" fontId="4" fillId="6" borderId="15" xfId="0" applyFont="1" applyFill="1" applyBorder="1" applyAlignment="1" applyProtection="1">
      <alignment horizontal="left" vertical="top" wrapText="1"/>
    </xf>
    <xf numFmtId="49" fontId="5" fillId="0" borderId="20" xfId="0" applyNumberFormat="1" applyFont="1" applyFill="1" applyBorder="1" applyAlignment="1" applyProtection="1">
      <alignment horizontal="left" vertical="top" wrapText="1"/>
    </xf>
    <xf numFmtId="49" fontId="7" fillId="19" borderId="20" xfId="0" applyNumberFormat="1" applyFont="1" applyFill="1" applyBorder="1" applyAlignment="1">
      <alignment horizontal="center" vertical="center" wrapText="1"/>
    </xf>
    <xf numFmtId="0" fontId="7" fillId="19" borderId="20" xfId="0" applyFont="1" applyFill="1" applyBorder="1" applyAlignment="1">
      <alignment horizontal="center" vertical="center"/>
    </xf>
    <xf numFmtId="0" fontId="4" fillId="2" borderId="1" xfId="0" applyFont="1" applyFill="1" applyBorder="1" applyAlignment="1" applyProtection="1">
      <alignment horizontal="left" vertical="top" wrapText="1"/>
    </xf>
    <xf numFmtId="165" fontId="4" fillId="2" borderId="2" xfId="0" applyNumberFormat="1" applyFont="1" applyFill="1" applyBorder="1" applyAlignment="1" applyProtection="1">
      <alignment horizontal="left" vertical="top" wrapText="1"/>
    </xf>
    <xf numFmtId="49" fontId="4" fillId="2" borderId="3" xfId="0" applyNumberFormat="1" applyFont="1" applyFill="1" applyBorder="1" applyAlignment="1" applyProtection="1">
      <alignment horizontal="left" vertical="top" wrapText="1"/>
    </xf>
    <xf numFmtId="0" fontId="4" fillId="20" borderId="1" xfId="0" applyFont="1" applyFill="1" applyBorder="1" applyAlignment="1" applyProtection="1">
      <alignment horizontal="left" vertical="top" wrapText="1"/>
    </xf>
    <xf numFmtId="165" fontId="4" fillId="20" borderId="2" xfId="0" applyNumberFormat="1" applyFont="1" applyFill="1" applyBorder="1" applyAlignment="1" applyProtection="1">
      <alignment horizontal="left" vertical="top" wrapText="1"/>
    </xf>
    <xf numFmtId="49" fontId="4" fillId="20" borderId="3" xfId="0" applyNumberFormat="1" applyFont="1" applyFill="1" applyBorder="1" applyAlignment="1" applyProtection="1">
      <alignment horizontal="left" vertical="top" wrapText="1"/>
    </xf>
    <xf numFmtId="165" fontId="4" fillId="6" borderId="9" xfId="0" applyNumberFormat="1" applyFont="1" applyFill="1" applyBorder="1" applyAlignment="1" applyProtection="1">
      <alignment horizontal="left" vertical="top" wrapText="1"/>
    </xf>
    <xf numFmtId="0" fontId="4" fillId="4" borderId="15" xfId="0" applyFont="1" applyFill="1" applyBorder="1" applyAlignment="1" applyProtection="1">
      <alignment horizontal="left" vertical="top" wrapText="1"/>
    </xf>
    <xf numFmtId="165" fontId="4" fillId="4" borderId="9" xfId="0" applyNumberFormat="1" applyFont="1" applyFill="1" applyBorder="1" applyAlignment="1" applyProtection="1">
      <alignment horizontal="left" vertical="top" wrapText="1"/>
    </xf>
    <xf numFmtId="0" fontId="4" fillId="8" borderId="15" xfId="0" applyFont="1" applyFill="1" applyBorder="1" applyAlignment="1" applyProtection="1">
      <alignment horizontal="left" vertical="top" wrapText="1"/>
    </xf>
    <xf numFmtId="165" fontId="4" fillId="8" borderId="9" xfId="0" applyNumberFormat="1" applyFont="1" applyFill="1" applyBorder="1" applyAlignment="1" applyProtection="1">
      <alignment horizontal="left" vertical="top" wrapText="1"/>
    </xf>
    <xf numFmtId="0" fontId="4" fillId="8" borderId="9" xfId="0" applyNumberFormat="1" applyFont="1" applyFill="1" applyBorder="1" applyAlignment="1" applyProtection="1">
      <alignment horizontal="left" vertical="top" wrapText="1"/>
    </xf>
    <xf numFmtId="165" fontId="4" fillId="11" borderId="9" xfId="0" applyNumberFormat="1" applyFont="1" applyFill="1" applyBorder="1" applyAlignment="1" applyProtection="1">
      <alignment horizontal="left" vertical="top" wrapText="1"/>
    </xf>
    <xf numFmtId="0" fontId="7" fillId="19" borderId="37" xfId="0" applyFont="1" applyFill="1" applyBorder="1" applyAlignment="1">
      <alignment horizontal="center" vertical="center"/>
    </xf>
    <xf numFmtId="165" fontId="5" fillId="19" borderId="37" xfId="0" applyNumberFormat="1" applyFont="1" applyFill="1" applyBorder="1" applyAlignment="1" applyProtection="1">
      <alignment horizontal="center" vertical="center" wrapText="1"/>
    </xf>
    <xf numFmtId="49" fontId="6" fillId="19" borderId="48" xfId="0" applyNumberFormat="1" applyFont="1" applyFill="1" applyBorder="1" applyAlignment="1">
      <alignment horizontal="center" vertical="center" wrapText="1"/>
    </xf>
    <xf numFmtId="49" fontId="6" fillId="19" borderId="49" xfId="0" applyNumberFormat="1" applyFont="1" applyFill="1" applyBorder="1" applyAlignment="1">
      <alignment horizontal="center" vertical="center" wrapText="1"/>
    </xf>
    <xf numFmtId="49" fontId="6" fillId="19" borderId="50" xfId="0" applyNumberFormat="1" applyFont="1" applyFill="1" applyBorder="1" applyAlignment="1">
      <alignment horizontal="center" vertical="center" wrapText="1"/>
    </xf>
    <xf numFmtId="0" fontId="5" fillId="0" borderId="51" xfId="0" applyFont="1" applyFill="1" applyBorder="1" applyAlignment="1" applyProtection="1">
      <alignment horizontal="left" vertical="top" wrapText="1"/>
    </xf>
    <xf numFmtId="165" fontId="5" fillId="0" borderId="49" xfId="0" applyNumberFormat="1" applyFont="1" applyFill="1" applyBorder="1" applyAlignment="1" applyProtection="1">
      <alignment horizontal="left" vertical="top" wrapText="1"/>
    </xf>
    <xf numFmtId="0" fontId="4" fillId="12" borderId="15" xfId="0" applyFont="1" applyFill="1" applyBorder="1" applyAlignment="1" applyProtection="1">
      <alignment horizontal="left" vertical="top" wrapText="1"/>
    </xf>
    <xf numFmtId="165" fontId="4" fillId="12" borderId="9" xfId="0" applyNumberFormat="1" applyFont="1" applyFill="1" applyBorder="1" applyAlignment="1" applyProtection="1">
      <alignment horizontal="left" vertical="top" wrapText="1"/>
    </xf>
    <xf numFmtId="0" fontId="4" fillId="12" borderId="9" xfId="0" applyNumberFormat="1" applyFont="1" applyFill="1" applyBorder="1" applyAlignment="1" applyProtection="1">
      <alignment horizontal="left" vertical="top" wrapText="1"/>
    </xf>
    <xf numFmtId="49" fontId="4" fillId="12" borderId="9" xfId="0" applyNumberFormat="1" applyFont="1" applyFill="1" applyBorder="1" applyAlignment="1" applyProtection="1">
      <alignment horizontal="left" vertical="top" wrapText="1"/>
    </xf>
    <xf numFmtId="49" fontId="4" fillId="12" borderId="10" xfId="0" applyNumberFormat="1" applyFont="1" applyFill="1" applyBorder="1" applyAlignment="1" applyProtection="1">
      <alignment horizontal="left" vertical="top" wrapText="1"/>
    </xf>
    <xf numFmtId="0" fontId="4" fillId="11" borderId="15" xfId="0" applyFont="1" applyFill="1" applyBorder="1" applyAlignment="1" applyProtection="1">
      <alignment horizontal="left" vertical="top" wrapText="1"/>
    </xf>
    <xf numFmtId="0" fontId="4" fillId="11" borderId="9" xfId="0" applyNumberFormat="1" applyFont="1" applyFill="1" applyBorder="1" applyAlignment="1" applyProtection="1">
      <alignment horizontal="left" vertical="top" wrapText="1"/>
    </xf>
    <xf numFmtId="49" fontId="4" fillId="11" borderId="9" xfId="0" applyNumberFormat="1" applyFont="1" applyFill="1" applyBorder="1" applyAlignment="1" applyProtection="1">
      <alignment horizontal="left" vertical="top" wrapText="1"/>
    </xf>
    <xf numFmtId="49" fontId="4" fillId="11" borderId="10" xfId="0" applyNumberFormat="1" applyFont="1" applyFill="1" applyBorder="1" applyAlignment="1" applyProtection="1">
      <alignment horizontal="left" vertical="top" wrapText="1"/>
    </xf>
    <xf numFmtId="49" fontId="4" fillId="8" borderId="9" xfId="0" applyNumberFormat="1" applyFont="1" applyFill="1" applyBorder="1" applyAlignment="1" applyProtection="1">
      <alignment horizontal="left" vertical="top" wrapText="1"/>
    </xf>
    <xf numFmtId="49" fontId="4" fillId="8" borderId="10" xfId="0" applyNumberFormat="1" applyFont="1" applyFill="1" applyBorder="1" applyAlignment="1" applyProtection="1">
      <alignment horizontal="left" vertical="top" wrapText="1"/>
    </xf>
    <xf numFmtId="0" fontId="4" fillId="4" borderId="9" xfId="0" applyNumberFormat="1" applyFont="1" applyFill="1" applyBorder="1" applyAlignment="1">
      <alignment horizontal="left" vertical="top" wrapText="1"/>
    </xf>
    <xf numFmtId="49" fontId="4" fillId="4" borderId="9" xfId="0" applyNumberFormat="1" applyFont="1" applyFill="1" applyBorder="1" applyAlignment="1" applyProtection="1">
      <alignment horizontal="left" vertical="top" wrapText="1"/>
    </xf>
    <xf numFmtId="0" fontId="4" fillId="6" borderId="9" xfId="0" applyNumberFormat="1" applyFont="1" applyFill="1" applyBorder="1" applyAlignment="1">
      <alignment horizontal="left" vertical="top" wrapText="1"/>
    </xf>
    <xf numFmtId="49" fontId="4" fillId="6" borderId="9" xfId="0" applyNumberFormat="1" applyFont="1" applyFill="1" applyBorder="1" applyAlignment="1" applyProtection="1">
      <alignment horizontal="left" vertical="top" wrapText="1"/>
    </xf>
    <xf numFmtId="49" fontId="4" fillId="6" borderId="10" xfId="0" applyNumberFormat="1" applyFont="1" applyFill="1" applyBorder="1" applyAlignment="1" applyProtection="1">
      <alignment horizontal="left" vertical="top" wrapText="1"/>
    </xf>
    <xf numFmtId="0" fontId="5" fillId="10" borderId="7" xfId="0" applyFont="1" applyFill="1" applyBorder="1" applyAlignment="1" applyProtection="1">
      <alignment horizontal="left" vertical="top" wrapText="1"/>
    </xf>
    <xf numFmtId="165" fontId="5" fillId="10" borderId="8" xfId="0" applyNumberFormat="1" applyFont="1" applyFill="1" applyBorder="1" applyAlignment="1" applyProtection="1">
      <alignment horizontal="left" vertical="top" wrapText="1"/>
    </xf>
    <xf numFmtId="0" fontId="5" fillId="10" borderId="8" xfId="0" applyNumberFormat="1" applyFont="1" applyFill="1" applyBorder="1" applyAlignment="1" applyProtection="1">
      <alignment horizontal="left" vertical="top" wrapText="1"/>
    </xf>
    <xf numFmtId="49" fontId="5" fillId="10" borderId="8" xfId="0" applyNumberFormat="1" applyFont="1" applyFill="1" applyBorder="1" applyAlignment="1" applyProtection="1">
      <alignment horizontal="left" vertical="top" wrapText="1"/>
    </xf>
    <xf numFmtId="49" fontId="5" fillId="10" borderId="38" xfId="0" applyNumberFormat="1" applyFont="1" applyFill="1" applyBorder="1" applyAlignment="1" applyProtection="1">
      <alignment horizontal="left" vertical="top" wrapText="1"/>
    </xf>
    <xf numFmtId="0" fontId="5" fillId="9" borderId="7" xfId="0" applyFont="1" applyFill="1" applyBorder="1" applyAlignment="1" applyProtection="1">
      <alignment horizontal="left" vertical="top" wrapText="1"/>
    </xf>
    <xf numFmtId="165" fontId="5" fillId="9" borderId="8" xfId="0" applyNumberFormat="1" applyFont="1" applyFill="1" applyBorder="1" applyAlignment="1" applyProtection="1">
      <alignment horizontal="left" vertical="top" wrapText="1"/>
    </xf>
    <xf numFmtId="0" fontId="5" fillId="9" borderId="8" xfId="0" applyNumberFormat="1" applyFont="1" applyFill="1" applyBorder="1" applyAlignment="1" applyProtection="1">
      <alignment horizontal="left" vertical="top" wrapText="1"/>
    </xf>
    <xf numFmtId="49" fontId="5" fillId="9" borderId="8" xfId="0" applyNumberFormat="1" applyFont="1" applyFill="1" applyBorder="1" applyAlignment="1" applyProtection="1">
      <alignment horizontal="left" vertical="top" wrapText="1"/>
    </xf>
    <xf numFmtId="49" fontId="5" fillId="9" borderId="38" xfId="0" applyNumberFormat="1" applyFont="1" applyFill="1" applyBorder="1" applyAlignment="1" applyProtection="1">
      <alignment horizontal="left" vertical="top" wrapText="1"/>
    </xf>
    <xf numFmtId="0" fontId="5" fillId="7" borderId="7" xfId="0" applyFont="1" applyFill="1" applyBorder="1" applyAlignment="1" applyProtection="1">
      <alignment horizontal="left" vertical="top" wrapText="1"/>
    </xf>
    <xf numFmtId="165" fontId="5" fillId="7" borderId="8" xfId="0" applyNumberFormat="1" applyFont="1" applyFill="1" applyBorder="1" applyAlignment="1" applyProtection="1">
      <alignment horizontal="left" vertical="top" wrapText="1"/>
    </xf>
    <xf numFmtId="0" fontId="5" fillId="7" borderId="8" xfId="0" applyNumberFormat="1" applyFont="1" applyFill="1" applyBorder="1" applyAlignment="1" applyProtection="1">
      <alignment horizontal="left" vertical="top" wrapText="1"/>
    </xf>
    <xf numFmtId="49" fontId="5" fillId="7" borderId="8" xfId="0" applyNumberFormat="1" applyFont="1" applyFill="1" applyBorder="1" applyAlignment="1" applyProtection="1">
      <alignment horizontal="left" vertical="top" wrapText="1"/>
    </xf>
    <xf numFmtId="49" fontId="5" fillId="7" borderId="38" xfId="0" applyNumberFormat="1" applyFont="1" applyFill="1" applyBorder="1" applyAlignment="1" applyProtection="1">
      <alignment horizontal="left" vertical="top" wrapText="1"/>
    </xf>
    <xf numFmtId="0" fontId="5" fillId="5" borderId="7" xfId="0" applyFont="1" applyFill="1" applyBorder="1" applyAlignment="1" applyProtection="1">
      <alignment horizontal="left" vertical="top" wrapText="1"/>
    </xf>
    <xf numFmtId="165" fontId="5" fillId="5" borderId="8" xfId="0" applyNumberFormat="1" applyFont="1" applyFill="1" applyBorder="1" applyAlignment="1" applyProtection="1">
      <alignment horizontal="left" vertical="top" wrapText="1"/>
    </xf>
    <xf numFmtId="0" fontId="5" fillId="5" borderId="8" xfId="0" applyNumberFormat="1" applyFont="1" applyFill="1" applyBorder="1" applyAlignment="1" applyProtection="1">
      <alignment horizontal="left" vertical="top" wrapText="1"/>
    </xf>
    <xf numFmtId="49" fontId="5" fillId="5" borderId="8" xfId="0" applyNumberFormat="1" applyFont="1" applyFill="1" applyBorder="1" applyAlignment="1" applyProtection="1">
      <alignment horizontal="left" vertical="top" wrapText="1"/>
    </xf>
    <xf numFmtId="49" fontId="5" fillId="5" borderId="38" xfId="0" applyNumberFormat="1" applyFont="1" applyFill="1" applyBorder="1" applyAlignment="1" applyProtection="1">
      <alignment horizontal="left" vertical="top" wrapText="1"/>
    </xf>
    <xf numFmtId="0" fontId="5" fillId="3" borderId="7" xfId="0" applyFont="1" applyFill="1" applyBorder="1" applyAlignment="1" applyProtection="1">
      <alignment horizontal="left" vertical="top" wrapText="1"/>
    </xf>
    <xf numFmtId="165" fontId="5" fillId="3" borderId="8" xfId="0" applyNumberFormat="1" applyFont="1" applyFill="1" applyBorder="1" applyAlignment="1" applyProtection="1">
      <alignment horizontal="left" vertical="top" wrapText="1"/>
    </xf>
    <xf numFmtId="0" fontId="5" fillId="3" borderId="8" xfId="0" applyNumberFormat="1" applyFont="1" applyFill="1" applyBorder="1" applyAlignment="1">
      <alignment horizontal="left" vertical="top" wrapText="1"/>
    </xf>
    <xf numFmtId="49" fontId="5" fillId="3" borderId="8" xfId="0" applyNumberFormat="1" applyFont="1" applyFill="1" applyBorder="1" applyAlignment="1" applyProtection="1">
      <alignment horizontal="left" vertical="top" wrapText="1"/>
    </xf>
    <xf numFmtId="49" fontId="5" fillId="3" borderId="38" xfId="0" applyNumberFormat="1" applyFont="1" applyFill="1" applyBorder="1" applyAlignment="1" applyProtection="1">
      <alignment horizontal="left" vertical="top" wrapText="1"/>
    </xf>
    <xf numFmtId="165" fontId="4" fillId="2" borderId="9" xfId="0" applyNumberFormat="1" applyFont="1" applyFill="1" applyBorder="1" applyAlignment="1" applyProtection="1">
      <alignment horizontal="left" vertical="top" wrapText="1"/>
    </xf>
    <xf numFmtId="49" fontId="4" fillId="2" borderId="10" xfId="0" applyNumberFormat="1" applyFont="1" applyFill="1" applyBorder="1" applyAlignment="1" applyProtection="1">
      <alignment horizontal="left" vertical="top" wrapText="1"/>
    </xf>
    <xf numFmtId="49" fontId="5" fillId="0" borderId="5" xfId="0" applyNumberFormat="1" applyFont="1" applyBorder="1" applyAlignment="1" applyProtection="1">
      <alignment vertical="top" wrapText="1"/>
    </xf>
    <xf numFmtId="0" fontId="4" fillId="0" borderId="34" xfId="0" applyFont="1" applyBorder="1" applyAlignment="1" applyProtection="1">
      <alignment horizontal="left" vertical="top" wrapText="1"/>
    </xf>
    <xf numFmtId="0" fontId="9" fillId="0" borderId="32" xfId="0" applyNumberFormat="1" applyFont="1" applyBorder="1" applyAlignment="1" applyProtection="1">
      <alignment vertical="top"/>
    </xf>
    <xf numFmtId="49" fontId="5" fillId="0" borderId="31" xfId="0" applyNumberFormat="1" applyFont="1" applyBorder="1" applyAlignment="1" applyProtection="1">
      <alignment vertical="top" wrapText="1"/>
    </xf>
    <xf numFmtId="0" fontId="4" fillId="0" borderId="41" xfId="0" applyFont="1" applyFill="1" applyBorder="1" applyAlignment="1">
      <alignment horizontal="center"/>
    </xf>
    <xf numFmtId="0" fontId="5" fillId="2" borderId="5" xfId="0" applyFont="1" applyFill="1" applyBorder="1" applyAlignment="1">
      <alignment horizontal="center"/>
    </xf>
    <xf numFmtId="0" fontId="5" fillId="2" borderId="6" xfId="0" applyFont="1" applyFill="1" applyBorder="1" applyAlignment="1">
      <alignment horizontal="right"/>
    </xf>
    <xf numFmtId="0" fontId="4" fillId="2" borderId="34" xfId="0" applyFont="1" applyFill="1" applyBorder="1"/>
    <xf numFmtId="0" fontId="4" fillId="2" borderId="0" xfId="0" applyFont="1" applyFill="1" applyBorder="1"/>
    <xf numFmtId="0" fontId="4" fillId="2" borderId="41" xfId="0" applyFont="1" applyFill="1" applyBorder="1"/>
    <xf numFmtId="0" fontId="4" fillId="2" borderId="32" xfId="0" applyFont="1" applyFill="1" applyBorder="1" applyAlignment="1">
      <alignment horizontal="left"/>
    </xf>
    <xf numFmtId="0" fontId="4" fillId="2" borderId="19" xfId="0" applyFont="1" applyFill="1" applyBorder="1" applyAlignment="1">
      <alignment horizontal="center"/>
    </xf>
    <xf numFmtId="0" fontId="4" fillId="2" borderId="31" xfId="0" applyFont="1" applyFill="1" applyBorder="1" applyAlignment="1">
      <alignment horizontal="center"/>
    </xf>
    <xf numFmtId="0" fontId="4" fillId="2" borderId="0" xfId="0" applyFont="1" applyFill="1" applyBorder="1" applyAlignment="1">
      <alignment horizontal="center"/>
    </xf>
    <xf numFmtId="0" fontId="4" fillId="2" borderId="41" xfId="0" applyFont="1" applyFill="1" applyBorder="1" applyAlignment="1">
      <alignment horizontal="center"/>
    </xf>
    <xf numFmtId="0" fontId="5" fillId="2" borderId="34" xfId="0" applyFont="1" applyFill="1" applyBorder="1"/>
    <xf numFmtId="0" fontId="4" fillId="2" borderId="41" xfId="0" applyFont="1" applyFill="1" applyBorder="1" applyAlignment="1">
      <alignment horizontal="right"/>
    </xf>
    <xf numFmtId="0" fontId="4" fillId="2" borderId="34" xfId="0" applyFont="1" applyFill="1" applyBorder="1" applyAlignment="1"/>
    <xf numFmtId="0" fontId="4" fillId="2" borderId="52" xfId="0" applyFont="1" applyFill="1" applyBorder="1" applyAlignment="1"/>
    <xf numFmtId="0" fontId="4" fillId="2" borderId="0" xfId="0" applyFont="1" applyFill="1" applyBorder="1" applyAlignment="1"/>
    <xf numFmtId="0" fontId="4" fillId="2" borderId="47" xfId="0" applyFont="1" applyFill="1" applyBorder="1" applyAlignment="1">
      <alignment horizontal="center"/>
    </xf>
    <xf numFmtId="0" fontId="9" fillId="2" borderId="34" xfId="0" applyFont="1" applyFill="1" applyBorder="1" applyAlignment="1">
      <alignment horizontal="right"/>
    </xf>
    <xf numFmtId="0" fontId="9" fillId="2" borderId="0" xfId="0" applyFont="1" applyFill="1" applyBorder="1" applyAlignment="1">
      <alignment horizontal="right"/>
    </xf>
    <xf numFmtId="0" fontId="9" fillId="2" borderId="0" xfId="0" applyFont="1" applyFill="1" applyBorder="1"/>
    <xf numFmtId="0" fontId="9" fillId="2" borderId="34" xfId="0" applyFont="1" applyFill="1" applyBorder="1"/>
    <xf numFmtId="0" fontId="14" fillId="2" borderId="0" xfId="0" applyFont="1" applyFill="1" applyBorder="1" applyAlignment="1">
      <alignment horizontal="center"/>
    </xf>
    <xf numFmtId="0" fontId="13" fillId="2" borderId="34" xfId="0" applyFont="1" applyFill="1" applyBorder="1" applyAlignment="1">
      <alignment horizontal="right"/>
    </xf>
    <xf numFmtId="0" fontId="16" fillId="2" borderId="0" xfId="0" applyFont="1" applyFill="1" applyBorder="1" applyAlignment="1">
      <alignment horizontal="center"/>
    </xf>
    <xf numFmtId="165" fontId="9" fillId="2" borderId="0" xfId="0" applyNumberFormat="1" applyFont="1" applyFill="1" applyBorder="1"/>
    <xf numFmtId="165" fontId="9" fillId="2" borderId="41" xfId="0" applyNumberFormat="1" applyFont="1" applyFill="1" applyBorder="1"/>
    <xf numFmtId="0" fontId="9" fillId="0" borderId="0" xfId="0" applyFont="1" applyFill="1" applyBorder="1"/>
    <xf numFmtId="0" fontId="9" fillId="2" borderId="0" xfId="0" applyFont="1" applyFill="1" applyBorder="1" applyAlignment="1">
      <alignment horizontal="center"/>
    </xf>
    <xf numFmtId="0" fontId="9" fillId="0" borderId="0" xfId="0" applyFont="1" applyFill="1" applyBorder="1" applyAlignment="1">
      <alignment horizontal="right"/>
    </xf>
    <xf numFmtId="0" fontId="13" fillId="2" borderId="20" xfId="0" applyFont="1" applyFill="1" applyBorder="1" applyAlignment="1">
      <alignment horizontal="center"/>
    </xf>
    <xf numFmtId="0" fontId="15" fillId="2" borderId="37" xfId="0" applyFont="1" applyFill="1" applyBorder="1" applyAlignment="1">
      <alignment horizontal="center"/>
    </xf>
    <xf numFmtId="0" fontId="14" fillId="2" borderId="40" xfId="0" applyFont="1" applyFill="1" applyBorder="1" applyAlignment="1">
      <alignment horizontal="center"/>
    </xf>
    <xf numFmtId="0" fontId="9" fillId="2" borderId="37" xfId="0" applyFont="1" applyFill="1" applyBorder="1" applyAlignment="1">
      <alignment horizontal="center"/>
    </xf>
    <xf numFmtId="165" fontId="9" fillId="2" borderId="40" xfId="0" applyNumberFormat="1" applyFont="1" applyFill="1" applyBorder="1" applyAlignment="1">
      <alignment horizontal="center"/>
    </xf>
    <xf numFmtId="0" fontId="7" fillId="21" borderId="32" xfId="0" applyFont="1" applyFill="1" applyBorder="1" applyAlignment="1">
      <alignment horizontal="center" vertical="center" wrapText="1"/>
    </xf>
    <xf numFmtId="0" fontId="12" fillId="2" borderId="20" xfId="0" applyFont="1" applyFill="1" applyBorder="1" applyAlignment="1">
      <alignment vertical="top" wrapText="1"/>
    </xf>
    <xf numFmtId="0" fontId="0" fillId="21" borderId="19" xfId="0" applyFill="1" applyBorder="1" applyAlignment="1">
      <alignment vertical="top" wrapText="1"/>
    </xf>
    <xf numFmtId="0" fontId="9" fillId="2" borderId="20" xfId="0" applyNumberFormat="1" applyFont="1" applyFill="1" applyBorder="1" applyAlignment="1" applyProtection="1">
      <alignment vertical="top"/>
    </xf>
    <xf numFmtId="49" fontId="5" fillId="3" borderId="39" xfId="0" applyNumberFormat="1" applyFont="1" applyFill="1" applyBorder="1" applyAlignment="1" applyProtection="1">
      <alignment horizontal="left" vertical="top" wrapText="1"/>
    </xf>
    <xf numFmtId="49" fontId="4" fillId="6" borderId="13" xfId="0" applyNumberFormat="1" applyFont="1" applyFill="1" applyBorder="1" applyAlignment="1" applyProtection="1">
      <alignment horizontal="left" vertical="top" wrapText="1"/>
    </xf>
    <xf numFmtId="49" fontId="5" fillId="5" borderId="12" xfId="0" applyNumberFormat="1" applyFont="1" applyFill="1" applyBorder="1" applyAlignment="1" applyProtection="1">
      <alignment horizontal="left" vertical="top" wrapText="1"/>
    </xf>
    <xf numFmtId="49" fontId="4" fillId="4" borderId="13" xfId="0" applyNumberFormat="1" applyFont="1" applyFill="1" applyBorder="1" applyAlignment="1" applyProtection="1">
      <alignment horizontal="left" vertical="top" wrapText="1"/>
    </xf>
    <xf numFmtId="49" fontId="5" fillId="7" borderId="12" xfId="0" applyNumberFormat="1" applyFont="1" applyFill="1" applyBorder="1" applyAlignment="1" applyProtection="1">
      <alignment horizontal="left" vertical="top" wrapText="1"/>
    </xf>
    <xf numFmtId="49" fontId="4" fillId="8" borderId="13" xfId="0" applyNumberFormat="1" applyFont="1" applyFill="1" applyBorder="1" applyAlignment="1" applyProtection="1">
      <alignment horizontal="left" vertical="top" wrapText="1"/>
    </xf>
    <xf numFmtId="49" fontId="5" fillId="9" borderId="12" xfId="0" applyNumberFormat="1" applyFont="1" applyFill="1" applyBorder="1" applyAlignment="1" applyProtection="1">
      <alignment horizontal="left" vertical="top" wrapText="1"/>
    </xf>
    <xf numFmtId="49" fontId="4" fillId="11" borderId="13" xfId="0" applyNumberFormat="1" applyFont="1" applyFill="1" applyBorder="1" applyAlignment="1" applyProtection="1">
      <alignment horizontal="left" vertical="top" wrapText="1"/>
    </xf>
    <xf numFmtId="49" fontId="5" fillId="10" borderId="12" xfId="0" applyNumberFormat="1" applyFont="1" applyFill="1" applyBorder="1" applyAlignment="1" applyProtection="1">
      <alignment horizontal="left" vertical="top" wrapText="1"/>
    </xf>
    <xf numFmtId="49" fontId="4" fillId="12" borderId="13" xfId="0" applyNumberFormat="1" applyFont="1" applyFill="1" applyBorder="1" applyAlignment="1" applyProtection="1">
      <alignment horizontal="left" vertical="top" wrapText="1"/>
    </xf>
    <xf numFmtId="0" fontId="5" fillId="3" borderId="39" xfId="0" applyFont="1" applyFill="1" applyBorder="1" applyAlignment="1" applyProtection="1">
      <alignment horizontal="left" vertical="top" wrapText="1"/>
    </xf>
    <xf numFmtId="0" fontId="4" fillId="6" borderId="13" xfId="0" applyFont="1" applyFill="1" applyBorder="1" applyAlignment="1" applyProtection="1">
      <alignment horizontal="left" vertical="top" wrapText="1"/>
    </xf>
    <xf numFmtId="0" fontId="4" fillId="6" borderId="39" xfId="0" applyFont="1" applyFill="1" applyBorder="1" applyAlignment="1" applyProtection="1">
      <alignment horizontal="left" vertical="top" wrapText="1"/>
    </xf>
    <xf numFmtId="0" fontId="5" fillId="5" borderId="12" xfId="0" applyFont="1" applyFill="1" applyBorder="1" applyAlignment="1" applyProtection="1">
      <alignment horizontal="left" vertical="top" wrapText="1"/>
    </xf>
    <xf numFmtId="0" fontId="4" fillId="4" borderId="13" xfId="0" applyFont="1" applyFill="1" applyBorder="1" applyAlignment="1" applyProtection="1">
      <alignment horizontal="left" vertical="top" wrapText="1"/>
    </xf>
    <xf numFmtId="0" fontId="5" fillId="7" borderId="12" xfId="0" applyFont="1" applyFill="1" applyBorder="1" applyAlignment="1" applyProtection="1">
      <alignment horizontal="left" vertical="top" wrapText="1"/>
    </xf>
    <xf numFmtId="0" fontId="4" fillId="8" borderId="13" xfId="0" applyFont="1" applyFill="1" applyBorder="1" applyAlignment="1" applyProtection="1">
      <alignment horizontal="left" vertical="top" wrapText="1"/>
    </xf>
    <xf numFmtId="0" fontId="5" fillId="9" borderId="12" xfId="0" applyFont="1" applyFill="1" applyBorder="1" applyAlignment="1" applyProtection="1">
      <alignment horizontal="left" vertical="top" wrapText="1"/>
    </xf>
    <xf numFmtId="0" fontId="4" fillId="11" borderId="13" xfId="0" applyFont="1" applyFill="1" applyBorder="1" applyAlignment="1" applyProtection="1">
      <alignment horizontal="left" vertical="top" wrapText="1"/>
    </xf>
    <xf numFmtId="0" fontId="5" fillId="10" borderId="12" xfId="0" applyFont="1" applyFill="1" applyBorder="1" applyAlignment="1" applyProtection="1">
      <alignment horizontal="left" vertical="top" wrapText="1"/>
    </xf>
    <xf numFmtId="0" fontId="4" fillId="12" borderId="13" xfId="0" applyFont="1" applyFill="1" applyBorder="1" applyAlignment="1" applyProtection="1">
      <alignment horizontal="left" vertical="top" wrapText="1"/>
    </xf>
    <xf numFmtId="49" fontId="4" fillId="0" borderId="40" xfId="0" applyNumberFormat="1" applyFont="1" applyFill="1" applyBorder="1" applyAlignment="1" applyProtection="1">
      <alignment horizontal="left" vertical="top" wrapText="1"/>
    </xf>
    <xf numFmtId="0" fontId="5" fillId="3" borderId="39" xfId="0" applyNumberFormat="1" applyFont="1" applyFill="1" applyBorder="1" applyAlignment="1">
      <alignment horizontal="left" vertical="top" wrapText="1"/>
    </xf>
    <xf numFmtId="0" fontId="4" fillId="6" borderId="13" xfId="0" applyNumberFormat="1" applyFont="1" applyFill="1" applyBorder="1" applyAlignment="1">
      <alignment horizontal="left" vertical="top" wrapText="1"/>
    </xf>
    <xf numFmtId="0" fontId="4" fillId="6" borderId="13" xfId="0" applyNumberFormat="1" applyFont="1" applyFill="1" applyBorder="1" applyAlignment="1" applyProtection="1">
      <alignment horizontal="left" vertical="top" wrapText="1"/>
    </xf>
    <xf numFmtId="0" fontId="5" fillId="5" borderId="12" xfId="0" applyNumberFormat="1" applyFont="1" applyFill="1" applyBorder="1" applyAlignment="1" applyProtection="1">
      <alignment horizontal="left" vertical="top" wrapText="1"/>
    </xf>
    <xf numFmtId="0" fontId="4" fillId="4" borderId="13" xfId="0" applyNumberFormat="1" applyFont="1" applyFill="1" applyBorder="1" applyAlignment="1">
      <alignment horizontal="left" vertical="top" wrapText="1"/>
    </xf>
    <xf numFmtId="0" fontId="5" fillId="7" borderId="12" xfId="0" applyNumberFormat="1" applyFont="1" applyFill="1" applyBorder="1" applyAlignment="1" applyProtection="1">
      <alignment horizontal="left" vertical="top" wrapText="1"/>
    </xf>
    <xf numFmtId="0" fontId="4" fillId="8" borderId="13" xfId="0" applyNumberFormat="1" applyFont="1" applyFill="1" applyBorder="1" applyAlignment="1" applyProtection="1">
      <alignment horizontal="left" vertical="top" wrapText="1"/>
    </xf>
    <xf numFmtId="0" fontId="5" fillId="9" borderId="12" xfId="0" applyNumberFormat="1" applyFont="1" applyFill="1" applyBorder="1" applyAlignment="1" applyProtection="1">
      <alignment horizontal="left" vertical="top" wrapText="1"/>
    </xf>
    <xf numFmtId="0" fontId="4" fillId="11" borderId="13" xfId="0" applyNumberFormat="1" applyFont="1" applyFill="1" applyBorder="1" applyAlignment="1" applyProtection="1">
      <alignment horizontal="left" vertical="top" wrapText="1"/>
    </xf>
    <xf numFmtId="0" fontId="5" fillId="10" borderId="12" xfId="0" applyNumberFormat="1" applyFont="1" applyFill="1" applyBorder="1" applyAlignment="1" applyProtection="1">
      <alignment horizontal="left" vertical="top" wrapText="1"/>
    </xf>
    <xf numFmtId="0" fontId="4" fillId="12" borderId="13" xfId="0" applyNumberFormat="1" applyFont="1" applyFill="1" applyBorder="1" applyAlignment="1" applyProtection="1">
      <alignment horizontal="left" vertical="top" wrapText="1"/>
    </xf>
    <xf numFmtId="0" fontId="9" fillId="0" borderId="27" xfId="0" applyFont="1" applyFill="1" applyBorder="1" applyAlignment="1" applyProtection="1">
      <alignment horizontal="center" vertical="center" textRotation="255"/>
    </xf>
    <xf numFmtId="0" fontId="9" fillId="0" borderId="28" xfId="0" applyFont="1" applyFill="1" applyBorder="1" applyAlignment="1" applyProtection="1">
      <alignment horizontal="center" vertical="center" textRotation="255"/>
    </xf>
    <xf numFmtId="0" fontId="9" fillId="0" borderId="28" xfId="0" applyFont="1" applyFill="1" applyBorder="1" applyAlignment="1" applyProtection="1">
      <alignment horizontal="center" vertical="center"/>
    </xf>
    <xf numFmtId="0" fontId="9" fillId="0" borderId="29" xfId="0" applyFont="1" applyFill="1" applyBorder="1" applyAlignment="1" applyProtection="1">
      <alignment horizontal="center" vertical="center"/>
    </xf>
    <xf numFmtId="0" fontId="9" fillId="0" borderId="30" xfId="0" applyFont="1" applyFill="1" applyBorder="1" applyAlignment="1" applyProtection="1">
      <alignment horizontal="center" vertical="center"/>
    </xf>
    <xf numFmtId="0" fontId="9" fillId="0" borderId="43" xfId="0" applyFont="1" applyFill="1" applyBorder="1" applyAlignment="1" applyProtection="1">
      <alignment horizontal="center" vertical="center"/>
    </xf>
    <xf numFmtId="0" fontId="9" fillId="0" borderId="27" xfId="0" applyFont="1" applyFill="1" applyBorder="1" applyAlignment="1" applyProtection="1">
      <alignment horizontal="center" vertical="center"/>
    </xf>
    <xf numFmtId="0" fontId="9" fillId="0" borderId="7" xfId="0" applyFont="1" applyFill="1" applyBorder="1" applyAlignment="1" applyProtection="1">
      <alignment vertical="top" wrapText="1"/>
    </xf>
    <xf numFmtId="165" fontId="9" fillId="0" borderId="8" xfId="0" applyNumberFormat="1" applyFont="1" applyFill="1" applyBorder="1" applyAlignment="1" applyProtection="1">
      <alignment horizontal="left" vertical="top" wrapText="1"/>
    </xf>
    <xf numFmtId="0" fontId="9" fillId="3" borderId="25" xfId="0" applyFont="1" applyFill="1" applyBorder="1" applyAlignment="1" applyProtection="1">
      <alignment vertical="top" wrapText="1"/>
    </xf>
    <xf numFmtId="165" fontId="9" fillId="3" borderId="26" xfId="0" applyNumberFormat="1" applyFont="1" applyFill="1" applyBorder="1" applyAlignment="1" applyProtection="1">
      <alignment horizontal="left" vertical="top" wrapText="1"/>
    </xf>
    <xf numFmtId="0" fontId="17" fillId="13" borderId="1" xfId="0" applyFont="1" applyFill="1" applyBorder="1" applyAlignment="1" applyProtection="1">
      <alignment vertical="top" wrapText="1"/>
    </xf>
    <xf numFmtId="165" fontId="17" fillId="13" borderId="2" xfId="0" applyNumberFormat="1" applyFont="1" applyFill="1" applyBorder="1" applyAlignment="1" applyProtection="1">
      <alignment horizontal="left" vertical="top" wrapText="1"/>
    </xf>
    <xf numFmtId="0" fontId="17" fillId="6" borderId="1" xfId="0" applyFont="1" applyFill="1" applyBorder="1" applyAlignment="1" applyProtection="1">
      <alignment vertical="top" wrapText="1"/>
    </xf>
    <xf numFmtId="2" fontId="17" fillId="6" borderId="2" xfId="0" applyNumberFormat="1" applyFont="1" applyFill="1" applyBorder="1" applyAlignment="1" applyProtection="1">
      <alignment horizontal="left" vertical="top" wrapText="1"/>
    </xf>
    <xf numFmtId="49" fontId="17" fillId="6" borderId="4" xfId="0" applyNumberFormat="1" applyFont="1" applyFill="1" applyBorder="1" applyAlignment="1" applyProtection="1">
      <alignment horizontal="left" vertical="top" wrapText="1"/>
    </xf>
    <xf numFmtId="2" fontId="17" fillId="6" borderId="9" xfId="0" applyNumberFormat="1" applyFont="1" applyFill="1" applyBorder="1" applyAlignment="1" applyProtection="1">
      <alignment horizontal="left" vertical="top" wrapText="1"/>
    </xf>
    <xf numFmtId="0" fontId="9" fillId="5" borderId="15" xfId="0" applyFont="1" applyFill="1" applyBorder="1" applyAlignment="1" applyProtection="1">
      <alignment vertical="top" wrapText="1"/>
    </xf>
    <xf numFmtId="165" fontId="9" fillId="5" borderId="9" xfId="0" applyNumberFormat="1" applyFont="1" applyFill="1" applyBorder="1" applyAlignment="1" applyProtection="1">
      <alignment horizontal="left" vertical="top" wrapText="1"/>
    </xf>
    <xf numFmtId="0" fontId="17" fillId="14" borderId="1" xfId="0" applyFont="1" applyFill="1" applyBorder="1" applyAlignment="1" applyProtection="1">
      <alignment vertical="top" wrapText="1"/>
    </xf>
    <xf numFmtId="165" fontId="17" fillId="14" borderId="2" xfId="0" applyNumberFormat="1" applyFont="1" applyFill="1" applyBorder="1" applyAlignment="1" applyProtection="1">
      <alignment horizontal="left" vertical="top" wrapText="1"/>
    </xf>
    <xf numFmtId="0" fontId="17" fillId="4" borderId="1" xfId="0" applyFont="1" applyFill="1" applyBorder="1" applyAlignment="1" applyProtection="1">
      <alignment vertical="top" wrapText="1"/>
    </xf>
    <xf numFmtId="2" fontId="17" fillId="4" borderId="2" xfId="0" applyNumberFormat="1" applyFont="1" applyFill="1" applyBorder="1" applyAlignment="1" applyProtection="1">
      <alignment horizontal="left" vertical="top" wrapText="1"/>
    </xf>
    <xf numFmtId="0" fontId="9" fillId="7" borderId="25" xfId="0" applyFont="1" applyFill="1" applyBorder="1" applyAlignment="1" applyProtection="1">
      <alignment vertical="top" wrapText="1"/>
    </xf>
    <xf numFmtId="165" fontId="9" fillId="7" borderId="26" xfId="0" applyNumberFormat="1" applyFont="1" applyFill="1" applyBorder="1" applyAlignment="1" applyProtection="1">
      <alignment horizontal="left" vertical="top" wrapText="1"/>
    </xf>
    <xf numFmtId="0" fontId="17" fillId="16" borderId="1" xfId="0" applyFont="1" applyFill="1" applyBorder="1" applyAlignment="1" applyProtection="1">
      <alignment vertical="top" wrapText="1"/>
    </xf>
    <xf numFmtId="165" fontId="17" fillId="16" borderId="2" xfId="0" applyNumberFormat="1" applyFont="1" applyFill="1" applyBorder="1" applyAlignment="1" applyProtection="1">
      <alignment horizontal="left" vertical="top" wrapText="1"/>
    </xf>
    <xf numFmtId="49" fontId="17" fillId="16" borderId="4" xfId="0" applyNumberFormat="1" applyFont="1" applyFill="1" applyBorder="1" applyAlignment="1">
      <alignment horizontal="left" vertical="top" wrapText="1"/>
    </xf>
    <xf numFmtId="0" fontId="17" fillId="8" borderId="1" xfId="0" applyFont="1" applyFill="1" applyBorder="1" applyAlignment="1" applyProtection="1">
      <alignment vertical="top" wrapText="1"/>
    </xf>
    <xf numFmtId="2" fontId="17" fillId="8" borderId="2" xfId="0" applyNumberFormat="1" applyFont="1" applyFill="1" applyBorder="1" applyAlignment="1" applyProtection="1">
      <alignment horizontal="left" vertical="top" wrapText="1"/>
    </xf>
    <xf numFmtId="49" fontId="17" fillId="8" borderId="4" xfId="0" applyNumberFormat="1" applyFont="1" applyFill="1" applyBorder="1" applyAlignment="1" applyProtection="1">
      <alignment horizontal="left" vertical="top" wrapText="1"/>
    </xf>
    <xf numFmtId="0" fontId="9" fillId="9" borderId="25" xfId="0" applyFont="1" applyFill="1" applyBorder="1" applyAlignment="1" applyProtection="1">
      <alignment vertical="top" wrapText="1"/>
    </xf>
    <xf numFmtId="165" fontId="9" fillId="9" borderId="26" xfId="0" applyNumberFormat="1" applyFont="1" applyFill="1" applyBorder="1" applyAlignment="1" applyProtection="1">
      <alignment horizontal="left" vertical="top" wrapText="1"/>
    </xf>
    <xf numFmtId="49" fontId="9" fillId="9" borderId="33" xfId="0" applyNumberFormat="1" applyFont="1" applyFill="1" applyBorder="1" applyAlignment="1" applyProtection="1">
      <alignment horizontal="left" vertical="top" wrapText="1"/>
    </xf>
    <xf numFmtId="0" fontId="17" fillId="15" borderId="1" xfId="0" applyFont="1" applyFill="1" applyBorder="1" applyAlignment="1" applyProtection="1">
      <alignment vertical="top" wrapText="1"/>
    </xf>
    <xf numFmtId="165" fontId="17" fillId="15" borderId="2" xfId="0" applyNumberFormat="1" applyFont="1" applyFill="1" applyBorder="1" applyAlignment="1" applyProtection="1">
      <alignment horizontal="left" vertical="top" wrapText="1"/>
    </xf>
    <xf numFmtId="49" fontId="17" fillId="15" borderId="3" xfId="0" applyNumberFormat="1" applyFont="1" applyFill="1" applyBorder="1" applyAlignment="1" applyProtection="1">
      <alignment horizontal="left" vertical="top" wrapText="1"/>
    </xf>
    <xf numFmtId="0" fontId="17" fillId="11" borderId="1" xfId="0" applyFont="1" applyFill="1" applyBorder="1" applyAlignment="1" applyProtection="1">
      <alignment vertical="top" wrapText="1"/>
    </xf>
    <xf numFmtId="2" fontId="17" fillId="11" borderId="2" xfId="0" applyNumberFormat="1" applyFont="1" applyFill="1" applyBorder="1" applyAlignment="1" applyProtection="1">
      <alignment horizontal="left" vertical="top" wrapText="1"/>
    </xf>
    <xf numFmtId="49" fontId="17" fillId="11" borderId="4" xfId="0" applyNumberFormat="1" applyFont="1" applyFill="1" applyBorder="1" applyAlignment="1" applyProtection="1">
      <alignment horizontal="left" vertical="top" wrapText="1"/>
    </xf>
    <xf numFmtId="0" fontId="9" fillId="10" borderId="25" xfId="0" applyFont="1" applyFill="1" applyBorder="1" applyAlignment="1" applyProtection="1">
      <alignment vertical="top" wrapText="1"/>
    </xf>
    <xf numFmtId="165" fontId="9" fillId="10" borderId="26" xfId="0" applyNumberFormat="1" applyFont="1" applyFill="1" applyBorder="1" applyAlignment="1" applyProtection="1">
      <alignment horizontal="left" vertical="top" wrapText="1"/>
    </xf>
    <xf numFmtId="49" fontId="9" fillId="10" borderId="18" xfId="0" applyNumberFormat="1" applyFont="1" applyFill="1" applyBorder="1" applyAlignment="1">
      <alignment horizontal="left" vertical="center" wrapText="1"/>
    </xf>
    <xf numFmtId="0" fontId="17" fillId="17" borderId="1" xfId="0" applyFont="1" applyFill="1" applyBorder="1" applyAlignment="1" applyProtection="1">
      <alignment vertical="top" wrapText="1"/>
    </xf>
    <xf numFmtId="165" fontId="17" fillId="17" borderId="2" xfId="0" applyNumberFormat="1" applyFont="1" applyFill="1" applyBorder="1" applyAlignment="1" applyProtection="1">
      <alignment horizontal="left" vertical="top" wrapText="1"/>
    </xf>
    <xf numFmtId="49" fontId="17" fillId="17" borderId="10" xfId="0" applyNumberFormat="1" applyFont="1" applyFill="1" applyBorder="1" applyAlignment="1">
      <alignment horizontal="left" vertical="center" wrapText="1"/>
    </xf>
    <xf numFmtId="0" fontId="17" fillId="12" borderId="1" xfId="0" applyFont="1" applyFill="1" applyBorder="1" applyAlignment="1" applyProtection="1">
      <alignment vertical="top" wrapText="1"/>
    </xf>
    <xf numFmtId="2" fontId="17" fillId="12" borderId="2" xfId="0" applyNumberFormat="1" applyFont="1" applyFill="1" applyBorder="1" applyAlignment="1" applyProtection="1">
      <alignment horizontal="left" vertical="top" wrapText="1"/>
    </xf>
    <xf numFmtId="0" fontId="17" fillId="12" borderId="4" xfId="0" applyNumberFormat="1" applyFont="1" applyFill="1" applyBorder="1" applyAlignment="1" applyProtection="1">
      <alignment horizontal="left" vertical="top" wrapText="1"/>
    </xf>
    <xf numFmtId="0" fontId="4" fillId="22" borderId="20" xfId="0" applyFont="1" applyFill="1" applyBorder="1" applyAlignment="1" applyProtection="1">
      <alignment horizontal="center" vertical="top" wrapText="1"/>
    </xf>
    <xf numFmtId="164" fontId="4" fillId="22" borderId="20" xfId="0" applyNumberFormat="1" applyFont="1" applyFill="1" applyBorder="1" applyAlignment="1" applyProtection="1">
      <alignment horizontal="center" vertical="top" wrapText="1"/>
    </xf>
    <xf numFmtId="0" fontId="4" fillId="22" borderId="12" xfId="0" applyFont="1" applyFill="1" applyBorder="1" applyAlignment="1" applyProtection="1">
      <alignment horizontal="center" vertical="top" wrapText="1"/>
    </xf>
    <xf numFmtId="164" fontId="4" fillId="22" borderId="12" xfId="0" applyNumberFormat="1" applyFont="1" applyFill="1" applyBorder="1" applyAlignment="1" applyProtection="1">
      <alignment horizontal="center" vertical="top" wrapText="1"/>
    </xf>
    <xf numFmtId="0" fontId="4" fillId="22" borderId="13" xfId="0" applyFont="1" applyFill="1" applyBorder="1" applyAlignment="1" applyProtection="1">
      <alignment horizontal="center" vertical="top" wrapText="1"/>
    </xf>
    <xf numFmtId="164" fontId="4" fillId="22" borderId="13" xfId="0" applyNumberFormat="1" applyFont="1" applyFill="1" applyBorder="1" applyAlignment="1" applyProtection="1">
      <alignment horizontal="center" vertical="top" wrapText="1"/>
    </xf>
    <xf numFmtId="0" fontId="5" fillId="22" borderId="39" xfId="0" applyFont="1" applyFill="1" applyBorder="1" applyAlignment="1" applyProtection="1">
      <alignment horizontal="center" vertical="top" wrapText="1"/>
    </xf>
    <xf numFmtId="164" fontId="5" fillId="22" borderId="39" xfId="0" applyNumberFormat="1" applyFont="1" applyFill="1" applyBorder="1" applyAlignment="1" applyProtection="1">
      <alignment horizontal="center" vertical="top" wrapText="1"/>
    </xf>
    <xf numFmtId="0" fontId="5" fillId="22" borderId="12" xfId="0" applyFont="1" applyFill="1" applyBorder="1" applyAlignment="1" applyProtection="1">
      <alignment horizontal="center" vertical="top" wrapText="1"/>
    </xf>
    <xf numFmtId="164" fontId="5" fillId="22" borderId="12" xfId="0" applyNumberFormat="1" applyFont="1" applyFill="1" applyBorder="1" applyAlignment="1" applyProtection="1">
      <alignment horizontal="center" vertical="top" wrapText="1"/>
    </xf>
    <xf numFmtId="0" fontId="0" fillId="0" borderId="0" xfId="0" applyAlignment="1">
      <alignment vertical="top"/>
    </xf>
    <xf numFmtId="0" fontId="0" fillId="0" borderId="0" xfId="0" applyBorder="1"/>
    <xf numFmtId="0" fontId="0" fillId="0" borderId="0" xfId="0" applyFill="1" applyBorder="1" applyAlignment="1">
      <alignment horizontal="left" vertical="top" wrapText="1"/>
    </xf>
    <xf numFmtId="0" fontId="0" fillId="0" borderId="0" xfId="0" applyFill="1" applyBorder="1" applyAlignment="1">
      <alignment vertical="top" wrapText="1"/>
    </xf>
    <xf numFmtId="0" fontId="18" fillId="0" borderId="0" xfId="0" applyFont="1" applyBorder="1"/>
    <xf numFmtId="0" fontId="0" fillId="0" borderId="0" xfId="0" applyBorder="1" applyAlignment="1">
      <alignment wrapText="1"/>
    </xf>
    <xf numFmtId="0" fontId="0" fillId="0" borderId="0" xfId="0" applyFill="1" applyBorder="1" applyAlignment="1">
      <alignment horizontal="left" wrapText="1"/>
    </xf>
    <xf numFmtId="0" fontId="0" fillId="0" borderId="0" xfId="0" applyFill="1" applyBorder="1" applyAlignment="1">
      <alignment horizontal="center"/>
    </xf>
    <xf numFmtId="0" fontId="0" fillId="0" borderId="20" xfId="0" applyBorder="1" applyAlignment="1">
      <alignment vertical="top" wrapText="1"/>
    </xf>
    <xf numFmtId="0" fontId="17" fillId="6" borderId="15" xfId="0" applyFont="1" applyFill="1" applyBorder="1" applyAlignment="1" applyProtection="1">
      <alignment vertical="top" wrapText="1"/>
    </xf>
    <xf numFmtId="0" fontId="4" fillId="6" borderId="9" xfId="0" applyFont="1" applyFill="1" applyBorder="1" applyAlignment="1">
      <alignment horizontal="center" vertical="center" wrapText="1"/>
    </xf>
    <xf numFmtId="0" fontId="4" fillId="6" borderId="10" xfId="0" applyFont="1" applyFill="1" applyBorder="1" applyAlignment="1" applyProtection="1">
      <alignment horizontal="center" vertical="top" wrapText="1"/>
    </xf>
    <xf numFmtId="0" fontId="4" fillId="6" borderId="16" xfId="0" applyFont="1" applyFill="1" applyBorder="1" applyAlignment="1" applyProtection="1">
      <alignment horizontal="center" vertical="top" wrapText="1"/>
    </xf>
    <xf numFmtId="0" fontId="4" fillId="6" borderId="9" xfId="0" applyFont="1" applyFill="1" applyBorder="1" applyAlignment="1" applyProtection="1">
      <alignment horizontal="center" vertical="top" wrapText="1"/>
    </xf>
    <xf numFmtId="0" fontId="4" fillId="6" borderId="35" xfId="0" applyFont="1" applyFill="1" applyBorder="1" applyAlignment="1" applyProtection="1">
      <alignment horizontal="center" vertical="top" wrapText="1"/>
    </xf>
    <xf numFmtId="0" fontId="4" fillId="6" borderId="22" xfId="0" applyFont="1" applyFill="1" applyBorder="1" applyAlignment="1" applyProtection="1">
      <alignment horizontal="center" vertical="top"/>
    </xf>
    <xf numFmtId="0" fontId="4" fillId="6" borderId="39" xfId="0" applyFont="1" applyFill="1" applyBorder="1" applyAlignment="1" applyProtection="1">
      <alignment horizontal="center" vertical="top" wrapText="1"/>
    </xf>
    <xf numFmtId="164" fontId="4" fillId="6" borderId="39" xfId="0" applyNumberFormat="1" applyFont="1" applyFill="1" applyBorder="1" applyAlignment="1" applyProtection="1">
      <alignment horizontal="center" vertical="top" wrapText="1"/>
    </xf>
    <xf numFmtId="0" fontId="4" fillId="26" borderId="2" xfId="0" applyFont="1" applyFill="1" applyBorder="1" applyAlignment="1">
      <alignment horizontal="center" vertical="center" wrapText="1"/>
    </xf>
    <xf numFmtId="0" fontId="4" fillId="26" borderId="3" xfId="0" applyFont="1" applyFill="1" applyBorder="1" applyAlignment="1" applyProtection="1">
      <alignment horizontal="center" vertical="top" wrapText="1"/>
    </xf>
    <xf numFmtId="0" fontId="20" fillId="19" borderId="53" xfId="0" applyFont="1" applyFill="1" applyBorder="1" applyAlignment="1">
      <alignment horizontal="center" vertical="center" wrapText="1"/>
    </xf>
    <xf numFmtId="0" fontId="21" fillId="2" borderId="54" xfId="0" applyFont="1" applyFill="1" applyBorder="1" applyAlignment="1">
      <alignment horizontal="left" vertical="center" wrapText="1" indent="4"/>
    </xf>
    <xf numFmtId="0" fontId="10" fillId="2" borderId="54" xfId="0" applyFont="1" applyFill="1" applyBorder="1" applyAlignment="1">
      <alignment horizontal="left" vertical="center" wrapText="1" indent="8"/>
    </xf>
    <xf numFmtId="0" fontId="10" fillId="2" borderId="55" xfId="0" applyFont="1" applyFill="1" applyBorder="1" applyAlignment="1">
      <alignment horizontal="left" vertical="center" wrapText="1" indent="8"/>
    </xf>
    <xf numFmtId="0" fontId="21" fillId="2" borderId="56" xfId="0" applyFont="1" applyFill="1" applyBorder="1" applyAlignment="1">
      <alignment horizontal="left" vertical="center" indent="4"/>
    </xf>
    <xf numFmtId="0" fontId="10" fillId="2" borderId="57" xfId="0" applyFont="1" applyFill="1" applyBorder="1" applyAlignment="1">
      <alignment horizontal="left" indent="8"/>
    </xf>
    <xf numFmtId="0" fontId="24" fillId="2" borderId="54" xfId="0" applyFont="1" applyFill="1" applyBorder="1" applyAlignment="1">
      <alignment horizontal="left" vertical="center" wrapText="1" indent="12"/>
    </xf>
    <xf numFmtId="0" fontId="21" fillId="2" borderId="58" xfId="0" applyFont="1" applyFill="1" applyBorder="1" applyAlignment="1">
      <alignment horizontal="left" vertical="center" wrapText="1" indent="4"/>
    </xf>
    <xf numFmtId="0" fontId="10" fillId="28" borderId="41" xfId="0" applyFont="1" applyFill="1" applyBorder="1" applyAlignment="1">
      <alignment vertical="center" wrapText="1"/>
    </xf>
    <xf numFmtId="0" fontId="29" fillId="28" borderId="41" xfId="0" applyFont="1" applyFill="1" applyBorder="1" applyAlignment="1">
      <alignment horizontal="left" vertical="center" wrapText="1" indent="5"/>
    </xf>
    <xf numFmtId="0" fontId="30" fillId="28" borderId="41" xfId="0" applyFont="1" applyFill="1" applyBorder="1" applyAlignment="1">
      <alignment horizontal="left" vertical="center" wrapText="1" indent="10"/>
    </xf>
    <xf numFmtId="0" fontId="30" fillId="28" borderId="63" xfId="0" applyFont="1" applyFill="1" applyBorder="1" applyAlignment="1">
      <alignment horizontal="left" vertical="center" wrapText="1" indent="10"/>
    </xf>
    <xf numFmtId="0" fontId="21" fillId="28" borderId="64" xfId="0" applyFont="1" applyFill="1" applyBorder="1" applyAlignment="1">
      <alignment vertical="center" wrapText="1"/>
    </xf>
    <xf numFmtId="0" fontId="21" fillId="28" borderId="41" xfId="0" applyFont="1" applyFill="1" applyBorder="1" applyAlignment="1">
      <alignment vertical="center" wrapText="1"/>
    </xf>
    <xf numFmtId="0" fontId="29" fillId="28" borderId="63" xfId="0" applyFont="1" applyFill="1" applyBorder="1" applyAlignment="1">
      <alignment horizontal="left" vertical="center" wrapText="1" indent="5"/>
    </xf>
    <xf numFmtId="0" fontId="28" fillId="27" borderId="66" xfId="0" applyFont="1" applyFill="1" applyBorder="1" applyAlignment="1">
      <alignment vertical="center" wrapText="1"/>
    </xf>
    <xf numFmtId="0" fontId="10" fillId="0" borderId="67" xfId="0" applyFont="1" applyBorder="1"/>
    <xf numFmtId="0" fontId="21" fillId="2" borderId="68" xfId="0" applyFont="1" applyFill="1" applyBorder="1" applyAlignment="1">
      <alignment vertical="center" wrapText="1"/>
    </xf>
    <xf numFmtId="0" fontId="29" fillId="2" borderId="69" xfId="0" applyFont="1" applyFill="1" applyBorder="1" applyAlignment="1">
      <alignment horizontal="left" vertical="center" wrapText="1" indent="5"/>
    </xf>
    <xf numFmtId="0" fontId="30" fillId="2" borderId="69" xfId="0" applyFont="1" applyFill="1" applyBorder="1" applyAlignment="1">
      <alignment horizontal="left" vertical="center" wrapText="1" indent="10"/>
    </xf>
    <xf numFmtId="0" fontId="21" fillId="2" borderId="69" xfId="0" applyFont="1" applyFill="1" applyBorder="1" applyAlignment="1">
      <alignment vertical="center" wrapText="1"/>
    </xf>
    <xf numFmtId="0" fontId="32" fillId="2" borderId="69" xfId="0" applyFont="1" applyFill="1" applyBorder="1" applyAlignment="1">
      <alignment horizontal="left" vertical="center" wrapText="1" indent="5"/>
    </xf>
    <xf numFmtId="0" fontId="37" fillId="2" borderId="69" xfId="0" applyFont="1" applyFill="1" applyBorder="1" applyAlignment="1">
      <alignment horizontal="left" vertical="center" wrapText="1" indent="10"/>
    </xf>
    <xf numFmtId="0" fontId="10" fillId="2" borderId="70" xfId="0" applyFont="1" applyFill="1" applyBorder="1" applyAlignment="1">
      <alignment horizontal="left" wrapText="1" indent="5"/>
    </xf>
    <xf numFmtId="0" fontId="32" fillId="28" borderId="64" xfId="0" applyFont="1" applyFill="1" applyBorder="1" applyAlignment="1">
      <alignment horizontal="left" vertical="center" wrapText="1" indent="5"/>
    </xf>
    <xf numFmtId="0" fontId="32" fillId="28" borderId="41" xfId="0" applyFont="1" applyFill="1" applyBorder="1" applyAlignment="1">
      <alignment horizontal="left" vertical="center" wrapText="1" indent="5"/>
    </xf>
    <xf numFmtId="0" fontId="38" fillId="2" borderId="37" xfId="0" applyFont="1" applyFill="1" applyBorder="1" applyAlignment="1">
      <alignment horizontal="left" vertical="center" wrapText="1" indent="5"/>
    </xf>
    <xf numFmtId="0" fontId="38" fillId="2" borderId="40" xfId="0" applyFont="1" applyFill="1" applyBorder="1" applyAlignment="1">
      <alignment horizontal="left" vertical="center" wrapText="1" indent="5"/>
    </xf>
    <xf numFmtId="0" fontId="41" fillId="30" borderId="7" xfId="0" applyFont="1" applyFill="1" applyBorder="1" applyAlignment="1">
      <alignment horizontal="center" vertical="center" wrapText="1"/>
    </xf>
    <xf numFmtId="0" fontId="41" fillId="30" borderId="8" xfId="0" applyFont="1" applyFill="1" applyBorder="1" applyAlignment="1">
      <alignment horizontal="center" vertical="center" wrapText="1"/>
    </xf>
    <xf numFmtId="0" fontId="41" fillId="30" borderId="31" xfId="0" applyFont="1" applyFill="1" applyBorder="1" applyAlignment="1">
      <alignment horizontal="center" vertical="center" wrapText="1"/>
    </xf>
    <xf numFmtId="0" fontId="41" fillId="30" borderId="38" xfId="0" applyFont="1" applyFill="1" applyBorder="1" applyAlignment="1">
      <alignment horizontal="center" vertical="center" wrapText="1"/>
    </xf>
    <xf numFmtId="0" fontId="2" fillId="0" borderId="0" xfId="0" applyFont="1" applyAlignment="1">
      <alignment vertical="center"/>
    </xf>
    <xf numFmtId="0" fontId="44" fillId="31" borderId="25" xfId="0" applyFont="1" applyFill="1" applyBorder="1" applyAlignment="1" applyProtection="1">
      <alignment vertical="center"/>
      <protection locked="0"/>
    </xf>
    <xf numFmtId="0" fontId="44" fillId="31" borderId="26" xfId="0" applyFont="1" applyFill="1" applyBorder="1" applyAlignment="1" applyProtection="1">
      <alignment vertical="center"/>
      <protection locked="0"/>
    </xf>
    <xf numFmtId="0" fontId="44" fillId="31" borderId="33" xfId="0" applyFont="1" applyFill="1" applyBorder="1" applyAlignment="1" applyProtection="1">
      <alignment horizontal="right" vertical="center"/>
      <protection locked="0"/>
    </xf>
    <xf numFmtId="0" fontId="44" fillId="31" borderId="1" xfId="0" applyFont="1" applyFill="1" applyBorder="1" applyAlignment="1" applyProtection="1">
      <alignment vertical="center"/>
      <protection locked="0"/>
    </xf>
    <xf numFmtId="0" fontId="44" fillId="31" borderId="2" xfId="0" applyFont="1" applyFill="1" applyBorder="1" applyAlignment="1" applyProtection="1">
      <alignment vertical="center"/>
      <protection locked="0"/>
    </xf>
    <xf numFmtId="0" fontId="44" fillId="31" borderId="2" xfId="0" applyFont="1" applyFill="1" applyBorder="1" applyAlignment="1" applyProtection="1">
      <alignment horizontal="right" vertical="center"/>
      <protection locked="0"/>
    </xf>
    <xf numFmtId="0" fontId="44" fillId="31" borderId="76" xfId="0" applyFont="1" applyFill="1" applyBorder="1" applyAlignment="1" applyProtection="1">
      <alignment vertical="center"/>
      <protection locked="0"/>
    </xf>
    <xf numFmtId="0" fontId="0" fillId="31" borderId="28" xfId="0" applyFill="1" applyBorder="1" applyAlignment="1">
      <alignment vertical="center"/>
    </xf>
    <xf numFmtId="0" fontId="44" fillId="31" borderId="78" xfId="0" applyFont="1" applyFill="1" applyBorder="1" applyAlignment="1" applyProtection="1">
      <alignment horizontal="right" vertical="center"/>
      <protection locked="0"/>
    </xf>
    <xf numFmtId="49" fontId="45" fillId="22" borderId="20" xfId="0" applyNumberFormat="1" applyFont="1" applyFill="1" applyBorder="1" applyAlignment="1">
      <alignment horizontal="center" vertical="center" wrapText="1"/>
    </xf>
    <xf numFmtId="49" fontId="45" fillId="22" borderId="7" xfId="0" applyNumberFormat="1" applyFont="1" applyFill="1" applyBorder="1" applyAlignment="1">
      <alignment horizontal="center" vertical="center" wrapText="1"/>
    </xf>
    <xf numFmtId="49" fontId="45" fillId="22" borderId="38" xfId="0" applyNumberFormat="1" applyFont="1" applyFill="1" applyBorder="1" applyAlignment="1">
      <alignment horizontal="center" vertical="center" wrapText="1"/>
    </xf>
    <xf numFmtId="49" fontId="45" fillId="22" borderId="8" xfId="0" applyNumberFormat="1" applyFont="1" applyFill="1" applyBorder="1" applyAlignment="1">
      <alignment horizontal="center" vertical="center" wrapText="1"/>
    </xf>
    <xf numFmtId="0" fontId="44" fillId="32" borderId="32" xfId="0" applyFont="1" applyFill="1" applyBorder="1" applyAlignment="1">
      <alignment vertical="center"/>
    </xf>
    <xf numFmtId="0" fontId="5" fillId="32" borderId="19" xfId="0" applyFont="1" applyFill="1" applyBorder="1" applyAlignment="1">
      <alignment vertical="center" wrapText="1"/>
    </xf>
    <xf numFmtId="0" fontId="5" fillId="32" borderId="80" xfId="0" applyFont="1" applyFill="1" applyBorder="1" applyAlignment="1">
      <alignment vertical="center" wrapText="1"/>
    </xf>
    <xf numFmtId="0" fontId="5" fillId="32" borderId="81" xfId="0" applyFont="1" applyFill="1" applyBorder="1" applyAlignment="1">
      <alignment vertical="center" wrapText="1"/>
    </xf>
    <xf numFmtId="0" fontId="5" fillId="32" borderId="31" xfId="0" applyFont="1" applyFill="1" applyBorder="1" applyAlignment="1">
      <alignment vertical="center" wrapText="1"/>
    </xf>
    <xf numFmtId="0" fontId="4" fillId="33" borderId="82" xfId="0" applyFont="1" applyFill="1" applyBorder="1" applyAlignment="1">
      <alignment vertical="center" wrapText="1"/>
    </xf>
    <xf numFmtId="0" fontId="38" fillId="33" borderId="83" xfId="0" applyFont="1" applyFill="1" applyBorder="1" applyAlignment="1">
      <alignment vertical="center" wrapText="1"/>
    </xf>
    <xf numFmtId="0" fontId="38" fillId="33" borderId="84" xfId="0" applyFont="1" applyFill="1" applyBorder="1" applyAlignment="1">
      <alignment vertical="center" wrapText="1"/>
    </xf>
    <xf numFmtId="0" fontId="38" fillId="33" borderId="85" xfId="0" applyFont="1" applyFill="1" applyBorder="1" applyAlignment="1">
      <alignment vertical="center" wrapText="1"/>
    </xf>
    <xf numFmtId="0" fontId="38" fillId="33" borderId="78" xfId="0" applyFont="1" applyFill="1" applyBorder="1" applyAlignment="1">
      <alignment vertical="center" wrapText="1"/>
    </xf>
    <xf numFmtId="0" fontId="38" fillId="33" borderId="86" xfId="0" applyFont="1" applyFill="1" applyBorder="1" applyAlignment="1">
      <alignment vertical="center" wrapText="1"/>
    </xf>
    <xf numFmtId="0" fontId="4" fillId="33" borderId="87" xfId="0" applyFont="1" applyFill="1" applyBorder="1" applyAlignment="1">
      <alignment vertical="center" wrapText="1"/>
    </xf>
    <xf numFmtId="0" fontId="44" fillId="5" borderId="32" xfId="0" applyFont="1" applyFill="1" applyBorder="1" applyAlignment="1">
      <alignment vertical="center"/>
    </xf>
    <xf numFmtId="0" fontId="5" fillId="5" borderId="19" xfId="0" applyFont="1" applyFill="1" applyBorder="1" applyAlignment="1">
      <alignment vertical="center" wrapText="1"/>
    </xf>
    <xf numFmtId="0" fontId="5" fillId="5" borderId="80" xfId="0" applyFont="1" applyFill="1" applyBorder="1" applyAlignment="1">
      <alignment vertical="center" wrapText="1"/>
    </xf>
    <xf numFmtId="0" fontId="5" fillId="5" borderId="31" xfId="0" applyFont="1" applyFill="1" applyBorder="1" applyAlignment="1">
      <alignment vertical="center" wrapText="1"/>
    </xf>
    <xf numFmtId="0" fontId="38" fillId="0" borderId="82" xfId="0" applyFont="1" applyBorder="1" applyAlignment="1">
      <alignment vertical="top" wrapText="1"/>
    </xf>
    <xf numFmtId="0" fontId="38" fillId="0" borderId="7" xfId="0" applyFont="1" applyBorder="1" applyAlignment="1">
      <alignment vertical="top" wrapText="1"/>
    </xf>
    <xf numFmtId="0" fontId="44" fillId="0" borderId="38" xfId="0" applyFont="1" applyBorder="1" applyAlignment="1">
      <alignment vertical="top" wrapText="1"/>
    </xf>
    <xf numFmtId="0" fontId="38" fillId="0" borderId="88" xfId="0" applyFont="1" applyBorder="1" applyAlignment="1">
      <alignment vertical="top" wrapText="1"/>
    </xf>
    <xf numFmtId="0" fontId="38" fillId="0" borderId="78" xfId="0" applyFont="1" applyBorder="1" applyAlignment="1">
      <alignment vertical="top" wrapText="1"/>
    </xf>
    <xf numFmtId="0" fontId="38" fillId="0" borderId="38" xfId="0" applyFont="1" applyFill="1" applyBorder="1" applyAlignment="1">
      <alignment vertical="top" wrapText="1"/>
    </xf>
    <xf numFmtId="0" fontId="38" fillId="0" borderId="7" xfId="0" applyFont="1" applyBorder="1" applyAlignment="1">
      <alignment horizontal="left" vertical="top" wrapText="1"/>
    </xf>
    <xf numFmtId="0" fontId="38" fillId="0" borderId="9" xfId="0" applyFont="1" applyBorder="1" applyAlignment="1">
      <alignment horizontal="left" vertical="top" wrapText="1"/>
    </xf>
    <xf numFmtId="0" fontId="38" fillId="0" borderId="10" xfId="0" applyFont="1" applyBorder="1" applyAlignment="1">
      <alignment vertical="top" wrapText="1"/>
    </xf>
    <xf numFmtId="0" fontId="44" fillId="18" borderId="32" xfId="0" applyFont="1" applyFill="1" applyBorder="1" applyAlignment="1">
      <alignment vertical="center"/>
    </xf>
    <xf numFmtId="0" fontId="5" fillId="18" borderId="19" xfId="0" applyFont="1" applyFill="1" applyBorder="1" applyAlignment="1">
      <alignment horizontal="left" vertical="center" wrapText="1" indent="1"/>
    </xf>
    <xf numFmtId="0" fontId="5" fillId="18" borderId="45" xfId="0" applyFont="1" applyFill="1" applyBorder="1" applyAlignment="1">
      <alignment horizontal="left" vertical="center" wrapText="1" indent="1"/>
    </xf>
    <xf numFmtId="0" fontId="5" fillId="18" borderId="46" xfId="0" applyFont="1" applyFill="1" applyBorder="1" applyAlignment="1">
      <alignment horizontal="left" vertical="center" wrapText="1" indent="1"/>
    </xf>
    <xf numFmtId="0" fontId="5" fillId="18" borderId="31" xfId="0" applyFont="1" applyFill="1" applyBorder="1" applyAlignment="1">
      <alignment horizontal="left" vertical="center" wrapText="1" indent="1"/>
    </xf>
    <xf numFmtId="0" fontId="44" fillId="0" borderId="52" xfId="0" applyFont="1" applyBorder="1" applyAlignment="1">
      <alignment vertical="top" wrapText="1"/>
    </xf>
    <xf numFmtId="0" fontId="38" fillId="0" borderId="38" xfId="0" applyFont="1" applyBorder="1" applyAlignment="1">
      <alignment vertical="top" wrapText="1"/>
    </xf>
    <xf numFmtId="0" fontId="38" fillId="0" borderId="8" xfId="0" applyFont="1" applyBorder="1" applyAlignment="1">
      <alignment vertical="top" wrapText="1"/>
    </xf>
    <xf numFmtId="0" fontId="38" fillId="0" borderId="74" xfId="0" applyFont="1" applyBorder="1" applyAlignment="1">
      <alignment vertical="top" wrapText="1"/>
    </xf>
    <xf numFmtId="0" fontId="38" fillId="0" borderId="75" xfId="0" applyFont="1" applyBorder="1" applyAlignment="1">
      <alignment vertical="top" wrapText="1"/>
    </xf>
    <xf numFmtId="0" fontId="5" fillId="31" borderId="2" xfId="0" applyFont="1" applyFill="1" applyBorder="1" applyAlignment="1" applyProtection="1">
      <alignment horizontal="right" vertical="top"/>
      <protection locked="0"/>
    </xf>
    <xf numFmtId="0" fontId="48" fillId="22" borderId="7" xfId="0" applyFont="1" applyFill="1" applyBorder="1" applyAlignment="1">
      <alignment horizontal="center" vertical="center" wrapText="1"/>
    </xf>
    <xf numFmtId="0" fontId="48" fillId="22" borderId="38" xfId="0" applyFont="1" applyFill="1" applyBorder="1" applyAlignment="1">
      <alignment horizontal="center" vertical="center" wrapText="1"/>
    </xf>
    <xf numFmtId="0" fontId="48" fillId="22" borderId="8" xfId="0" applyFont="1" applyFill="1" applyBorder="1" applyAlignment="1">
      <alignment horizontal="center" vertical="center" wrapText="1"/>
    </xf>
    <xf numFmtId="0" fontId="48" fillId="22" borderId="50" xfId="0" applyFont="1" applyFill="1" applyBorder="1" applyAlignment="1">
      <alignment horizontal="center" vertical="center" wrapText="1"/>
    </xf>
    <xf numFmtId="0" fontId="50" fillId="33" borderId="82" xfId="0" applyFont="1" applyFill="1" applyBorder="1" applyAlignment="1">
      <alignment vertical="center" wrapText="1"/>
    </xf>
    <xf numFmtId="0" fontId="50" fillId="0" borderId="18" xfId="0" applyFont="1" applyBorder="1" applyAlignment="1">
      <alignment horizontal="left" vertical="center" wrapText="1"/>
    </xf>
    <xf numFmtId="0" fontId="50" fillId="0" borderId="16" xfId="0" applyFont="1" applyBorder="1" applyAlignment="1">
      <alignment horizontal="left" vertical="center" wrapText="1"/>
    </xf>
    <xf numFmtId="0" fontId="28" fillId="27" borderId="58" xfId="0" applyFont="1" applyFill="1" applyBorder="1" applyAlignment="1">
      <alignment vertical="center" wrapText="1"/>
    </xf>
    <xf numFmtId="0" fontId="10" fillId="0" borderId="53" xfId="0" applyFont="1" applyFill="1" applyBorder="1" applyAlignment="1">
      <alignment vertical="top" wrapText="1"/>
    </xf>
    <xf numFmtId="0" fontId="21" fillId="0" borderId="58" xfId="0" applyFont="1" applyFill="1" applyBorder="1" applyAlignment="1">
      <alignment horizontal="left" vertical="top" wrapText="1"/>
    </xf>
    <xf numFmtId="0" fontId="32" fillId="2" borderId="54" xfId="0" applyFont="1" applyFill="1" applyBorder="1" applyAlignment="1">
      <alignment horizontal="left" vertical="center" wrapText="1" indent="5"/>
    </xf>
    <xf numFmtId="0" fontId="32" fillId="2" borderId="55" xfId="0" applyFont="1" applyFill="1" applyBorder="1" applyAlignment="1">
      <alignment horizontal="left" vertical="center" wrapText="1" indent="5"/>
    </xf>
    <xf numFmtId="0" fontId="28" fillId="27" borderId="55" xfId="0" applyFont="1" applyFill="1" applyBorder="1" applyAlignment="1">
      <alignment vertical="center" wrapText="1"/>
    </xf>
    <xf numFmtId="0" fontId="10" fillId="0" borderId="58" xfId="0" applyFont="1" applyFill="1" applyBorder="1" applyAlignment="1">
      <alignment vertical="top" wrapText="1"/>
    </xf>
    <xf numFmtId="0" fontId="10" fillId="0" borderId="54" xfId="0" applyFont="1" applyFill="1" applyBorder="1" applyAlignment="1">
      <alignment horizontal="left" vertical="top" wrapText="1" indent="5"/>
    </xf>
    <xf numFmtId="0" fontId="10" fillId="0" borderId="55" xfId="0" applyFont="1" applyFill="1" applyBorder="1" applyAlignment="1">
      <alignment horizontal="left" vertical="top" wrapText="1" indent="5"/>
    </xf>
    <xf numFmtId="0" fontId="44" fillId="0" borderId="58" xfId="0" applyFont="1" applyFill="1" applyBorder="1" applyAlignment="1">
      <alignment horizontal="left" vertical="top" wrapText="1"/>
    </xf>
    <xf numFmtId="0" fontId="38" fillId="0" borderId="54" xfId="0" applyFont="1" applyFill="1" applyBorder="1" applyAlignment="1">
      <alignment horizontal="left" vertical="top" wrapText="1" indent="5"/>
    </xf>
    <xf numFmtId="0" fontId="30" fillId="0" borderId="54" xfId="0" applyFont="1" applyFill="1" applyBorder="1" applyAlignment="1">
      <alignment horizontal="left" vertical="top" wrapText="1" indent="10"/>
    </xf>
    <xf numFmtId="0" fontId="30" fillId="0" borderId="55" xfId="0" applyFont="1" applyFill="1" applyBorder="1" applyAlignment="1">
      <alignment horizontal="left" vertical="top" wrapText="1" indent="10"/>
    </xf>
    <xf numFmtId="0" fontId="18" fillId="0" borderId="58" xfId="0" applyFont="1" applyFill="1" applyBorder="1" applyAlignment="1">
      <alignment horizontal="left" vertical="top" wrapText="1" indent="5"/>
    </xf>
    <xf numFmtId="0" fontId="18" fillId="0" borderId="54" xfId="0" applyFont="1" applyFill="1" applyBorder="1" applyAlignment="1">
      <alignment horizontal="left" vertical="top" wrapText="1" indent="5"/>
    </xf>
    <xf numFmtId="0" fontId="0" fillId="0" borderId="54" xfId="0" applyBorder="1" applyAlignment="1">
      <alignment horizontal="left" vertical="top" indent="10"/>
    </xf>
    <xf numFmtId="0" fontId="38" fillId="2" borderId="58" xfId="0" applyFont="1" applyFill="1" applyBorder="1" applyAlignment="1">
      <alignment vertical="center" wrapText="1"/>
    </xf>
    <xf numFmtId="0" fontId="38" fillId="2" borderId="54" xfId="0" applyFont="1" applyFill="1" applyBorder="1" applyAlignment="1">
      <alignment horizontal="left" vertical="center" wrapText="1" indent="5"/>
    </xf>
    <xf numFmtId="0" fontId="38" fillId="2" borderId="55" xfId="0" applyFont="1" applyFill="1" applyBorder="1" applyAlignment="1">
      <alignment horizontal="left" vertical="center" wrapText="1" indent="5"/>
    </xf>
    <xf numFmtId="0" fontId="5" fillId="31" borderId="25" xfId="0" applyFont="1" applyFill="1" applyBorder="1" applyAlignment="1" applyProtection="1">
      <alignment horizontal="right" vertical="top"/>
      <protection locked="0"/>
    </xf>
    <xf numFmtId="0" fontId="5" fillId="31" borderId="26" xfId="0" applyFont="1" applyFill="1" applyBorder="1" applyAlignment="1" applyProtection="1">
      <alignment horizontal="right" vertical="top"/>
      <protection locked="0"/>
    </xf>
    <xf numFmtId="166" fontId="5" fillId="31" borderId="26" xfId="0" applyNumberFormat="1" applyFont="1" applyFill="1" applyBorder="1" applyAlignment="1" applyProtection="1">
      <alignment horizontal="right" vertical="top"/>
      <protection locked="0"/>
    </xf>
    <xf numFmtId="166" fontId="5" fillId="31" borderId="18" xfId="0" applyNumberFormat="1" applyFont="1" applyFill="1" applyBorder="1" applyAlignment="1" applyProtection="1">
      <alignment horizontal="left" vertical="top"/>
      <protection locked="0"/>
    </xf>
    <xf numFmtId="0" fontId="5" fillId="31" borderId="1" xfId="0" applyFont="1" applyFill="1" applyBorder="1" applyAlignment="1" applyProtection="1">
      <alignment horizontal="right" vertical="top"/>
      <protection locked="0"/>
    </xf>
    <xf numFmtId="0" fontId="4" fillId="31" borderId="2" xfId="0" applyFont="1" applyFill="1" applyBorder="1" applyAlignment="1" applyProtection="1">
      <alignment horizontal="right" vertical="top"/>
      <protection locked="0"/>
    </xf>
    <xf numFmtId="166" fontId="5" fillId="31" borderId="2" xfId="0" applyNumberFormat="1" applyFont="1" applyFill="1" applyBorder="1" applyAlignment="1" applyProtection="1">
      <alignment horizontal="right" vertical="top"/>
      <protection locked="0"/>
    </xf>
    <xf numFmtId="166" fontId="5" fillId="31" borderId="3" xfId="0" applyNumberFormat="1" applyFont="1" applyFill="1" applyBorder="1" applyAlignment="1" applyProtection="1">
      <alignment horizontal="left" vertical="top"/>
      <protection locked="0"/>
    </xf>
    <xf numFmtId="0" fontId="5" fillId="31" borderId="27" xfId="0" applyFont="1" applyFill="1" applyBorder="1" applyAlignment="1" applyProtection="1">
      <alignment horizontal="right" vertical="top"/>
      <protection locked="0"/>
    </xf>
    <xf numFmtId="0" fontId="5" fillId="31" borderId="28" xfId="0" applyFont="1" applyFill="1" applyBorder="1" applyAlignment="1" applyProtection="1">
      <alignment horizontal="right" vertical="top"/>
      <protection locked="0"/>
    </xf>
    <xf numFmtId="0" fontId="4" fillId="31" borderId="28" xfId="0" applyFont="1" applyFill="1" applyBorder="1" applyAlignment="1" applyProtection="1">
      <alignment horizontal="right" vertical="top"/>
      <protection locked="0"/>
    </xf>
    <xf numFmtId="166" fontId="5" fillId="31" borderId="28" xfId="0" applyNumberFormat="1" applyFont="1" applyFill="1" applyBorder="1" applyAlignment="1" applyProtection="1">
      <alignment horizontal="right" vertical="top"/>
      <protection locked="0"/>
    </xf>
    <xf numFmtId="166" fontId="5" fillId="31" borderId="29" xfId="0" applyNumberFormat="1" applyFont="1" applyFill="1" applyBorder="1" applyAlignment="1" applyProtection="1">
      <alignment horizontal="left" vertical="top"/>
      <protection locked="0"/>
    </xf>
    <xf numFmtId="0" fontId="48" fillId="22" borderId="32" xfId="0" applyFont="1" applyFill="1" applyBorder="1" applyAlignment="1">
      <alignment horizontal="center" vertical="center" wrapText="1"/>
    </xf>
    <xf numFmtId="0" fontId="4" fillId="34" borderId="32" xfId="0" applyFont="1" applyFill="1" applyBorder="1" applyAlignment="1">
      <alignment horizontal="left" vertical="top" wrapText="1"/>
    </xf>
    <xf numFmtId="0" fontId="4" fillId="34" borderId="8" xfId="0" applyFont="1" applyFill="1" applyBorder="1" applyAlignment="1">
      <alignment horizontal="left" vertical="top" wrapText="1"/>
    </xf>
    <xf numFmtId="0" fontId="4" fillId="34" borderId="38" xfId="0" applyFont="1" applyFill="1" applyBorder="1" applyAlignment="1">
      <alignment horizontal="left" vertical="top" wrapText="1"/>
    </xf>
    <xf numFmtId="0" fontId="4" fillId="35" borderId="7" xfId="0" applyFont="1" applyFill="1" applyBorder="1" applyAlignment="1">
      <alignment horizontal="left" vertical="top" wrapText="1"/>
    </xf>
    <xf numFmtId="0" fontId="4" fillId="35" borderId="8" xfId="0" applyFont="1" applyFill="1" applyBorder="1" applyAlignment="1">
      <alignment horizontal="left" vertical="top" wrapText="1"/>
    </xf>
    <xf numFmtId="0" fontId="4" fillId="35" borderId="38" xfId="0" applyFont="1" applyFill="1" applyBorder="1" applyAlignment="1">
      <alignment horizontal="left" vertical="top" wrapText="1"/>
    </xf>
    <xf numFmtId="0" fontId="4" fillId="36" borderId="7" xfId="0" applyFont="1" applyFill="1" applyBorder="1" applyAlignment="1">
      <alignment horizontal="left" vertical="top" wrapText="1"/>
    </xf>
    <xf numFmtId="0" fontId="4" fillId="36" borderId="38" xfId="0" applyFont="1" applyFill="1" applyBorder="1" applyAlignment="1">
      <alignment horizontal="left" vertical="top" wrapText="1"/>
    </xf>
    <xf numFmtId="0" fontId="0" fillId="0" borderId="0" xfId="0" applyFill="1" applyAlignment="1"/>
    <xf numFmtId="0" fontId="0" fillId="0" borderId="0" xfId="0" applyAlignment="1"/>
    <xf numFmtId="0" fontId="48" fillId="22" borderId="45" xfId="0" applyFont="1" applyFill="1" applyBorder="1" applyAlignment="1">
      <alignment horizontal="center" vertical="center" wrapText="1"/>
    </xf>
    <xf numFmtId="0" fontId="48" fillId="22" borderId="5" xfId="0" applyFont="1" applyFill="1" applyBorder="1" applyAlignment="1">
      <alignment horizontal="center" vertical="center" wrapText="1"/>
    </xf>
    <xf numFmtId="0" fontId="50" fillId="37" borderId="19" xfId="0" applyFont="1" applyFill="1" applyBorder="1" applyAlignment="1">
      <alignment horizontal="left" vertical="center" wrapText="1"/>
    </xf>
    <xf numFmtId="0" fontId="50" fillId="37" borderId="31" xfId="0" applyFont="1" applyFill="1" applyBorder="1" applyAlignment="1">
      <alignment horizontal="left" vertical="center" wrapText="1"/>
    </xf>
    <xf numFmtId="0" fontId="50" fillId="33" borderId="83" xfId="0" applyFont="1" applyFill="1" applyBorder="1" applyAlignment="1">
      <alignment horizontal="left" vertical="center" wrapText="1"/>
    </xf>
    <xf numFmtId="0" fontId="50" fillId="33" borderId="76" xfId="0" applyFont="1" applyFill="1" applyBorder="1" applyAlignment="1">
      <alignment horizontal="left" vertical="center" wrapText="1"/>
    </xf>
    <xf numFmtId="0" fontId="50" fillId="33" borderId="78" xfId="0" applyFont="1" applyFill="1" applyBorder="1" applyAlignment="1">
      <alignment horizontal="left" vertical="center" wrapText="1"/>
    </xf>
    <xf numFmtId="0" fontId="50" fillId="33" borderId="85" xfId="0" applyFont="1" applyFill="1" applyBorder="1" applyAlignment="1">
      <alignment horizontal="left" vertical="center" wrapText="1"/>
    </xf>
    <xf numFmtId="0" fontId="50" fillId="33" borderId="87" xfId="0" applyFont="1" applyFill="1" applyBorder="1" applyAlignment="1">
      <alignment horizontal="left" vertical="center" wrapText="1"/>
    </xf>
    <xf numFmtId="0" fontId="49" fillId="0" borderId="25" xfId="0" applyFont="1" applyBorder="1" applyAlignment="1">
      <alignment vertical="center" wrapText="1"/>
    </xf>
    <xf numFmtId="0" fontId="50" fillId="0" borderId="25" xfId="0" applyFont="1" applyBorder="1" applyAlignment="1">
      <alignment horizontal="left" vertical="center" wrapText="1"/>
    </xf>
    <xf numFmtId="0" fontId="50" fillId="0" borderId="33" xfId="0" applyFont="1" applyBorder="1" applyAlignment="1">
      <alignment horizontal="left" vertical="center" wrapText="1"/>
    </xf>
    <xf numFmtId="0" fontId="50" fillId="0" borderId="22" xfId="0" applyFont="1" applyBorder="1" applyAlignment="1">
      <alignment horizontal="left" vertical="center" wrapText="1"/>
    </xf>
    <xf numFmtId="0" fontId="49" fillId="0" borderId="27" xfId="0" applyFont="1" applyBorder="1" applyAlignment="1">
      <alignment vertical="center" wrapText="1"/>
    </xf>
    <xf numFmtId="0" fontId="50" fillId="0" borderId="43" xfId="0" applyFont="1" applyBorder="1" applyAlignment="1">
      <alignment horizontal="left" vertical="center" wrapText="1"/>
    </xf>
    <xf numFmtId="0" fontId="50" fillId="0" borderId="79" xfId="0" applyFont="1" applyBorder="1" applyAlignment="1">
      <alignment horizontal="left" vertical="center" wrapText="1"/>
    </xf>
    <xf numFmtId="0" fontId="50" fillId="18" borderId="19" xfId="0" applyFont="1" applyFill="1" applyBorder="1" applyAlignment="1">
      <alignment horizontal="left" vertical="center" wrapText="1"/>
    </xf>
    <xf numFmtId="0" fontId="50" fillId="18" borderId="31" xfId="0" applyFont="1" applyFill="1" applyBorder="1" applyAlignment="1">
      <alignment horizontal="left" vertical="center" wrapText="1"/>
    </xf>
    <xf numFmtId="0" fontId="50" fillId="0" borderId="100" xfId="0" applyFont="1" applyBorder="1" applyAlignment="1">
      <alignment horizontal="left" vertical="center" wrapText="1"/>
    </xf>
    <xf numFmtId="0" fontId="50" fillId="0" borderId="26" xfId="0" applyFont="1" applyBorder="1" applyAlignment="1">
      <alignment horizontal="left" vertical="center" wrapText="1"/>
    </xf>
    <xf numFmtId="0" fontId="49" fillId="0" borderId="1" xfId="0" applyFont="1" applyBorder="1" applyAlignment="1">
      <alignment vertical="center" wrapText="1"/>
    </xf>
    <xf numFmtId="0" fontId="50" fillId="33" borderId="0" xfId="0" applyFont="1" applyFill="1" applyBorder="1" applyAlignment="1">
      <alignment horizontal="left" vertical="center" wrapText="1"/>
    </xf>
    <xf numFmtId="0" fontId="50" fillId="33" borderId="89" xfId="0" applyFont="1" applyFill="1" applyBorder="1" applyAlignment="1">
      <alignment horizontal="left" vertical="center" wrapText="1"/>
    </xf>
    <xf numFmtId="0" fontId="50" fillId="33" borderId="92" xfId="0" applyFont="1" applyFill="1" applyBorder="1" applyAlignment="1">
      <alignment horizontal="left" vertical="center" wrapText="1"/>
    </xf>
    <xf numFmtId="0" fontId="50" fillId="33" borderId="91" xfId="0" applyFont="1" applyFill="1" applyBorder="1" applyAlignment="1">
      <alignment horizontal="left" vertical="center" wrapText="1"/>
    </xf>
    <xf numFmtId="0" fontId="50" fillId="33" borderId="90" xfId="0" applyFont="1" applyFill="1" applyBorder="1" applyAlignment="1">
      <alignment horizontal="left" vertical="center" wrapText="1"/>
    </xf>
    <xf numFmtId="0" fontId="52" fillId="38" borderId="32" xfId="0" applyFont="1" applyFill="1" applyBorder="1" applyAlignment="1">
      <alignment vertical="center"/>
    </xf>
    <xf numFmtId="0" fontId="50" fillId="5" borderId="19" xfId="0" applyFont="1" applyFill="1" applyBorder="1" applyAlignment="1">
      <alignment horizontal="left" vertical="center" wrapText="1"/>
    </xf>
    <xf numFmtId="0" fontId="50" fillId="5" borderId="31" xfId="0" applyFont="1" applyFill="1" applyBorder="1" applyAlignment="1">
      <alignment horizontal="left" vertical="center" wrapText="1"/>
    </xf>
    <xf numFmtId="0" fontId="52" fillId="0" borderId="25" xfId="0" applyFont="1" applyBorder="1" applyAlignment="1">
      <alignment vertical="center" wrapText="1"/>
    </xf>
    <xf numFmtId="0" fontId="28" fillId="27" borderId="103" xfId="0" applyFont="1" applyFill="1" applyBorder="1" applyAlignment="1">
      <alignment vertical="center" wrapText="1"/>
    </xf>
    <xf numFmtId="0" fontId="10" fillId="0" borderId="104" xfId="0" applyFont="1" applyBorder="1"/>
    <xf numFmtId="0" fontId="21" fillId="28" borderId="105" xfId="0" applyFont="1" applyFill="1" applyBorder="1" applyAlignment="1">
      <alignment vertical="center" wrapText="1"/>
    </xf>
    <xf numFmtId="0" fontId="29" fillId="28" borderId="105" xfId="0" applyFont="1" applyFill="1" applyBorder="1" applyAlignment="1">
      <alignment horizontal="left" vertical="center" wrapText="1" indent="5"/>
    </xf>
    <xf numFmtId="0" fontId="29" fillId="28" borderId="107" xfId="0" applyFont="1" applyFill="1" applyBorder="1" applyAlignment="1">
      <alignment horizontal="left" vertical="center" wrapText="1" indent="5"/>
    </xf>
    <xf numFmtId="0" fontId="28" fillId="27" borderId="106" xfId="0" applyFont="1" applyFill="1" applyBorder="1" applyAlignment="1">
      <alignment vertical="center" wrapText="1"/>
    </xf>
    <xf numFmtId="0" fontId="10" fillId="0" borderId="20" xfId="0" applyFont="1" applyBorder="1"/>
    <xf numFmtId="0" fontId="10" fillId="0" borderId="20" xfId="0" applyFont="1" applyBorder="1" applyAlignment="1">
      <alignment wrapText="1"/>
    </xf>
    <xf numFmtId="0" fontId="30" fillId="28" borderId="105" xfId="0" applyFont="1" applyFill="1" applyBorder="1" applyAlignment="1">
      <alignment horizontal="left" vertical="center" wrapText="1" indent="10"/>
    </xf>
    <xf numFmtId="0" fontId="10" fillId="28" borderId="105" xfId="0" applyFont="1" applyFill="1" applyBorder="1" applyAlignment="1">
      <alignment vertical="center" wrapText="1"/>
    </xf>
    <xf numFmtId="0" fontId="0" fillId="0" borderId="0" xfId="0" applyAlignment="1">
      <alignment horizontal="left" indent="5"/>
    </xf>
    <xf numFmtId="0" fontId="64" fillId="28" borderId="105" xfId="0" applyFont="1" applyFill="1" applyBorder="1" applyAlignment="1">
      <alignment horizontal="left" vertical="center" wrapText="1" indent="13"/>
    </xf>
    <xf numFmtId="0" fontId="29" fillId="28" borderId="109" xfId="0" applyFont="1" applyFill="1" applyBorder="1" applyAlignment="1">
      <alignment horizontal="left" vertical="center" wrapText="1" indent="5"/>
    </xf>
    <xf numFmtId="0" fontId="13" fillId="39" borderId="5" xfId="0" applyFont="1" applyFill="1" applyBorder="1" applyAlignment="1" applyProtection="1">
      <alignment vertical="top"/>
      <protection locked="0"/>
    </xf>
    <xf numFmtId="0" fontId="4" fillId="33" borderId="6" xfId="0" applyFont="1" applyFill="1" applyBorder="1" applyProtection="1">
      <protection locked="0"/>
    </xf>
    <xf numFmtId="0" fontId="4" fillId="0" borderId="6" xfId="0" applyFont="1" applyFill="1" applyBorder="1" applyAlignment="1" applyProtection="1">
      <alignment horizontal="center"/>
      <protection locked="0"/>
    </xf>
    <xf numFmtId="0" fontId="38" fillId="33" borderId="6" xfId="0" applyFont="1" applyFill="1" applyBorder="1" applyAlignment="1" applyProtection="1">
      <alignment wrapText="1"/>
      <protection locked="0"/>
    </xf>
    <xf numFmtId="0" fontId="67" fillId="0" borderId="0" xfId="0" applyFont="1" applyProtection="1">
      <protection locked="0"/>
    </xf>
    <xf numFmtId="0" fontId="4" fillId="39" borderId="0" xfId="0" applyFont="1" applyFill="1" applyBorder="1" applyAlignment="1" applyProtection="1">
      <alignment vertical="top"/>
      <protection locked="0"/>
    </xf>
    <xf numFmtId="0" fontId="4" fillId="0" borderId="2" xfId="0" applyFont="1" applyFill="1" applyBorder="1" applyAlignment="1" applyProtection="1">
      <alignment vertical="top"/>
      <protection locked="0"/>
    </xf>
    <xf numFmtId="0" fontId="4" fillId="0" borderId="2" xfId="0" applyFont="1" applyFill="1" applyBorder="1" applyAlignment="1" applyProtection="1">
      <alignment horizontal="center" vertical="top"/>
      <protection locked="0"/>
    </xf>
    <xf numFmtId="0" fontId="4" fillId="0" borderId="4" xfId="0" applyFont="1" applyFill="1" applyBorder="1" applyAlignment="1">
      <alignment horizontal="center" vertical="top"/>
    </xf>
    <xf numFmtId="0" fontId="4" fillId="0" borderId="12" xfId="0" applyFont="1" applyFill="1" applyBorder="1" applyAlignment="1">
      <alignment vertical="top"/>
    </xf>
    <xf numFmtId="0" fontId="4" fillId="39" borderId="41" xfId="0" applyFont="1" applyFill="1" applyBorder="1" applyAlignment="1">
      <alignment vertical="top"/>
    </xf>
    <xf numFmtId="0" fontId="4" fillId="0" borderId="41" xfId="0" applyFont="1" applyFill="1" applyBorder="1" applyAlignment="1" applyProtection="1">
      <alignment horizontal="center"/>
      <protection locked="0"/>
    </xf>
    <xf numFmtId="0" fontId="38" fillId="33" borderId="41" xfId="0" applyFont="1" applyFill="1" applyBorder="1" applyAlignment="1" applyProtection="1">
      <alignment wrapText="1"/>
      <protection locked="0"/>
    </xf>
    <xf numFmtId="0" fontId="5" fillId="15" borderId="93" xfId="0" applyFont="1" applyFill="1" applyBorder="1" applyAlignment="1" applyProtection="1">
      <alignment horizontal="left" vertical="top"/>
      <protection locked="0"/>
    </xf>
    <xf numFmtId="0" fontId="4" fillId="0" borderId="4" xfId="0" applyFont="1" applyFill="1" applyBorder="1" applyAlignment="1">
      <alignment vertical="top"/>
    </xf>
    <xf numFmtId="0" fontId="4" fillId="0" borderId="13" xfId="0" applyFont="1" applyFill="1" applyBorder="1" applyAlignment="1">
      <alignment vertical="top"/>
    </xf>
    <xf numFmtId="0" fontId="5" fillId="15" borderId="17" xfId="0" applyFont="1" applyFill="1" applyBorder="1" applyAlignment="1" applyProtection="1">
      <alignment horizontal="left" vertical="top"/>
      <protection locked="0"/>
    </xf>
    <xf numFmtId="0" fontId="4" fillId="0" borderId="78" xfId="0" applyFont="1" applyFill="1" applyBorder="1" applyAlignment="1" applyProtection="1">
      <alignment vertical="top"/>
      <protection locked="0"/>
    </xf>
    <xf numFmtId="0" fontId="4" fillId="0" borderId="94" xfId="0" applyFont="1" applyFill="1" applyBorder="1" applyAlignment="1">
      <alignment vertical="top"/>
    </xf>
    <xf numFmtId="0" fontId="4" fillId="0" borderId="82" xfId="0" applyFont="1" applyFill="1" applyBorder="1" applyAlignment="1">
      <alignment vertical="top"/>
    </xf>
    <xf numFmtId="0" fontId="5" fillId="15" borderId="77" xfId="0" applyFont="1" applyFill="1" applyBorder="1" applyAlignment="1" applyProtection="1">
      <alignment horizontal="left" vertical="top"/>
      <protection locked="0"/>
    </xf>
    <xf numFmtId="0" fontId="5" fillId="0" borderId="32" xfId="0" applyFont="1" applyFill="1" applyBorder="1" applyAlignment="1" applyProtection="1">
      <alignment horizontal="right" vertical="top"/>
      <protection locked="0"/>
    </xf>
    <xf numFmtId="0" fontId="4" fillId="0" borderId="7" xfId="0" applyFont="1" applyFill="1" applyBorder="1" applyAlignment="1" applyProtection="1">
      <alignment vertical="top"/>
      <protection locked="0"/>
    </xf>
    <xf numFmtId="0" fontId="4" fillId="0" borderId="46" xfId="0" applyFont="1" applyFill="1" applyBorder="1" applyAlignment="1" applyProtection="1">
      <alignment vertical="top"/>
      <protection locked="0"/>
    </xf>
    <xf numFmtId="0" fontId="4" fillId="0" borderId="20" xfId="0" applyFont="1" applyFill="1" applyBorder="1" applyAlignment="1">
      <alignment vertical="top"/>
    </xf>
    <xf numFmtId="0" fontId="4" fillId="39" borderId="34" xfId="0" applyFont="1" applyFill="1" applyBorder="1" applyAlignment="1" applyProtection="1">
      <alignment horizontal="left" vertical="top"/>
      <protection locked="0"/>
    </xf>
    <xf numFmtId="0" fontId="4" fillId="39" borderId="0" xfId="0" applyFont="1" applyFill="1" applyBorder="1" applyAlignment="1" applyProtection="1">
      <alignment horizontal="left" vertical="top"/>
      <protection locked="0"/>
    </xf>
    <xf numFmtId="0" fontId="4" fillId="39" borderId="52" xfId="0" applyFont="1" applyFill="1" applyBorder="1" applyAlignment="1" applyProtection="1">
      <alignment vertical="top"/>
      <protection locked="0"/>
    </xf>
    <xf numFmtId="0" fontId="4" fillId="39" borderId="47" xfId="0" applyFont="1" applyFill="1" applyBorder="1" applyAlignment="1" applyProtection="1">
      <alignment vertical="top"/>
      <protection locked="0"/>
    </xf>
    <xf numFmtId="0" fontId="4" fillId="39" borderId="0" xfId="0" applyFont="1" applyFill="1" applyBorder="1" applyAlignment="1">
      <alignment vertical="top"/>
    </xf>
    <xf numFmtId="0" fontId="5" fillId="0" borderId="76" xfId="0" applyFont="1" applyBorder="1" applyAlignment="1" applyProtection="1">
      <alignment horizontal="center" vertical="center"/>
      <protection locked="0"/>
    </xf>
    <xf numFmtId="0" fontId="5" fillId="0" borderId="83" xfId="0" applyFont="1" applyBorder="1" applyAlignment="1" applyProtection="1">
      <alignment horizontal="center" vertical="center"/>
      <protection locked="0"/>
    </xf>
    <xf numFmtId="0" fontId="5" fillId="0" borderId="87" xfId="0" applyFont="1" applyBorder="1" applyAlignment="1" applyProtection="1">
      <alignment horizontal="center" vertical="center"/>
      <protection locked="0"/>
    </xf>
    <xf numFmtId="0" fontId="5" fillId="42" borderId="76" xfId="0" applyFont="1" applyFill="1" applyBorder="1" applyAlignment="1" applyProtection="1">
      <alignment horizontal="center" vertical="center" wrapText="1"/>
      <protection locked="0"/>
    </xf>
    <xf numFmtId="0" fontId="5" fillId="43" borderId="78" xfId="0" applyFont="1" applyFill="1" applyBorder="1" applyAlignment="1" applyProtection="1">
      <alignment horizontal="center" vertical="center" wrapText="1"/>
      <protection locked="0"/>
    </xf>
    <xf numFmtId="0" fontId="5" fillId="44" borderId="94" xfId="0" applyFont="1" applyFill="1" applyBorder="1" applyAlignment="1" applyProtection="1">
      <alignment horizontal="center" vertical="center" wrapText="1"/>
      <protection locked="0"/>
    </xf>
    <xf numFmtId="0" fontId="66" fillId="45" borderId="32" xfId="0" applyFont="1" applyFill="1" applyBorder="1" applyAlignment="1" applyProtection="1">
      <alignment horizontal="left" vertical="center"/>
    </xf>
    <xf numFmtId="0" fontId="68" fillId="45" borderId="19" xfId="0" applyFont="1" applyFill="1" applyBorder="1" applyProtection="1"/>
    <xf numFmtId="0" fontId="68" fillId="45" borderId="19" xfId="0" applyFont="1" applyFill="1" applyBorder="1" applyProtection="1">
      <protection locked="0"/>
    </xf>
    <xf numFmtId="0" fontId="68" fillId="45" borderId="5" xfId="0" applyFont="1" applyFill="1" applyBorder="1" applyProtection="1">
      <protection locked="0"/>
    </xf>
    <xf numFmtId="0" fontId="68" fillId="45" borderId="31" xfId="0" applyFont="1" applyFill="1" applyBorder="1" applyProtection="1">
      <protection locked="0"/>
    </xf>
    <xf numFmtId="0" fontId="67" fillId="22" borderId="0" xfId="0" applyFont="1" applyFill="1" applyProtection="1">
      <protection locked="0"/>
    </xf>
    <xf numFmtId="0" fontId="5" fillId="46" borderId="72" xfId="0" applyNumberFormat="1" applyFont="1" applyFill="1" applyBorder="1" applyAlignment="1" applyProtection="1">
      <alignment vertical="center"/>
    </xf>
    <xf numFmtId="0" fontId="5" fillId="46" borderId="5" xfId="0" applyNumberFormat="1" applyFont="1" applyFill="1" applyBorder="1" applyAlignment="1" applyProtection="1">
      <alignment vertical="top" wrapText="1"/>
    </xf>
    <xf numFmtId="0" fontId="5" fillId="46" borderId="5" xfId="0" applyNumberFormat="1" applyFont="1" applyFill="1" applyBorder="1" applyAlignment="1" applyProtection="1">
      <alignment vertical="top" wrapText="1"/>
      <protection locked="0"/>
    </xf>
    <xf numFmtId="165" fontId="5" fillId="46" borderId="5" xfId="0" applyNumberFormat="1" applyFont="1" applyFill="1" applyBorder="1" applyAlignment="1" applyProtection="1">
      <alignment horizontal="center" vertical="top" wrapText="1"/>
      <protection locked="0"/>
    </xf>
    <xf numFmtId="0" fontId="5" fillId="46" borderId="5" xfId="0" applyNumberFormat="1" applyFont="1" applyFill="1" applyBorder="1" applyAlignment="1" applyProtection="1">
      <alignment horizontal="center" vertical="top" wrapText="1"/>
      <protection locked="0"/>
    </xf>
    <xf numFmtId="0" fontId="5" fillId="46" borderId="6" xfId="0" applyNumberFormat="1" applyFont="1" applyFill="1" applyBorder="1" applyAlignment="1" applyProtection="1">
      <alignment vertical="top" wrapText="1"/>
      <protection locked="0"/>
    </xf>
    <xf numFmtId="0" fontId="4" fillId="34" borderId="23" xfId="0" applyNumberFormat="1" applyFont="1" applyFill="1" applyBorder="1" applyAlignment="1" applyProtection="1">
      <alignment vertical="center"/>
    </xf>
    <xf numFmtId="0" fontId="4" fillId="34" borderId="24" xfId="0" applyNumberFormat="1" applyFont="1" applyFill="1" applyBorder="1" applyAlignment="1" applyProtection="1">
      <alignment vertical="center" wrapText="1"/>
    </xf>
    <xf numFmtId="165" fontId="4" fillId="34" borderId="26" xfId="0" applyNumberFormat="1" applyFont="1" applyFill="1" applyBorder="1" applyAlignment="1" applyProtection="1">
      <alignment horizontal="center" vertical="center"/>
      <protection locked="0"/>
    </xf>
    <xf numFmtId="165" fontId="4" fillId="34" borderId="18" xfId="0" applyNumberFormat="1" applyFont="1" applyFill="1" applyBorder="1" applyAlignment="1" applyProtection="1">
      <alignment horizontal="center" vertical="center"/>
      <protection locked="0"/>
    </xf>
    <xf numFmtId="1" fontId="4" fillId="34" borderId="25" xfId="0" applyNumberFormat="1" applyFont="1" applyFill="1" applyBorder="1" applyAlignment="1" applyProtection="1">
      <alignment horizontal="center" vertical="center"/>
      <protection locked="0"/>
    </xf>
    <xf numFmtId="1" fontId="4" fillId="34" borderId="26" xfId="0" applyNumberFormat="1" applyFont="1" applyFill="1" applyBorder="1" applyAlignment="1" applyProtection="1">
      <alignment horizontal="center" vertical="center"/>
      <protection locked="0"/>
    </xf>
    <xf numFmtId="168" fontId="4" fillId="34" borderId="18" xfId="0" applyNumberFormat="1" applyFont="1" applyFill="1" applyBorder="1" applyAlignment="1" applyProtection="1">
      <alignment horizontal="center" vertical="center"/>
    </xf>
    <xf numFmtId="168" fontId="4" fillId="47" borderId="18" xfId="0" applyNumberFormat="1" applyFont="1" applyFill="1" applyBorder="1" applyAlignment="1" applyProtection="1">
      <alignment horizontal="center" vertical="center"/>
    </xf>
    <xf numFmtId="1" fontId="4" fillId="48" borderId="25" xfId="0" applyNumberFormat="1" applyFont="1" applyFill="1" applyBorder="1" applyAlignment="1" applyProtection="1">
      <alignment horizontal="center" vertical="center"/>
      <protection locked="0"/>
    </xf>
    <xf numFmtId="1" fontId="4" fillId="48" borderId="26" xfId="0" applyNumberFormat="1" applyFont="1" applyFill="1" applyBorder="1" applyAlignment="1" applyProtection="1">
      <alignment horizontal="center" vertical="center"/>
      <protection locked="0"/>
    </xf>
    <xf numFmtId="168" fontId="4" fillId="48" borderId="18" xfId="0" applyNumberFormat="1" applyFont="1" applyFill="1" applyBorder="1" applyAlignment="1" applyProtection="1">
      <alignment horizontal="center" vertical="center"/>
      <protection locked="0"/>
    </xf>
    <xf numFmtId="1" fontId="4" fillId="41" borderId="25" xfId="0" applyNumberFormat="1" applyFont="1" applyFill="1" applyBorder="1" applyAlignment="1" applyProtection="1">
      <alignment horizontal="center" vertical="center"/>
      <protection locked="0"/>
    </xf>
    <xf numFmtId="168" fontId="4" fillId="32" borderId="18" xfId="0" applyNumberFormat="1" applyFont="1" applyFill="1" applyBorder="1" applyAlignment="1" applyProtection="1">
      <alignment horizontal="center" vertical="center"/>
      <protection locked="0"/>
    </xf>
    <xf numFmtId="0" fontId="4" fillId="49" borderId="21" xfId="0" applyFont="1" applyFill="1" applyBorder="1" applyAlignment="1" applyProtection="1">
      <alignment horizontal="center" vertical="center"/>
      <protection locked="0"/>
    </xf>
    <xf numFmtId="0" fontId="67" fillId="49" borderId="0" xfId="0" applyFont="1" applyFill="1" applyProtection="1">
      <protection locked="0"/>
    </xf>
    <xf numFmtId="0" fontId="4" fillId="50" borderId="95" xfId="0" applyNumberFormat="1" applyFont="1" applyFill="1" applyBorder="1" applyAlignment="1" applyProtection="1">
      <alignment vertical="center"/>
    </xf>
    <xf numFmtId="165" fontId="4" fillId="50" borderId="9" xfId="0" applyNumberFormat="1" applyFont="1" applyFill="1" applyBorder="1" applyAlignment="1" applyProtection="1">
      <alignment horizontal="center" vertical="center"/>
      <protection locked="0"/>
    </xf>
    <xf numFmtId="165" fontId="4" fillId="50" borderId="10" xfId="0" applyNumberFormat="1" applyFont="1" applyFill="1" applyBorder="1" applyAlignment="1" applyProtection="1">
      <alignment horizontal="center" vertical="center"/>
      <protection locked="0"/>
    </xf>
    <xf numFmtId="1" fontId="4" fillId="50" borderId="15" xfId="0" applyNumberFormat="1" applyFont="1" applyFill="1" applyBorder="1" applyAlignment="1" applyProtection="1">
      <alignment horizontal="center" vertical="center"/>
      <protection locked="0"/>
    </xf>
    <xf numFmtId="168" fontId="4" fillId="50" borderId="3" xfId="0" applyNumberFormat="1" applyFont="1" applyFill="1" applyBorder="1" applyAlignment="1" applyProtection="1">
      <alignment horizontal="center" vertical="center"/>
    </xf>
    <xf numFmtId="1" fontId="4" fillId="50" borderId="1" xfId="0" applyNumberFormat="1" applyFont="1" applyFill="1" applyBorder="1" applyAlignment="1" applyProtection="1">
      <alignment horizontal="center" vertical="center"/>
      <protection locked="0"/>
    </xf>
    <xf numFmtId="1" fontId="4" fillId="50" borderId="2" xfId="0" applyNumberFormat="1" applyFont="1" applyFill="1" applyBorder="1" applyAlignment="1" applyProtection="1">
      <alignment horizontal="center" vertical="center"/>
      <protection locked="0"/>
    </xf>
    <xf numFmtId="168" fontId="4" fillId="50" borderId="3" xfId="0" applyNumberFormat="1" applyFont="1" applyFill="1" applyBorder="1" applyAlignment="1" applyProtection="1">
      <alignment horizontal="center" vertical="center"/>
      <protection locked="0"/>
    </xf>
    <xf numFmtId="0" fontId="38" fillId="50" borderId="13" xfId="0" applyFont="1" applyFill="1" applyBorder="1" applyAlignment="1" applyProtection="1">
      <alignment wrapText="1"/>
      <protection locked="0"/>
    </xf>
    <xf numFmtId="0" fontId="67" fillId="50" borderId="0" xfId="0" applyFont="1" applyFill="1" applyProtection="1">
      <protection locked="0"/>
    </xf>
    <xf numFmtId="0" fontId="4" fillId="2" borderId="111" xfId="0" applyNumberFormat="1" applyFont="1" applyFill="1" applyBorder="1" applyAlignment="1" applyProtection="1">
      <alignment vertical="center" wrapText="1"/>
    </xf>
    <xf numFmtId="165" fontId="4" fillId="2" borderId="78" xfId="0" applyNumberFormat="1" applyFont="1" applyFill="1" applyBorder="1" applyAlignment="1" applyProtection="1">
      <alignment horizontal="center" vertical="center"/>
      <protection locked="0"/>
    </xf>
    <xf numFmtId="165" fontId="4" fillId="2" borderId="87" xfId="0" applyNumberFormat="1" applyFont="1" applyFill="1" applyBorder="1" applyAlignment="1" applyProtection="1">
      <alignment horizontal="center" vertical="center"/>
      <protection locked="0"/>
    </xf>
    <xf numFmtId="1" fontId="4" fillId="2" borderId="76" xfId="0" applyNumberFormat="1" applyFont="1" applyFill="1" applyBorder="1" applyAlignment="1" applyProtection="1">
      <alignment horizontal="center" vertical="center"/>
      <protection locked="0"/>
    </xf>
    <xf numFmtId="1" fontId="4" fillId="2" borderId="78" xfId="0" applyNumberFormat="1" applyFont="1" applyFill="1" applyBorder="1" applyAlignment="1" applyProtection="1">
      <alignment horizontal="center" vertical="center"/>
      <protection locked="0"/>
    </xf>
    <xf numFmtId="168" fontId="4" fillId="2" borderId="87" xfId="0" applyNumberFormat="1" applyFont="1" applyFill="1" applyBorder="1" applyAlignment="1" applyProtection="1">
      <alignment horizontal="center" vertical="center"/>
    </xf>
    <xf numFmtId="1" fontId="4" fillId="2" borderId="28" xfId="0" applyNumberFormat="1" applyFont="1" applyFill="1" applyBorder="1" applyAlignment="1" applyProtection="1">
      <alignment horizontal="center" vertical="center"/>
      <protection locked="0"/>
    </xf>
    <xf numFmtId="168" fontId="4" fillId="2" borderId="87" xfId="0" applyNumberFormat="1" applyFont="1" applyFill="1" applyBorder="1" applyAlignment="1" applyProtection="1">
      <alignment horizontal="center" vertical="center"/>
      <protection locked="0"/>
    </xf>
    <xf numFmtId="168" fontId="4" fillId="2" borderId="29" xfId="0" applyNumberFormat="1" applyFont="1" applyFill="1" applyBorder="1" applyAlignment="1" applyProtection="1">
      <alignment horizontal="center" vertical="center"/>
      <protection locked="0"/>
    </xf>
    <xf numFmtId="0" fontId="38" fillId="2" borderId="2" xfId="0" applyFont="1" applyFill="1" applyBorder="1" applyAlignment="1" applyProtection="1">
      <alignment wrapText="1"/>
      <protection locked="0"/>
    </xf>
    <xf numFmtId="0" fontId="67" fillId="2" borderId="0" xfId="0" applyFont="1" applyFill="1" applyProtection="1">
      <protection locked="0"/>
    </xf>
    <xf numFmtId="1" fontId="4" fillId="41" borderId="15" xfId="0" applyNumberFormat="1" applyFont="1" applyFill="1" applyBorder="1" applyAlignment="1" applyProtection="1">
      <alignment horizontal="center" vertical="center"/>
      <protection locked="0"/>
    </xf>
    <xf numFmtId="0" fontId="4" fillId="49" borderId="93" xfId="0" applyFont="1" applyFill="1" applyBorder="1" applyAlignment="1" applyProtection="1">
      <alignment horizontal="center" vertical="center"/>
      <protection locked="0"/>
    </xf>
    <xf numFmtId="0" fontId="4" fillId="50" borderId="110" xfId="0" applyNumberFormat="1" applyFont="1" applyFill="1" applyBorder="1" applyAlignment="1" applyProtection="1">
      <alignment vertical="center"/>
    </xf>
    <xf numFmtId="167" fontId="4" fillId="50" borderId="1" xfId="0" applyNumberFormat="1" applyFont="1" applyFill="1" applyBorder="1" applyAlignment="1" applyProtection="1">
      <alignment horizontal="center" vertical="center"/>
      <protection locked="0"/>
    </xf>
    <xf numFmtId="165" fontId="4" fillId="50" borderId="2" xfId="0" applyNumberFormat="1" applyFont="1" applyFill="1" applyBorder="1" applyAlignment="1" applyProtection="1">
      <alignment horizontal="center" vertical="center"/>
      <protection locked="0"/>
    </xf>
    <xf numFmtId="165" fontId="4" fillId="50" borderId="3" xfId="0" applyNumberFormat="1" applyFont="1" applyFill="1" applyBorder="1" applyAlignment="1" applyProtection="1">
      <alignment horizontal="center" vertical="center"/>
      <protection locked="0"/>
    </xf>
    <xf numFmtId="0" fontId="4" fillId="2" borderId="100" xfId="0" applyNumberFormat="1" applyFont="1" applyFill="1" applyBorder="1" applyAlignment="1" applyProtection="1">
      <alignment vertical="center" wrapText="1"/>
    </xf>
    <xf numFmtId="165" fontId="4" fillId="2" borderId="28" xfId="0" applyNumberFormat="1" applyFont="1" applyFill="1" applyBorder="1" applyAlignment="1" applyProtection="1">
      <alignment horizontal="center" vertical="center"/>
      <protection locked="0"/>
    </xf>
    <xf numFmtId="165" fontId="4" fillId="2" borderId="29" xfId="0" applyNumberFormat="1" applyFont="1" applyFill="1" applyBorder="1" applyAlignment="1" applyProtection="1">
      <alignment horizontal="center" vertical="center"/>
      <protection locked="0"/>
    </xf>
    <xf numFmtId="1" fontId="4" fillId="2" borderId="27" xfId="0" applyNumberFormat="1" applyFont="1" applyFill="1" applyBorder="1" applyAlignment="1" applyProtection="1">
      <alignment horizontal="center" vertical="center"/>
      <protection locked="0"/>
    </xf>
    <xf numFmtId="168" fontId="4" fillId="2" borderId="29" xfId="0" applyNumberFormat="1" applyFont="1" applyFill="1" applyBorder="1" applyAlignment="1" applyProtection="1">
      <alignment horizontal="center" vertical="center"/>
    </xf>
    <xf numFmtId="0" fontId="38" fillId="2" borderId="112" xfId="0" applyFont="1" applyFill="1" applyBorder="1" applyAlignment="1" applyProtection="1">
      <alignment wrapText="1"/>
      <protection locked="0"/>
    </xf>
    <xf numFmtId="0" fontId="5" fillId="50" borderId="32" xfId="0" applyNumberFormat="1" applyFont="1" applyFill="1" applyBorder="1" applyAlignment="1" applyProtection="1">
      <alignment vertical="center"/>
    </xf>
    <xf numFmtId="0" fontId="5" fillId="50" borderId="19" xfId="0" applyNumberFormat="1" applyFont="1" applyFill="1" applyBorder="1" applyAlignment="1" applyProtection="1">
      <alignment vertical="top" wrapText="1"/>
    </xf>
    <xf numFmtId="1" fontId="5" fillId="50" borderId="19" xfId="0" applyNumberFormat="1" applyFont="1" applyFill="1" applyBorder="1" applyAlignment="1" applyProtection="1">
      <alignment vertical="top" wrapText="1"/>
      <protection locked="0"/>
    </xf>
    <xf numFmtId="165" fontId="5" fillId="50" borderId="19" xfId="0" applyNumberFormat="1" applyFont="1" applyFill="1" applyBorder="1" applyAlignment="1" applyProtection="1">
      <alignment horizontal="center" vertical="top" wrapText="1"/>
      <protection locked="0"/>
    </xf>
    <xf numFmtId="1" fontId="5" fillId="50" borderId="19" xfId="0" applyNumberFormat="1" applyFont="1" applyFill="1" applyBorder="1" applyAlignment="1" applyProtection="1">
      <alignment horizontal="center" vertical="top" wrapText="1"/>
      <protection locked="0"/>
    </xf>
    <xf numFmtId="168" fontId="5" fillId="50" borderId="19" xfId="0" applyNumberFormat="1" applyFont="1" applyFill="1" applyBorder="1" applyAlignment="1" applyProtection="1">
      <alignment vertical="top" wrapText="1"/>
      <protection locked="0"/>
    </xf>
    <xf numFmtId="1" fontId="5" fillId="50" borderId="0" xfId="0" applyNumberFormat="1" applyFont="1" applyFill="1" applyBorder="1" applyAlignment="1" applyProtection="1">
      <alignment vertical="top" wrapText="1"/>
      <protection locked="0"/>
    </xf>
    <xf numFmtId="0" fontId="5" fillId="50" borderId="19" xfId="0" applyNumberFormat="1" applyFont="1" applyFill="1" applyBorder="1" applyAlignment="1" applyProtection="1">
      <alignment vertical="top" wrapText="1"/>
      <protection locked="0"/>
    </xf>
    <xf numFmtId="168" fontId="5" fillId="50" borderId="31" xfId="0" applyNumberFormat="1" applyFont="1" applyFill="1" applyBorder="1" applyAlignment="1" applyProtection="1">
      <alignment vertical="top" wrapText="1"/>
      <protection locked="0"/>
    </xf>
    <xf numFmtId="168" fontId="4" fillId="34" borderId="33" xfId="0" applyNumberFormat="1" applyFont="1" applyFill="1" applyBorder="1" applyAlignment="1" applyProtection="1">
      <alignment horizontal="center" vertical="center"/>
    </xf>
    <xf numFmtId="1" fontId="4" fillId="34" borderId="36" xfId="0" applyNumberFormat="1" applyFont="1" applyFill="1" applyBorder="1" applyAlignment="1" applyProtection="1">
      <alignment horizontal="center" vertical="center"/>
      <protection locked="0"/>
    </xf>
    <xf numFmtId="168" fontId="4" fillId="47" borderId="33" xfId="0" applyNumberFormat="1" applyFont="1" applyFill="1" applyBorder="1" applyAlignment="1" applyProtection="1">
      <alignment horizontal="center" vertical="center"/>
    </xf>
    <xf numFmtId="168" fontId="4" fillId="48" borderId="33" xfId="0" applyNumberFormat="1" applyFont="1" applyFill="1" applyBorder="1" applyAlignment="1" applyProtection="1">
      <alignment horizontal="center" vertical="center"/>
      <protection locked="0"/>
    </xf>
    <xf numFmtId="0" fontId="38" fillId="34" borderId="12" xfId="0" applyFont="1" applyFill="1" applyBorder="1" applyAlignment="1" applyProtection="1">
      <alignment wrapText="1"/>
      <protection locked="0"/>
    </xf>
    <xf numFmtId="168" fontId="4" fillId="50" borderId="4" xfId="0" applyNumberFormat="1" applyFont="1" applyFill="1" applyBorder="1" applyAlignment="1" applyProtection="1">
      <alignment horizontal="center" vertical="center"/>
    </xf>
    <xf numFmtId="1" fontId="4" fillId="50" borderId="11" xfId="0" applyNumberFormat="1" applyFont="1" applyFill="1" applyBorder="1" applyAlignment="1" applyProtection="1">
      <alignment horizontal="center" vertical="center"/>
      <protection locked="0"/>
    </xf>
    <xf numFmtId="168" fontId="4" fillId="50" borderId="4" xfId="0" applyNumberFormat="1" applyFont="1" applyFill="1" applyBorder="1" applyAlignment="1" applyProtection="1">
      <alignment horizontal="center" vertical="center"/>
      <protection locked="0"/>
    </xf>
    <xf numFmtId="0" fontId="4" fillId="50" borderId="93" xfId="0" applyFont="1" applyFill="1" applyBorder="1" applyAlignment="1" applyProtection="1">
      <alignment horizontal="center" vertical="center"/>
      <protection locked="0"/>
    </xf>
    <xf numFmtId="168" fontId="4" fillId="2" borderId="43" xfId="0" applyNumberFormat="1" applyFont="1" applyFill="1" applyBorder="1" applyAlignment="1" applyProtection="1">
      <alignment horizontal="center" vertical="center"/>
    </xf>
    <xf numFmtId="168" fontId="4" fillId="2" borderId="43" xfId="0" applyNumberFormat="1" applyFont="1" applyFill="1" applyBorder="1" applyAlignment="1" applyProtection="1">
      <alignment horizontal="center" vertical="center"/>
      <protection locked="0"/>
    </xf>
    <xf numFmtId="0" fontId="4" fillId="2" borderId="93" xfId="0" applyFont="1" applyFill="1" applyBorder="1" applyAlignment="1" applyProtection="1">
      <alignment horizontal="center" vertical="center"/>
      <protection locked="0"/>
    </xf>
    <xf numFmtId="1" fontId="4" fillId="2" borderId="30" xfId="0" applyNumberFormat="1" applyFont="1" applyFill="1" applyBorder="1" applyAlignment="1" applyProtection="1">
      <alignment horizontal="center" vertical="center"/>
      <protection locked="0"/>
    </xf>
    <xf numFmtId="165" fontId="4" fillId="34" borderId="26" xfId="0" quotePrefix="1" applyNumberFormat="1" applyFont="1" applyFill="1" applyBorder="1" applyAlignment="1" applyProtection="1">
      <alignment horizontal="center" vertical="center"/>
      <protection locked="0"/>
    </xf>
    <xf numFmtId="165" fontId="4" fillId="50" borderId="2" xfId="0" quotePrefix="1" applyNumberFormat="1" applyFont="1" applyFill="1" applyBorder="1" applyAlignment="1" applyProtection="1">
      <alignment horizontal="center" vertical="center"/>
      <protection locked="0"/>
    </xf>
    <xf numFmtId="0" fontId="4" fillId="49" borderId="0" xfId="0" applyFont="1" applyFill="1" applyBorder="1" applyAlignment="1" applyProtection="1">
      <alignment horizontal="center"/>
      <protection locked="0"/>
    </xf>
    <xf numFmtId="0" fontId="38" fillId="33" borderId="39" xfId="0" applyFont="1" applyFill="1" applyBorder="1" applyAlignment="1" applyProtection="1">
      <alignment wrapText="1"/>
      <protection locked="0"/>
    </xf>
    <xf numFmtId="49" fontId="4" fillId="49" borderId="0" xfId="0" applyNumberFormat="1" applyFont="1" applyFill="1" applyBorder="1" applyAlignment="1" applyProtection="1">
      <alignment horizontal="center"/>
      <protection locked="0"/>
    </xf>
    <xf numFmtId="49" fontId="67" fillId="49" borderId="0" xfId="0" applyNumberFormat="1" applyFont="1" applyFill="1" applyProtection="1">
      <protection locked="0"/>
    </xf>
    <xf numFmtId="0" fontId="5" fillId="46" borderId="32" xfId="0" applyNumberFormat="1" applyFont="1" applyFill="1" applyBorder="1" applyAlignment="1" applyProtection="1">
      <alignment vertical="center"/>
    </xf>
    <xf numFmtId="0" fontId="5" fillId="46" borderId="19" xfId="0" applyNumberFormat="1" applyFont="1" applyFill="1" applyBorder="1" applyAlignment="1" applyProtection="1">
      <alignment vertical="top" wrapText="1"/>
    </xf>
    <xf numFmtId="0" fontId="5" fillId="46" borderId="19" xfId="0" applyNumberFormat="1" applyFont="1" applyFill="1" applyBorder="1" applyAlignment="1" applyProtection="1">
      <alignment vertical="top" wrapText="1"/>
      <protection locked="0"/>
    </xf>
    <xf numFmtId="0" fontId="5" fillId="46" borderId="31" xfId="0" applyNumberFormat="1" applyFont="1" applyFill="1" applyBorder="1" applyAlignment="1" applyProtection="1">
      <alignment vertical="top" wrapText="1"/>
      <protection locked="0"/>
    </xf>
    <xf numFmtId="0" fontId="4" fillId="50" borderId="0" xfId="0" applyFont="1" applyFill="1" applyBorder="1" applyAlignment="1" applyProtection="1">
      <alignment horizontal="center"/>
      <protection locked="0"/>
    </xf>
    <xf numFmtId="0" fontId="38" fillId="50" borderId="39" xfId="0" applyFont="1" applyFill="1" applyBorder="1" applyAlignment="1" applyProtection="1">
      <alignment wrapText="1"/>
      <protection locked="0"/>
    </xf>
    <xf numFmtId="0" fontId="4" fillId="2" borderId="0" xfId="0" applyFont="1" applyFill="1" applyBorder="1" applyAlignment="1" applyProtection="1">
      <alignment horizontal="center"/>
      <protection locked="0"/>
    </xf>
    <xf numFmtId="0" fontId="38" fillId="2" borderId="40" xfId="0" applyFont="1" applyFill="1" applyBorder="1" applyAlignment="1" applyProtection="1">
      <alignment wrapText="1"/>
      <protection locked="0"/>
    </xf>
    <xf numFmtId="1" fontId="5" fillId="50" borderId="47" xfId="0" applyNumberFormat="1" applyFont="1" applyFill="1" applyBorder="1" applyAlignment="1" applyProtection="1">
      <alignment vertical="top" wrapText="1"/>
      <protection locked="0"/>
    </xf>
    <xf numFmtId="0" fontId="67" fillId="0" borderId="0" xfId="0" applyFont="1"/>
    <xf numFmtId="0" fontId="67" fillId="0" borderId="0" xfId="0" applyFont="1" applyFill="1" applyBorder="1" applyAlignment="1" applyProtection="1">
      <alignment horizontal="center"/>
      <protection locked="0"/>
    </xf>
    <xf numFmtId="0" fontId="69" fillId="0" borderId="0" xfId="0" applyFont="1" applyAlignment="1" applyProtection="1">
      <alignment wrapText="1"/>
      <protection locked="0"/>
    </xf>
    <xf numFmtId="0" fontId="10" fillId="28" borderId="107" xfId="0" applyFont="1" applyFill="1" applyBorder="1" applyAlignment="1">
      <alignment vertical="center" wrapText="1"/>
    </xf>
    <xf numFmtId="0" fontId="10" fillId="0" borderId="20" xfId="0" applyFont="1" applyBorder="1" applyAlignment="1">
      <alignment horizontal="left" vertical="top" wrapText="1"/>
    </xf>
    <xf numFmtId="0" fontId="10" fillId="0" borderId="32" xfId="0" applyFont="1" applyBorder="1" applyAlignment="1">
      <alignment horizontal="left" vertical="top" wrapText="1"/>
    </xf>
    <xf numFmtId="0" fontId="29" fillId="28" borderId="105" xfId="0" applyFont="1" applyFill="1" applyBorder="1" applyAlignment="1">
      <alignment horizontal="left" vertical="top" wrapText="1" indent="5"/>
    </xf>
    <xf numFmtId="0" fontId="30" fillId="28" borderId="105" xfId="0" applyFont="1" applyFill="1" applyBorder="1" applyAlignment="1">
      <alignment horizontal="left" vertical="top" wrapText="1" indent="10"/>
    </xf>
    <xf numFmtId="0" fontId="30" fillId="28" borderId="107" xfId="0" applyFont="1" applyFill="1" applyBorder="1" applyAlignment="1">
      <alignment horizontal="left" vertical="center" wrapText="1" indent="10"/>
    </xf>
    <xf numFmtId="0" fontId="29" fillId="28" borderId="57" xfId="0" applyFont="1" applyFill="1" applyBorder="1" applyAlignment="1">
      <alignment horizontal="left" vertical="center" wrapText="1" indent="5"/>
    </xf>
    <xf numFmtId="0" fontId="4" fillId="33" borderId="5" xfId="0" applyFont="1" applyFill="1" applyBorder="1" applyProtection="1">
      <protection locked="0"/>
    </xf>
    <xf numFmtId="0" fontId="5" fillId="15" borderId="21" xfId="0" applyFont="1" applyFill="1" applyBorder="1" applyAlignment="1" applyProtection="1">
      <alignment vertical="top"/>
      <protection locked="0"/>
    </xf>
    <xf numFmtId="0" fontId="5" fillId="15" borderId="24" xfId="0" applyFont="1" applyFill="1" applyBorder="1" applyAlignment="1" applyProtection="1">
      <alignment vertical="top"/>
      <protection locked="0"/>
    </xf>
    <xf numFmtId="0" fontId="5" fillId="15" borderId="17" xfId="0" applyFont="1" applyFill="1" applyBorder="1" applyAlignment="1" applyProtection="1">
      <alignment vertical="top"/>
      <protection locked="0"/>
    </xf>
    <xf numFmtId="0" fontId="5" fillId="15" borderId="14" xfId="0" applyFont="1" applyFill="1" applyBorder="1" applyAlignment="1" applyProtection="1">
      <alignment vertical="top"/>
      <protection locked="0"/>
    </xf>
    <xf numFmtId="0" fontId="5" fillId="15" borderId="77" xfId="0" applyFont="1" applyFill="1" applyBorder="1" applyAlignment="1" applyProtection="1">
      <alignment vertical="top"/>
      <protection locked="0"/>
    </xf>
    <xf numFmtId="0" fontId="5" fillId="15" borderId="79" xfId="0" applyFont="1" applyFill="1" applyBorder="1" applyAlignment="1" applyProtection="1">
      <alignment vertical="top"/>
      <protection locked="0"/>
    </xf>
    <xf numFmtId="0" fontId="5" fillId="42" borderId="27" xfId="0" applyFont="1" applyFill="1" applyBorder="1" applyAlignment="1" applyProtection="1">
      <alignment horizontal="center" vertical="center" wrapText="1"/>
      <protection locked="0"/>
    </xf>
    <xf numFmtId="0" fontId="5" fillId="43" borderId="28" xfId="0" applyFont="1" applyFill="1" applyBorder="1" applyAlignment="1" applyProtection="1">
      <alignment horizontal="center" vertical="center" wrapText="1"/>
      <protection locked="0"/>
    </xf>
    <xf numFmtId="0" fontId="5" fillId="44" borderId="29" xfId="0" applyFont="1" applyFill="1" applyBorder="1" applyAlignment="1" applyProtection="1">
      <alignment horizontal="center" vertical="center" wrapText="1"/>
      <protection locked="0"/>
    </xf>
    <xf numFmtId="0" fontId="5" fillId="18" borderId="32" xfId="0" applyNumberFormat="1" applyFont="1" applyFill="1" applyBorder="1" applyAlignment="1" applyProtection="1">
      <alignment vertical="center"/>
      <protection locked="0"/>
    </xf>
    <xf numFmtId="0" fontId="5" fillId="18" borderId="19" xfId="0" applyNumberFormat="1" applyFont="1" applyFill="1" applyBorder="1" applyAlignment="1" applyProtection="1">
      <alignment vertical="top" wrapText="1"/>
      <protection locked="0"/>
    </xf>
    <xf numFmtId="1" fontId="5" fillId="18" borderId="19" xfId="0" applyNumberFormat="1" applyFont="1" applyFill="1" applyBorder="1" applyAlignment="1" applyProtection="1">
      <alignment vertical="top" wrapText="1"/>
      <protection locked="0"/>
    </xf>
    <xf numFmtId="168" fontId="5" fillId="18" borderId="19" xfId="0" applyNumberFormat="1" applyFont="1" applyFill="1" applyBorder="1" applyAlignment="1" applyProtection="1">
      <alignment vertical="top" wrapText="1"/>
      <protection locked="0"/>
    </xf>
    <xf numFmtId="168" fontId="5" fillId="18" borderId="31" xfId="0" applyNumberFormat="1" applyFont="1" applyFill="1" applyBorder="1" applyAlignment="1" applyProtection="1">
      <alignment vertical="top" wrapText="1"/>
      <protection locked="0"/>
    </xf>
    <xf numFmtId="0" fontId="4" fillId="22" borderId="0" xfId="0" applyFont="1" applyFill="1" applyBorder="1" applyAlignment="1" applyProtection="1">
      <alignment horizontal="center"/>
      <protection locked="0"/>
    </xf>
    <xf numFmtId="0" fontId="38" fillId="0" borderId="13" xfId="0" applyFont="1" applyFill="1" applyBorder="1" applyAlignment="1" applyProtection="1">
      <alignment wrapText="1"/>
      <protection locked="0"/>
    </xf>
    <xf numFmtId="1" fontId="4" fillId="20" borderId="15" xfId="0" applyNumberFormat="1" applyFont="1" applyFill="1" applyBorder="1" applyAlignment="1" applyProtection="1">
      <alignment horizontal="center" vertical="center"/>
      <protection locked="0"/>
    </xf>
    <xf numFmtId="1" fontId="4" fillId="20" borderId="35" xfId="0" applyNumberFormat="1" applyFont="1" applyFill="1" applyBorder="1" applyAlignment="1" applyProtection="1">
      <alignment horizontal="center" vertical="center"/>
      <protection locked="0"/>
    </xf>
    <xf numFmtId="9" fontId="10" fillId="0" borderId="39" xfId="1" applyFont="1" applyBorder="1" applyAlignment="1">
      <alignment horizontal="center"/>
    </xf>
    <xf numFmtId="1" fontId="4" fillId="47" borderId="15" xfId="0" applyNumberFormat="1" applyFont="1" applyFill="1" applyBorder="1" applyAlignment="1" applyProtection="1">
      <alignment horizontal="center" vertical="center"/>
      <protection locked="0"/>
    </xf>
    <xf numFmtId="1" fontId="4" fillId="47" borderId="9" xfId="0" applyNumberFormat="1" applyFont="1" applyFill="1" applyBorder="1" applyAlignment="1" applyProtection="1">
      <alignment horizontal="center" vertical="center"/>
      <protection locked="0"/>
    </xf>
    <xf numFmtId="1" fontId="4" fillId="20" borderId="9" xfId="0" applyNumberFormat="1" applyFont="1" applyFill="1" applyBorder="1" applyAlignment="1" applyProtection="1">
      <alignment horizontal="center" vertical="center"/>
      <protection locked="0"/>
    </xf>
    <xf numFmtId="1" fontId="4" fillId="48" borderId="15" xfId="0" applyNumberFormat="1" applyFont="1" applyFill="1" applyBorder="1" applyAlignment="1" applyProtection="1">
      <alignment horizontal="center" vertical="center"/>
      <protection locked="0"/>
    </xf>
    <xf numFmtId="9" fontId="4" fillId="48" borderId="10" xfId="0" applyNumberFormat="1" applyFont="1" applyFill="1" applyBorder="1" applyAlignment="1" applyProtection="1">
      <alignment horizontal="center" vertical="center"/>
      <protection locked="0"/>
    </xf>
    <xf numFmtId="9" fontId="4" fillId="32" borderId="10" xfId="0" applyNumberFormat="1" applyFont="1" applyFill="1" applyBorder="1" applyAlignment="1" applyProtection="1">
      <alignment horizontal="center" vertical="center"/>
      <protection locked="0"/>
    </xf>
    <xf numFmtId="1" fontId="4" fillId="20" borderId="1" xfId="0" applyNumberFormat="1" applyFont="1" applyFill="1" applyBorder="1" applyAlignment="1" applyProtection="1">
      <alignment horizontal="center" vertical="center"/>
      <protection locked="0"/>
    </xf>
    <xf numFmtId="1" fontId="4" fillId="20" borderId="4" xfId="0" applyNumberFormat="1" applyFont="1" applyFill="1" applyBorder="1" applyAlignment="1" applyProtection="1">
      <alignment horizontal="center" vertical="center"/>
      <protection locked="0"/>
    </xf>
    <xf numFmtId="9" fontId="10" fillId="0" borderId="13" xfId="1" applyFont="1" applyBorder="1" applyAlignment="1">
      <alignment horizontal="center"/>
    </xf>
    <xf numFmtId="1" fontId="4" fillId="47" borderId="1" xfId="0" applyNumberFormat="1" applyFont="1" applyFill="1" applyBorder="1" applyAlignment="1" applyProtection="1">
      <alignment horizontal="center" vertical="center"/>
      <protection locked="0"/>
    </xf>
    <xf numFmtId="1" fontId="4" fillId="47" borderId="2" xfId="0" applyNumberFormat="1" applyFont="1" applyFill="1" applyBorder="1" applyAlignment="1" applyProtection="1">
      <alignment horizontal="center" vertical="center"/>
      <protection locked="0"/>
    </xf>
    <xf numFmtId="1" fontId="4" fillId="20" borderId="2" xfId="0" applyNumberFormat="1" applyFont="1" applyFill="1" applyBorder="1" applyAlignment="1" applyProtection="1">
      <alignment horizontal="center" vertical="center"/>
      <protection locked="0"/>
    </xf>
    <xf numFmtId="9" fontId="4" fillId="48" borderId="3" xfId="0" applyNumberFormat="1" applyFont="1" applyFill="1" applyBorder="1" applyAlignment="1" applyProtection="1">
      <alignment horizontal="center" vertical="center"/>
      <protection locked="0"/>
    </xf>
    <xf numFmtId="9" fontId="4" fillId="32" borderId="3" xfId="0" applyNumberFormat="1" applyFont="1" applyFill="1" applyBorder="1" applyAlignment="1" applyProtection="1">
      <alignment horizontal="center" vertical="center"/>
      <protection locked="0"/>
    </xf>
    <xf numFmtId="1" fontId="4" fillId="20" borderId="85" xfId="0" applyNumberFormat="1" applyFont="1" applyFill="1" applyBorder="1" applyAlignment="1" applyProtection="1">
      <alignment horizontal="center" vertical="center"/>
      <protection locked="0"/>
    </xf>
    <xf numFmtId="1" fontId="4" fillId="20" borderId="94" xfId="0" applyNumberFormat="1" applyFont="1" applyFill="1" applyBorder="1" applyAlignment="1" applyProtection="1">
      <alignment horizontal="center" vertical="center"/>
      <protection locked="0"/>
    </xf>
    <xf numFmtId="1" fontId="4" fillId="47" borderId="76" xfId="0" applyNumberFormat="1" applyFont="1" applyFill="1" applyBorder="1" applyAlignment="1" applyProtection="1">
      <alignment horizontal="center" vertical="center"/>
      <protection locked="0"/>
    </xf>
    <xf numFmtId="1" fontId="4" fillId="47" borderId="78" xfId="0" applyNumberFormat="1" applyFont="1" applyFill="1" applyBorder="1" applyAlignment="1" applyProtection="1">
      <alignment horizontal="center" vertical="center"/>
      <protection locked="0"/>
    </xf>
    <xf numFmtId="1" fontId="4" fillId="20" borderId="76" xfId="0" applyNumberFormat="1" applyFont="1" applyFill="1" applyBorder="1" applyAlignment="1" applyProtection="1">
      <alignment horizontal="center" vertical="center"/>
      <protection locked="0"/>
    </xf>
    <xf numFmtId="1" fontId="4" fillId="20" borderId="78" xfId="0" applyNumberFormat="1" applyFont="1" applyFill="1" applyBorder="1" applyAlignment="1" applyProtection="1">
      <alignment horizontal="center" vertical="center"/>
      <protection locked="0"/>
    </xf>
    <xf numFmtId="1" fontId="5" fillId="18" borderId="47" xfId="0" applyNumberFormat="1" applyFont="1" applyFill="1" applyBorder="1" applyAlignment="1" applyProtection="1">
      <alignment horizontal="center" vertical="center" wrapText="1"/>
      <protection locked="0"/>
    </xf>
    <xf numFmtId="168" fontId="5" fillId="18" borderId="47" xfId="0" applyNumberFormat="1" applyFont="1" applyFill="1" applyBorder="1" applyAlignment="1" applyProtection="1">
      <alignment horizontal="center" vertical="center" wrapText="1"/>
      <protection locked="0"/>
    </xf>
    <xf numFmtId="9" fontId="5" fillId="18" borderId="44" xfId="0" applyNumberFormat="1" applyFont="1" applyFill="1" applyBorder="1" applyAlignment="1" applyProtection="1">
      <alignment horizontal="center" vertical="center" wrapText="1"/>
      <protection locked="0"/>
    </xf>
    <xf numFmtId="1" fontId="4" fillId="49" borderId="9" xfId="0" applyNumberFormat="1" applyFont="1" applyFill="1" applyBorder="1" applyAlignment="1" applyProtection="1">
      <alignment horizontal="center" vertical="center"/>
      <protection locked="0"/>
    </xf>
    <xf numFmtId="1" fontId="12" fillId="20" borderId="15" xfId="0" applyNumberFormat="1" applyFont="1" applyFill="1" applyBorder="1" applyAlignment="1" applyProtection="1">
      <alignment horizontal="center" vertical="center"/>
      <protection locked="0"/>
    </xf>
    <xf numFmtId="1" fontId="4" fillId="20" borderId="9" xfId="1" applyNumberFormat="1" applyFont="1" applyFill="1" applyBorder="1" applyAlignment="1" applyProtection="1">
      <alignment horizontal="center" vertical="center"/>
      <protection locked="0"/>
    </xf>
    <xf numFmtId="1" fontId="4" fillId="49" borderId="15" xfId="1" applyNumberFormat="1" applyFont="1" applyFill="1" applyBorder="1" applyAlignment="1" applyProtection="1">
      <alignment horizontal="center" vertical="center"/>
      <protection locked="0"/>
    </xf>
    <xf numFmtId="49" fontId="4" fillId="49" borderId="95" xfId="0" applyNumberFormat="1" applyFont="1" applyFill="1" applyBorder="1" applyAlignment="1" applyProtection="1">
      <alignment horizontal="left" vertical="center"/>
      <protection locked="0"/>
    </xf>
    <xf numFmtId="0" fontId="4" fillId="49" borderId="93" xfId="0" applyNumberFormat="1" applyFont="1" applyFill="1" applyBorder="1" applyAlignment="1" applyProtection="1">
      <alignment horizontal="left" vertical="center"/>
      <protection locked="0"/>
    </xf>
    <xf numFmtId="1" fontId="4" fillId="49" borderId="2" xfId="0" applyNumberFormat="1" applyFont="1" applyFill="1" applyBorder="1" applyAlignment="1" applyProtection="1">
      <alignment horizontal="center" vertical="center"/>
      <protection locked="0"/>
    </xf>
    <xf numFmtId="1" fontId="12" fillId="20" borderId="1" xfId="0" applyNumberFormat="1" applyFont="1" applyFill="1" applyBorder="1" applyAlignment="1" applyProtection="1">
      <alignment horizontal="center" vertical="center"/>
      <protection locked="0"/>
    </xf>
    <xf numFmtId="1" fontId="4" fillId="20" borderId="2" xfId="1" applyNumberFormat="1" applyFont="1" applyFill="1" applyBorder="1" applyAlignment="1" applyProtection="1">
      <alignment horizontal="center" vertical="center"/>
      <protection locked="0"/>
    </xf>
    <xf numFmtId="1" fontId="4" fillId="49" borderId="1" xfId="1" applyNumberFormat="1" applyFont="1" applyFill="1" applyBorder="1" applyAlignment="1" applyProtection="1">
      <alignment horizontal="center" vertical="center"/>
      <protection locked="0"/>
    </xf>
    <xf numFmtId="0" fontId="4" fillId="49" borderId="17" xfId="0" applyFont="1" applyFill="1" applyBorder="1" applyAlignment="1" applyProtection="1">
      <alignment horizontal="center" vertical="center"/>
      <protection locked="0"/>
    </xf>
    <xf numFmtId="0" fontId="5" fillId="22" borderId="17" xfId="0" applyNumberFormat="1" applyFont="1" applyFill="1" applyBorder="1" applyAlignment="1" applyProtection="1">
      <alignment horizontal="center" vertical="center" wrapText="1"/>
      <protection locked="0"/>
    </xf>
    <xf numFmtId="0" fontId="5" fillId="22" borderId="93" xfId="0" applyNumberFormat="1" applyFont="1" applyFill="1" applyBorder="1" applyAlignment="1" applyProtection="1">
      <alignment horizontal="center" vertical="center" wrapText="1"/>
      <protection locked="0"/>
    </xf>
    <xf numFmtId="1" fontId="4" fillId="47" borderId="16" xfId="0" applyNumberFormat="1" applyFont="1" applyFill="1" applyBorder="1" applyAlignment="1" applyProtection="1">
      <alignment horizontal="center" vertical="center"/>
      <protection locked="0"/>
    </xf>
    <xf numFmtId="1" fontId="4" fillId="41" borderId="16" xfId="0" applyNumberFormat="1" applyFont="1" applyFill="1" applyBorder="1" applyAlignment="1" applyProtection="1">
      <alignment horizontal="center" vertical="center"/>
      <protection locked="0"/>
    </xf>
    <xf numFmtId="1" fontId="4" fillId="49" borderId="16" xfId="1" applyNumberFormat="1" applyFont="1" applyFill="1" applyBorder="1" applyAlignment="1" applyProtection="1">
      <alignment horizontal="center" vertical="center"/>
      <protection locked="0"/>
    </xf>
    <xf numFmtId="49" fontId="38" fillId="49" borderId="13" xfId="0" applyNumberFormat="1" applyFont="1" applyFill="1" applyBorder="1" applyAlignment="1" applyProtection="1">
      <alignment wrapText="1"/>
      <protection locked="0"/>
    </xf>
    <xf numFmtId="49" fontId="38" fillId="49" borderId="82" xfId="0" applyNumberFormat="1" applyFont="1" applyFill="1" applyBorder="1" applyAlignment="1" applyProtection="1">
      <alignment wrapText="1"/>
      <protection locked="0"/>
    </xf>
    <xf numFmtId="0" fontId="50" fillId="18" borderId="5" xfId="0" applyFont="1" applyFill="1" applyBorder="1" applyAlignment="1">
      <alignment vertical="center" wrapText="1"/>
    </xf>
    <xf numFmtId="0" fontId="50" fillId="18" borderId="47" xfId="0" applyFont="1" applyFill="1" applyBorder="1" applyAlignment="1">
      <alignment horizontal="left" vertical="center" wrapText="1"/>
    </xf>
    <xf numFmtId="0" fontId="50" fillId="18" borderId="44" xfId="0" applyFont="1" applyFill="1" applyBorder="1" applyAlignment="1">
      <alignment horizontal="left" vertical="center" wrapText="1"/>
    </xf>
    <xf numFmtId="0" fontId="5" fillId="15" borderId="77" xfId="0" applyFont="1" applyFill="1" applyBorder="1" applyAlignment="1" applyProtection="1">
      <alignment horizontal="left" vertical="top"/>
      <protection locked="0"/>
    </xf>
    <xf numFmtId="0" fontId="5" fillId="15" borderId="17" xfId="0" applyFont="1" applyFill="1" applyBorder="1" applyAlignment="1" applyProtection="1">
      <alignment horizontal="left" vertical="top"/>
      <protection locked="0"/>
    </xf>
    <xf numFmtId="0" fontId="5" fillId="15" borderId="93" xfId="0" applyFont="1" applyFill="1" applyBorder="1" applyAlignment="1" applyProtection="1">
      <alignment horizontal="left" vertical="top"/>
      <protection locked="0"/>
    </xf>
    <xf numFmtId="0" fontId="48" fillId="51" borderId="7" xfId="0" applyFont="1" applyFill="1" applyBorder="1" applyAlignment="1">
      <alignment horizontal="center" vertical="center" wrapText="1"/>
    </xf>
    <xf numFmtId="0" fontId="48" fillId="51" borderId="19" xfId="0" applyFont="1" applyFill="1" applyBorder="1" applyAlignment="1">
      <alignment horizontal="center" vertical="center" wrapText="1"/>
    </xf>
    <xf numFmtId="0" fontId="48" fillId="51" borderId="38" xfId="0" applyFont="1" applyFill="1" applyBorder="1" applyAlignment="1">
      <alignment horizontal="center" vertical="center" wrapText="1"/>
    </xf>
    <xf numFmtId="0" fontId="67" fillId="0" borderId="0" xfId="0" applyFont="1" applyFill="1" applyProtection="1">
      <protection locked="0"/>
    </xf>
    <xf numFmtId="0" fontId="4" fillId="0" borderId="34" xfId="0" applyFont="1" applyFill="1" applyBorder="1" applyAlignment="1" applyProtection="1">
      <alignment horizontal="left" vertical="top"/>
      <protection locked="0"/>
    </xf>
    <xf numFmtId="0" fontId="4" fillId="0" borderId="0" xfId="0" applyFont="1" applyFill="1" applyBorder="1" applyAlignment="1" applyProtection="1">
      <alignment horizontal="left" vertical="top"/>
      <protection locked="0"/>
    </xf>
    <xf numFmtId="0" fontId="4" fillId="0" borderId="0" xfId="0" applyFont="1" applyFill="1" applyBorder="1" applyAlignment="1" applyProtection="1">
      <alignment vertical="top"/>
      <protection locked="0"/>
    </xf>
    <xf numFmtId="0" fontId="5" fillId="0" borderId="76" xfId="0" applyFont="1" applyFill="1" applyBorder="1" applyAlignment="1" applyProtection="1">
      <alignment horizontal="center" vertical="center" wrapText="1"/>
      <protection locked="0"/>
    </xf>
    <xf numFmtId="0" fontId="5" fillId="0" borderId="78" xfId="0" applyFont="1" applyFill="1" applyBorder="1" applyAlignment="1" applyProtection="1">
      <alignment horizontal="center" vertical="center" wrapText="1"/>
      <protection locked="0"/>
    </xf>
    <xf numFmtId="0" fontId="5" fillId="0" borderId="94" xfId="0" applyFont="1" applyFill="1" applyBorder="1" applyAlignment="1" applyProtection="1">
      <alignment horizontal="center" vertical="center" wrapText="1"/>
      <protection locked="0"/>
    </xf>
    <xf numFmtId="0" fontId="4" fillId="0" borderId="52" xfId="0" applyFont="1" applyFill="1" applyBorder="1" applyAlignment="1" applyProtection="1">
      <alignment vertical="top"/>
      <protection locked="0"/>
    </xf>
    <xf numFmtId="0" fontId="4" fillId="0" borderId="47" xfId="0" applyFont="1" applyFill="1" applyBorder="1" applyAlignment="1" applyProtection="1">
      <alignment vertical="top"/>
      <protection locked="0"/>
    </xf>
    <xf numFmtId="0" fontId="4" fillId="0" borderId="0" xfId="0" applyFont="1" applyFill="1" applyBorder="1" applyAlignment="1">
      <alignment vertical="top"/>
    </xf>
    <xf numFmtId="0" fontId="4" fillId="39" borderId="34" xfId="0" applyFont="1" applyFill="1" applyBorder="1" applyAlignment="1" applyProtection="1">
      <alignment vertical="top"/>
      <protection locked="0"/>
    </xf>
    <xf numFmtId="0" fontId="4" fillId="0" borderId="0" xfId="0" applyFont="1" applyFill="1" applyBorder="1" applyAlignment="1" applyProtection="1">
      <alignment horizontal="center"/>
      <protection locked="0"/>
    </xf>
    <xf numFmtId="0" fontId="50" fillId="34" borderId="39" xfId="0" applyFont="1" applyFill="1" applyBorder="1" applyAlignment="1" applyProtection="1">
      <alignment wrapText="1"/>
      <protection locked="0"/>
    </xf>
    <xf numFmtId="1" fontId="71" fillId="0" borderId="2" xfId="1" applyNumberFormat="1" applyFont="1" applyFill="1" applyBorder="1" applyAlignment="1" applyProtection="1">
      <alignment horizontal="center" vertical="center"/>
      <protection locked="0"/>
    </xf>
    <xf numFmtId="1" fontId="71" fillId="50" borderId="2" xfId="0" applyNumberFormat="1" applyFont="1" applyFill="1" applyBorder="1" applyAlignment="1" applyProtection="1">
      <alignment horizontal="center" vertical="center"/>
      <protection locked="0"/>
    </xf>
    <xf numFmtId="0" fontId="0" fillId="33" borderId="0" xfId="0" applyFill="1"/>
    <xf numFmtId="0" fontId="49" fillId="33" borderId="42" xfId="0" applyFont="1" applyFill="1" applyBorder="1" applyAlignment="1">
      <alignment vertical="center" wrapText="1"/>
    </xf>
    <xf numFmtId="0" fontId="49" fillId="2" borderId="9" xfId="0" applyFont="1" applyFill="1" applyBorder="1" applyAlignment="1">
      <alignment vertical="center" wrapText="1"/>
    </xf>
    <xf numFmtId="165" fontId="4" fillId="2" borderId="78" xfId="0" quotePrefix="1" applyNumberFormat="1" applyFont="1" applyFill="1" applyBorder="1" applyAlignment="1" applyProtection="1">
      <alignment horizontal="center" vertical="center"/>
      <protection locked="0"/>
    </xf>
    <xf numFmtId="168" fontId="4" fillId="2" borderId="94" xfId="0" applyNumberFormat="1" applyFont="1" applyFill="1" applyBorder="1" applyAlignment="1" applyProtection="1">
      <alignment horizontal="center" vertical="center"/>
    </xf>
    <xf numFmtId="1" fontId="4" fillId="2" borderId="85" xfId="0" applyNumberFormat="1" applyFont="1" applyFill="1" applyBorder="1" applyAlignment="1" applyProtection="1">
      <alignment horizontal="center" vertical="center"/>
      <protection locked="0"/>
    </xf>
    <xf numFmtId="1" fontId="4" fillId="48" borderId="49" xfId="0" applyNumberFormat="1" applyFont="1" applyFill="1" applyBorder="1" applyAlignment="1" applyProtection="1">
      <alignment horizontal="center" vertical="center"/>
      <protection locked="0"/>
    </xf>
    <xf numFmtId="168" fontId="4" fillId="2" borderId="94" xfId="0" applyNumberFormat="1" applyFont="1" applyFill="1" applyBorder="1" applyAlignment="1" applyProtection="1">
      <alignment horizontal="center" vertical="center"/>
      <protection locked="0"/>
    </xf>
    <xf numFmtId="0" fontId="38" fillId="2" borderId="82" xfId="0" applyFont="1" applyFill="1" applyBorder="1" applyAlignment="1" applyProtection="1">
      <alignment wrapText="1"/>
      <protection locked="0"/>
    </xf>
    <xf numFmtId="165" fontId="4" fillId="2" borderId="2" xfId="0" quotePrefix="1" applyNumberFormat="1" applyFont="1" applyFill="1" applyBorder="1" applyAlignment="1" applyProtection="1">
      <alignment horizontal="center" vertical="center"/>
      <protection locked="0"/>
    </xf>
    <xf numFmtId="165" fontId="4" fillId="2" borderId="2" xfId="0" applyNumberFormat="1" applyFont="1" applyFill="1" applyBorder="1" applyAlignment="1" applyProtection="1">
      <alignment horizontal="center" vertical="center"/>
      <protection locked="0"/>
    </xf>
    <xf numFmtId="1" fontId="4" fillId="2" borderId="2" xfId="0" applyNumberFormat="1" applyFont="1" applyFill="1" applyBorder="1" applyAlignment="1" applyProtection="1">
      <alignment horizontal="center" vertical="center"/>
      <protection locked="0"/>
    </xf>
    <xf numFmtId="168" fontId="4" fillId="2" borderId="2" xfId="0" applyNumberFormat="1" applyFont="1" applyFill="1" applyBorder="1" applyAlignment="1" applyProtection="1">
      <alignment horizontal="center" vertical="center"/>
    </xf>
    <xf numFmtId="1" fontId="71" fillId="2" borderId="2" xfId="0" applyNumberFormat="1" applyFont="1" applyFill="1" applyBorder="1" applyAlignment="1" applyProtection="1">
      <alignment horizontal="center" vertical="center"/>
      <protection locked="0"/>
    </xf>
    <xf numFmtId="1" fontId="4" fillId="48" borderId="2" xfId="0" applyNumberFormat="1" applyFont="1" applyFill="1" applyBorder="1" applyAlignment="1" applyProtection="1">
      <alignment horizontal="center" vertical="center"/>
      <protection locked="0"/>
    </xf>
    <xf numFmtId="168" fontId="4" fillId="2" borderId="2" xfId="0" applyNumberFormat="1" applyFont="1" applyFill="1" applyBorder="1" applyAlignment="1" applyProtection="1">
      <alignment horizontal="center" vertical="center"/>
      <protection locked="0"/>
    </xf>
    <xf numFmtId="1" fontId="4" fillId="41" borderId="2" xfId="0" applyNumberFormat="1" applyFont="1" applyFill="1" applyBorder="1" applyAlignment="1" applyProtection="1">
      <alignment horizontal="center" vertical="center"/>
      <protection locked="0"/>
    </xf>
    <xf numFmtId="0" fontId="4" fillId="2" borderId="2" xfId="0" applyFont="1" applyFill="1" applyBorder="1" applyAlignment="1" applyProtection="1">
      <alignment horizontal="center" vertical="center"/>
      <protection locked="0"/>
    </xf>
    <xf numFmtId="168" fontId="4" fillId="34" borderId="9" xfId="0" applyNumberFormat="1" applyFont="1" applyFill="1" applyBorder="1" applyAlignment="1" applyProtection="1">
      <alignment horizontal="center" vertical="center"/>
    </xf>
    <xf numFmtId="1" fontId="4" fillId="34" borderId="9" xfId="0" applyNumberFormat="1" applyFont="1" applyFill="1" applyBorder="1" applyAlignment="1" applyProtection="1">
      <alignment horizontal="center" vertical="center"/>
      <protection locked="0"/>
    </xf>
    <xf numFmtId="168" fontId="4" fillId="34" borderId="9" xfId="0" applyNumberFormat="1" applyFont="1" applyFill="1" applyBorder="1" applyAlignment="1" applyProtection="1">
      <alignment horizontal="center" vertical="center"/>
      <protection locked="0"/>
    </xf>
    <xf numFmtId="0" fontId="4" fillId="34" borderId="9" xfId="0" applyFont="1" applyFill="1" applyBorder="1" applyAlignment="1" applyProtection="1">
      <alignment horizontal="center" vertical="center"/>
      <protection locked="0"/>
    </xf>
    <xf numFmtId="0" fontId="38" fillId="34" borderId="9" xfId="0" applyFont="1" applyFill="1" applyBorder="1" applyAlignment="1" applyProtection="1">
      <alignment wrapText="1"/>
      <protection locked="0"/>
    </xf>
    <xf numFmtId="0" fontId="67" fillId="34" borderId="0" xfId="0" applyFont="1" applyFill="1" applyProtection="1">
      <protection locked="0"/>
    </xf>
    <xf numFmtId="165" fontId="4" fillId="34" borderId="9" xfId="0" quotePrefix="1" applyNumberFormat="1" applyFont="1" applyFill="1" applyBorder="1" applyAlignment="1" applyProtection="1">
      <alignment horizontal="center" vertical="center"/>
      <protection locked="0"/>
    </xf>
    <xf numFmtId="165" fontId="4" fillId="34" borderId="9" xfId="0" applyNumberFormat="1" applyFont="1" applyFill="1" applyBorder="1" applyAlignment="1" applyProtection="1">
      <alignment horizontal="center" vertical="center"/>
      <protection locked="0"/>
    </xf>
    <xf numFmtId="0" fontId="4" fillId="50" borderId="83" xfId="0" applyNumberFormat="1" applyFont="1" applyFill="1" applyBorder="1" applyAlignment="1" applyProtection="1">
      <alignment horizontal="center" vertical="center" wrapText="1"/>
    </xf>
    <xf numFmtId="168" fontId="4" fillId="50" borderId="2" xfId="0" applyNumberFormat="1" applyFont="1" applyFill="1" applyBorder="1" applyAlignment="1" applyProtection="1">
      <alignment horizontal="center" vertical="center"/>
    </xf>
    <xf numFmtId="168" fontId="4" fillId="50" borderId="2" xfId="0" applyNumberFormat="1" applyFont="1" applyFill="1" applyBorder="1" applyAlignment="1" applyProtection="1">
      <alignment horizontal="center" vertical="center"/>
      <protection locked="0"/>
    </xf>
    <xf numFmtId="0" fontId="4" fillId="50" borderId="2" xfId="0" applyFont="1" applyFill="1" applyBorder="1" applyAlignment="1" applyProtection="1">
      <alignment horizontal="center" vertical="center"/>
      <protection locked="0"/>
    </xf>
    <xf numFmtId="0" fontId="38" fillId="50" borderId="2" xfId="0" applyFont="1" applyFill="1" applyBorder="1" applyAlignment="1" applyProtection="1">
      <alignment wrapText="1"/>
      <protection locked="0"/>
    </xf>
    <xf numFmtId="0" fontId="4" fillId="50" borderId="83" xfId="0" applyNumberFormat="1" applyFont="1" applyFill="1" applyBorder="1" applyAlignment="1" applyProtection="1">
      <alignment vertical="center" wrapText="1"/>
    </xf>
    <xf numFmtId="0" fontId="73" fillId="50" borderId="110" xfId="0" applyNumberFormat="1" applyFont="1" applyFill="1" applyBorder="1" applyAlignment="1" applyProtection="1">
      <alignment vertical="center"/>
    </xf>
    <xf numFmtId="2" fontId="17" fillId="8" borderId="9" xfId="0" applyNumberFormat="1" applyFont="1" applyFill="1" applyBorder="1" applyAlignment="1" applyProtection="1">
      <alignment horizontal="left" vertical="top" wrapText="1"/>
    </xf>
    <xf numFmtId="49" fontId="17" fillId="8" borderId="35" xfId="0" applyNumberFormat="1" applyFont="1" applyFill="1" applyBorder="1" applyAlignment="1" applyProtection="1">
      <alignment horizontal="left" vertical="top" wrapText="1"/>
    </xf>
    <xf numFmtId="0" fontId="4" fillId="8" borderId="15" xfId="0" applyFont="1" applyFill="1" applyBorder="1" applyAlignment="1" applyProtection="1">
      <alignment horizontal="center" vertical="top" wrapText="1"/>
    </xf>
    <xf numFmtId="0" fontId="4" fillId="8" borderId="9" xfId="0" applyFont="1" applyFill="1" applyBorder="1" applyAlignment="1">
      <alignment horizontal="center" vertical="center" wrapText="1"/>
    </xf>
    <xf numFmtId="0" fontId="4" fillId="8" borderId="10" xfId="0" applyFont="1" applyFill="1" applyBorder="1" applyAlignment="1" applyProtection="1">
      <alignment horizontal="center" vertical="top" wrapText="1"/>
    </xf>
    <xf numFmtId="0" fontId="4" fillId="8" borderId="16" xfId="0" applyFont="1" applyFill="1" applyBorder="1" applyAlignment="1" applyProtection="1">
      <alignment horizontal="center" vertical="top" wrapText="1"/>
    </xf>
    <xf numFmtId="0" fontId="4" fillId="8" borderId="9" xfId="0" applyFont="1" applyFill="1" applyBorder="1" applyAlignment="1" applyProtection="1">
      <alignment horizontal="center" vertical="top" wrapText="1"/>
    </xf>
    <xf numFmtId="0" fontId="4" fillId="8" borderId="35" xfId="0" applyFont="1" applyFill="1" applyBorder="1" applyAlignment="1" applyProtection="1">
      <alignment horizontal="center" vertical="top" wrapText="1"/>
    </xf>
    <xf numFmtId="0" fontId="4" fillId="8" borderId="22" xfId="0" applyFont="1" applyFill="1" applyBorder="1" applyAlignment="1" applyProtection="1">
      <alignment horizontal="center" vertical="top"/>
    </xf>
    <xf numFmtId="0" fontId="4" fillId="8" borderId="39" xfId="0" applyFont="1" applyFill="1" applyBorder="1" applyAlignment="1" applyProtection="1">
      <alignment horizontal="center" vertical="top" wrapText="1"/>
    </xf>
    <xf numFmtId="164" fontId="4" fillId="8" borderId="39" xfId="0" applyNumberFormat="1" applyFont="1" applyFill="1" applyBorder="1" applyAlignment="1" applyProtection="1">
      <alignment horizontal="center" vertical="top" wrapText="1"/>
    </xf>
    <xf numFmtId="1" fontId="12" fillId="20" borderId="2" xfId="0" applyNumberFormat="1" applyFont="1" applyFill="1" applyBorder="1" applyAlignment="1" applyProtection="1">
      <alignment horizontal="center" vertical="center"/>
      <protection locked="0"/>
    </xf>
    <xf numFmtId="1" fontId="4" fillId="49" borderId="2" xfId="1" applyNumberFormat="1" applyFont="1" applyFill="1" applyBorder="1" applyAlignment="1" applyProtection="1">
      <alignment horizontal="center" vertical="center"/>
      <protection locked="0"/>
    </xf>
    <xf numFmtId="167" fontId="4" fillId="0" borderId="1" xfId="0" applyNumberFormat="1" applyFont="1" applyFill="1" applyBorder="1" applyAlignment="1" applyProtection="1">
      <alignment horizontal="center" vertical="center"/>
      <protection locked="0"/>
    </xf>
    <xf numFmtId="167" fontId="4" fillId="34" borderId="25" xfId="0" applyNumberFormat="1" applyFont="1" applyFill="1" applyBorder="1" applyAlignment="1" applyProtection="1">
      <alignment horizontal="center" vertical="center" wrapText="1"/>
      <protection locked="0"/>
    </xf>
    <xf numFmtId="1" fontId="4" fillId="34" borderId="25" xfId="0" applyNumberFormat="1" applyFont="1" applyFill="1" applyBorder="1" applyAlignment="1" applyProtection="1">
      <alignment horizontal="center" vertical="center" wrapText="1"/>
      <protection locked="0"/>
    </xf>
    <xf numFmtId="168" fontId="4" fillId="34" borderId="33" xfId="0" applyNumberFormat="1" applyFont="1" applyFill="1" applyBorder="1" applyAlignment="1" applyProtection="1">
      <alignment horizontal="center" vertical="center" wrapText="1"/>
    </xf>
    <xf numFmtId="168" fontId="4" fillId="47" borderId="33" xfId="0" applyNumberFormat="1" applyFont="1" applyFill="1" applyBorder="1" applyAlignment="1" applyProtection="1">
      <alignment horizontal="center" vertical="center" wrapText="1"/>
    </xf>
    <xf numFmtId="1" fontId="4" fillId="48" borderId="25" xfId="0" applyNumberFormat="1" applyFont="1" applyFill="1" applyBorder="1" applyAlignment="1" applyProtection="1">
      <alignment horizontal="center" vertical="center" wrapText="1"/>
      <protection locked="0"/>
    </xf>
    <xf numFmtId="1" fontId="4" fillId="48" borderId="26" xfId="0" applyNumberFormat="1" applyFont="1" applyFill="1" applyBorder="1" applyAlignment="1" applyProtection="1">
      <alignment horizontal="center" vertical="center" wrapText="1"/>
      <protection locked="0"/>
    </xf>
    <xf numFmtId="168" fontId="4" fillId="48" borderId="33" xfId="0" applyNumberFormat="1" applyFont="1" applyFill="1" applyBorder="1" applyAlignment="1" applyProtection="1">
      <alignment horizontal="center" vertical="center" wrapText="1"/>
      <protection locked="0"/>
    </xf>
    <xf numFmtId="1" fontId="4" fillId="41" borderId="25" xfId="0" applyNumberFormat="1" applyFont="1" applyFill="1" applyBorder="1" applyAlignment="1" applyProtection="1">
      <alignment horizontal="center" vertical="center" wrapText="1"/>
      <protection locked="0"/>
    </xf>
    <xf numFmtId="168" fontId="4" fillId="32" borderId="18" xfId="0" applyNumberFormat="1" applyFont="1" applyFill="1" applyBorder="1" applyAlignment="1" applyProtection="1">
      <alignment horizontal="center" vertical="center" wrapText="1"/>
      <protection locked="0"/>
    </xf>
    <xf numFmtId="0" fontId="4" fillId="49" borderId="0" xfId="0" applyFont="1" applyFill="1" applyBorder="1" applyAlignment="1" applyProtection="1">
      <alignment horizontal="center" wrapText="1"/>
      <protection locked="0"/>
    </xf>
    <xf numFmtId="0" fontId="67" fillId="0" borderId="0" xfId="0" applyFont="1" applyAlignment="1" applyProtection="1">
      <alignment wrapText="1"/>
      <protection locked="0"/>
    </xf>
    <xf numFmtId="0" fontId="45" fillId="22" borderId="20" xfId="0" applyFont="1" applyFill="1" applyBorder="1" applyAlignment="1">
      <alignment horizontal="center" vertical="center" wrapText="1"/>
    </xf>
    <xf numFmtId="0" fontId="5" fillId="0" borderId="23" xfId="0" applyFont="1" applyBorder="1" applyAlignment="1" applyProtection="1">
      <alignment horizontal="right" vertical="top"/>
      <protection locked="0"/>
    </xf>
    <xf numFmtId="0" fontId="4" fillId="0" borderId="110" xfId="0" applyFont="1" applyBorder="1" applyAlignment="1" applyProtection="1">
      <alignment horizontal="right" vertical="top"/>
      <protection locked="0"/>
    </xf>
    <xf numFmtId="0" fontId="4" fillId="0" borderId="100" xfId="0" applyFont="1" applyBorder="1" applyAlignment="1" applyProtection="1">
      <alignment horizontal="right" vertical="top"/>
      <protection locked="0"/>
    </xf>
    <xf numFmtId="1" fontId="4" fillId="52" borderId="78" xfId="0" applyNumberFormat="1" applyFont="1" applyFill="1" applyBorder="1" applyAlignment="1" applyProtection="1">
      <alignment horizontal="center" vertical="center"/>
      <protection locked="0"/>
    </xf>
    <xf numFmtId="1" fontId="4" fillId="0" borderId="9" xfId="1" applyNumberFormat="1" applyFont="1" applyFill="1" applyBorder="1" applyAlignment="1" applyProtection="1">
      <alignment horizontal="center" vertical="center"/>
      <protection locked="0"/>
    </xf>
    <xf numFmtId="1" fontId="4" fillId="0" borderId="2" xfId="1" applyNumberFormat="1" applyFont="1" applyFill="1" applyBorder="1" applyAlignment="1" applyProtection="1">
      <alignment horizontal="center" vertical="center"/>
      <protection locked="0"/>
    </xf>
    <xf numFmtId="0" fontId="7" fillId="5" borderId="0" xfId="0" applyFont="1" applyFill="1" applyAlignment="1">
      <alignment vertical="center"/>
    </xf>
    <xf numFmtId="0" fontId="49" fillId="0" borderId="2" xfId="0" applyFont="1" applyBorder="1" applyAlignment="1">
      <alignment vertical="center" wrapText="1"/>
    </xf>
    <xf numFmtId="0" fontId="21" fillId="0" borderId="82" xfId="0" applyFont="1" applyBorder="1" applyAlignment="1">
      <alignment vertical="top" wrapText="1"/>
    </xf>
    <xf numFmtId="0" fontId="7" fillId="0" borderId="0" xfId="0" applyFont="1" applyAlignment="1">
      <alignment horizontal="left" vertical="top" wrapText="1"/>
    </xf>
    <xf numFmtId="0" fontId="10" fillId="0" borderId="7" xfId="0" applyFont="1" applyBorder="1" applyAlignment="1">
      <alignment vertical="top" wrapText="1"/>
    </xf>
    <xf numFmtId="0" fontId="7" fillId="0" borderId="0" xfId="0" applyFont="1" applyAlignment="1">
      <alignment horizontal="left" vertical="top" wrapText="1" indent="1"/>
    </xf>
    <xf numFmtId="0" fontId="38" fillId="0" borderId="2" xfId="0" applyFont="1" applyBorder="1" applyAlignment="1">
      <alignment vertical="center" wrapText="1"/>
    </xf>
    <xf numFmtId="0" fontId="38" fillId="0" borderId="92" xfId="0" applyFont="1" applyBorder="1" applyAlignment="1">
      <alignment vertical="top" wrapText="1"/>
    </xf>
    <xf numFmtId="0" fontId="38" fillId="0" borderId="2" xfId="0" applyFont="1" applyBorder="1" applyAlignment="1">
      <alignment vertical="top" wrapText="1"/>
    </xf>
    <xf numFmtId="0" fontId="10" fillId="0" borderId="73" xfId="0" applyFont="1" applyBorder="1" applyAlignment="1">
      <alignment vertical="top" wrapText="1"/>
    </xf>
    <xf numFmtId="0" fontId="44" fillId="0" borderId="75" xfId="0" applyFont="1" applyBorder="1" applyAlignment="1">
      <alignment vertical="top" wrapText="1"/>
    </xf>
    <xf numFmtId="0" fontId="38" fillId="0" borderId="113" xfId="0" applyFont="1" applyBorder="1" applyAlignment="1">
      <alignment vertical="top" wrapText="1"/>
    </xf>
    <xf numFmtId="0" fontId="38" fillId="0" borderId="75" xfId="0" applyFont="1" applyFill="1" applyBorder="1" applyAlignment="1">
      <alignment vertical="top" wrapText="1"/>
    </xf>
    <xf numFmtId="0" fontId="38" fillId="0" borderId="9" xfId="0" applyFont="1" applyBorder="1" applyAlignment="1">
      <alignment vertical="center" wrapText="1"/>
    </xf>
    <xf numFmtId="0" fontId="10" fillId="0" borderId="2" xfId="0" applyFont="1" applyBorder="1" applyAlignment="1">
      <alignment vertical="top" wrapText="1"/>
    </xf>
    <xf numFmtId="0" fontId="44" fillId="0" borderId="2" xfId="0" applyFont="1" applyBorder="1" applyAlignment="1">
      <alignment vertical="top" wrapText="1"/>
    </xf>
    <xf numFmtId="0" fontId="38" fillId="0" borderId="2" xfId="0" applyFont="1" applyFill="1" applyBorder="1" applyAlignment="1">
      <alignment vertical="top" wrapText="1"/>
    </xf>
    <xf numFmtId="0" fontId="7" fillId="18" borderId="0" xfId="0" applyFont="1" applyFill="1" applyAlignment="1">
      <alignment vertical="center"/>
    </xf>
    <xf numFmtId="0" fontId="50" fillId="18" borderId="51" xfId="0" applyFont="1" applyFill="1" applyBorder="1" applyAlignment="1">
      <alignment vertical="center" wrapText="1"/>
    </xf>
    <xf numFmtId="0" fontId="50" fillId="0" borderId="2" xfId="0" applyFont="1" applyBorder="1" applyAlignment="1">
      <alignment horizontal="left" vertical="center" wrapText="1"/>
    </xf>
    <xf numFmtId="0" fontId="7" fillId="0" borderId="0" xfId="0" applyFont="1" applyAlignment="1">
      <alignment vertical="center" wrapText="1"/>
    </xf>
    <xf numFmtId="0" fontId="10" fillId="0" borderId="13" xfId="0" applyFont="1" applyBorder="1" applyAlignment="1">
      <alignment vertical="center" wrapText="1"/>
    </xf>
    <xf numFmtId="0" fontId="44" fillId="0" borderId="39" xfId="0" applyFont="1" applyBorder="1" applyAlignment="1">
      <alignment vertical="center" wrapText="1"/>
    </xf>
    <xf numFmtId="0" fontId="44" fillId="0" borderId="82" xfId="0" applyFont="1" applyBorder="1" applyAlignment="1">
      <alignment vertical="center" wrapText="1"/>
    </xf>
    <xf numFmtId="0" fontId="51" fillId="0" borderId="2" xfId="0" applyFont="1" applyBorder="1"/>
    <xf numFmtId="0" fontId="44" fillId="31" borderId="1" xfId="0" applyFont="1" applyFill="1" applyBorder="1" applyAlignment="1" applyProtection="1">
      <alignment vertical="top"/>
      <protection locked="0"/>
    </xf>
    <xf numFmtId="0" fontId="44" fillId="31" borderId="2" xfId="0" applyFont="1" applyFill="1" applyBorder="1" applyAlignment="1" applyProtection="1">
      <alignment vertical="top"/>
      <protection locked="0"/>
    </xf>
    <xf numFmtId="0" fontId="44" fillId="31" borderId="2" xfId="0" applyFont="1" applyFill="1" applyBorder="1" applyAlignment="1" applyProtection="1">
      <alignment horizontal="right" vertical="top"/>
      <protection locked="0"/>
    </xf>
    <xf numFmtId="0" fontId="44" fillId="31" borderId="76" xfId="0" applyFont="1" applyFill="1" applyBorder="1" applyAlignment="1" applyProtection="1">
      <alignment vertical="top"/>
      <protection locked="0"/>
    </xf>
    <xf numFmtId="0" fontId="44" fillId="31" borderId="28" xfId="0" applyFont="1" applyFill="1" applyBorder="1" applyAlignment="1" applyProtection="1">
      <alignment vertical="top"/>
      <protection locked="0"/>
    </xf>
    <xf numFmtId="0" fontId="44" fillId="31" borderId="30" xfId="0" applyFont="1" applyFill="1" applyBorder="1" applyAlignment="1" applyProtection="1">
      <alignment vertical="top"/>
      <protection locked="0"/>
    </xf>
    <xf numFmtId="0" fontId="38" fillId="31" borderId="78" xfId="0" applyFont="1" applyFill="1" applyBorder="1" applyAlignment="1" applyProtection="1">
      <alignment horizontal="right" vertical="top"/>
      <protection locked="0"/>
    </xf>
    <xf numFmtId="0" fontId="44" fillId="31" borderId="78" xfId="0" applyFont="1" applyFill="1" applyBorder="1" applyAlignment="1" applyProtection="1">
      <alignment horizontal="right" vertical="top"/>
      <protection locked="0"/>
    </xf>
    <xf numFmtId="0" fontId="45" fillId="22" borderId="7" xfId="0" applyFont="1" applyFill="1" applyBorder="1" applyAlignment="1">
      <alignment horizontal="center" vertical="center" wrapText="1"/>
    </xf>
    <xf numFmtId="0" fontId="45" fillId="22" borderId="38" xfId="0" applyFont="1" applyFill="1" applyBorder="1" applyAlignment="1">
      <alignment horizontal="center" vertical="center" wrapText="1"/>
    </xf>
    <xf numFmtId="0" fontId="45" fillId="22" borderId="8" xfId="0" applyFont="1" applyFill="1" applyBorder="1" applyAlignment="1">
      <alignment horizontal="center" vertical="center" wrapText="1"/>
    </xf>
    <xf numFmtId="0" fontId="45" fillId="22" borderId="48" xfId="0" applyFont="1" applyFill="1" applyBorder="1" applyAlignment="1">
      <alignment horizontal="center" vertical="center" wrapText="1"/>
    </xf>
    <xf numFmtId="0" fontId="45" fillId="22" borderId="49" xfId="0" applyFont="1" applyFill="1" applyBorder="1" applyAlignment="1">
      <alignment horizontal="center" vertical="center" wrapText="1"/>
    </xf>
    <xf numFmtId="0" fontId="45" fillId="22" borderId="50" xfId="0" applyFont="1" applyFill="1" applyBorder="1" applyAlignment="1">
      <alignment horizontal="center" vertical="center" wrapText="1"/>
    </xf>
    <xf numFmtId="0" fontId="44" fillId="32" borderId="19" xfId="0" applyFont="1" applyFill="1" applyBorder="1" applyAlignment="1">
      <alignment vertical="center" wrapText="1"/>
    </xf>
    <xf numFmtId="0" fontId="44" fillId="32" borderId="31" xfId="0" applyFont="1" applyFill="1" applyBorder="1" applyAlignment="1">
      <alignment vertical="center" wrapText="1"/>
    </xf>
    <xf numFmtId="0" fontId="38" fillId="33" borderId="82" xfId="0" applyFont="1" applyFill="1" applyBorder="1" applyAlignment="1">
      <alignment vertical="center" wrapText="1"/>
    </xf>
    <xf numFmtId="0" fontId="38" fillId="33" borderId="76" xfId="0" applyFont="1" applyFill="1" applyBorder="1" applyAlignment="1">
      <alignment vertical="center" wrapText="1"/>
    </xf>
    <xf numFmtId="0" fontId="38" fillId="33" borderId="87" xfId="0" applyFont="1" applyFill="1" applyBorder="1" applyAlignment="1">
      <alignment vertical="center" wrapText="1"/>
    </xf>
    <xf numFmtId="0" fontId="44" fillId="5" borderId="5" xfId="0" applyFont="1" applyFill="1" applyBorder="1" applyAlignment="1">
      <alignment vertical="center" wrapText="1"/>
    </xf>
    <xf numFmtId="0" fontId="44" fillId="5" borderId="6" xfId="0" applyFont="1" applyFill="1" applyBorder="1" applyAlignment="1">
      <alignment vertical="center" wrapText="1"/>
    </xf>
    <xf numFmtId="0" fontId="44" fillId="18" borderId="52" xfId="0" applyFont="1" applyFill="1" applyBorder="1" applyAlignment="1">
      <alignment vertical="center"/>
    </xf>
    <xf numFmtId="0" fontId="38" fillId="18" borderId="47" xfId="0" applyFont="1" applyFill="1" applyBorder="1" applyAlignment="1">
      <alignment vertical="center" wrapText="1"/>
    </xf>
    <xf numFmtId="0" fontId="38" fillId="18" borderId="44" xfId="0" applyFont="1" applyFill="1" applyBorder="1" applyAlignment="1">
      <alignment vertical="center" wrapText="1"/>
    </xf>
    <xf numFmtId="0" fontId="38" fillId="0" borderId="18" xfId="0" applyFont="1" applyBorder="1" applyAlignment="1">
      <alignment vertical="center" wrapText="1"/>
    </xf>
    <xf numFmtId="0" fontId="38" fillId="0" borderId="90" xfId="0" applyFont="1" applyBorder="1" applyAlignment="1">
      <alignment vertical="center" wrapText="1"/>
    </xf>
    <xf numFmtId="0" fontId="44" fillId="18" borderId="19" xfId="0" applyFont="1" applyFill="1" applyBorder="1" applyAlignment="1">
      <alignment vertical="center"/>
    </xf>
    <xf numFmtId="0" fontId="38" fillId="18" borderId="19" xfId="0" applyFont="1" applyFill="1" applyBorder="1" applyAlignment="1">
      <alignment vertical="center" wrapText="1"/>
    </xf>
    <xf numFmtId="0" fontId="38" fillId="18" borderId="31" xfId="0" applyFont="1" applyFill="1" applyBorder="1" applyAlignment="1">
      <alignment vertical="center" wrapText="1"/>
    </xf>
    <xf numFmtId="0" fontId="38" fillId="0" borderId="1" xfId="0" applyFont="1" applyBorder="1" applyAlignment="1">
      <alignment vertical="center" wrapText="1"/>
    </xf>
    <xf numFmtId="0" fontId="38" fillId="0" borderId="3" xfId="0" applyFont="1" applyBorder="1" applyAlignment="1">
      <alignment horizontal="left" vertical="center" wrapText="1"/>
    </xf>
    <xf numFmtId="0" fontId="7" fillId="18" borderId="78" xfId="0" applyFont="1" applyFill="1" applyBorder="1" applyAlignment="1">
      <alignment vertical="center"/>
    </xf>
    <xf numFmtId="0" fontId="38" fillId="18" borderId="5" xfId="0" applyFont="1" applyFill="1" applyBorder="1" applyAlignment="1">
      <alignment vertical="center" wrapText="1"/>
    </xf>
    <xf numFmtId="0" fontId="38" fillId="18" borderId="51" xfId="0" applyFont="1" applyFill="1" applyBorder="1" applyAlignment="1">
      <alignment vertical="center" wrapText="1"/>
    </xf>
    <xf numFmtId="0" fontId="38" fillId="18" borderId="6" xfId="0" applyFont="1" applyFill="1" applyBorder="1" applyAlignment="1">
      <alignment vertical="center" wrapText="1"/>
    </xf>
    <xf numFmtId="0" fontId="38" fillId="0" borderId="2" xfId="0" applyFont="1" applyBorder="1" applyAlignment="1">
      <alignment horizontal="left" vertical="center" wrapText="1"/>
    </xf>
    <xf numFmtId="0" fontId="38" fillId="18" borderId="0" xfId="0" applyFont="1" applyFill="1" applyBorder="1" applyAlignment="1">
      <alignment vertical="center" wrapText="1"/>
    </xf>
    <xf numFmtId="0" fontId="38" fillId="18" borderId="0" xfId="0" applyFont="1" applyFill="1" applyBorder="1" applyAlignment="1">
      <alignment horizontal="left" vertical="center" wrapText="1"/>
    </xf>
    <xf numFmtId="0" fontId="38" fillId="18" borderId="89" xfId="0" applyFont="1" applyFill="1" applyBorder="1" applyAlignment="1">
      <alignment horizontal="left" vertical="center" wrapText="1"/>
    </xf>
    <xf numFmtId="0" fontId="38" fillId="18" borderId="91" xfId="0" applyFont="1" applyFill="1" applyBorder="1" applyAlignment="1">
      <alignment horizontal="left" vertical="center" wrapText="1"/>
    </xf>
    <xf numFmtId="0" fontId="38" fillId="18" borderId="92" xfId="0" applyFont="1" applyFill="1" applyBorder="1" applyAlignment="1">
      <alignment horizontal="left" vertical="center" wrapText="1"/>
    </xf>
    <xf numFmtId="0" fontId="38" fillId="18" borderId="90" xfId="0" applyFont="1" applyFill="1" applyBorder="1" applyAlignment="1">
      <alignment vertical="center" wrapText="1"/>
    </xf>
    <xf numFmtId="0" fontId="38" fillId="18" borderId="91" xfId="0" applyFont="1" applyFill="1" applyBorder="1" applyAlignment="1">
      <alignment vertical="center" wrapText="1"/>
    </xf>
    <xf numFmtId="0" fontId="38" fillId="18" borderId="92" xfId="0" applyFont="1" applyFill="1" applyBorder="1" applyAlignment="1">
      <alignment vertical="center" wrapText="1"/>
    </xf>
    <xf numFmtId="0" fontId="44" fillId="5" borderId="72" xfId="0" applyFont="1" applyFill="1" applyBorder="1" applyAlignment="1">
      <alignment vertical="center"/>
    </xf>
    <xf numFmtId="0" fontId="38" fillId="5" borderId="5" xfId="0" applyFont="1" applyFill="1" applyBorder="1" applyAlignment="1">
      <alignment vertical="center" wrapText="1"/>
    </xf>
    <xf numFmtId="0" fontId="38" fillId="5" borderId="6" xfId="0" applyFont="1" applyFill="1" applyBorder="1" applyAlignment="1">
      <alignment vertical="center" wrapText="1"/>
    </xf>
    <xf numFmtId="0" fontId="0" fillId="0" borderId="2" xfId="0" applyFont="1" applyBorder="1"/>
    <xf numFmtId="0" fontId="0" fillId="33" borderId="0" xfId="0" applyFont="1" applyFill="1"/>
    <xf numFmtId="0" fontId="0" fillId="0" borderId="0" xfId="0" applyFont="1"/>
    <xf numFmtId="0" fontId="7" fillId="0" borderId="2" xfId="0" applyFont="1" applyBorder="1" applyAlignment="1">
      <alignment horizontal="left" vertical="center" wrapText="1"/>
    </xf>
    <xf numFmtId="0" fontId="38" fillId="0" borderId="91" xfId="0" applyFont="1" applyBorder="1" applyAlignment="1">
      <alignment vertical="center" wrapText="1"/>
    </xf>
    <xf numFmtId="0" fontId="7" fillId="0" borderId="2" xfId="0" applyFont="1" applyBorder="1" applyAlignment="1">
      <alignment vertical="center" wrapText="1"/>
    </xf>
    <xf numFmtId="0" fontId="7" fillId="0" borderId="9" xfId="0" applyFont="1" applyBorder="1" applyAlignment="1">
      <alignment vertical="center" wrapText="1"/>
    </xf>
    <xf numFmtId="0" fontId="38" fillId="0" borderId="9" xfId="0" applyFont="1" applyBorder="1" applyAlignment="1">
      <alignment horizontal="left" vertical="center" wrapText="1"/>
    </xf>
    <xf numFmtId="0" fontId="10" fillId="0" borderId="114" xfId="0" applyFont="1" applyBorder="1" applyAlignment="1">
      <alignment vertical="top" wrapText="1"/>
    </xf>
    <xf numFmtId="0" fontId="7" fillId="2" borderId="2" xfId="0" applyFont="1" applyFill="1" applyBorder="1" applyAlignment="1">
      <alignment vertical="center" wrapText="1"/>
    </xf>
    <xf numFmtId="0" fontId="0" fillId="0" borderId="0" xfId="0" applyFont="1" applyBorder="1"/>
    <xf numFmtId="0" fontId="10" fillId="0" borderId="0" xfId="0" applyFont="1" applyBorder="1" applyAlignment="1">
      <alignment vertical="top" wrapText="1"/>
    </xf>
    <xf numFmtId="0" fontId="38" fillId="0" borderId="0" xfId="0" applyFont="1" applyBorder="1" applyAlignment="1">
      <alignment vertical="top" wrapText="1"/>
    </xf>
    <xf numFmtId="0" fontId="44" fillId="18" borderId="72" xfId="0" applyFont="1" applyFill="1" applyBorder="1" applyAlignment="1">
      <alignment vertical="center"/>
    </xf>
    <xf numFmtId="0" fontId="0" fillId="18" borderId="5" xfId="0" applyFont="1" applyFill="1" applyBorder="1"/>
    <xf numFmtId="0" fontId="0" fillId="18" borderId="6" xfId="0" applyFont="1" applyFill="1" applyBorder="1"/>
    <xf numFmtId="0" fontId="0" fillId="0" borderId="2" xfId="0" applyFont="1" applyBorder="1" applyAlignment="1">
      <alignment vertical="top"/>
    </xf>
    <xf numFmtId="0" fontId="0" fillId="0" borderId="2" xfId="0" applyFont="1" applyBorder="1" applyAlignment="1">
      <alignment vertical="center"/>
    </xf>
    <xf numFmtId="0" fontId="0" fillId="0" borderId="2" xfId="0" applyFont="1" applyBorder="1" applyAlignment="1">
      <alignment vertical="top" wrapText="1"/>
    </xf>
    <xf numFmtId="0" fontId="10" fillId="0" borderId="92" xfId="0" applyFont="1" applyFill="1" applyBorder="1" applyAlignment="1">
      <alignment vertical="top" wrapText="1"/>
    </xf>
    <xf numFmtId="0" fontId="50" fillId="14" borderId="5" xfId="0" applyFont="1" applyFill="1" applyBorder="1" applyAlignment="1">
      <alignment horizontal="left" vertical="center" wrapText="1"/>
    </xf>
    <xf numFmtId="0" fontId="50" fillId="14" borderId="6" xfId="0" applyFont="1" applyFill="1" applyBorder="1" applyAlignment="1">
      <alignment horizontal="left" vertical="center" wrapText="1"/>
    </xf>
    <xf numFmtId="0" fontId="50" fillId="0" borderId="27" xfId="0" applyFont="1" applyBorder="1" applyAlignment="1">
      <alignment horizontal="center" vertical="center" wrapText="1"/>
    </xf>
    <xf numFmtId="0" fontId="50" fillId="0" borderId="28" xfId="0" applyFont="1" applyBorder="1" applyAlignment="1">
      <alignment horizontal="center" vertical="center" wrapText="1"/>
    </xf>
    <xf numFmtId="0" fontId="50" fillId="0" borderId="18" xfId="0" applyFont="1" applyBorder="1" applyAlignment="1">
      <alignment horizontal="center" vertical="center" wrapText="1"/>
    </xf>
    <xf numFmtId="0" fontId="50" fillId="18" borderId="5" xfId="0" applyFont="1" applyFill="1" applyBorder="1" applyAlignment="1">
      <alignment horizontal="center" vertical="center" wrapText="1"/>
    </xf>
    <xf numFmtId="0" fontId="49" fillId="2" borderId="0" xfId="0" applyFont="1" applyFill="1" applyBorder="1" applyAlignment="1">
      <alignment vertical="center" wrapText="1"/>
    </xf>
    <xf numFmtId="0" fontId="49" fillId="18" borderId="72" xfId="0" applyFont="1" applyFill="1" applyBorder="1" applyAlignment="1">
      <alignment vertical="center"/>
    </xf>
    <xf numFmtId="0" fontId="49" fillId="2" borderId="2" xfId="0" applyFont="1" applyFill="1" applyBorder="1" applyAlignment="1">
      <alignment vertical="center" wrapText="1"/>
    </xf>
    <xf numFmtId="0" fontId="50" fillId="2" borderId="2" xfId="0" applyFont="1" applyFill="1" applyBorder="1" applyAlignment="1">
      <alignment horizontal="center" vertical="center" wrapText="1"/>
    </xf>
    <xf numFmtId="0" fontId="50" fillId="0" borderId="2" xfId="0" applyFont="1" applyBorder="1" applyAlignment="1">
      <alignment horizontal="center" vertical="center" wrapText="1"/>
    </xf>
    <xf numFmtId="0" fontId="50" fillId="2" borderId="2" xfId="0" applyFont="1" applyFill="1" applyBorder="1" applyAlignment="1">
      <alignment vertical="center" wrapText="1"/>
    </xf>
    <xf numFmtId="0" fontId="49" fillId="2" borderId="2" xfId="0" applyFont="1" applyFill="1" applyBorder="1" applyAlignment="1">
      <alignment horizontal="left" vertical="center" wrapText="1"/>
    </xf>
    <xf numFmtId="0" fontId="49" fillId="2" borderId="2" xfId="0" applyFont="1" applyFill="1" applyBorder="1" applyAlignment="1">
      <alignment horizontal="center" vertical="center" wrapText="1"/>
    </xf>
    <xf numFmtId="0" fontId="51" fillId="0" borderId="2" xfId="0" applyFont="1" applyBorder="1" applyAlignment="1">
      <alignment wrapText="1"/>
    </xf>
    <xf numFmtId="0" fontId="51" fillId="0" borderId="2" xfId="0" applyFont="1" applyBorder="1" applyAlignment="1">
      <alignment vertical="center"/>
    </xf>
    <xf numFmtId="3" fontId="51" fillId="0" borderId="2" xfId="0" applyNumberFormat="1" applyFont="1" applyBorder="1"/>
    <xf numFmtId="165" fontId="4" fillId="34" borderId="10" xfId="0" applyNumberFormat="1" applyFont="1" applyFill="1" applyBorder="1" applyAlignment="1" applyProtection="1">
      <alignment horizontal="center" vertical="center"/>
      <protection locked="0"/>
    </xf>
    <xf numFmtId="1" fontId="4" fillId="34" borderId="15" xfId="0" applyNumberFormat="1" applyFont="1" applyFill="1" applyBorder="1" applyAlignment="1" applyProtection="1">
      <alignment horizontal="center" vertical="center"/>
      <protection locked="0"/>
    </xf>
    <xf numFmtId="168" fontId="4" fillId="34" borderId="10" xfId="0" applyNumberFormat="1" applyFont="1" applyFill="1" applyBorder="1" applyAlignment="1" applyProtection="1">
      <alignment horizontal="center" vertical="center"/>
    </xf>
    <xf numFmtId="168" fontId="4" fillId="32" borderId="10" xfId="0" applyNumberFormat="1" applyFont="1" applyFill="1" applyBorder="1" applyAlignment="1" applyProtection="1">
      <alignment horizontal="center" vertical="center"/>
      <protection locked="0"/>
    </xf>
    <xf numFmtId="165" fontId="4" fillId="50" borderId="92" xfId="0" applyNumberFormat="1" applyFont="1" applyFill="1" applyBorder="1" applyAlignment="1" applyProtection="1">
      <alignment horizontal="center" vertical="center"/>
      <protection locked="0"/>
    </xf>
    <xf numFmtId="1" fontId="4" fillId="50" borderId="89" xfId="0" applyNumberFormat="1" applyFont="1" applyFill="1" applyBorder="1" applyAlignment="1" applyProtection="1">
      <alignment horizontal="center" vertical="center"/>
      <protection locked="0"/>
    </xf>
    <xf numFmtId="1" fontId="4" fillId="50" borderId="92" xfId="0" applyNumberFormat="1" applyFont="1" applyFill="1" applyBorder="1" applyAlignment="1" applyProtection="1">
      <alignment horizontal="center" vertical="center"/>
      <protection locked="0"/>
    </xf>
    <xf numFmtId="168" fontId="4" fillId="50" borderId="87" xfId="0" applyNumberFormat="1" applyFont="1" applyFill="1" applyBorder="1" applyAlignment="1" applyProtection="1">
      <alignment horizontal="center" vertical="center"/>
    </xf>
    <xf numFmtId="1" fontId="4" fillId="50" borderId="76" xfId="0" applyNumberFormat="1" applyFont="1" applyFill="1" applyBorder="1" applyAlignment="1" applyProtection="1">
      <alignment horizontal="center" vertical="center"/>
      <protection locked="0"/>
    </xf>
    <xf numFmtId="1" fontId="4" fillId="50" borderId="78" xfId="0" applyNumberFormat="1" applyFont="1" applyFill="1" applyBorder="1" applyAlignment="1" applyProtection="1">
      <alignment horizontal="center" vertical="center"/>
      <protection locked="0"/>
    </xf>
    <xf numFmtId="1" fontId="4" fillId="48" borderId="51" xfId="0" applyNumberFormat="1" applyFont="1" applyFill="1" applyBorder="1" applyAlignment="1" applyProtection="1">
      <alignment horizontal="center" vertical="center"/>
      <protection locked="0"/>
    </xf>
    <xf numFmtId="168" fontId="4" fillId="50" borderId="87" xfId="0" applyNumberFormat="1" applyFont="1" applyFill="1" applyBorder="1" applyAlignment="1" applyProtection="1">
      <alignment horizontal="center" vertical="center"/>
      <protection locked="0"/>
    </xf>
    <xf numFmtId="1" fontId="4" fillId="41" borderId="51" xfId="0" applyNumberFormat="1" applyFont="1" applyFill="1" applyBorder="1" applyAlignment="1" applyProtection="1">
      <alignment horizontal="center" vertical="center"/>
      <protection locked="0"/>
    </xf>
    <xf numFmtId="0" fontId="4" fillId="50" borderId="83" xfId="0" applyFont="1" applyFill="1" applyBorder="1" applyAlignment="1" applyProtection="1">
      <alignment horizontal="center" vertical="center"/>
      <protection locked="0"/>
    </xf>
    <xf numFmtId="0" fontId="38" fillId="50" borderId="82" xfId="0" applyFont="1" applyFill="1" applyBorder="1" applyAlignment="1" applyProtection="1">
      <alignment wrapText="1"/>
      <protection locked="0"/>
    </xf>
    <xf numFmtId="168" fontId="4" fillId="34" borderId="35" xfId="0" applyNumberFormat="1" applyFont="1" applyFill="1" applyBorder="1" applyAlignment="1" applyProtection="1">
      <alignment horizontal="center" vertical="center"/>
    </xf>
    <xf numFmtId="1" fontId="4" fillId="34" borderId="16" xfId="0" applyNumberFormat="1" applyFont="1" applyFill="1" applyBorder="1" applyAlignment="1" applyProtection="1">
      <alignment horizontal="center" vertical="center"/>
      <protection locked="0"/>
    </xf>
    <xf numFmtId="168" fontId="4" fillId="47" borderId="35" xfId="0" applyNumberFormat="1" applyFont="1" applyFill="1" applyBorder="1" applyAlignment="1" applyProtection="1">
      <alignment horizontal="center" vertical="center"/>
    </xf>
    <xf numFmtId="168" fontId="4" fillId="48" borderId="35" xfId="0" applyNumberFormat="1" applyFont="1" applyFill="1" applyBorder="1" applyAlignment="1" applyProtection="1">
      <alignment horizontal="center" vertical="center"/>
      <protection locked="0"/>
    </xf>
    <xf numFmtId="0" fontId="4" fillId="2" borderId="2" xfId="0" applyNumberFormat="1" applyFont="1" applyFill="1" applyBorder="1" applyAlignment="1" applyProtection="1">
      <alignment vertical="center" wrapText="1"/>
    </xf>
    <xf numFmtId="0" fontId="4" fillId="2" borderId="2" xfId="0" applyNumberFormat="1" applyFont="1" applyFill="1" applyBorder="1" applyAlignment="1" applyProtection="1">
      <alignment horizontal="right" vertical="center" wrapText="1"/>
    </xf>
    <xf numFmtId="167" fontId="4" fillId="50" borderId="2" xfId="0" applyNumberFormat="1" applyFont="1" applyFill="1" applyBorder="1" applyAlignment="1" applyProtection="1">
      <alignment horizontal="center" vertical="center"/>
      <protection locked="0"/>
    </xf>
    <xf numFmtId="1" fontId="4" fillId="52" borderId="2" xfId="0" applyNumberFormat="1" applyFont="1" applyFill="1" applyBorder="1" applyAlignment="1" applyProtection="1">
      <alignment horizontal="center" vertical="center"/>
      <protection locked="0"/>
    </xf>
    <xf numFmtId="0" fontId="5" fillId="50" borderId="2" xfId="0" applyNumberFormat="1" applyFont="1" applyFill="1" applyBorder="1" applyAlignment="1" applyProtection="1">
      <alignment vertical="top" wrapText="1"/>
    </xf>
    <xf numFmtId="1" fontId="5" fillId="50" borderId="2" xfId="0" applyNumberFormat="1" applyFont="1" applyFill="1" applyBorder="1" applyAlignment="1" applyProtection="1">
      <alignment vertical="top" wrapText="1"/>
      <protection locked="0"/>
    </xf>
    <xf numFmtId="165" fontId="5" fillId="50" borderId="2" xfId="0" applyNumberFormat="1" applyFont="1" applyFill="1" applyBorder="1" applyAlignment="1" applyProtection="1">
      <alignment horizontal="center" vertical="top" wrapText="1"/>
      <protection locked="0"/>
    </xf>
    <xf numFmtId="1" fontId="5" fillId="50" borderId="2" xfId="0" applyNumberFormat="1" applyFont="1" applyFill="1" applyBorder="1" applyAlignment="1" applyProtection="1">
      <alignment horizontal="center" vertical="top" wrapText="1"/>
      <protection locked="0"/>
    </xf>
    <xf numFmtId="168" fontId="5" fillId="50" borderId="2" xfId="0" applyNumberFormat="1" applyFont="1" applyFill="1" applyBorder="1" applyAlignment="1" applyProtection="1">
      <alignment vertical="top" wrapText="1"/>
      <protection locked="0"/>
    </xf>
    <xf numFmtId="0" fontId="5" fillId="50" borderId="2" xfId="0" applyNumberFormat="1" applyFont="1" applyFill="1" applyBorder="1" applyAlignment="1" applyProtection="1">
      <alignment vertical="top" wrapText="1"/>
      <protection locked="0"/>
    </xf>
    <xf numFmtId="0" fontId="5" fillId="50" borderId="52" xfId="0" applyNumberFormat="1" applyFont="1" applyFill="1" applyBorder="1" applyAlignment="1" applyProtection="1">
      <alignment vertical="center"/>
    </xf>
    <xf numFmtId="0" fontId="5" fillId="34" borderId="23" xfId="0" applyNumberFormat="1" applyFont="1" applyFill="1" applyBorder="1" applyAlignment="1" applyProtection="1">
      <alignment vertical="center" wrapText="1"/>
    </xf>
    <xf numFmtId="0" fontId="4" fillId="34" borderId="2" xfId="0" applyNumberFormat="1" applyFont="1" applyFill="1" applyBorder="1" applyAlignment="1" applyProtection="1">
      <alignment horizontal="right" vertical="center" wrapText="1"/>
    </xf>
    <xf numFmtId="165" fontId="4" fillId="34" borderId="2" xfId="0" applyNumberFormat="1" applyFont="1" applyFill="1" applyBorder="1" applyAlignment="1" applyProtection="1">
      <alignment horizontal="center" vertical="center"/>
      <protection locked="0"/>
    </xf>
    <xf numFmtId="1" fontId="4" fillId="34" borderId="2" xfId="0" applyNumberFormat="1" applyFont="1" applyFill="1" applyBorder="1" applyAlignment="1" applyProtection="1">
      <alignment horizontal="center" vertical="center"/>
      <protection locked="0"/>
    </xf>
    <xf numFmtId="0" fontId="4" fillId="50" borderId="2" xfId="0" applyNumberFormat="1" applyFont="1" applyFill="1" applyBorder="1" applyAlignment="1" applyProtection="1">
      <alignment vertical="center" wrapText="1"/>
    </xf>
    <xf numFmtId="0" fontId="4" fillId="34" borderId="23" xfId="0" applyNumberFormat="1" applyFont="1" applyFill="1" applyBorder="1" applyAlignment="1" applyProtection="1">
      <alignment vertical="center" wrapText="1"/>
    </xf>
    <xf numFmtId="0" fontId="4" fillId="2" borderId="4" xfId="0" applyNumberFormat="1" applyFont="1" applyFill="1" applyBorder="1" applyAlignment="1" applyProtection="1">
      <alignment vertical="center" wrapText="1"/>
    </xf>
    <xf numFmtId="0" fontId="5" fillId="34" borderId="4" xfId="0" applyNumberFormat="1" applyFont="1" applyFill="1" applyBorder="1" applyAlignment="1" applyProtection="1">
      <alignment vertical="center" wrapText="1"/>
    </xf>
    <xf numFmtId="0" fontId="4" fillId="50" borderId="4" xfId="0" applyNumberFormat="1" applyFont="1" applyFill="1" applyBorder="1" applyAlignment="1" applyProtection="1">
      <alignment vertical="center" wrapText="1"/>
    </xf>
    <xf numFmtId="167" fontId="4" fillId="50" borderId="91" xfId="0" applyNumberFormat="1" applyFont="1" applyFill="1" applyBorder="1" applyAlignment="1" applyProtection="1">
      <alignment horizontal="center" vertical="center"/>
      <protection locked="0"/>
    </xf>
    <xf numFmtId="167" fontId="4" fillId="50" borderId="11" xfId="0" applyNumberFormat="1" applyFont="1" applyFill="1" applyBorder="1" applyAlignment="1" applyProtection="1">
      <alignment horizontal="center" vertical="center"/>
      <protection locked="0"/>
    </xf>
    <xf numFmtId="1" fontId="5" fillId="50" borderId="11" xfId="0" applyNumberFormat="1" applyFont="1" applyFill="1" applyBorder="1" applyAlignment="1" applyProtection="1">
      <alignment vertical="top" wrapText="1"/>
      <protection locked="0"/>
    </xf>
    <xf numFmtId="167" fontId="4" fillId="2" borderId="30" xfId="0" applyNumberFormat="1" applyFont="1" applyFill="1" applyBorder="1" applyAlignment="1" applyProtection="1">
      <alignment horizontal="center" vertical="center"/>
      <protection locked="0"/>
    </xf>
    <xf numFmtId="167" fontId="4" fillId="2" borderId="85" xfId="0" quotePrefix="1" applyNumberFormat="1" applyFont="1" applyFill="1" applyBorder="1" applyAlignment="1" applyProtection="1">
      <alignment horizontal="center" vertical="center"/>
      <protection locked="0"/>
    </xf>
    <xf numFmtId="0" fontId="4" fillId="34" borderId="2" xfId="0" applyNumberFormat="1" applyFont="1" applyFill="1" applyBorder="1" applyAlignment="1" applyProtection="1">
      <alignment vertical="center" wrapText="1"/>
    </xf>
    <xf numFmtId="0" fontId="4" fillId="50" borderId="2" xfId="0" applyNumberFormat="1" applyFont="1" applyFill="1" applyBorder="1" applyAlignment="1" applyProtection="1">
      <alignment horizontal="right" vertical="center" wrapText="1"/>
    </xf>
    <xf numFmtId="167" fontId="4" fillId="2" borderId="2" xfId="0" quotePrefix="1" applyNumberFormat="1" applyFont="1" applyFill="1" applyBorder="1" applyAlignment="1" applyProtection="1">
      <alignment horizontal="center" vertical="center"/>
      <protection locked="0"/>
    </xf>
    <xf numFmtId="0" fontId="4" fillId="50" borderId="111" xfId="0" applyNumberFormat="1" applyFont="1" applyFill="1" applyBorder="1" applyAlignment="1" applyProtection="1">
      <alignment vertical="center"/>
    </xf>
    <xf numFmtId="0" fontId="4" fillId="50" borderId="78" xfId="0" applyNumberFormat="1" applyFont="1" applyFill="1" applyBorder="1" applyAlignment="1" applyProtection="1">
      <alignment horizontal="right" vertical="center" wrapText="1"/>
    </xf>
    <xf numFmtId="167" fontId="4" fillId="50" borderId="85" xfId="0" applyNumberFormat="1" applyFont="1" applyFill="1" applyBorder="1" applyAlignment="1" applyProtection="1">
      <alignment horizontal="center" vertical="center"/>
      <protection locked="0"/>
    </xf>
    <xf numFmtId="165" fontId="4" fillId="50" borderId="78" xfId="0" quotePrefix="1" applyNumberFormat="1" applyFont="1" applyFill="1" applyBorder="1" applyAlignment="1" applyProtection="1">
      <alignment horizontal="center" vertical="center"/>
      <protection locked="0"/>
    </xf>
    <xf numFmtId="165" fontId="4" fillId="50" borderId="87" xfId="0" applyNumberFormat="1" applyFont="1" applyFill="1" applyBorder="1" applyAlignment="1" applyProtection="1">
      <alignment horizontal="center" vertical="center"/>
      <protection locked="0"/>
    </xf>
    <xf numFmtId="168" fontId="4" fillId="50" borderId="94" xfId="0" applyNumberFormat="1" applyFont="1" applyFill="1" applyBorder="1" applyAlignment="1" applyProtection="1">
      <alignment horizontal="center" vertical="center"/>
    </xf>
    <xf numFmtId="1" fontId="4" fillId="50" borderId="85" xfId="0" applyNumberFormat="1" applyFont="1" applyFill="1" applyBorder="1" applyAlignment="1" applyProtection="1">
      <alignment horizontal="center" vertical="center"/>
      <protection locked="0"/>
    </xf>
    <xf numFmtId="168" fontId="4" fillId="50" borderId="94" xfId="0" applyNumberFormat="1" applyFont="1" applyFill="1" applyBorder="1" applyAlignment="1" applyProtection="1">
      <alignment horizontal="center" vertical="center"/>
      <protection locked="0"/>
    </xf>
    <xf numFmtId="168" fontId="4" fillId="32" borderId="50" xfId="0" applyNumberFormat="1" applyFont="1" applyFill="1" applyBorder="1" applyAlignment="1" applyProtection="1">
      <alignment horizontal="center" vertical="center"/>
      <protection locked="0"/>
    </xf>
    <xf numFmtId="0" fontId="4" fillId="50" borderId="0" xfId="0" applyFont="1" applyFill="1" applyBorder="1" applyAlignment="1" applyProtection="1">
      <alignment horizontal="center" vertical="center"/>
      <protection locked="0"/>
    </xf>
    <xf numFmtId="0" fontId="5" fillId="50" borderId="9" xfId="0" applyNumberFormat="1" applyFont="1" applyFill="1" applyBorder="1" applyAlignment="1" applyProtection="1">
      <alignment vertical="top" wrapText="1"/>
    </xf>
    <xf numFmtId="1" fontId="5" fillId="50" borderId="47" xfId="0" applyNumberFormat="1" applyFont="1" applyFill="1" applyBorder="1" applyAlignment="1" applyProtection="1">
      <alignment horizontal="center" vertical="top" wrapText="1"/>
      <protection locked="0"/>
    </xf>
    <xf numFmtId="168" fontId="5" fillId="50" borderId="47" xfId="0" applyNumberFormat="1" applyFont="1" applyFill="1" applyBorder="1" applyAlignment="1" applyProtection="1">
      <alignment vertical="top" wrapText="1"/>
      <protection locked="0"/>
    </xf>
    <xf numFmtId="0" fontId="5" fillId="50" borderId="47" xfId="0" applyNumberFormat="1" applyFont="1" applyFill="1" applyBorder="1" applyAlignment="1" applyProtection="1">
      <alignment vertical="top" wrapText="1"/>
      <protection locked="0"/>
    </xf>
    <xf numFmtId="168" fontId="5" fillId="50" borderId="44" xfId="0" applyNumberFormat="1" applyFont="1" applyFill="1" applyBorder="1" applyAlignment="1" applyProtection="1">
      <alignment vertical="top" wrapText="1"/>
      <protection locked="0"/>
    </xf>
    <xf numFmtId="168" fontId="4" fillId="32" borderId="2" xfId="0" applyNumberFormat="1" applyFont="1" applyFill="1" applyBorder="1" applyAlignment="1" applyProtection="1">
      <alignment horizontal="center" vertical="center"/>
      <protection locked="0"/>
    </xf>
    <xf numFmtId="165" fontId="4" fillId="34" borderId="2" xfId="0" quotePrefix="1" applyNumberFormat="1" applyFont="1" applyFill="1" applyBorder="1" applyAlignment="1" applyProtection="1">
      <alignment horizontal="center" vertical="center"/>
      <protection locked="0"/>
    </xf>
    <xf numFmtId="0" fontId="4" fillId="2" borderId="2" xfId="0" applyNumberFormat="1" applyFont="1" applyFill="1" applyBorder="1" applyAlignment="1" applyProtection="1">
      <alignment horizontal="center" vertical="center" wrapText="1"/>
    </xf>
    <xf numFmtId="0" fontId="4" fillId="34" borderId="33" xfId="0" applyNumberFormat="1" applyFont="1" applyFill="1" applyBorder="1" applyAlignment="1" applyProtection="1">
      <alignment horizontal="left" vertical="top"/>
    </xf>
    <xf numFmtId="167" fontId="4" fillId="50" borderId="2" xfId="0" quotePrefix="1" applyNumberFormat="1" applyFont="1" applyFill="1" applyBorder="1" applyAlignment="1" applyProtection="1">
      <alignment horizontal="center" vertical="center"/>
      <protection locked="0"/>
    </xf>
    <xf numFmtId="167" fontId="4" fillId="2" borderId="2" xfId="0" applyNumberFormat="1" applyFont="1" applyFill="1" applyBorder="1" applyAlignment="1" applyProtection="1">
      <alignment horizontal="center" vertical="center"/>
      <protection locked="0"/>
    </xf>
    <xf numFmtId="1" fontId="5" fillId="34" borderId="9" xfId="0" applyNumberFormat="1" applyFont="1" applyFill="1" applyBorder="1" applyAlignment="1" applyProtection="1">
      <alignment horizontal="center" vertical="center"/>
      <protection locked="0"/>
    </xf>
    <xf numFmtId="1" fontId="71" fillId="34" borderId="2" xfId="0" applyNumberFormat="1" applyFont="1" applyFill="1" applyBorder="1" applyAlignment="1" applyProtection="1">
      <alignment horizontal="center" vertical="center"/>
      <protection locked="0"/>
    </xf>
    <xf numFmtId="0" fontId="73" fillId="34" borderId="4" xfId="0" applyNumberFormat="1" applyFont="1" applyFill="1" applyBorder="1" applyAlignment="1" applyProtection="1">
      <alignment horizontal="left" vertical="top"/>
    </xf>
    <xf numFmtId="0" fontId="4" fillId="34" borderId="2" xfId="0" applyNumberFormat="1" applyFont="1" applyFill="1" applyBorder="1" applyAlignment="1" applyProtection="1">
      <alignment horizontal="center" vertical="top"/>
    </xf>
    <xf numFmtId="165" fontId="5" fillId="50" borderId="0" xfId="0" applyNumberFormat="1" applyFont="1" applyFill="1" applyBorder="1" applyAlignment="1" applyProtection="1">
      <alignment horizontal="center" vertical="top" wrapText="1"/>
      <protection locked="0"/>
    </xf>
    <xf numFmtId="1" fontId="5" fillId="50" borderId="0" xfId="0" applyNumberFormat="1" applyFont="1" applyFill="1" applyBorder="1" applyAlignment="1" applyProtection="1">
      <alignment horizontal="center" vertical="top" wrapText="1"/>
      <protection locked="0"/>
    </xf>
    <xf numFmtId="0" fontId="5" fillId="50" borderId="47" xfId="0" applyNumberFormat="1" applyFont="1" applyFill="1" applyBorder="1" applyAlignment="1" applyProtection="1">
      <alignment vertical="top" wrapText="1"/>
    </xf>
    <xf numFmtId="0" fontId="4" fillId="2" borderId="78" xfId="0" applyNumberFormat="1" applyFont="1" applyFill="1" applyBorder="1" applyAlignment="1" applyProtection="1">
      <alignment horizontal="right" vertical="center" wrapText="1"/>
    </xf>
    <xf numFmtId="167" fontId="4" fillId="2" borderId="85" xfId="0" applyNumberFormat="1" applyFont="1" applyFill="1" applyBorder="1" applyAlignment="1" applyProtection="1">
      <alignment horizontal="center" vertical="center"/>
      <protection locked="0"/>
    </xf>
    <xf numFmtId="1" fontId="4" fillId="41" borderId="51" xfId="0" applyNumberFormat="1" applyFont="1" applyFill="1" applyBorder="1" applyAlignment="1" applyProtection="1">
      <alignment horizontal="center" vertical="center" wrapText="1"/>
      <protection locked="0"/>
    </xf>
    <xf numFmtId="0" fontId="38" fillId="2" borderId="42" xfId="0" applyFont="1" applyFill="1" applyBorder="1" applyAlignment="1" applyProtection="1">
      <alignment wrapText="1"/>
      <protection locked="0"/>
    </xf>
    <xf numFmtId="0" fontId="4" fillId="2" borderId="2" xfId="0" applyFont="1" applyFill="1" applyBorder="1" applyAlignment="1" applyProtection="1">
      <alignment horizontal="center"/>
      <protection locked="0"/>
    </xf>
    <xf numFmtId="0" fontId="73" fillId="2" borderId="111" xfId="0" applyNumberFormat="1" applyFont="1" applyFill="1" applyBorder="1" applyAlignment="1" applyProtection="1">
      <alignment vertical="center" wrapText="1"/>
    </xf>
    <xf numFmtId="0" fontId="73" fillId="2" borderId="2" xfId="0" applyNumberFormat="1" applyFont="1" applyFill="1" applyBorder="1" applyAlignment="1" applyProtection="1">
      <alignment vertical="center" wrapText="1"/>
    </xf>
    <xf numFmtId="0" fontId="67" fillId="0" borderId="2" xfId="0" applyFont="1" applyBorder="1" applyProtection="1">
      <protection locked="0"/>
    </xf>
    <xf numFmtId="0" fontId="67" fillId="0" borderId="2" xfId="0" applyFont="1" applyFill="1" applyBorder="1" applyAlignment="1" applyProtection="1">
      <alignment horizontal="center"/>
      <protection locked="0"/>
    </xf>
    <xf numFmtId="0" fontId="69" fillId="0" borderId="2" xfId="0" applyFont="1" applyBorder="1" applyAlignment="1" applyProtection="1">
      <alignment wrapText="1"/>
      <protection locked="0"/>
    </xf>
    <xf numFmtId="0" fontId="73" fillId="50" borderId="2" xfId="0" applyNumberFormat="1" applyFont="1" applyFill="1" applyBorder="1" applyAlignment="1" applyProtection="1">
      <alignment vertical="center" wrapText="1"/>
    </xf>
    <xf numFmtId="0" fontId="67" fillId="33" borderId="0" xfId="0" applyFont="1" applyFill="1" applyProtection="1">
      <protection locked="0"/>
    </xf>
    <xf numFmtId="0" fontId="67" fillId="33" borderId="0" xfId="0" applyFont="1" applyFill="1"/>
    <xf numFmtId="0" fontId="67" fillId="33" borderId="0" xfId="0" applyFont="1" applyFill="1" applyBorder="1" applyAlignment="1" applyProtection="1">
      <alignment horizontal="center"/>
      <protection locked="0"/>
    </xf>
    <xf numFmtId="0" fontId="69" fillId="33" borderId="0" xfId="0" applyFont="1" applyFill="1" applyAlignment="1" applyProtection="1">
      <alignment wrapText="1"/>
      <protection locked="0"/>
    </xf>
    <xf numFmtId="167" fontId="4" fillId="34" borderId="16" xfId="0" applyNumberFormat="1" applyFont="1" applyFill="1" applyBorder="1" applyAlignment="1" applyProtection="1">
      <alignment horizontal="center" vertical="center" wrapText="1"/>
      <protection locked="0"/>
    </xf>
    <xf numFmtId="167" fontId="4" fillId="34" borderId="11" xfId="0" applyNumberFormat="1" applyFont="1" applyFill="1" applyBorder="1" applyAlignment="1" applyProtection="1">
      <alignment horizontal="center" vertical="center" wrapText="1"/>
      <protection locked="0"/>
    </xf>
    <xf numFmtId="167" fontId="4" fillId="2" borderId="11" xfId="0" applyNumberFormat="1" applyFont="1" applyFill="1" applyBorder="1" applyAlignment="1" applyProtection="1">
      <alignment horizontal="center" vertical="center"/>
      <protection locked="0"/>
    </xf>
    <xf numFmtId="167" fontId="4" fillId="34" borderId="36" xfId="0" applyNumberFormat="1" applyFont="1" applyFill="1" applyBorder="1" applyAlignment="1" applyProtection="1">
      <alignment horizontal="center" vertical="center" wrapText="1"/>
      <protection locked="0"/>
    </xf>
    <xf numFmtId="167" fontId="4" fillId="34" borderId="36" xfId="0" quotePrefix="1" applyNumberFormat="1" applyFont="1" applyFill="1" applyBorder="1" applyAlignment="1" applyProtection="1">
      <alignment horizontal="center" vertical="center" wrapText="1"/>
      <protection locked="0"/>
    </xf>
    <xf numFmtId="167" fontId="4" fillId="34" borderId="2" xfId="0" quotePrefix="1" applyNumberFormat="1" applyFont="1" applyFill="1" applyBorder="1" applyAlignment="1" applyProtection="1">
      <alignment horizontal="center" vertical="center" wrapText="1"/>
      <protection locked="0"/>
    </xf>
    <xf numFmtId="167" fontId="4" fillId="34" borderId="2" xfId="0" applyNumberFormat="1" applyFont="1" applyFill="1" applyBorder="1" applyAlignment="1" applyProtection="1">
      <alignment horizontal="center" vertical="center" wrapText="1"/>
      <protection locked="0"/>
    </xf>
    <xf numFmtId="167" fontId="4" fillId="34" borderId="9" xfId="0" quotePrefix="1" applyNumberFormat="1" applyFont="1" applyFill="1" applyBorder="1" applyAlignment="1" applyProtection="1">
      <alignment horizontal="center" vertical="center" wrapText="1"/>
      <protection locked="0"/>
    </xf>
    <xf numFmtId="167" fontId="4" fillId="34" borderId="25" xfId="0" quotePrefix="1" applyNumberFormat="1" applyFont="1" applyFill="1" applyBorder="1" applyAlignment="1" applyProtection="1">
      <alignment horizontal="center" vertical="center" wrapText="1"/>
      <protection locked="0"/>
    </xf>
    <xf numFmtId="0" fontId="67" fillId="0" borderId="2" xfId="0" applyFont="1" applyBorder="1" applyAlignment="1" applyProtection="1">
      <alignment horizontal="center"/>
      <protection locked="0"/>
    </xf>
    <xf numFmtId="1" fontId="4" fillId="52" borderId="25" xfId="0" applyNumberFormat="1" applyFont="1" applyFill="1" applyBorder="1" applyAlignment="1" applyProtection="1">
      <alignment horizontal="center" vertical="center"/>
      <protection locked="0"/>
    </xf>
    <xf numFmtId="1" fontId="4" fillId="52" borderId="26" xfId="0" applyNumberFormat="1" applyFont="1" applyFill="1" applyBorder="1" applyAlignment="1" applyProtection="1">
      <alignment horizontal="center" vertical="center"/>
      <protection locked="0"/>
    </xf>
    <xf numFmtId="1" fontId="4" fillId="52" borderId="49" xfId="0" applyNumberFormat="1" applyFont="1" applyFill="1" applyBorder="1" applyAlignment="1" applyProtection="1">
      <alignment horizontal="center" vertical="center"/>
      <protection locked="0"/>
    </xf>
    <xf numFmtId="1" fontId="4" fillId="52" borderId="28" xfId="0" applyNumberFormat="1" applyFont="1" applyFill="1" applyBorder="1" applyAlignment="1" applyProtection="1">
      <alignment horizontal="center" vertical="center"/>
      <protection locked="0"/>
    </xf>
    <xf numFmtId="1" fontId="4" fillId="52" borderId="9" xfId="0" applyNumberFormat="1" applyFont="1" applyFill="1" applyBorder="1" applyAlignment="1" applyProtection="1">
      <alignment horizontal="center" vertical="center"/>
      <protection locked="0"/>
    </xf>
    <xf numFmtId="1" fontId="4" fillId="53" borderId="9" xfId="0" applyNumberFormat="1" applyFont="1" applyFill="1" applyBorder="1" applyAlignment="1" applyProtection="1">
      <alignment horizontal="center" vertical="center"/>
      <protection locked="0"/>
    </xf>
    <xf numFmtId="1" fontId="4" fillId="53" borderId="2" xfId="0" applyNumberFormat="1" applyFont="1" applyFill="1" applyBorder="1" applyAlignment="1" applyProtection="1">
      <alignment horizontal="center" vertical="center"/>
      <protection locked="0"/>
    </xf>
    <xf numFmtId="1" fontId="4" fillId="53" borderId="1" xfId="0" applyNumberFormat="1" applyFont="1" applyFill="1" applyBorder="1" applyAlignment="1" applyProtection="1">
      <alignment horizontal="center" vertical="center"/>
      <protection locked="0"/>
    </xf>
    <xf numFmtId="1" fontId="4" fillId="53" borderId="27" xfId="0" applyNumberFormat="1" applyFont="1" applyFill="1" applyBorder="1" applyAlignment="1" applyProtection="1">
      <alignment horizontal="center" vertical="center"/>
      <protection locked="0"/>
    </xf>
    <xf numFmtId="9" fontId="10" fillId="0" borderId="2" xfId="1" applyFont="1" applyBorder="1" applyAlignment="1">
      <alignment horizontal="center"/>
    </xf>
    <xf numFmtId="0" fontId="7" fillId="3" borderId="0" xfId="0" applyFont="1" applyFill="1" applyAlignment="1">
      <alignment vertical="center" wrapText="1"/>
    </xf>
    <xf numFmtId="0" fontId="44" fillId="2" borderId="32" xfId="0" applyFont="1" applyFill="1" applyBorder="1" applyAlignment="1">
      <alignment vertical="center" wrapText="1"/>
    </xf>
    <xf numFmtId="0" fontId="44" fillId="13" borderId="52" xfId="0" applyFont="1" applyFill="1" applyBorder="1" applyAlignment="1">
      <alignment vertical="center" wrapText="1"/>
    </xf>
    <xf numFmtId="0" fontId="9" fillId="13" borderId="1" xfId="0" applyFont="1" applyFill="1" applyBorder="1" applyAlignment="1" applyProtection="1">
      <alignment vertical="top" wrapText="1"/>
    </xf>
    <xf numFmtId="165" fontId="9" fillId="13" borderId="2" xfId="0" applyNumberFormat="1" applyFont="1" applyFill="1" applyBorder="1" applyAlignment="1" applyProtection="1">
      <alignment horizontal="left" vertical="top" wrapText="1"/>
    </xf>
    <xf numFmtId="0" fontId="44" fillId="13" borderId="32" xfId="0" applyFont="1" applyFill="1" applyBorder="1" applyAlignment="1">
      <alignment vertical="center" wrapText="1"/>
    </xf>
    <xf numFmtId="0" fontId="7" fillId="13" borderId="78" xfId="0" applyFont="1" applyFill="1" applyBorder="1" applyAlignment="1">
      <alignment vertical="center" wrapText="1"/>
    </xf>
    <xf numFmtId="0" fontId="7" fillId="13" borderId="0" xfId="0" applyFont="1" applyFill="1" applyAlignment="1">
      <alignment vertical="center" wrapText="1"/>
    </xf>
    <xf numFmtId="0" fontId="75" fillId="6" borderId="0" xfId="0" applyFont="1" applyFill="1" applyAlignment="1">
      <alignment wrapText="1"/>
    </xf>
    <xf numFmtId="0" fontId="75" fillId="6" borderId="0" xfId="0" applyFont="1" applyFill="1" applyAlignment="1">
      <alignment vertical="center" wrapText="1"/>
    </xf>
    <xf numFmtId="0" fontId="75" fillId="6" borderId="2" xfId="0" applyFont="1" applyFill="1" applyBorder="1" applyAlignment="1">
      <alignment vertical="center" wrapText="1"/>
    </xf>
    <xf numFmtId="0" fontId="0" fillId="6" borderId="2" xfId="0" applyFill="1" applyBorder="1" applyAlignment="1">
      <alignment vertical="center"/>
    </xf>
    <xf numFmtId="0" fontId="0" fillId="6" borderId="2" xfId="0" applyFill="1" applyBorder="1"/>
    <xf numFmtId="0" fontId="44" fillId="5" borderId="72" xfId="0" applyFont="1" applyFill="1" applyBorder="1" applyAlignment="1">
      <alignment vertical="center" wrapText="1"/>
    </xf>
    <xf numFmtId="0" fontId="44" fillId="14" borderId="72" xfId="0" applyFont="1" applyFill="1" applyBorder="1" applyAlignment="1">
      <alignment vertical="center" wrapText="1"/>
    </xf>
    <xf numFmtId="0" fontId="4" fillId="14" borderId="76" xfId="0" applyFont="1" applyFill="1" applyBorder="1" applyAlignment="1" applyProtection="1">
      <alignment horizontal="center" vertical="top" wrapText="1"/>
    </xf>
    <xf numFmtId="0" fontId="4" fillId="14" borderId="78" xfId="0" applyFont="1" applyFill="1" applyBorder="1" applyAlignment="1" applyProtection="1">
      <alignment horizontal="center" vertical="top" wrapText="1"/>
    </xf>
    <xf numFmtId="0" fontId="75" fillId="4" borderId="2" xfId="0" applyFont="1" applyFill="1" applyBorder="1" applyAlignment="1">
      <alignment vertical="center" wrapText="1"/>
    </xf>
    <xf numFmtId="0" fontId="75" fillId="4" borderId="2" xfId="0" applyFont="1" applyFill="1" applyBorder="1" applyAlignment="1">
      <alignment wrapText="1"/>
    </xf>
    <xf numFmtId="0" fontId="44" fillId="14" borderId="2" xfId="0" applyFont="1" applyFill="1" applyBorder="1" applyAlignment="1">
      <alignment horizontal="left" vertical="center" wrapText="1"/>
    </xf>
    <xf numFmtId="2" fontId="17" fillId="4" borderId="9" xfId="0" applyNumberFormat="1" applyFont="1" applyFill="1" applyBorder="1" applyAlignment="1" applyProtection="1">
      <alignment horizontal="left" vertical="top" wrapText="1"/>
    </xf>
    <xf numFmtId="0" fontId="4" fillId="4" borderId="15" xfId="0" applyFont="1" applyFill="1" applyBorder="1" applyAlignment="1" applyProtection="1">
      <alignment horizontal="center" vertical="top" wrapText="1"/>
    </xf>
    <xf numFmtId="0" fontId="4" fillId="4" borderId="9" xfId="0" applyFont="1" applyFill="1" applyBorder="1" applyAlignment="1">
      <alignment horizontal="center" vertical="center" wrapText="1"/>
    </xf>
    <xf numFmtId="0" fontId="4" fillId="4" borderId="10" xfId="0" applyFont="1" applyFill="1" applyBorder="1" applyAlignment="1" applyProtection="1">
      <alignment horizontal="center" vertical="top" wrapText="1"/>
    </xf>
    <xf numFmtId="0" fontId="4" fillId="4" borderId="16" xfId="0" applyFont="1" applyFill="1" applyBorder="1" applyAlignment="1" applyProtection="1">
      <alignment horizontal="center" vertical="top" wrapText="1"/>
    </xf>
    <xf numFmtId="0" fontId="4" fillId="4" borderId="9" xfId="0" applyFont="1" applyFill="1" applyBorder="1" applyAlignment="1" applyProtection="1">
      <alignment horizontal="center" vertical="top" wrapText="1"/>
    </xf>
    <xf numFmtId="0" fontId="4" fillId="4" borderId="35" xfId="0" applyFont="1" applyFill="1" applyBorder="1" applyAlignment="1" applyProtection="1">
      <alignment horizontal="center" vertical="top" wrapText="1"/>
    </xf>
    <xf numFmtId="0" fontId="4" fillId="4" borderId="22" xfId="0" applyFont="1" applyFill="1" applyBorder="1" applyAlignment="1" applyProtection="1">
      <alignment horizontal="center" vertical="top"/>
    </xf>
    <xf numFmtId="0" fontId="4" fillId="4" borderId="39" xfId="0" applyFont="1" applyFill="1" applyBorder="1" applyAlignment="1" applyProtection="1">
      <alignment horizontal="center" vertical="top" wrapText="1"/>
    </xf>
    <xf numFmtId="164" fontId="4" fillId="4" borderId="39" xfId="0" applyNumberFormat="1" applyFont="1" applyFill="1" applyBorder="1" applyAlignment="1" applyProtection="1">
      <alignment horizontal="center" vertical="top" wrapText="1"/>
    </xf>
    <xf numFmtId="0" fontId="9" fillId="7" borderId="39" xfId="0" applyFont="1" applyFill="1" applyBorder="1" applyAlignment="1" applyProtection="1">
      <alignment horizontal="left" vertical="top" wrapText="1"/>
    </xf>
    <xf numFmtId="0" fontId="5" fillId="7" borderId="15" xfId="0" applyFont="1" applyFill="1" applyBorder="1" applyAlignment="1" applyProtection="1">
      <alignment horizontal="center" vertical="top" wrapText="1"/>
    </xf>
    <xf numFmtId="0" fontId="5" fillId="7" borderId="9" xfId="0" applyFont="1" applyFill="1" applyBorder="1" applyAlignment="1">
      <alignment horizontal="center" vertical="center" wrapText="1"/>
    </xf>
    <xf numFmtId="0" fontId="0" fillId="4" borderId="2" xfId="0" applyFill="1" applyBorder="1" applyAlignment="1">
      <alignment vertical="center" wrapText="1"/>
    </xf>
    <xf numFmtId="0" fontId="0" fillId="4" borderId="2" xfId="0" applyFill="1" applyBorder="1" applyAlignment="1">
      <alignment wrapText="1"/>
    </xf>
    <xf numFmtId="0" fontId="0" fillId="4" borderId="9" xfId="0" applyFill="1" applyBorder="1" applyAlignment="1">
      <alignment wrapText="1"/>
    </xf>
    <xf numFmtId="0" fontId="9" fillId="0" borderId="94" xfId="0" applyFont="1" applyFill="1" applyBorder="1" applyAlignment="1" applyProtection="1">
      <alignment horizontal="center" vertical="center"/>
    </xf>
    <xf numFmtId="0" fontId="4" fillId="0" borderId="2" xfId="0" applyFont="1" applyFill="1" applyBorder="1" applyAlignment="1" applyProtection="1">
      <alignment horizontal="center" vertical="top" wrapText="1"/>
    </xf>
    <xf numFmtId="0" fontId="4" fillId="3" borderId="2" xfId="0" applyFont="1" applyFill="1" applyBorder="1" applyAlignment="1" applyProtection="1">
      <alignment horizontal="center" vertical="top" wrapText="1"/>
    </xf>
    <xf numFmtId="0" fontId="5" fillId="5" borderId="2" xfId="0" applyFont="1" applyFill="1" applyBorder="1" applyAlignment="1" applyProtection="1">
      <alignment horizontal="center" vertical="top" wrapText="1"/>
    </xf>
    <xf numFmtId="2" fontId="17" fillId="14" borderId="9" xfId="0" applyNumberFormat="1" applyFont="1" applyFill="1" applyBorder="1" applyAlignment="1" applyProtection="1">
      <alignment horizontal="left" vertical="top" wrapText="1"/>
    </xf>
    <xf numFmtId="0" fontId="44" fillId="14" borderId="2" xfId="0" applyFont="1" applyFill="1" applyBorder="1" applyAlignment="1">
      <alignment horizontal="left" vertical="center"/>
    </xf>
    <xf numFmtId="0" fontId="4" fillId="14" borderId="9" xfId="0" applyFont="1" applyFill="1" applyBorder="1" applyAlignment="1">
      <alignment horizontal="center" vertical="center" wrapText="1"/>
    </xf>
    <xf numFmtId="0" fontId="4" fillId="14" borderId="10" xfId="0" applyFont="1" applyFill="1" applyBorder="1" applyAlignment="1" applyProtection="1">
      <alignment horizontal="center" vertical="top" wrapText="1"/>
    </xf>
    <xf numFmtId="0" fontId="4" fillId="14" borderId="16" xfId="0" applyFont="1" applyFill="1" applyBorder="1" applyAlignment="1" applyProtection="1">
      <alignment horizontal="center" vertical="top" wrapText="1"/>
    </xf>
    <xf numFmtId="0" fontId="4" fillId="14" borderId="9" xfId="0" applyFont="1" applyFill="1" applyBorder="1" applyAlignment="1" applyProtection="1">
      <alignment horizontal="center" vertical="top" wrapText="1"/>
    </xf>
    <xf numFmtId="0" fontId="4" fillId="14" borderId="35" xfId="0" applyFont="1" applyFill="1" applyBorder="1" applyAlignment="1" applyProtection="1">
      <alignment horizontal="center" vertical="top" wrapText="1"/>
    </xf>
    <xf numFmtId="0" fontId="4" fillId="14" borderId="15" xfId="0" applyFont="1" applyFill="1" applyBorder="1" applyAlignment="1" applyProtection="1">
      <alignment horizontal="center" vertical="top" wrapText="1"/>
    </xf>
    <xf numFmtId="0" fontId="4" fillId="14" borderId="22" xfId="0" applyFont="1" applyFill="1" applyBorder="1" applyAlignment="1" applyProtection="1">
      <alignment horizontal="center" vertical="top"/>
    </xf>
    <xf numFmtId="0" fontId="17" fillId="14" borderId="15" xfId="0" applyFont="1" applyFill="1" applyBorder="1" applyAlignment="1" applyProtection="1">
      <alignment vertical="top" wrapText="1"/>
    </xf>
    <xf numFmtId="0" fontId="76" fillId="26" borderId="1" xfId="0" applyFont="1" applyFill="1" applyBorder="1" applyAlignment="1" applyProtection="1">
      <alignment horizontal="center" vertical="top" wrapText="1"/>
    </xf>
    <xf numFmtId="0" fontId="76" fillId="26" borderId="2" xfId="0" applyFont="1" applyFill="1" applyBorder="1" applyAlignment="1">
      <alignment horizontal="center" vertical="center" wrapText="1"/>
    </xf>
    <xf numFmtId="0" fontId="4" fillId="26" borderId="9" xfId="0" applyFont="1" applyFill="1" applyBorder="1" applyAlignment="1">
      <alignment horizontal="center" vertical="center" wrapText="1"/>
    </xf>
    <xf numFmtId="0" fontId="75" fillId="26" borderId="2" xfId="0" applyFont="1" applyFill="1" applyBorder="1" applyAlignment="1">
      <alignment wrapText="1"/>
    </xf>
    <xf numFmtId="0" fontId="75" fillId="26" borderId="2" xfId="0" applyFont="1" applyFill="1" applyBorder="1" applyAlignment="1">
      <alignment vertical="center" wrapText="1"/>
    </xf>
    <xf numFmtId="0" fontId="0" fillId="26" borderId="2" xfId="0" applyFill="1" applyBorder="1" applyAlignment="1">
      <alignment vertical="center" wrapText="1"/>
    </xf>
    <xf numFmtId="0" fontId="0" fillId="26" borderId="2" xfId="0" applyFill="1" applyBorder="1" applyAlignment="1">
      <alignment wrapText="1"/>
    </xf>
    <xf numFmtId="0" fontId="4" fillId="26" borderId="10" xfId="0" applyFont="1" applyFill="1" applyBorder="1" applyAlignment="1" applyProtection="1">
      <alignment horizontal="center" vertical="top" wrapText="1"/>
    </xf>
    <xf numFmtId="0" fontId="0" fillId="26" borderId="9" xfId="0" applyFill="1" applyBorder="1" applyAlignment="1">
      <alignment wrapText="1"/>
    </xf>
    <xf numFmtId="1" fontId="5" fillId="18" borderId="47" xfId="0" applyNumberFormat="1" applyFont="1" applyFill="1" applyBorder="1" applyAlignment="1" applyProtection="1">
      <alignment vertical="top" wrapText="1"/>
      <protection locked="0"/>
    </xf>
    <xf numFmtId="168" fontId="5" fillId="18" borderId="47" xfId="0" applyNumberFormat="1" applyFont="1" applyFill="1" applyBorder="1" applyAlignment="1" applyProtection="1">
      <alignment vertical="top" wrapText="1"/>
      <protection locked="0"/>
    </xf>
    <xf numFmtId="0" fontId="5" fillId="18" borderId="47" xfId="0" applyNumberFormat="1" applyFont="1" applyFill="1" applyBorder="1" applyAlignment="1" applyProtection="1">
      <alignment vertical="top" wrapText="1"/>
      <protection locked="0"/>
    </xf>
    <xf numFmtId="168" fontId="5" fillId="18" borderId="44" xfId="0" applyNumberFormat="1" applyFont="1" applyFill="1" applyBorder="1" applyAlignment="1" applyProtection="1">
      <alignment vertical="top" wrapText="1"/>
      <protection locked="0"/>
    </xf>
    <xf numFmtId="0" fontId="5" fillId="18" borderId="39" xfId="0" applyNumberFormat="1" applyFont="1" applyFill="1" applyBorder="1" applyAlignment="1">
      <alignment horizontal="left" vertical="center"/>
    </xf>
    <xf numFmtId="9" fontId="5" fillId="18" borderId="44" xfId="0" applyNumberFormat="1" applyFont="1" applyFill="1" applyBorder="1" applyAlignment="1" applyProtection="1">
      <alignment vertical="top" wrapText="1"/>
      <protection locked="0"/>
    </xf>
    <xf numFmtId="0" fontId="70" fillId="0" borderId="39" xfId="0" applyFont="1" applyFill="1" applyBorder="1" applyAlignment="1" applyProtection="1">
      <alignment wrapText="1"/>
      <protection locked="0"/>
    </xf>
    <xf numFmtId="0" fontId="4" fillId="49" borderId="2" xfId="0" applyFont="1" applyFill="1" applyBorder="1" applyAlignment="1" applyProtection="1">
      <alignment horizontal="center" vertical="center"/>
      <protection locked="0"/>
    </xf>
    <xf numFmtId="0" fontId="38" fillId="0" borderId="2" xfId="0" applyFont="1" applyFill="1" applyBorder="1" applyAlignment="1" applyProtection="1">
      <alignment wrapText="1"/>
      <protection locked="0"/>
    </xf>
    <xf numFmtId="0" fontId="5" fillId="18" borderId="52" xfId="0" applyNumberFormat="1" applyFont="1" applyFill="1" applyBorder="1" applyAlignment="1" applyProtection="1">
      <alignment vertical="center"/>
      <protection locked="0"/>
    </xf>
    <xf numFmtId="0" fontId="44" fillId="0" borderId="0" xfId="0" applyFont="1" applyBorder="1" applyAlignment="1">
      <alignment vertical="top" wrapText="1"/>
    </xf>
    <xf numFmtId="0" fontId="4" fillId="34" borderId="2" xfId="0" applyNumberFormat="1" applyFont="1" applyFill="1" applyBorder="1" applyAlignment="1" applyProtection="1">
      <alignment horizontal="left" vertical="center" wrapText="1"/>
    </xf>
    <xf numFmtId="0" fontId="4" fillId="50" borderId="2" xfId="0" applyNumberFormat="1" applyFont="1" applyFill="1" applyBorder="1" applyAlignment="1" applyProtection="1">
      <alignment horizontal="center" vertical="center" wrapText="1"/>
    </xf>
    <xf numFmtId="0" fontId="0" fillId="12" borderId="32" xfId="0" applyFill="1" applyBorder="1" applyAlignment="1">
      <alignment horizontal="left" vertical="top" wrapText="1"/>
    </xf>
    <xf numFmtId="0" fontId="0" fillId="12" borderId="31" xfId="0" applyFill="1" applyBorder="1" applyAlignment="1">
      <alignment horizontal="left" vertical="top" wrapText="1"/>
    </xf>
    <xf numFmtId="0" fontId="0" fillId="24" borderId="7" xfId="0" applyFill="1" applyBorder="1" applyAlignment="1">
      <alignment horizontal="left" wrapText="1"/>
    </xf>
    <xf numFmtId="0" fontId="0" fillId="24" borderId="8" xfId="0" applyFill="1" applyBorder="1" applyAlignment="1">
      <alignment horizontal="left" wrapText="1"/>
    </xf>
    <xf numFmtId="0" fontId="0" fillId="24" borderId="38" xfId="0" applyFill="1" applyBorder="1" applyAlignment="1">
      <alignment horizontal="left" wrapText="1"/>
    </xf>
    <xf numFmtId="0" fontId="7" fillId="25" borderId="32" xfId="0" applyFont="1" applyFill="1" applyBorder="1" applyAlignment="1">
      <alignment horizontal="left" vertical="top" wrapText="1"/>
    </xf>
    <xf numFmtId="0" fontId="0" fillId="25" borderId="31" xfId="0" applyFill="1" applyBorder="1" applyAlignment="1">
      <alignment horizontal="left" vertical="top" wrapText="1"/>
    </xf>
    <xf numFmtId="0" fontId="7" fillId="25" borderId="31" xfId="0" applyFont="1" applyFill="1" applyBorder="1" applyAlignment="1">
      <alignment horizontal="left" vertical="top" wrapText="1"/>
    </xf>
    <xf numFmtId="0" fontId="0" fillId="2" borderId="25" xfId="0" applyFill="1" applyBorder="1" applyAlignment="1">
      <alignment horizontal="left" vertical="center" wrapText="1"/>
    </xf>
    <xf numFmtId="0" fontId="0" fillId="2" borderId="26" xfId="0" applyFill="1" applyBorder="1" applyAlignment="1">
      <alignment horizontal="left" vertical="center" wrapText="1"/>
    </xf>
    <xf numFmtId="0" fontId="0" fillId="2" borderId="18" xfId="0" applyFill="1" applyBorder="1" applyAlignment="1">
      <alignment horizontal="left" vertical="center" wrapText="1"/>
    </xf>
    <xf numFmtId="0" fontId="0" fillId="2" borderId="27" xfId="0" applyFill="1" applyBorder="1" applyAlignment="1">
      <alignment horizontal="left" vertical="center" wrapText="1"/>
    </xf>
    <xf numFmtId="0" fontId="0" fillId="2" borderId="28" xfId="0" applyFill="1" applyBorder="1" applyAlignment="1">
      <alignment horizontal="left" vertical="center" wrapText="1"/>
    </xf>
    <xf numFmtId="0" fontId="0" fillId="2" borderId="29" xfId="0" applyFill="1" applyBorder="1" applyAlignment="1">
      <alignment horizontal="left" vertical="center" wrapText="1"/>
    </xf>
    <xf numFmtId="0" fontId="0" fillId="2" borderId="32" xfId="0" applyFill="1" applyBorder="1" applyAlignment="1">
      <alignment horizontal="left" vertical="top" wrapText="1"/>
    </xf>
    <xf numFmtId="0" fontId="0" fillId="2" borderId="19" xfId="0" applyFill="1" applyBorder="1" applyAlignment="1">
      <alignment horizontal="left" vertical="top" wrapText="1"/>
    </xf>
    <xf numFmtId="0" fontId="0" fillId="2" borderId="31" xfId="0" applyFill="1" applyBorder="1" applyAlignment="1">
      <alignment horizontal="left" vertical="top" wrapText="1"/>
    </xf>
    <xf numFmtId="0" fontId="0" fillId="23" borderId="32" xfId="0" applyFont="1" applyFill="1" applyBorder="1" applyAlignment="1">
      <alignment horizontal="center" vertical="top"/>
    </xf>
    <xf numFmtId="0" fontId="0" fillId="23" borderId="31" xfId="0" applyFont="1" applyFill="1" applyBorder="1" applyAlignment="1">
      <alignment horizontal="center" vertical="top"/>
    </xf>
    <xf numFmtId="0" fontId="0" fillId="23" borderId="7" xfId="0" applyFill="1" applyBorder="1" applyAlignment="1">
      <alignment horizontal="center" vertical="top"/>
    </xf>
    <xf numFmtId="0" fontId="0" fillId="23" borderId="38" xfId="0" applyFill="1" applyBorder="1" applyAlignment="1">
      <alignment horizontal="center" vertical="top"/>
    </xf>
    <xf numFmtId="0" fontId="0" fillId="23" borderId="7" xfId="0" applyFill="1" applyBorder="1" applyAlignment="1">
      <alignment horizontal="right" vertical="top"/>
    </xf>
    <xf numFmtId="0" fontId="0" fillId="23" borderId="38" xfId="0" applyFill="1" applyBorder="1" applyAlignment="1">
      <alignment horizontal="right" vertical="top"/>
    </xf>
    <xf numFmtId="0" fontId="9" fillId="2" borderId="32" xfId="0" applyNumberFormat="1" applyFont="1" applyFill="1" applyBorder="1" applyAlignment="1" applyProtection="1">
      <alignment horizontal="left" vertical="top"/>
    </xf>
    <xf numFmtId="0" fontId="9" fillId="2" borderId="19" xfId="0" applyNumberFormat="1" applyFont="1" applyFill="1" applyBorder="1" applyAlignment="1" applyProtection="1">
      <alignment horizontal="left" vertical="top"/>
    </xf>
    <xf numFmtId="0" fontId="9" fillId="2" borderId="31" xfId="0" applyNumberFormat="1" applyFont="1" applyFill="1" applyBorder="1" applyAlignment="1" applyProtection="1">
      <alignment horizontal="left" vertical="top"/>
    </xf>
    <xf numFmtId="0" fontId="11" fillId="18" borderId="32" xfId="0" applyFont="1" applyFill="1" applyBorder="1" applyAlignment="1">
      <alignment horizontal="left" vertical="top" wrapText="1"/>
    </xf>
    <xf numFmtId="0" fontId="11" fillId="18" borderId="19" xfId="0" applyFont="1" applyFill="1" applyBorder="1" applyAlignment="1">
      <alignment horizontal="left" vertical="top" wrapText="1"/>
    </xf>
    <xf numFmtId="0" fontId="11" fillId="18" borderId="31" xfId="0" applyFont="1" applyFill="1" applyBorder="1" applyAlignment="1">
      <alignment horizontal="left" vertical="top" wrapText="1"/>
    </xf>
    <xf numFmtId="0" fontId="5" fillId="2" borderId="32" xfId="0" applyFont="1" applyFill="1" applyBorder="1" applyAlignment="1">
      <alignment horizontal="left"/>
    </xf>
    <xf numFmtId="0" fontId="5" fillId="2" borderId="19" xfId="0" applyFont="1" applyFill="1" applyBorder="1" applyAlignment="1">
      <alignment horizontal="left"/>
    </xf>
    <xf numFmtId="0" fontId="5" fillId="2" borderId="31" xfId="0" applyFont="1" applyFill="1" applyBorder="1" applyAlignment="1">
      <alignment horizontal="left"/>
    </xf>
    <xf numFmtId="0" fontId="4" fillId="20" borderId="4" xfId="0" applyNumberFormat="1" applyFont="1" applyFill="1" applyBorder="1" applyAlignment="1">
      <alignment horizontal="left" vertical="top" wrapText="1"/>
    </xf>
    <xf numFmtId="0" fontId="4" fillId="20" borderId="17" xfId="0" applyNumberFormat="1" applyFont="1" applyFill="1" applyBorder="1" applyAlignment="1">
      <alignment horizontal="left" vertical="top" wrapText="1"/>
    </xf>
    <xf numFmtId="0" fontId="4" fillId="20" borderId="11" xfId="0" applyNumberFormat="1" applyFont="1" applyFill="1" applyBorder="1" applyAlignment="1">
      <alignment horizontal="left" vertical="top" wrapText="1"/>
    </xf>
    <xf numFmtId="0" fontId="4" fillId="20" borderId="4" xfId="0" applyNumberFormat="1" applyFont="1" applyFill="1" applyBorder="1" applyAlignment="1" applyProtection="1">
      <alignment horizontal="left" vertical="top" wrapText="1"/>
    </xf>
    <xf numFmtId="0" fontId="4" fillId="20" borderId="17" xfId="0" applyNumberFormat="1" applyFont="1" applyFill="1" applyBorder="1" applyAlignment="1" applyProtection="1">
      <alignment horizontal="left" vertical="top" wrapText="1"/>
    </xf>
    <xf numFmtId="0" fontId="4" fillId="20" borderId="11" xfId="0" applyNumberFormat="1" applyFont="1" applyFill="1" applyBorder="1" applyAlignment="1" applyProtection="1">
      <alignment horizontal="left" vertical="top" wrapText="1"/>
    </xf>
    <xf numFmtId="0" fontId="5" fillId="0" borderId="32" xfId="0" quotePrefix="1" applyNumberFormat="1" applyFont="1" applyBorder="1" applyAlignment="1" applyProtection="1">
      <alignment horizontal="left" vertical="top" wrapText="1"/>
    </xf>
    <xf numFmtId="0" fontId="5" fillId="0" borderId="19" xfId="0" quotePrefix="1" applyNumberFormat="1" applyFont="1" applyBorder="1" applyAlignment="1" applyProtection="1">
      <alignment horizontal="left" vertical="top" wrapText="1"/>
    </xf>
    <xf numFmtId="0" fontId="5" fillId="0" borderId="31" xfId="0" quotePrefix="1" applyNumberFormat="1" applyFont="1" applyBorder="1" applyAlignment="1" applyProtection="1">
      <alignment horizontal="left" vertical="top" wrapText="1"/>
    </xf>
    <xf numFmtId="0" fontId="4" fillId="2" borderId="4" xfId="0" applyNumberFormat="1" applyFont="1" applyFill="1" applyBorder="1" applyAlignment="1" applyProtection="1">
      <alignment horizontal="left" vertical="top" wrapText="1"/>
    </xf>
    <xf numFmtId="0" fontId="4" fillId="2" borderId="17" xfId="0" applyNumberFormat="1" applyFont="1" applyFill="1" applyBorder="1" applyAlignment="1" applyProtection="1">
      <alignment horizontal="left" vertical="top" wrapText="1"/>
    </xf>
    <xf numFmtId="0" fontId="4" fillId="2" borderId="11" xfId="0" applyNumberFormat="1" applyFont="1" applyFill="1" applyBorder="1" applyAlignment="1" applyProtection="1">
      <alignment horizontal="left" vertical="top" wrapText="1"/>
    </xf>
    <xf numFmtId="0" fontId="4" fillId="2" borderId="4" xfId="0" applyNumberFormat="1" applyFont="1" applyFill="1" applyBorder="1" applyAlignment="1">
      <alignment horizontal="left" vertical="top" wrapText="1"/>
    </xf>
    <xf numFmtId="0" fontId="4" fillId="2" borderId="17" xfId="0" applyNumberFormat="1" applyFont="1" applyFill="1" applyBorder="1" applyAlignment="1">
      <alignment horizontal="left" vertical="top" wrapText="1"/>
    </xf>
    <xf numFmtId="0" fontId="4" fillId="2" borderId="11" xfId="0" applyNumberFormat="1" applyFont="1" applyFill="1" applyBorder="1" applyAlignment="1">
      <alignment horizontal="left" vertical="top" wrapText="1"/>
    </xf>
    <xf numFmtId="0" fontId="5" fillId="0" borderId="49" xfId="0" applyNumberFormat="1" applyFont="1" applyFill="1" applyBorder="1" applyAlignment="1">
      <alignment horizontal="left" vertical="top" wrapText="1"/>
    </xf>
    <xf numFmtId="0" fontId="5" fillId="0" borderId="50" xfId="0" applyNumberFormat="1" applyFont="1" applyFill="1" applyBorder="1" applyAlignment="1">
      <alignment horizontal="left" vertical="top" wrapText="1"/>
    </xf>
    <xf numFmtId="0" fontId="28" fillId="27" borderId="71" xfId="0" applyFont="1" applyFill="1" applyBorder="1" applyAlignment="1">
      <alignment horizontal="center" vertical="center" wrapText="1"/>
    </xf>
    <xf numFmtId="0" fontId="28" fillId="27" borderId="52" xfId="0" applyFont="1" applyFill="1" applyBorder="1" applyAlignment="1">
      <alignment horizontal="center" vertical="center" wrapText="1"/>
    </xf>
    <xf numFmtId="0" fontId="20" fillId="19" borderId="59" xfId="0" applyFont="1" applyFill="1" applyBorder="1" applyAlignment="1">
      <alignment horizontal="center" vertical="center" wrapText="1"/>
    </xf>
    <xf numFmtId="0" fontId="20" fillId="19" borderId="60" xfId="0" applyFont="1" applyFill="1" applyBorder="1" applyAlignment="1">
      <alignment horizontal="center" vertical="center" wrapText="1"/>
    </xf>
    <xf numFmtId="0" fontId="28" fillId="27" borderId="61" xfId="0" applyFont="1" applyFill="1" applyBorder="1" applyAlignment="1">
      <alignment vertical="center" wrapText="1"/>
    </xf>
    <xf numFmtId="0" fontId="28" fillId="27" borderId="62" xfId="0" applyFont="1" applyFill="1" applyBorder="1" applyAlignment="1">
      <alignment vertical="center" wrapText="1"/>
    </xf>
    <xf numFmtId="0" fontId="28" fillId="27" borderId="65" xfId="0" applyFont="1" applyFill="1" applyBorder="1" applyAlignment="1">
      <alignment vertical="center" wrapText="1"/>
    </xf>
    <xf numFmtId="0" fontId="28" fillId="27" borderId="61" xfId="0" applyFont="1" applyFill="1" applyBorder="1" applyAlignment="1">
      <alignment horizontal="left" vertical="center" wrapText="1"/>
    </xf>
    <xf numFmtId="0" fontId="28" fillId="27" borderId="62" xfId="0" applyFont="1" applyFill="1" applyBorder="1" applyAlignment="1">
      <alignment horizontal="left" vertical="center" wrapText="1"/>
    </xf>
    <xf numFmtId="0" fontId="42" fillId="0" borderId="32" xfId="0" applyFont="1" applyBorder="1" applyAlignment="1">
      <alignment horizontal="left" vertical="top" wrapText="1"/>
    </xf>
    <xf numFmtId="0" fontId="42" fillId="0" borderId="19" xfId="0" applyFont="1" applyBorder="1" applyAlignment="1">
      <alignment horizontal="left" vertical="top" wrapText="1"/>
    </xf>
    <xf numFmtId="0" fontId="42" fillId="0" borderId="31" xfId="0" applyFont="1" applyBorder="1" applyAlignment="1">
      <alignment horizontal="left" vertical="top" wrapText="1"/>
    </xf>
    <xf numFmtId="0" fontId="20" fillId="19" borderId="72" xfId="0" applyFont="1" applyFill="1" applyBorder="1" applyAlignment="1">
      <alignment horizontal="center" vertical="center" wrapText="1"/>
    </xf>
    <xf numFmtId="0" fontId="20" fillId="19" borderId="5" xfId="0" applyFont="1" applyFill="1" applyBorder="1" applyAlignment="1">
      <alignment horizontal="center" vertical="center" wrapText="1"/>
    </xf>
    <xf numFmtId="0" fontId="20" fillId="19" borderId="6" xfId="0" applyFont="1" applyFill="1" applyBorder="1" applyAlignment="1">
      <alignment horizontal="center" vertical="center" wrapText="1"/>
    </xf>
    <xf numFmtId="0" fontId="41" fillId="29" borderId="32" xfId="0" applyFont="1" applyFill="1" applyBorder="1" applyAlignment="1">
      <alignment horizontal="center" vertical="center" wrapText="1"/>
    </xf>
    <xf numFmtId="0" fontId="41" fillId="29" borderId="19" xfId="0" applyFont="1" applyFill="1" applyBorder="1" applyAlignment="1">
      <alignment horizontal="center" vertical="center" wrapText="1"/>
    </xf>
    <xf numFmtId="0" fontId="41" fillId="29" borderId="31" xfId="0" applyFont="1" applyFill="1" applyBorder="1" applyAlignment="1">
      <alignment horizontal="center" vertical="center" wrapText="1"/>
    </xf>
    <xf numFmtId="0" fontId="41" fillId="29" borderId="20" xfId="0" applyFont="1" applyFill="1" applyBorder="1" applyAlignment="1">
      <alignment horizontal="center" vertical="center" wrapText="1"/>
    </xf>
    <xf numFmtId="0" fontId="10" fillId="28" borderId="51" xfId="0" quotePrefix="1" applyFont="1" applyFill="1" applyBorder="1" applyAlignment="1">
      <alignment horizontal="left" vertical="top" wrapText="1" indent="1"/>
    </xf>
    <xf numFmtId="0" fontId="10" fillId="28" borderId="73" xfId="0" quotePrefix="1" applyFont="1" applyFill="1" applyBorder="1" applyAlignment="1">
      <alignment horizontal="left" vertical="top" wrapText="1" indent="1"/>
    </xf>
    <xf numFmtId="0" fontId="10" fillId="28" borderId="49" xfId="0" quotePrefix="1" applyFont="1" applyFill="1" applyBorder="1" applyAlignment="1">
      <alignment horizontal="left" vertical="top" wrapText="1" indent="1"/>
    </xf>
    <xf numFmtId="0" fontId="10" fillId="28" borderId="74" xfId="0" quotePrefix="1" applyFont="1" applyFill="1" applyBorder="1" applyAlignment="1">
      <alignment horizontal="left" vertical="top" wrapText="1" indent="1"/>
    </xf>
    <xf numFmtId="0" fontId="10" fillId="28" borderId="6" xfId="0" quotePrefix="1" applyFont="1" applyFill="1" applyBorder="1" applyAlignment="1">
      <alignment horizontal="left" vertical="top" wrapText="1" indent="1"/>
    </xf>
    <xf numFmtId="0" fontId="10" fillId="28" borderId="44" xfId="0" quotePrefix="1" applyFont="1" applyFill="1" applyBorder="1" applyAlignment="1">
      <alignment horizontal="left" vertical="top" wrapText="1" indent="1"/>
    </xf>
    <xf numFmtId="0" fontId="10" fillId="28" borderId="51" xfId="0" applyFont="1" applyFill="1" applyBorder="1" applyAlignment="1">
      <alignment horizontal="left" vertical="top" wrapText="1" indent="1"/>
    </xf>
    <xf numFmtId="0" fontId="10" fillId="28" borderId="73" xfId="0" applyFont="1" applyFill="1" applyBorder="1" applyAlignment="1">
      <alignment horizontal="left" vertical="top" wrapText="1" indent="1"/>
    </xf>
    <xf numFmtId="0" fontId="10" fillId="28" borderId="50" xfId="0" quotePrefix="1" applyFont="1" applyFill="1" applyBorder="1" applyAlignment="1">
      <alignment horizontal="left" vertical="top" wrapText="1" indent="1"/>
    </xf>
    <xf numFmtId="0" fontId="10" fillId="28" borderId="75" xfId="0" quotePrefix="1" applyFont="1" applyFill="1" applyBorder="1" applyAlignment="1">
      <alignment horizontal="left" vertical="top" wrapText="1" indent="1"/>
    </xf>
    <xf numFmtId="0" fontId="0" fillId="31" borderId="33" xfId="0" applyFill="1" applyBorder="1" applyAlignment="1">
      <alignment horizontal="left" vertical="center"/>
    </xf>
    <xf numFmtId="0" fontId="0" fillId="31" borderId="36" xfId="0" applyFill="1" applyBorder="1" applyAlignment="1">
      <alignment horizontal="left" vertical="center"/>
    </xf>
    <xf numFmtId="0" fontId="44" fillId="31" borderId="33" xfId="0" applyFont="1" applyFill="1" applyBorder="1" applyAlignment="1" applyProtection="1">
      <alignment horizontal="center" vertical="top"/>
      <protection locked="0"/>
    </xf>
    <xf numFmtId="0" fontId="44" fillId="31" borderId="21" xfId="0" applyFont="1" applyFill="1" applyBorder="1" applyAlignment="1" applyProtection="1">
      <alignment horizontal="center" vertical="top"/>
      <protection locked="0"/>
    </xf>
    <xf numFmtId="0" fontId="44" fillId="31" borderId="36" xfId="0" applyFont="1" applyFill="1" applyBorder="1" applyAlignment="1" applyProtection="1">
      <alignment horizontal="center" vertical="top"/>
      <protection locked="0"/>
    </xf>
    <xf numFmtId="166" fontId="5" fillId="31" borderId="33" xfId="0" applyNumberFormat="1" applyFont="1" applyFill="1" applyBorder="1" applyAlignment="1" applyProtection="1">
      <alignment horizontal="center" vertical="top"/>
      <protection locked="0"/>
    </xf>
    <xf numFmtId="166" fontId="5" fillId="31" borderId="24" xfId="0" applyNumberFormat="1" applyFont="1" applyFill="1" applyBorder="1" applyAlignment="1" applyProtection="1">
      <alignment horizontal="center" vertical="top"/>
      <protection locked="0"/>
    </xf>
    <xf numFmtId="0" fontId="0" fillId="31" borderId="4" xfId="0" applyFill="1" applyBorder="1" applyAlignment="1">
      <alignment horizontal="left" vertical="center"/>
    </xf>
    <xf numFmtId="0" fontId="0" fillId="31" borderId="11" xfId="0" applyFill="1" applyBorder="1" applyAlignment="1">
      <alignment horizontal="left" vertical="center"/>
    </xf>
    <xf numFmtId="0" fontId="44" fillId="31" borderId="4" xfId="0" applyFont="1" applyFill="1" applyBorder="1" applyAlignment="1" applyProtection="1">
      <alignment horizontal="center" vertical="top"/>
      <protection locked="0"/>
    </xf>
    <xf numFmtId="0" fontId="44" fillId="31" borderId="17" xfId="0" applyFont="1" applyFill="1" applyBorder="1" applyAlignment="1" applyProtection="1">
      <alignment horizontal="center" vertical="top"/>
      <protection locked="0"/>
    </xf>
    <xf numFmtId="0" fontId="44" fillId="31" borderId="11" xfId="0" applyFont="1" applyFill="1" applyBorder="1" applyAlignment="1" applyProtection="1">
      <alignment horizontal="center" vertical="top"/>
      <protection locked="0"/>
    </xf>
    <xf numFmtId="166" fontId="5" fillId="31" borderId="4" xfId="0" applyNumberFormat="1" applyFont="1" applyFill="1" applyBorder="1" applyAlignment="1" applyProtection="1">
      <alignment horizontal="center" vertical="top"/>
      <protection locked="0"/>
    </xf>
    <xf numFmtId="166" fontId="5" fillId="31" borderId="14" xfId="0" applyNumberFormat="1" applyFont="1" applyFill="1" applyBorder="1" applyAlignment="1" applyProtection="1">
      <alignment horizontal="center" vertical="top"/>
      <protection locked="0"/>
    </xf>
    <xf numFmtId="0" fontId="0" fillId="31" borderId="43" xfId="0" applyFill="1" applyBorder="1" applyAlignment="1">
      <alignment horizontal="left" vertical="center"/>
    </xf>
    <xf numFmtId="0" fontId="0" fillId="31" borderId="30" xfId="0" applyFill="1" applyBorder="1" applyAlignment="1">
      <alignment horizontal="left" vertical="center"/>
    </xf>
    <xf numFmtId="0" fontId="0" fillId="31" borderId="43" xfId="0" applyFill="1" applyBorder="1" applyAlignment="1">
      <alignment horizontal="center"/>
    </xf>
    <xf numFmtId="0" fontId="0" fillId="31" borderId="77" xfId="0" applyFill="1" applyBorder="1" applyAlignment="1">
      <alignment horizontal="center"/>
    </xf>
    <xf numFmtId="0" fontId="0" fillId="31" borderId="30" xfId="0" applyFill="1" applyBorder="1" applyAlignment="1">
      <alignment horizontal="center"/>
    </xf>
    <xf numFmtId="166" fontId="5" fillId="31" borderId="43" xfId="0" applyNumberFormat="1" applyFont="1" applyFill="1" applyBorder="1" applyAlignment="1" applyProtection="1">
      <alignment horizontal="center" vertical="top"/>
      <protection locked="0"/>
    </xf>
    <xf numFmtId="166" fontId="5" fillId="31" borderId="79" xfId="0" applyNumberFormat="1" applyFont="1" applyFill="1" applyBorder="1" applyAlignment="1" applyProtection="1">
      <alignment horizontal="center" vertical="top"/>
      <protection locked="0"/>
    </xf>
    <xf numFmtId="0" fontId="45" fillId="22" borderId="32" xfId="0" applyFont="1" applyFill="1" applyBorder="1" applyAlignment="1">
      <alignment horizontal="center" vertical="center" wrapText="1"/>
    </xf>
    <xf numFmtId="0" fontId="45" fillId="22" borderId="19" xfId="0" applyFont="1" applyFill="1" applyBorder="1" applyAlignment="1">
      <alignment horizontal="center" vertical="center" wrapText="1"/>
    </xf>
    <xf numFmtId="0" fontId="45" fillId="22" borderId="31" xfId="0" applyFont="1" applyFill="1" applyBorder="1" applyAlignment="1">
      <alignment horizontal="center" vertical="center" wrapText="1"/>
    </xf>
    <xf numFmtId="0" fontId="45" fillId="22" borderId="20" xfId="0" applyFont="1" applyFill="1" applyBorder="1" applyAlignment="1">
      <alignment horizontal="center" vertical="center" wrapText="1"/>
    </xf>
    <xf numFmtId="0" fontId="44" fillId="18" borderId="2" xfId="0" applyFont="1" applyFill="1" applyBorder="1" applyAlignment="1">
      <alignment horizontal="left" vertical="center"/>
    </xf>
    <xf numFmtId="0" fontId="44" fillId="31" borderId="4" xfId="0" applyFont="1" applyFill="1" applyBorder="1" applyAlignment="1" applyProtection="1">
      <alignment horizontal="left" vertical="center"/>
      <protection locked="0"/>
    </xf>
    <xf numFmtId="0" fontId="44" fillId="31" borderId="11" xfId="0" applyFont="1" applyFill="1" applyBorder="1" applyAlignment="1" applyProtection="1">
      <alignment horizontal="left" vertical="center"/>
      <protection locked="0"/>
    </xf>
    <xf numFmtId="0" fontId="44" fillId="31" borderId="4" xfId="0" applyFont="1" applyFill="1" applyBorder="1" applyAlignment="1" applyProtection="1">
      <alignment horizontal="left" vertical="top"/>
      <protection locked="0"/>
    </xf>
    <xf numFmtId="0" fontId="44" fillId="31" borderId="11" xfId="0" applyFont="1" applyFill="1" applyBorder="1" applyAlignment="1" applyProtection="1">
      <alignment horizontal="left" vertical="top"/>
      <protection locked="0"/>
    </xf>
    <xf numFmtId="166" fontId="44" fillId="31" borderId="4" xfId="0" applyNumberFormat="1" applyFont="1" applyFill="1" applyBorder="1" applyAlignment="1" applyProtection="1">
      <alignment horizontal="left" vertical="top"/>
      <protection locked="0"/>
    </xf>
    <xf numFmtId="166" fontId="44" fillId="31" borderId="14" xfId="0" applyNumberFormat="1" applyFont="1" applyFill="1" applyBorder="1" applyAlignment="1" applyProtection="1">
      <alignment horizontal="left" vertical="top"/>
      <protection locked="0"/>
    </xf>
    <xf numFmtId="0" fontId="44" fillId="31" borderId="43" xfId="0" applyFont="1" applyFill="1" applyBorder="1" applyAlignment="1" applyProtection="1">
      <alignment horizontal="left" vertical="center"/>
      <protection locked="0"/>
    </xf>
    <xf numFmtId="0" fontId="44" fillId="31" borderId="30" xfId="0" applyFont="1" applyFill="1" applyBorder="1" applyAlignment="1" applyProtection="1">
      <alignment horizontal="left" vertical="center"/>
      <protection locked="0"/>
    </xf>
    <xf numFmtId="166" fontId="44" fillId="31" borderId="43" xfId="0" applyNumberFormat="1" applyFont="1" applyFill="1" applyBorder="1" applyAlignment="1" applyProtection="1">
      <alignment horizontal="left" vertical="top"/>
      <protection locked="0"/>
    </xf>
    <xf numFmtId="166" fontId="44" fillId="31" borderId="79" xfId="0" applyNumberFormat="1" applyFont="1" applyFill="1" applyBorder="1" applyAlignment="1" applyProtection="1">
      <alignment horizontal="left" vertical="top"/>
      <protection locked="0"/>
    </xf>
    <xf numFmtId="0" fontId="45" fillId="22" borderId="7" xfId="0" applyFont="1" applyFill="1" applyBorder="1" applyAlignment="1">
      <alignment horizontal="center" vertical="center" wrapText="1"/>
    </xf>
    <xf numFmtId="0" fontId="45" fillId="22" borderId="8" xfId="0" applyFont="1" applyFill="1" applyBorder="1" applyAlignment="1">
      <alignment horizontal="center" vertical="center" wrapText="1"/>
    </xf>
    <xf numFmtId="0" fontId="45" fillId="22" borderId="38" xfId="0" applyFont="1" applyFill="1" applyBorder="1" applyAlignment="1">
      <alignment horizontal="center" vertical="center" wrapText="1"/>
    </xf>
    <xf numFmtId="0" fontId="45" fillId="22" borderId="45" xfId="0" applyFont="1" applyFill="1" applyBorder="1" applyAlignment="1">
      <alignment horizontal="center" vertical="center" wrapText="1"/>
    </xf>
    <xf numFmtId="0" fontId="74" fillId="33" borderId="51" xfId="0" applyFont="1" applyFill="1" applyBorder="1" applyAlignment="1">
      <alignment horizontal="center" vertical="center" wrapText="1"/>
    </xf>
    <xf numFmtId="0" fontId="44" fillId="33" borderId="49" xfId="0" applyFont="1" applyFill="1" applyBorder="1" applyAlignment="1">
      <alignment horizontal="center" vertical="center" wrapText="1"/>
    </xf>
    <xf numFmtId="0" fontId="44" fillId="33" borderId="50" xfId="0" applyFont="1" applyFill="1" applyBorder="1" applyAlignment="1">
      <alignment horizontal="center" vertical="center" wrapText="1"/>
    </xf>
    <xf numFmtId="0" fontId="44" fillId="31" borderId="4" xfId="0" applyFont="1" applyFill="1" applyBorder="1" applyAlignment="1" applyProtection="1">
      <alignment horizontal="right" vertical="center"/>
      <protection locked="0"/>
    </xf>
    <xf numFmtId="0" fontId="44" fillId="31" borderId="11" xfId="0" applyFont="1" applyFill="1" applyBorder="1" applyAlignment="1" applyProtection="1">
      <alignment horizontal="right" vertical="center"/>
      <protection locked="0"/>
    </xf>
    <xf numFmtId="0" fontId="28" fillId="27" borderId="58" xfId="0" applyFont="1" applyFill="1" applyBorder="1" applyAlignment="1">
      <alignment horizontal="left" vertical="center" wrapText="1"/>
    </xf>
    <xf numFmtId="0" fontId="28" fillId="27" borderId="54" xfId="0" applyFont="1" applyFill="1" applyBorder="1" applyAlignment="1">
      <alignment horizontal="left" vertical="center" wrapText="1"/>
    </xf>
    <xf numFmtId="0" fontId="28" fillId="27" borderId="55" xfId="0" applyFont="1" applyFill="1" applyBorder="1" applyAlignment="1">
      <alignment horizontal="left" vertical="center" wrapText="1"/>
    </xf>
    <xf numFmtId="0" fontId="20" fillId="19" borderId="96" xfId="0" applyFont="1" applyFill="1" applyBorder="1" applyAlignment="1">
      <alignment horizontal="center" wrapText="1"/>
    </xf>
    <xf numFmtId="0" fontId="20" fillId="19" borderId="97" xfId="0" applyFont="1" applyFill="1" applyBorder="1" applyAlignment="1">
      <alignment horizontal="center" wrapText="1"/>
    </xf>
    <xf numFmtId="0" fontId="28" fillId="27" borderId="58" xfId="0" applyFont="1" applyFill="1" applyBorder="1" applyAlignment="1">
      <alignment vertical="center" wrapText="1"/>
    </xf>
    <xf numFmtId="0" fontId="28" fillId="27" borderId="54" xfId="0" applyFont="1" applyFill="1" applyBorder="1" applyAlignment="1">
      <alignment vertical="center" wrapText="1"/>
    </xf>
    <xf numFmtId="0" fontId="28" fillId="27" borderId="55" xfId="0" applyFont="1" applyFill="1" applyBorder="1" applyAlignment="1">
      <alignment vertical="center" wrapText="1"/>
    </xf>
    <xf numFmtId="0" fontId="28" fillId="27" borderId="98" xfId="0" applyFont="1" applyFill="1" applyBorder="1" applyAlignment="1">
      <alignment vertical="center" wrapText="1"/>
    </xf>
    <xf numFmtId="0" fontId="28" fillId="27" borderId="99" xfId="0" applyFont="1" applyFill="1" applyBorder="1" applyAlignment="1">
      <alignment vertical="center" wrapText="1"/>
    </xf>
    <xf numFmtId="0" fontId="28" fillId="27" borderId="98" xfId="0" applyFont="1" applyFill="1" applyBorder="1" applyAlignment="1">
      <alignment horizontal="left" vertical="center" wrapText="1"/>
    </xf>
    <xf numFmtId="0" fontId="48" fillId="22" borderId="32" xfId="0" applyFont="1" applyFill="1" applyBorder="1" applyAlignment="1">
      <alignment horizontal="center" vertical="center" wrapText="1"/>
    </xf>
    <xf numFmtId="0" fontId="0" fillId="0" borderId="19" xfId="0" applyBorder="1"/>
    <xf numFmtId="0" fontId="0" fillId="0" borderId="31" xfId="0" applyBorder="1"/>
    <xf numFmtId="0" fontId="48" fillId="22" borderId="19" xfId="0" applyFont="1" applyFill="1" applyBorder="1" applyAlignment="1">
      <alignment horizontal="center" vertical="center" wrapText="1"/>
    </xf>
    <xf numFmtId="0" fontId="48" fillId="22" borderId="31" xfId="0" applyFont="1" applyFill="1" applyBorder="1" applyAlignment="1">
      <alignment horizontal="center" vertical="center" wrapText="1"/>
    </xf>
    <xf numFmtId="0" fontId="58" fillId="33" borderId="32" xfId="0" applyFont="1" applyFill="1" applyBorder="1" applyAlignment="1">
      <alignment horizontal="center" vertical="center" wrapText="1"/>
    </xf>
    <xf numFmtId="0" fontId="0" fillId="31" borderId="33" xfId="0" applyFont="1" applyFill="1" applyBorder="1" applyAlignment="1">
      <alignment horizontal="center"/>
    </xf>
    <xf numFmtId="0" fontId="0" fillId="31" borderId="36" xfId="0" applyFont="1" applyFill="1" applyBorder="1" applyAlignment="1">
      <alignment horizontal="center"/>
    </xf>
    <xf numFmtId="0" fontId="4" fillId="31" borderId="33" xfId="0" applyFont="1" applyFill="1" applyBorder="1" applyAlignment="1" applyProtection="1">
      <alignment horizontal="center" vertical="top"/>
      <protection locked="0"/>
    </xf>
    <xf numFmtId="0" fontId="0" fillId="0" borderId="36" xfId="0" applyBorder="1"/>
    <xf numFmtId="0" fontId="0" fillId="31" borderId="4" xfId="0" applyFont="1" applyFill="1" applyBorder="1" applyAlignment="1">
      <alignment horizontal="center"/>
    </xf>
    <xf numFmtId="0" fontId="0" fillId="31" borderId="11" xfId="0" applyFont="1" applyFill="1" applyBorder="1" applyAlignment="1">
      <alignment horizontal="center"/>
    </xf>
    <xf numFmtId="0" fontId="0" fillId="31" borderId="43" xfId="0" applyFont="1" applyFill="1" applyBorder="1" applyAlignment="1">
      <alignment horizontal="center"/>
    </xf>
    <xf numFmtId="0" fontId="0" fillId="31" borderId="30" xfId="0" applyFont="1" applyFill="1" applyBorder="1" applyAlignment="1">
      <alignment horizontal="center"/>
    </xf>
    <xf numFmtId="0" fontId="72" fillId="18" borderId="34" xfId="0" applyFont="1" applyFill="1" applyBorder="1" applyAlignment="1">
      <alignment horizontal="left" vertical="top"/>
    </xf>
    <xf numFmtId="0" fontId="72" fillId="18" borderId="0" xfId="0" applyFont="1" applyFill="1" applyBorder="1" applyAlignment="1">
      <alignment horizontal="left" vertical="top"/>
    </xf>
    <xf numFmtId="0" fontId="72" fillId="18" borderId="41" xfId="0" applyFont="1" applyFill="1" applyBorder="1" applyAlignment="1">
      <alignment horizontal="left" vertical="top"/>
    </xf>
    <xf numFmtId="0" fontId="49" fillId="50" borderId="34" xfId="0" applyFont="1" applyFill="1" applyBorder="1" applyAlignment="1">
      <alignment horizontal="left" vertical="center" wrapText="1"/>
    </xf>
    <xf numFmtId="0" fontId="49" fillId="50" borderId="0" xfId="0" applyFont="1" applyFill="1" applyBorder="1" applyAlignment="1">
      <alignment horizontal="left" vertical="center" wrapText="1"/>
    </xf>
    <xf numFmtId="0" fontId="49" fillId="50" borderId="41" xfId="0" applyFont="1" applyFill="1" applyBorder="1" applyAlignment="1">
      <alignment horizontal="left" vertical="center" wrapText="1"/>
    </xf>
    <xf numFmtId="0" fontId="49" fillId="50" borderId="52" xfId="0" applyFont="1" applyFill="1" applyBorder="1" applyAlignment="1">
      <alignment horizontal="left" vertical="center"/>
    </xf>
    <xf numFmtId="0" fontId="49" fillId="50" borderId="47" xfId="0" applyFont="1" applyFill="1" applyBorder="1" applyAlignment="1">
      <alignment horizontal="left" vertical="center"/>
    </xf>
    <xf numFmtId="0" fontId="49" fillId="50" borderId="44" xfId="0" applyFont="1" applyFill="1" applyBorder="1" applyAlignment="1">
      <alignment horizontal="left" vertical="center"/>
    </xf>
    <xf numFmtId="0" fontId="72" fillId="18" borderId="72" xfId="0" applyFont="1" applyFill="1" applyBorder="1" applyAlignment="1">
      <alignment horizontal="left" vertical="center"/>
    </xf>
    <xf numFmtId="0" fontId="72" fillId="18" borderId="5" xfId="0" applyFont="1" applyFill="1" applyBorder="1" applyAlignment="1">
      <alignment horizontal="left" vertical="center"/>
    </xf>
    <xf numFmtId="0" fontId="72" fillId="18" borderId="6" xfId="0" applyFont="1" applyFill="1" applyBorder="1" applyAlignment="1">
      <alignment horizontal="left" vertical="center"/>
    </xf>
    <xf numFmtId="0" fontId="4" fillId="31" borderId="43" xfId="0" applyFont="1" applyFill="1" applyBorder="1" applyAlignment="1" applyProtection="1">
      <alignment horizontal="center" vertical="top"/>
      <protection locked="0"/>
    </xf>
    <xf numFmtId="0" fontId="4" fillId="31" borderId="30" xfId="0" applyFont="1" applyFill="1" applyBorder="1" applyAlignment="1" applyProtection="1">
      <alignment horizontal="center" vertical="top"/>
      <protection locked="0"/>
    </xf>
    <xf numFmtId="0" fontId="58" fillId="33" borderId="51" xfId="0" applyFont="1" applyFill="1" applyBorder="1" applyAlignment="1">
      <alignment horizontal="center" vertical="center" wrapText="1"/>
    </xf>
    <xf numFmtId="0" fontId="9" fillId="33" borderId="49" xfId="0" applyFont="1" applyFill="1" applyBorder="1" applyAlignment="1">
      <alignment horizontal="center" vertical="center" wrapText="1"/>
    </xf>
    <xf numFmtId="0" fontId="9" fillId="33" borderId="50" xfId="0" applyFont="1" applyFill="1" applyBorder="1" applyAlignment="1">
      <alignment horizontal="center" vertical="center" wrapText="1"/>
    </xf>
    <xf numFmtId="0" fontId="4" fillId="31" borderId="36" xfId="0" applyFont="1" applyFill="1" applyBorder="1" applyAlignment="1" applyProtection="1">
      <alignment horizontal="center" vertical="top"/>
      <protection locked="0"/>
    </xf>
    <xf numFmtId="0" fontId="4" fillId="31" borderId="4" xfId="0" applyFont="1" applyFill="1" applyBorder="1" applyAlignment="1" applyProtection="1">
      <alignment horizontal="left" vertical="top"/>
      <protection locked="0"/>
    </xf>
    <xf numFmtId="0" fontId="4" fillId="31" borderId="11" xfId="0" applyFont="1" applyFill="1" applyBorder="1" applyAlignment="1" applyProtection="1">
      <alignment horizontal="left" vertical="top"/>
      <protection locked="0"/>
    </xf>
    <xf numFmtId="0" fontId="49" fillId="18" borderId="52" xfId="0" applyFont="1" applyFill="1" applyBorder="1" applyAlignment="1">
      <alignment vertical="center" wrapText="1"/>
    </xf>
    <xf numFmtId="0" fontId="49" fillId="18" borderId="47" xfId="0" applyFont="1" applyFill="1" applyBorder="1" applyAlignment="1">
      <alignment vertical="center" wrapText="1"/>
    </xf>
    <xf numFmtId="0" fontId="49" fillId="18" borderId="32" xfId="0" applyFont="1" applyFill="1" applyBorder="1" applyAlignment="1">
      <alignment vertical="center" wrapText="1"/>
    </xf>
    <xf numFmtId="0" fontId="49" fillId="18" borderId="19" xfId="0" applyFont="1" applyFill="1" applyBorder="1" applyAlignment="1">
      <alignment vertical="center" wrapText="1"/>
    </xf>
    <xf numFmtId="0" fontId="47" fillId="22" borderId="32" xfId="0" applyFont="1" applyFill="1" applyBorder="1" applyAlignment="1">
      <alignment horizontal="center" vertical="center" wrapText="1"/>
    </xf>
    <xf numFmtId="0" fontId="47" fillId="22" borderId="19" xfId="0" applyFont="1" applyFill="1" applyBorder="1" applyAlignment="1">
      <alignment horizontal="center" vertical="center" wrapText="1"/>
    </xf>
    <xf numFmtId="0" fontId="47" fillId="22" borderId="31" xfId="0" applyFont="1" applyFill="1" applyBorder="1" applyAlignment="1">
      <alignment horizontal="center" vertical="center" wrapText="1"/>
    </xf>
    <xf numFmtId="0" fontId="49" fillId="14" borderId="72" xfId="0" applyFont="1" applyFill="1" applyBorder="1" applyAlignment="1">
      <alignment vertical="center" wrapText="1"/>
    </xf>
    <xf numFmtId="0" fontId="49" fillId="14" borderId="5" xfId="0" applyFont="1" applyFill="1" applyBorder="1" applyAlignment="1">
      <alignment vertical="center" wrapText="1"/>
    </xf>
    <xf numFmtId="0" fontId="49" fillId="37" borderId="32" xfId="0" applyFont="1" applyFill="1" applyBorder="1" applyAlignment="1">
      <alignment vertical="center" wrapText="1"/>
    </xf>
    <xf numFmtId="0" fontId="49" fillId="37" borderId="19" xfId="0" applyFont="1" applyFill="1" applyBorder="1" applyAlignment="1">
      <alignment vertical="center" wrapText="1"/>
    </xf>
    <xf numFmtId="0" fontId="20" fillId="19" borderId="101" xfId="0" applyFont="1" applyFill="1" applyBorder="1" applyAlignment="1">
      <alignment horizontal="center" vertical="center" wrapText="1"/>
    </xf>
    <xf numFmtId="0" fontId="20" fillId="19" borderId="102" xfId="0" applyFont="1" applyFill="1" applyBorder="1" applyAlignment="1">
      <alignment horizontal="center" vertical="center" wrapText="1"/>
    </xf>
    <xf numFmtId="0" fontId="28" fillId="27" borderId="69" xfId="0" applyFont="1" applyFill="1" applyBorder="1" applyAlignment="1">
      <alignment vertical="center" wrapText="1"/>
    </xf>
    <xf numFmtId="0" fontId="28" fillId="27" borderId="106" xfId="0" applyFont="1" applyFill="1" applyBorder="1" applyAlignment="1">
      <alignment vertical="center" wrapText="1"/>
    </xf>
    <xf numFmtId="0" fontId="28" fillId="27" borderId="108" xfId="0" applyFont="1" applyFill="1" applyBorder="1" applyAlignment="1">
      <alignment vertical="center" wrapText="1"/>
    </xf>
    <xf numFmtId="0" fontId="66" fillId="27" borderId="108" xfId="2" applyFont="1" applyFill="1" applyBorder="1" applyAlignment="1">
      <alignment vertical="center" wrapText="1"/>
    </xf>
    <xf numFmtId="0" fontId="66" fillId="27" borderId="69" xfId="2" applyFont="1" applyFill="1" applyBorder="1" applyAlignment="1">
      <alignment vertical="center" wrapText="1"/>
    </xf>
    <xf numFmtId="0" fontId="5" fillId="50" borderId="2" xfId="0" applyNumberFormat="1" applyFont="1" applyFill="1" applyBorder="1" applyAlignment="1" applyProtection="1">
      <alignment horizontal="left" vertical="top" wrapText="1"/>
    </xf>
    <xf numFmtId="166" fontId="5" fillId="15" borderId="17" xfId="0" applyNumberFormat="1" applyFont="1" applyFill="1" applyBorder="1" applyAlignment="1" applyProtection="1">
      <alignment horizontal="left" vertical="top"/>
      <protection locked="0"/>
    </xf>
    <xf numFmtId="0" fontId="5" fillId="15" borderId="17" xfId="0" applyFont="1" applyFill="1" applyBorder="1" applyAlignment="1" applyProtection="1">
      <alignment horizontal="left" vertical="top"/>
      <protection locked="0"/>
    </xf>
    <xf numFmtId="0" fontId="4" fillId="2" borderId="1" xfId="0" applyFont="1" applyFill="1" applyBorder="1" applyAlignment="1" applyProtection="1">
      <alignment horizontal="right" vertical="top"/>
      <protection locked="0"/>
    </xf>
    <xf numFmtId="0" fontId="4" fillId="2" borderId="3" xfId="0" applyFont="1" applyFill="1" applyBorder="1" applyAlignment="1" applyProtection="1">
      <alignment horizontal="right" vertical="top"/>
      <protection locked="0"/>
    </xf>
    <xf numFmtId="0" fontId="4" fillId="2" borderId="110" xfId="0" applyFont="1" applyFill="1" applyBorder="1" applyAlignment="1" applyProtection="1">
      <alignment horizontal="right" vertical="top"/>
      <protection locked="0"/>
    </xf>
    <xf numFmtId="0" fontId="4" fillId="2" borderId="14" xfId="0" applyFont="1" applyFill="1" applyBorder="1" applyAlignment="1" applyProtection="1">
      <alignment horizontal="right" vertical="top"/>
      <protection locked="0"/>
    </xf>
    <xf numFmtId="0" fontId="5" fillId="0" borderId="72" xfId="0" applyFont="1" applyBorder="1" applyAlignment="1" applyProtection="1">
      <alignment horizontal="center" vertical="center" wrapText="1"/>
      <protection locked="0"/>
    </xf>
    <xf numFmtId="0" fontId="5" fillId="0" borderId="5" xfId="0" applyFont="1" applyBorder="1" applyAlignment="1" applyProtection="1">
      <alignment horizontal="center" vertical="center" wrapText="1"/>
      <protection locked="0"/>
    </xf>
    <xf numFmtId="0" fontId="5" fillId="15" borderId="77" xfId="0" applyFont="1" applyFill="1" applyBorder="1" applyAlignment="1" applyProtection="1">
      <alignment horizontal="left" vertical="top"/>
      <protection locked="0"/>
    </xf>
    <xf numFmtId="0" fontId="4" fillId="2" borderId="27" xfId="0" applyFont="1" applyFill="1" applyBorder="1" applyAlignment="1" applyProtection="1">
      <alignment horizontal="right" vertical="top"/>
      <protection locked="0"/>
    </xf>
    <xf numFmtId="0" fontId="4" fillId="2" borderId="29" xfId="0" applyFont="1" applyFill="1" applyBorder="1" applyAlignment="1" applyProtection="1">
      <alignment horizontal="right" vertical="top"/>
      <protection locked="0"/>
    </xf>
    <xf numFmtId="0" fontId="4" fillId="2" borderId="100" xfId="0" applyFont="1" applyFill="1" applyBorder="1" applyAlignment="1" applyProtection="1">
      <alignment horizontal="right" vertical="top"/>
      <protection locked="0"/>
    </xf>
    <xf numFmtId="0" fontId="4" fillId="2" borderId="79" xfId="0" applyFont="1" applyFill="1" applyBorder="1" applyAlignment="1" applyProtection="1">
      <alignment horizontal="right" vertical="top"/>
      <protection locked="0"/>
    </xf>
    <xf numFmtId="166" fontId="5" fillId="15" borderId="77" xfId="0" applyNumberFormat="1" applyFont="1" applyFill="1" applyBorder="1" applyAlignment="1" applyProtection="1">
      <alignment horizontal="left" vertical="top"/>
      <protection locked="0"/>
    </xf>
    <xf numFmtId="0" fontId="46" fillId="39" borderId="32" xfId="0" applyFont="1" applyFill="1" applyBorder="1" applyAlignment="1" applyProtection="1">
      <alignment horizontal="center" vertical="top"/>
      <protection locked="0"/>
    </xf>
    <xf numFmtId="0" fontId="46" fillId="39" borderId="19" xfId="0" applyFont="1" applyFill="1" applyBorder="1" applyAlignment="1" applyProtection="1">
      <alignment horizontal="center" vertical="top"/>
      <protection locked="0"/>
    </xf>
    <xf numFmtId="0" fontId="9" fillId="15" borderId="88" xfId="0" applyFont="1" applyFill="1" applyBorder="1" applyAlignment="1" applyProtection="1">
      <alignment horizontal="center" vertical="center"/>
      <protection locked="0"/>
    </xf>
    <xf numFmtId="0" fontId="9" fillId="15" borderId="5" xfId="0" applyFont="1" applyFill="1" applyBorder="1" applyAlignment="1" applyProtection="1">
      <alignment horizontal="center" vertical="center"/>
      <protection locked="0"/>
    </xf>
    <xf numFmtId="0" fontId="5" fillId="15" borderId="19" xfId="0" applyFont="1" applyFill="1" applyBorder="1" applyAlignment="1" applyProtection="1">
      <alignment horizontal="center" vertical="top"/>
      <protection locked="0"/>
    </xf>
    <xf numFmtId="0" fontId="5" fillId="15" borderId="31" xfId="0" applyFont="1" applyFill="1" applyBorder="1" applyAlignment="1" applyProtection="1">
      <alignment horizontal="center" vertical="top"/>
      <protection locked="0"/>
    </xf>
    <xf numFmtId="0" fontId="5" fillId="15" borderId="93" xfId="0" applyFont="1" applyFill="1" applyBorder="1" applyAlignment="1" applyProtection="1">
      <alignment horizontal="left" vertical="top"/>
      <protection locked="0"/>
    </xf>
    <xf numFmtId="0" fontId="4" fillId="2" borderId="25" xfId="0" applyFont="1" applyFill="1" applyBorder="1" applyAlignment="1" applyProtection="1">
      <alignment horizontal="right" vertical="top"/>
      <protection locked="0"/>
    </xf>
    <xf numFmtId="0" fontId="4" fillId="2" borderId="18" xfId="0" applyFont="1" applyFill="1" applyBorder="1" applyAlignment="1" applyProtection="1">
      <alignment horizontal="right" vertical="top"/>
      <protection locked="0"/>
    </xf>
    <xf numFmtId="0" fontId="4" fillId="2" borderId="23" xfId="0" applyFont="1" applyFill="1" applyBorder="1" applyAlignment="1" applyProtection="1">
      <alignment horizontal="right" vertical="top"/>
      <protection locked="0"/>
    </xf>
    <xf numFmtId="0" fontId="4" fillId="2" borderId="24" xfId="0" applyFont="1" applyFill="1" applyBorder="1" applyAlignment="1" applyProtection="1">
      <alignment horizontal="right" vertical="top"/>
      <protection locked="0"/>
    </xf>
    <xf numFmtId="166" fontId="5" fillId="15" borderId="93" xfId="0" applyNumberFormat="1" applyFont="1" applyFill="1" applyBorder="1" applyAlignment="1" applyProtection="1">
      <alignment horizontal="left" vertical="top"/>
      <protection locked="0"/>
    </xf>
    <xf numFmtId="0" fontId="5" fillId="0" borderId="5" xfId="0" applyFont="1" applyFill="1" applyBorder="1" applyAlignment="1" applyProtection="1">
      <alignment horizontal="center" vertical="center" wrapText="1"/>
      <protection locked="0"/>
    </xf>
    <xf numFmtId="0" fontId="5" fillId="0" borderId="47" xfId="0" applyFont="1" applyFill="1" applyBorder="1" applyAlignment="1" applyProtection="1">
      <alignment horizontal="center" vertical="center" wrapText="1"/>
      <protection locked="0"/>
    </xf>
    <xf numFmtId="0" fontId="44" fillId="0" borderId="37" xfId="0" applyFont="1" applyBorder="1" applyAlignment="1" applyProtection="1">
      <alignment horizontal="center" vertical="center" wrapText="1"/>
      <protection locked="0"/>
    </xf>
    <xf numFmtId="0" fontId="44" fillId="0" borderId="42" xfId="0" applyFont="1" applyBorder="1" applyAlignment="1" applyProtection="1">
      <alignment horizontal="center" vertical="center" wrapText="1"/>
      <protection locked="0"/>
    </xf>
    <xf numFmtId="0" fontId="4" fillId="39" borderId="52" xfId="0" applyNumberFormat="1" applyFont="1" applyFill="1" applyBorder="1" applyAlignment="1" applyProtection="1">
      <alignment horizontal="center" vertical="top"/>
      <protection locked="0"/>
    </xf>
    <xf numFmtId="0" fontId="4" fillId="39" borderId="47" xfId="0" applyNumberFormat="1" applyFont="1" applyFill="1" applyBorder="1" applyAlignment="1" applyProtection="1">
      <alignment horizontal="center" vertical="top"/>
      <protection locked="0"/>
    </xf>
    <xf numFmtId="0" fontId="5" fillId="40" borderId="25" xfId="0" applyFont="1" applyFill="1" applyBorder="1" applyAlignment="1" applyProtection="1">
      <alignment horizontal="center" vertical="center" wrapText="1"/>
      <protection locked="0"/>
    </xf>
    <xf numFmtId="0" fontId="5" fillId="40" borderId="76" xfId="0" applyFont="1" applyFill="1" applyBorder="1" applyAlignment="1" applyProtection="1">
      <alignment horizontal="center" vertical="center" wrapText="1"/>
      <protection locked="0"/>
    </xf>
    <xf numFmtId="0" fontId="5" fillId="40" borderId="26" xfId="0" applyFont="1" applyFill="1" applyBorder="1" applyAlignment="1" applyProtection="1">
      <alignment horizontal="center" vertical="center" wrapText="1"/>
      <protection locked="0"/>
    </xf>
    <xf numFmtId="0" fontId="5" fillId="40" borderId="78" xfId="0" applyFont="1" applyFill="1" applyBorder="1" applyAlignment="1" applyProtection="1">
      <alignment horizontal="center" vertical="center" wrapText="1"/>
      <protection locked="0"/>
    </xf>
    <xf numFmtId="0" fontId="5" fillId="40" borderId="33" xfId="0" applyFont="1" applyFill="1" applyBorder="1" applyAlignment="1" applyProtection="1">
      <alignment horizontal="center" vertical="center" wrapText="1"/>
      <protection locked="0"/>
    </xf>
    <xf numFmtId="0" fontId="5" fillId="40" borderId="94" xfId="0" applyFont="1" applyFill="1" applyBorder="1" applyAlignment="1" applyProtection="1">
      <alignment horizontal="center" vertical="center" wrapText="1"/>
      <protection locked="0"/>
    </xf>
    <xf numFmtId="0" fontId="5" fillId="41" borderId="25" xfId="0" applyFont="1" applyFill="1" applyBorder="1" applyAlignment="1">
      <alignment horizontal="center" vertical="center" wrapText="1"/>
    </xf>
    <xf numFmtId="0" fontId="5" fillId="41" borderId="76" xfId="0" applyFont="1" applyFill="1" applyBorder="1" applyAlignment="1">
      <alignment horizontal="center" vertical="center" wrapText="1"/>
    </xf>
    <xf numFmtId="0" fontId="5" fillId="41" borderId="26" xfId="0" applyFont="1" applyFill="1" applyBorder="1" applyAlignment="1">
      <alignment horizontal="center" vertical="center" wrapText="1"/>
    </xf>
    <xf numFmtId="0" fontId="5" fillId="41" borderId="78" xfId="0" applyFont="1" applyFill="1" applyBorder="1" applyAlignment="1">
      <alignment horizontal="center" vertical="center" wrapText="1"/>
    </xf>
    <xf numFmtId="0" fontId="5" fillId="41" borderId="18" xfId="0" applyFont="1" applyFill="1" applyBorder="1" applyAlignment="1">
      <alignment horizontal="center" vertical="center" wrapText="1"/>
    </xf>
    <xf numFmtId="0" fontId="5" fillId="41" borderId="87" xfId="0" applyFont="1" applyFill="1" applyBorder="1" applyAlignment="1">
      <alignment horizontal="center" vertical="center" wrapText="1"/>
    </xf>
    <xf numFmtId="0" fontId="5" fillId="0" borderId="72" xfId="0" applyFont="1" applyFill="1" applyBorder="1" applyAlignment="1" applyProtection="1">
      <alignment horizontal="center" vertical="center" wrapText="1"/>
      <protection locked="0"/>
    </xf>
    <xf numFmtId="0" fontId="5" fillId="0" borderId="6" xfId="0" applyFont="1" applyFill="1" applyBorder="1" applyAlignment="1" applyProtection="1">
      <alignment horizontal="center" vertical="center" wrapText="1"/>
      <protection locked="0"/>
    </xf>
    <xf numFmtId="0" fontId="5" fillId="0" borderId="34" xfId="0" applyFont="1" applyFill="1" applyBorder="1" applyAlignment="1" applyProtection="1">
      <alignment horizontal="center" vertical="center" wrapText="1"/>
      <protection locked="0"/>
    </xf>
    <xf numFmtId="0" fontId="5" fillId="0" borderId="41" xfId="0" applyFont="1" applyFill="1" applyBorder="1" applyAlignment="1" applyProtection="1">
      <alignment horizontal="center" vertical="center" wrapText="1"/>
      <protection locked="0"/>
    </xf>
    <xf numFmtId="0" fontId="5" fillId="0" borderId="6" xfId="0" applyFont="1" applyBorder="1" applyAlignment="1" applyProtection="1">
      <alignment horizontal="center" vertical="center" wrapText="1"/>
      <protection locked="0"/>
    </xf>
    <xf numFmtId="0" fontId="4" fillId="34" borderId="113" xfId="0" applyNumberFormat="1" applyFont="1" applyFill="1" applyBorder="1" applyAlignment="1" applyProtection="1">
      <alignment horizontal="left" vertical="top" wrapText="1"/>
    </xf>
    <xf numFmtId="0" fontId="4" fillId="34" borderId="16" xfId="0" applyNumberFormat="1" applyFont="1" applyFill="1" applyBorder="1" applyAlignment="1" applyProtection="1">
      <alignment horizontal="left" vertical="top" wrapText="1"/>
    </xf>
    <xf numFmtId="0" fontId="5" fillId="50" borderId="52" xfId="0" applyNumberFormat="1" applyFont="1" applyFill="1" applyBorder="1" applyAlignment="1" applyProtection="1">
      <alignment horizontal="left" vertical="top"/>
    </xf>
    <xf numFmtId="0" fontId="5" fillId="50" borderId="0" xfId="0" applyNumberFormat="1" applyFont="1" applyFill="1" applyBorder="1" applyAlignment="1" applyProtection="1">
      <alignment horizontal="left" vertical="top"/>
    </xf>
    <xf numFmtId="0" fontId="5" fillId="50" borderId="47" xfId="0" applyNumberFormat="1" applyFont="1" applyFill="1" applyBorder="1" applyAlignment="1" applyProtection="1">
      <alignment horizontal="left" vertical="top"/>
    </xf>
    <xf numFmtId="0" fontId="5" fillId="50" borderId="44" xfId="0" applyNumberFormat="1" applyFont="1" applyFill="1" applyBorder="1" applyAlignment="1" applyProtection="1">
      <alignment horizontal="left" vertical="top"/>
    </xf>
    <xf numFmtId="49" fontId="9" fillId="0" borderId="37" xfId="0" applyNumberFormat="1" applyFont="1" applyFill="1" applyBorder="1" applyAlignment="1" applyProtection="1">
      <alignment horizontal="center" vertical="center" wrapText="1"/>
    </xf>
    <xf numFmtId="49" fontId="9" fillId="0" borderId="42" xfId="0" applyNumberFormat="1" applyFont="1" applyFill="1" applyBorder="1" applyAlignment="1" applyProtection="1">
      <alignment horizontal="center" vertical="center" wrapText="1"/>
    </xf>
    <xf numFmtId="0" fontId="9" fillId="0" borderId="23" xfId="0" applyFont="1" applyFill="1" applyBorder="1" applyAlignment="1" applyProtection="1">
      <alignment horizontal="center" vertical="center"/>
    </xf>
    <xf numFmtId="0" fontId="9" fillId="0" borderId="21" xfId="0" applyFont="1" applyFill="1" applyBorder="1" applyAlignment="1" applyProtection="1">
      <alignment horizontal="center" vertical="center"/>
    </xf>
    <xf numFmtId="0" fontId="9" fillId="0" borderId="24" xfId="0" applyFont="1" applyFill="1" applyBorder="1" applyAlignment="1" applyProtection="1">
      <alignment horizontal="center" vertical="center"/>
    </xf>
    <xf numFmtId="0" fontId="9" fillId="0" borderId="36" xfId="0" applyFont="1" applyFill="1" applyBorder="1" applyAlignment="1" applyProtection="1">
      <alignment horizontal="center" vertical="center"/>
    </xf>
    <xf numFmtId="0" fontId="9" fillId="0" borderId="26" xfId="0" applyFont="1" applyFill="1" applyBorder="1" applyAlignment="1" applyProtection="1">
      <alignment horizontal="center" vertical="center"/>
    </xf>
    <xf numFmtId="0" fontId="9" fillId="0" borderId="33" xfId="0" applyFont="1" applyFill="1" applyBorder="1" applyAlignment="1" applyProtection="1">
      <alignment horizontal="center" vertical="center"/>
    </xf>
    <xf numFmtId="0" fontId="9" fillId="0" borderId="25" xfId="0" applyFont="1" applyFill="1" applyBorder="1" applyAlignment="1" applyProtection="1">
      <alignment horizontal="center" vertical="center"/>
    </xf>
    <xf numFmtId="0" fontId="9" fillId="0" borderId="18" xfId="0" applyFont="1" applyFill="1" applyBorder="1" applyAlignment="1" applyProtection="1">
      <alignment horizontal="center" vertical="center"/>
    </xf>
    <xf numFmtId="0" fontId="9" fillId="0" borderId="37" xfId="0" applyFont="1" applyFill="1" applyBorder="1" applyAlignment="1" applyProtection="1">
      <alignment horizontal="center" vertical="top" wrapText="1"/>
    </xf>
    <xf numFmtId="0" fontId="9" fillId="0" borderId="40" xfId="0" applyFont="1" applyFill="1" applyBorder="1" applyAlignment="1" applyProtection="1">
      <alignment horizontal="center" vertical="top" wrapText="1"/>
    </xf>
    <xf numFmtId="0" fontId="9" fillId="0" borderId="6" xfId="0" applyFont="1" applyFill="1" applyBorder="1" applyAlignment="1" applyProtection="1">
      <alignment horizontal="center" vertical="top"/>
    </xf>
    <xf numFmtId="0" fontId="9" fillId="0" borderId="44" xfId="0" applyFont="1" applyFill="1" applyBorder="1" applyAlignment="1" applyProtection="1">
      <alignment horizontal="center" vertical="top"/>
    </xf>
    <xf numFmtId="0" fontId="28" fillId="27" borderId="70" xfId="0" applyFont="1" applyFill="1" applyBorder="1" applyAlignment="1">
      <alignment vertical="center" wrapText="1"/>
    </xf>
    <xf numFmtId="0" fontId="5" fillId="0" borderId="23" xfId="0" applyFont="1" applyBorder="1" applyAlignment="1" applyProtection="1">
      <alignment horizontal="right" vertical="top"/>
      <protection locked="0"/>
    </xf>
    <xf numFmtId="0" fontId="5" fillId="0" borderId="24" xfId="0" applyFont="1" applyBorder="1" applyAlignment="1" applyProtection="1">
      <alignment horizontal="right" vertical="top"/>
      <protection locked="0"/>
    </xf>
    <xf numFmtId="0" fontId="4" fillId="0" borderId="110" xfId="0" applyFont="1" applyBorder="1" applyAlignment="1" applyProtection="1">
      <alignment horizontal="right" vertical="top"/>
      <protection locked="0"/>
    </xf>
    <xf numFmtId="0" fontId="4" fillId="0" borderId="14" xfId="0" applyFont="1" applyBorder="1" applyAlignment="1" applyProtection="1">
      <alignment horizontal="right" vertical="top"/>
      <protection locked="0"/>
    </xf>
    <xf numFmtId="0" fontId="4" fillId="0" borderId="100" xfId="0" applyFont="1" applyBorder="1" applyAlignment="1" applyProtection="1">
      <alignment horizontal="right" vertical="top"/>
      <protection locked="0"/>
    </xf>
    <xf numFmtId="0" fontId="4" fillId="0" borderId="79" xfId="0" applyFont="1" applyBorder="1" applyAlignment="1" applyProtection="1">
      <alignment horizontal="right" vertical="top"/>
      <protection locked="0"/>
    </xf>
    <xf numFmtId="49" fontId="4" fillId="49" borderId="110" xfId="0" applyNumberFormat="1" applyFont="1" applyFill="1" applyBorder="1" applyAlignment="1" applyProtection="1">
      <alignment horizontal="left" vertical="center" wrapText="1"/>
      <protection locked="0"/>
    </xf>
    <xf numFmtId="0" fontId="4" fillId="49" borderId="17" xfId="0" applyNumberFormat="1" applyFont="1" applyFill="1" applyBorder="1" applyAlignment="1" applyProtection="1">
      <alignment horizontal="left" vertical="center" wrapText="1"/>
      <protection locked="0"/>
    </xf>
    <xf numFmtId="0" fontId="4" fillId="49" borderId="14" xfId="0" applyNumberFormat="1" applyFont="1" applyFill="1" applyBorder="1" applyAlignment="1" applyProtection="1">
      <alignment horizontal="left" vertical="center" wrapText="1"/>
      <protection locked="0"/>
    </xf>
    <xf numFmtId="49" fontId="4" fillId="49" borderId="4" xfId="0" applyNumberFormat="1" applyFont="1" applyFill="1" applyBorder="1" applyAlignment="1" applyProtection="1">
      <alignment horizontal="left" vertical="center" wrapText="1"/>
      <protection locked="0"/>
    </xf>
    <xf numFmtId="0" fontId="4" fillId="49" borderId="11" xfId="0" applyNumberFormat="1" applyFont="1" applyFill="1" applyBorder="1" applyAlignment="1" applyProtection="1">
      <alignment horizontal="left" vertical="center" wrapText="1"/>
      <protection locked="0"/>
    </xf>
    <xf numFmtId="0" fontId="5" fillId="0" borderId="0" xfId="0" applyFont="1" applyFill="1" applyBorder="1" applyAlignment="1" applyProtection="1">
      <alignment horizontal="center" vertical="center" wrapText="1"/>
      <protection locked="0"/>
    </xf>
  </cellXfs>
  <cellStyles count="3">
    <cellStyle name="Hyperlink" xfId="2" builtinId="8"/>
    <cellStyle name="Normal" xfId="0" builtinId="0"/>
    <cellStyle name="Percent" xfId="1" builtinId="5"/>
  </cellStyles>
  <dxfs count="64">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theme="1"/>
      </font>
      <fill>
        <patternFill patternType="lightUp">
          <fgColor theme="1"/>
          <bgColor theme="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theme="1"/>
      </font>
      <fill>
        <patternFill patternType="lightUp">
          <fgColor theme="1"/>
          <bgColor theme="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theme="1"/>
      </font>
      <fill>
        <patternFill patternType="lightUp">
          <fgColor theme="1"/>
          <bgColor theme="0"/>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theme="1"/>
      </font>
      <fill>
        <patternFill patternType="lightUp">
          <fgColor theme="1"/>
          <bgColor theme="0"/>
        </patternFill>
      </fill>
    </dxf>
    <dxf>
      <font>
        <b/>
        <i val="0"/>
        <color theme="1"/>
      </font>
      <fill>
        <patternFill patternType="lightUp">
          <bgColor indexed="65"/>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b/>
        <i val="0"/>
        <color theme="1"/>
      </font>
      <fill>
        <patternFill patternType="lightUp">
          <bgColor indexed="65"/>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b/>
        <i val="0"/>
        <color theme="1"/>
      </font>
      <fill>
        <patternFill patternType="lightUp">
          <bgColor indexed="65"/>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b/>
        <i val="0"/>
        <color theme="1"/>
      </font>
      <fill>
        <patternFill patternType="lightUp">
          <bgColor indexed="65"/>
        </patternFill>
      </fill>
    </dxf>
    <dxf>
      <font>
        <color theme="1"/>
      </font>
      <fill>
        <patternFill patternType="gray125">
          <fgColor indexed="64"/>
          <bgColor indexed="65"/>
        </patternFill>
      </fill>
    </dxf>
    <dxf>
      <font>
        <b/>
        <i val="0"/>
      </font>
      <fill>
        <patternFill patternType="gray125">
          <fgColor indexed="64"/>
          <bgColor indexed="65"/>
        </patternFill>
      </fill>
    </dxf>
    <dxf>
      <font>
        <color rgb="FF006100"/>
      </font>
      <fill>
        <patternFill>
          <bgColor rgb="FFC6EFCE"/>
        </patternFill>
      </fill>
    </dxf>
    <dxf>
      <font>
        <color rgb="FF9C0006"/>
      </font>
      <fill>
        <patternFill>
          <bgColor rgb="FFFFC7CE"/>
        </patternFill>
      </fill>
    </dxf>
    <dxf>
      <fill>
        <patternFill patternType="gray125">
          <bgColor theme="0" tint="-0.24994659260841701"/>
        </patternFill>
      </fill>
    </dxf>
    <dxf>
      <font>
        <color rgb="FF9C6500"/>
      </font>
      <fill>
        <patternFill>
          <bgColor rgb="FFFFEB9C"/>
        </patternFill>
      </fill>
    </dxf>
    <dxf>
      <fill>
        <patternFill patternType="lightUp">
          <bgColor theme="0" tint="-0.499984740745262"/>
        </patternFill>
      </fill>
    </dxf>
    <dxf>
      <font>
        <b/>
        <i val="0"/>
        <color theme="1"/>
      </font>
      <fill>
        <patternFill patternType="lightUp"/>
      </fill>
    </dxf>
    <dxf>
      <font>
        <color rgb="FF006100"/>
      </font>
      <fill>
        <patternFill>
          <bgColor rgb="FFC6EFCE"/>
        </patternFill>
      </fill>
    </dxf>
    <dxf>
      <font>
        <b/>
        <i val="0"/>
      </font>
      <fill>
        <patternFill patternType="gray125">
          <fgColor indexed="64"/>
          <bgColor indexed="65"/>
        </patternFill>
      </fill>
    </dxf>
    <dxf>
      <font>
        <color theme="1"/>
      </font>
      <fill>
        <patternFill patternType="gray125">
          <fgColor indexed="64"/>
          <bgColor indexed="65"/>
        </patternFill>
      </fill>
    </dxf>
    <dxf>
      <font>
        <b/>
        <i val="0"/>
        <color theme="1"/>
      </font>
      <fill>
        <patternFill patternType="lightUp"/>
      </fill>
    </dxf>
    <dxf>
      <fill>
        <patternFill patternType="lightUp">
          <bgColor theme="0" tint="-0.499984740745262"/>
        </patternFill>
      </fill>
    </dxf>
    <dxf>
      <fill>
        <patternFill patternType="gray125">
          <bgColor theme="0" tint="-0.24994659260841701"/>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ill>
        <patternFill patternType="gray125">
          <bgColor theme="0" tint="-0.24994659260841701"/>
        </patternFill>
      </fill>
    </dxf>
    <dxf>
      <fill>
        <patternFill patternType="lightUp">
          <bgColor theme="0" tint="-0.499984740745262"/>
        </patternFill>
      </fill>
    </dxf>
    <dxf>
      <font>
        <b/>
        <i val="0"/>
        <color theme="1"/>
      </font>
      <fill>
        <patternFill patternType="lightUp"/>
      </fill>
    </dxf>
    <dxf>
      <font>
        <b/>
        <i val="0"/>
      </font>
      <fill>
        <patternFill patternType="gray125">
          <fgColor indexed="64"/>
          <bgColor indexed="65"/>
        </patternFill>
      </fill>
    </dxf>
    <dxf>
      <font>
        <color theme="1"/>
      </font>
      <fill>
        <patternFill patternType="gray125">
          <fgColor indexed="64"/>
          <bgColor indexed="65"/>
        </patternFill>
      </fill>
    </dxf>
    <dxf>
      <font>
        <color rgb="FF006100"/>
      </font>
      <fill>
        <patternFill>
          <bgColor rgb="FFC6EFCE"/>
        </patternFill>
      </fill>
    </dxf>
    <dxf>
      <font>
        <color theme="1"/>
      </font>
      <fill>
        <patternFill patternType="gray125">
          <fgColor indexed="64"/>
          <bgColor indexed="65"/>
        </patternFill>
      </fill>
    </dxf>
    <dxf>
      <font>
        <b/>
        <i val="0"/>
        <color theme="1"/>
      </font>
      <fill>
        <patternFill patternType="lightUp"/>
      </fill>
    </dxf>
    <dxf>
      <font>
        <b/>
        <i val="0"/>
      </font>
      <fill>
        <patternFill patternType="gray125">
          <fgColor indexed="64"/>
          <bgColor indexed="65"/>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ill>
        <patternFill patternType="lightUp">
          <bgColor theme="0" tint="-0.499984740745262"/>
        </patternFill>
      </fill>
    </dxf>
    <dxf>
      <fill>
        <patternFill patternType="gray125">
          <bgColor theme="0" tint="-0.24994659260841701"/>
        </patternFill>
      </fill>
    </dxf>
  </dxfs>
  <tableStyles count="0" defaultTableStyle="TableStyleMedium9"/>
  <colors>
    <mruColors>
      <color rgb="FF99CCFF"/>
      <color rgb="FF00FF00"/>
      <color rgb="FFFCE8FC"/>
      <color rgb="FFA6CE3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250032</xdr:colOff>
      <xdr:row>4</xdr:row>
      <xdr:rowOff>11907</xdr:rowOff>
    </xdr:from>
    <xdr:to>
      <xdr:col>8</xdr:col>
      <xdr:colOff>984095</xdr:colOff>
      <xdr:row>4</xdr:row>
      <xdr:rowOff>1012031</xdr:rowOff>
    </xdr:to>
    <xdr:grpSp>
      <xdr:nvGrpSpPr>
        <xdr:cNvPr id="51" name="Group 50">
          <a:extLst>
            <a:ext uri="{FF2B5EF4-FFF2-40B4-BE49-F238E27FC236}">
              <a16:creationId xmlns:a16="http://schemas.microsoft.com/office/drawing/2014/main" id="{00000000-0008-0000-0200-000033000000}"/>
            </a:ext>
          </a:extLst>
        </xdr:cNvPr>
        <xdr:cNvGrpSpPr/>
      </xdr:nvGrpSpPr>
      <xdr:grpSpPr>
        <a:xfrm>
          <a:off x="250032" y="2448720"/>
          <a:ext cx="12545063" cy="1000124"/>
          <a:chOff x="607354" y="2495549"/>
          <a:chExt cx="11977899" cy="858425"/>
        </a:xfrm>
      </xdr:grpSpPr>
      <xdr:sp macro="" textlink="">
        <xdr:nvSpPr>
          <xdr:cNvPr id="56" name="Down Arrow 55">
            <a:extLst>
              <a:ext uri="{FF2B5EF4-FFF2-40B4-BE49-F238E27FC236}">
                <a16:creationId xmlns:a16="http://schemas.microsoft.com/office/drawing/2014/main" id="{00000000-0008-0000-0200-000038000000}"/>
              </a:ext>
            </a:extLst>
          </xdr:cNvPr>
          <xdr:cNvSpPr/>
        </xdr:nvSpPr>
        <xdr:spPr>
          <a:xfrm rot="10800000">
            <a:off x="6367598" y="2968227"/>
            <a:ext cx="359125" cy="375031"/>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Down Arrow 58">
            <a:extLst>
              <a:ext uri="{FF2B5EF4-FFF2-40B4-BE49-F238E27FC236}">
                <a16:creationId xmlns:a16="http://schemas.microsoft.com/office/drawing/2014/main" id="{00000000-0008-0000-0200-00003B000000}"/>
              </a:ext>
            </a:extLst>
          </xdr:cNvPr>
          <xdr:cNvSpPr/>
        </xdr:nvSpPr>
        <xdr:spPr>
          <a:xfrm rot="10800000">
            <a:off x="607354" y="2970608"/>
            <a:ext cx="359125" cy="375031"/>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Down Arrow 59">
            <a:extLst>
              <a:ext uri="{FF2B5EF4-FFF2-40B4-BE49-F238E27FC236}">
                <a16:creationId xmlns:a16="http://schemas.microsoft.com/office/drawing/2014/main" id="{00000000-0008-0000-0200-00003C000000}"/>
              </a:ext>
            </a:extLst>
          </xdr:cNvPr>
          <xdr:cNvSpPr/>
        </xdr:nvSpPr>
        <xdr:spPr>
          <a:xfrm rot="10800000">
            <a:off x="3491048" y="2970608"/>
            <a:ext cx="359125" cy="375031"/>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Down Arrow 60">
            <a:extLst>
              <a:ext uri="{FF2B5EF4-FFF2-40B4-BE49-F238E27FC236}">
                <a16:creationId xmlns:a16="http://schemas.microsoft.com/office/drawing/2014/main" id="{00000000-0008-0000-0200-00003D000000}"/>
              </a:ext>
            </a:extLst>
          </xdr:cNvPr>
          <xdr:cNvSpPr/>
        </xdr:nvSpPr>
        <xdr:spPr>
          <a:xfrm rot="10800000">
            <a:off x="12226128" y="2978478"/>
            <a:ext cx="359125" cy="375031"/>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Down Arrow 61">
            <a:extLst>
              <a:ext uri="{FF2B5EF4-FFF2-40B4-BE49-F238E27FC236}">
                <a16:creationId xmlns:a16="http://schemas.microsoft.com/office/drawing/2014/main" id="{00000000-0008-0000-0200-00003E000000}"/>
              </a:ext>
            </a:extLst>
          </xdr:cNvPr>
          <xdr:cNvSpPr/>
        </xdr:nvSpPr>
        <xdr:spPr>
          <a:xfrm rot="10800000">
            <a:off x="9267960" y="2978943"/>
            <a:ext cx="359125" cy="375031"/>
          </a:xfrm>
          <a:prstGeom prst="downArrow">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Bent-Up Arrow 62">
            <a:extLst>
              <a:ext uri="{FF2B5EF4-FFF2-40B4-BE49-F238E27FC236}">
                <a16:creationId xmlns:a16="http://schemas.microsoft.com/office/drawing/2014/main" id="{00000000-0008-0000-0200-00003F000000}"/>
              </a:ext>
            </a:extLst>
          </xdr:cNvPr>
          <xdr:cNvSpPr/>
        </xdr:nvSpPr>
        <xdr:spPr>
          <a:xfrm>
            <a:off x="785812" y="2495549"/>
            <a:ext cx="5876926" cy="466725"/>
          </a:xfrm>
          <a:prstGeom prst="bentUpArrow">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sp macro="" textlink="">
        <xdr:nvSpPr>
          <xdr:cNvPr id="64" name="Rectangle 63">
            <a:extLst>
              <a:ext uri="{FF2B5EF4-FFF2-40B4-BE49-F238E27FC236}">
                <a16:creationId xmlns:a16="http://schemas.microsoft.com/office/drawing/2014/main" id="{00000000-0008-0000-0200-000040000000}"/>
              </a:ext>
            </a:extLst>
          </xdr:cNvPr>
          <xdr:cNvSpPr/>
        </xdr:nvSpPr>
        <xdr:spPr>
          <a:xfrm>
            <a:off x="6613922" y="2851547"/>
            <a:ext cx="5780484" cy="113109"/>
          </a:xfrm>
          <a:prstGeom prst="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226219</xdr:colOff>
      <xdr:row>8</xdr:row>
      <xdr:rowOff>47625</xdr:rowOff>
    </xdr:from>
    <xdr:to>
      <xdr:col>0</xdr:col>
      <xdr:colOff>1246756</xdr:colOff>
      <xdr:row>18</xdr:row>
      <xdr:rowOff>869156</xdr:rowOff>
    </xdr:to>
    <xdr:grpSp>
      <xdr:nvGrpSpPr>
        <xdr:cNvPr id="65" name="Group 64">
          <a:extLst>
            <a:ext uri="{FF2B5EF4-FFF2-40B4-BE49-F238E27FC236}">
              <a16:creationId xmlns:a16="http://schemas.microsoft.com/office/drawing/2014/main" id="{00000000-0008-0000-0200-000041000000}"/>
            </a:ext>
          </a:extLst>
        </xdr:cNvPr>
        <xdr:cNvGrpSpPr/>
      </xdr:nvGrpSpPr>
      <xdr:grpSpPr>
        <a:xfrm>
          <a:off x="226219" y="5651500"/>
          <a:ext cx="1020537" cy="7465219"/>
          <a:chOff x="421820" y="5231946"/>
          <a:chExt cx="1020537" cy="5932715"/>
        </a:xfrm>
      </xdr:grpSpPr>
      <xdr:grpSp>
        <xdr:nvGrpSpPr>
          <xdr:cNvPr id="66" name="Group 65">
            <a:extLst>
              <a:ext uri="{FF2B5EF4-FFF2-40B4-BE49-F238E27FC236}">
                <a16:creationId xmlns:a16="http://schemas.microsoft.com/office/drawing/2014/main" id="{00000000-0008-0000-0200-000042000000}"/>
              </a:ext>
            </a:extLst>
          </xdr:cNvPr>
          <xdr:cNvGrpSpPr/>
        </xdr:nvGrpSpPr>
        <xdr:grpSpPr>
          <a:xfrm>
            <a:off x="690053" y="5907577"/>
            <a:ext cx="752304" cy="5257084"/>
            <a:chOff x="696857" y="3516220"/>
            <a:chExt cx="752304" cy="5229863"/>
          </a:xfrm>
        </xdr:grpSpPr>
        <xdr:sp macro="" textlink="">
          <xdr:nvSpPr>
            <xdr:cNvPr id="68" name="Right Arrow 67">
              <a:extLst>
                <a:ext uri="{FF2B5EF4-FFF2-40B4-BE49-F238E27FC236}">
                  <a16:creationId xmlns:a16="http://schemas.microsoft.com/office/drawing/2014/main" id="{00000000-0008-0000-0200-000044000000}"/>
                </a:ext>
              </a:extLst>
            </xdr:cNvPr>
            <xdr:cNvSpPr/>
          </xdr:nvSpPr>
          <xdr:spPr>
            <a:xfrm rot="10800000">
              <a:off x="709274" y="3516220"/>
              <a:ext cx="733084" cy="261937"/>
            </a:xfrm>
            <a:prstGeom prst="rightArrow">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69" name="Right Arrow 68">
              <a:extLst>
                <a:ext uri="{FF2B5EF4-FFF2-40B4-BE49-F238E27FC236}">
                  <a16:creationId xmlns:a16="http://schemas.microsoft.com/office/drawing/2014/main" id="{00000000-0008-0000-0200-000045000000}"/>
                </a:ext>
              </a:extLst>
            </xdr:cNvPr>
            <xdr:cNvSpPr/>
          </xdr:nvSpPr>
          <xdr:spPr>
            <a:xfrm rot="10800000">
              <a:off x="700088" y="4773639"/>
              <a:ext cx="742270" cy="261937"/>
            </a:xfrm>
            <a:prstGeom prst="rightArrow">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70" name="Right Arrow 69">
              <a:extLst>
                <a:ext uri="{FF2B5EF4-FFF2-40B4-BE49-F238E27FC236}">
                  <a16:creationId xmlns:a16="http://schemas.microsoft.com/office/drawing/2014/main" id="{00000000-0008-0000-0200-000046000000}"/>
                </a:ext>
              </a:extLst>
            </xdr:cNvPr>
            <xdr:cNvSpPr/>
          </xdr:nvSpPr>
          <xdr:spPr>
            <a:xfrm rot="10800000">
              <a:off x="709273" y="6014023"/>
              <a:ext cx="739888" cy="261937"/>
            </a:xfrm>
            <a:prstGeom prst="rightArrow">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71" name="Right Arrow 70">
              <a:extLst>
                <a:ext uri="{FF2B5EF4-FFF2-40B4-BE49-F238E27FC236}">
                  <a16:creationId xmlns:a16="http://schemas.microsoft.com/office/drawing/2014/main" id="{00000000-0008-0000-0200-000047000000}"/>
                </a:ext>
              </a:extLst>
            </xdr:cNvPr>
            <xdr:cNvSpPr/>
          </xdr:nvSpPr>
          <xdr:spPr>
            <a:xfrm rot="10800000">
              <a:off x="700089" y="7225692"/>
              <a:ext cx="749072" cy="261937"/>
            </a:xfrm>
            <a:prstGeom prst="rightArrow">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72" name="Right Arrow 71">
              <a:extLst>
                <a:ext uri="{FF2B5EF4-FFF2-40B4-BE49-F238E27FC236}">
                  <a16:creationId xmlns:a16="http://schemas.microsoft.com/office/drawing/2014/main" id="{00000000-0008-0000-0200-000048000000}"/>
                </a:ext>
              </a:extLst>
            </xdr:cNvPr>
            <xdr:cNvSpPr/>
          </xdr:nvSpPr>
          <xdr:spPr>
            <a:xfrm rot="10800000">
              <a:off x="696857" y="8484146"/>
              <a:ext cx="745501" cy="261937"/>
            </a:xfrm>
            <a:prstGeom prst="rightArrow">
              <a:avLst/>
            </a:prstGeom>
            <a:solidFill>
              <a:schemeClr val="accent2">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sp macro="" textlink="">
        <xdr:nvSpPr>
          <xdr:cNvPr id="67" name="Up Arrow 66">
            <a:extLst>
              <a:ext uri="{FF2B5EF4-FFF2-40B4-BE49-F238E27FC236}">
                <a16:creationId xmlns:a16="http://schemas.microsoft.com/office/drawing/2014/main" id="{00000000-0008-0000-0200-000043000000}"/>
              </a:ext>
            </a:extLst>
          </xdr:cNvPr>
          <xdr:cNvSpPr/>
        </xdr:nvSpPr>
        <xdr:spPr>
          <a:xfrm>
            <a:off x="421820" y="5231946"/>
            <a:ext cx="346982" cy="5932715"/>
          </a:xfrm>
          <a:prstGeom prst="upArrow">
            <a:avLst/>
          </a:prstGeom>
          <a:solidFill>
            <a:schemeClr val="accent2">
              <a:lumMod val="60000"/>
              <a:lumOff val="40000"/>
            </a:schemeClr>
          </a:solidFill>
          <a:ln>
            <a:solidFill>
              <a:schemeClr val="accent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228013</xdr:colOff>
      <xdr:row>8</xdr:row>
      <xdr:rowOff>31978</xdr:rowOff>
    </xdr:from>
    <xdr:to>
      <xdr:col>8</xdr:col>
      <xdr:colOff>1248550</xdr:colOff>
      <xdr:row>18</xdr:row>
      <xdr:rowOff>853509</xdr:rowOff>
    </xdr:to>
    <xdr:grpSp>
      <xdr:nvGrpSpPr>
        <xdr:cNvPr id="73" name="Group 72">
          <a:extLst>
            <a:ext uri="{FF2B5EF4-FFF2-40B4-BE49-F238E27FC236}">
              <a16:creationId xmlns:a16="http://schemas.microsoft.com/office/drawing/2014/main" id="{00000000-0008-0000-0200-000049000000}"/>
            </a:ext>
          </a:extLst>
        </xdr:cNvPr>
        <xdr:cNvGrpSpPr/>
      </xdr:nvGrpSpPr>
      <xdr:grpSpPr>
        <a:xfrm>
          <a:off x="12039013" y="5635853"/>
          <a:ext cx="1020537" cy="7465219"/>
          <a:chOff x="421820" y="5231946"/>
          <a:chExt cx="1020537" cy="5932715"/>
        </a:xfrm>
        <a:solidFill>
          <a:schemeClr val="accent6">
            <a:lumMod val="60000"/>
            <a:lumOff val="40000"/>
          </a:schemeClr>
        </a:solidFill>
      </xdr:grpSpPr>
      <xdr:grpSp>
        <xdr:nvGrpSpPr>
          <xdr:cNvPr id="74" name="Group 73">
            <a:extLst>
              <a:ext uri="{FF2B5EF4-FFF2-40B4-BE49-F238E27FC236}">
                <a16:creationId xmlns:a16="http://schemas.microsoft.com/office/drawing/2014/main" id="{00000000-0008-0000-0200-00004A000000}"/>
              </a:ext>
            </a:extLst>
          </xdr:cNvPr>
          <xdr:cNvGrpSpPr/>
        </xdr:nvGrpSpPr>
        <xdr:grpSpPr>
          <a:xfrm>
            <a:off x="690053" y="5907577"/>
            <a:ext cx="752304" cy="5257084"/>
            <a:chOff x="696857" y="3516220"/>
            <a:chExt cx="752304" cy="5229863"/>
          </a:xfrm>
          <a:grpFill/>
        </xdr:grpSpPr>
        <xdr:sp macro="" textlink="">
          <xdr:nvSpPr>
            <xdr:cNvPr id="76" name="Right Arrow 75">
              <a:extLst>
                <a:ext uri="{FF2B5EF4-FFF2-40B4-BE49-F238E27FC236}">
                  <a16:creationId xmlns:a16="http://schemas.microsoft.com/office/drawing/2014/main" id="{00000000-0008-0000-0200-00004C000000}"/>
                </a:ext>
              </a:extLst>
            </xdr:cNvPr>
            <xdr:cNvSpPr/>
          </xdr:nvSpPr>
          <xdr:spPr>
            <a:xfrm rot="10800000">
              <a:off x="709274" y="3516220"/>
              <a:ext cx="733084" cy="261937"/>
            </a:xfrm>
            <a:prstGeom prst="rightArrow">
              <a:avLst/>
            </a:prstGeom>
            <a:grp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77" name="Right Arrow 76">
              <a:extLst>
                <a:ext uri="{FF2B5EF4-FFF2-40B4-BE49-F238E27FC236}">
                  <a16:creationId xmlns:a16="http://schemas.microsoft.com/office/drawing/2014/main" id="{00000000-0008-0000-0200-00004D000000}"/>
                </a:ext>
              </a:extLst>
            </xdr:cNvPr>
            <xdr:cNvSpPr/>
          </xdr:nvSpPr>
          <xdr:spPr>
            <a:xfrm rot="10800000">
              <a:off x="700088" y="4773639"/>
              <a:ext cx="742270" cy="261937"/>
            </a:xfrm>
            <a:prstGeom prst="rightArrow">
              <a:avLst/>
            </a:prstGeom>
            <a:grp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78" name="Right Arrow 77">
              <a:extLst>
                <a:ext uri="{FF2B5EF4-FFF2-40B4-BE49-F238E27FC236}">
                  <a16:creationId xmlns:a16="http://schemas.microsoft.com/office/drawing/2014/main" id="{00000000-0008-0000-0200-00004E000000}"/>
                </a:ext>
              </a:extLst>
            </xdr:cNvPr>
            <xdr:cNvSpPr/>
          </xdr:nvSpPr>
          <xdr:spPr>
            <a:xfrm rot="10800000">
              <a:off x="709273" y="6014023"/>
              <a:ext cx="739888" cy="261937"/>
            </a:xfrm>
            <a:prstGeom prst="rightArrow">
              <a:avLst/>
            </a:prstGeom>
            <a:grp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79" name="Right Arrow 78">
              <a:extLst>
                <a:ext uri="{FF2B5EF4-FFF2-40B4-BE49-F238E27FC236}">
                  <a16:creationId xmlns:a16="http://schemas.microsoft.com/office/drawing/2014/main" id="{00000000-0008-0000-0200-00004F000000}"/>
                </a:ext>
              </a:extLst>
            </xdr:cNvPr>
            <xdr:cNvSpPr/>
          </xdr:nvSpPr>
          <xdr:spPr>
            <a:xfrm rot="10800000">
              <a:off x="700089" y="7225692"/>
              <a:ext cx="749072" cy="261937"/>
            </a:xfrm>
            <a:prstGeom prst="rightArrow">
              <a:avLst/>
            </a:prstGeom>
            <a:grp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80" name="Right Arrow 79">
              <a:extLst>
                <a:ext uri="{FF2B5EF4-FFF2-40B4-BE49-F238E27FC236}">
                  <a16:creationId xmlns:a16="http://schemas.microsoft.com/office/drawing/2014/main" id="{00000000-0008-0000-0200-000050000000}"/>
                </a:ext>
              </a:extLst>
            </xdr:cNvPr>
            <xdr:cNvSpPr/>
          </xdr:nvSpPr>
          <xdr:spPr>
            <a:xfrm rot="10800000">
              <a:off x="696857" y="8484146"/>
              <a:ext cx="745501" cy="261937"/>
            </a:xfrm>
            <a:prstGeom prst="rightArrow">
              <a:avLst/>
            </a:prstGeom>
            <a:grp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sp macro="" textlink="">
        <xdr:nvSpPr>
          <xdr:cNvPr id="75" name="Up Arrow 74">
            <a:extLst>
              <a:ext uri="{FF2B5EF4-FFF2-40B4-BE49-F238E27FC236}">
                <a16:creationId xmlns:a16="http://schemas.microsoft.com/office/drawing/2014/main" id="{00000000-0008-0000-0200-00004B000000}"/>
              </a:ext>
            </a:extLst>
          </xdr:cNvPr>
          <xdr:cNvSpPr/>
        </xdr:nvSpPr>
        <xdr:spPr>
          <a:xfrm>
            <a:off x="421820" y="5231946"/>
            <a:ext cx="346982" cy="5932715"/>
          </a:xfrm>
          <a:prstGeom prst="upArrow">
            <a:avLst/>
          </a:prstGeom>
          <a:grp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214808</xdr:colOff>
      <xdr:row>8</xdr:row>
      <xdr:rowOff>59872</xdr:rowOff>
    </xdr:from>
    <xdr:to>
      <xdr:col>6</xdr:col>
      <xdr:colOff>1235345</xdr:colOff>
      <xdr:row>18</xdr:row>
      <xdr:rowOff>881403</xdr:rowOff>
    </xdr:to>
    <xdr:grpSp>
      <xdr:nvGrpSpPr>
        <xdr:cNvPr id="81" name="Group 80">
          <a:extLst>
            <a:ext uri="{FF2B5EF4-FFF2-40B4-BE49-F238E27FC236}">
              <a16:creationId xmlns:a16="http://schemas.microsoft.com/office/drawing/2014/main" id="{00000000-0008-0000-0200-000051000000}"/>
            </a:ext>
          </a:extLst>
        </xdr:cNvPr>
        <xdr:cNvGrpSpPr/>
      </xdr:nvGrpSpPr>
      <xdr:grpSpPr>
        <a:xfrm>
          <a:off x="9073058" y="5663747"/>
          <a:ext cx="1020537" cy="7465219"/>
          <a:chOff x="421820" y="5231946"/>
          <a:chExt cx="1020537" cy="5932715"/>
        </a:xfrm>
        <a:solidFill>
          <a:schemeClr val="accent5">
            <a:lumMod val="60000"/>
            <a:lumOff val="40000"/>
          </a:schemeClr>
        </a:solidFill>
      </xdr:grpSpPr>
      <xdr:grpSp>
        <xdr:nvGrpSpPr>
          <xdr:cNvPr id="82" name="Group 81">
            <a:extLst>
              <a:ext uri="{FF2B5EF4-FFF2-40B4-BE49-F238E27FC236}">
                <a16:creationId xmlns:a16="http://schemas.microsoft.com/office/drawing/2014/main" id="{00000000-0008-0000-0200-000052000000}"/>
              </a:ext>
            </a:extLst>
          </xdr:cNvPr>
          <xdr:cNvGrpSpPr/>
        </xdr:nvGrpSpPr>
        <xdr:grpSpPr>
          <a:xfrm>
            <a:off x="690053" y="5907577"/>
            <a:ext cx="752304" cy="5257084"/>
            <a:chOff x="696857" y="3516220"/>
            <a:chExt cx="752304" cy="5229863"/>
          </a:xfrm>
          <a:grpFill/>
        </xdr:grpSpPr>
        <xdr:sp macro="" textlink="">
          <xdr:nvSpPr>
            <xdr:cNvPr id="84" name="Right Arrow 83">
              <a:extLst>
                <a:ext uri="{FF2B5EF4-FFF2-40B4-BE49-F238E27FC236}">
                  <a16:creationId xmlns:a16="http://schemas.microsoft.com/office/drawing/2014/main" id="{00000000-0008-0000-0200-000054000000}"/>
                </a:ext>
              </a:extLst>
            </xdr:cNvPr>
            <xdr:cNvSpPr/>
          </xdr:nvSpPr>
          <xdr:spPr>
            <a:xfrm rot="10800000">
              <a:off x="709274" y="3516220"/>
              <a:ext cx="733084" cy="261937"/>
            </a:xfrm>
            <a:prstGeom prst="rightArrow">
              <a:avLst/>
            </a:prstGeom>
            <a:grp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85" name="Right Arrow 84">
              <a:extLst>
                <a:ext uri="{FF2B5EF4-FFF2-40B4-BE49-F238E27FC236}">
                  <a16:creationId xmlns:a16="http://schemas.microsoft.com/office/drawing/2014/main" id="{00000000-0008-0000-0200-000055000000}"/>
                </a:ext>
              </a:extLst>
            </xdr:cNvPr>
            <xdr:cNvSpPr/>
          </xdr:nvSpPr>
          <xdr:spPr>
            <a:xfrm rot="10800000">
              <a:off x="700088" y="4773639"/>
              <a:ext cx="742270" cy="261937"/>
            </a:xfrm>
            <a:prstGeom prst="rightArrow">
              <a:avLst/>
            </a:prstGeom>
            <a:grp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86" name="Right Arrow 85">
              <a:extLst>
                <a:ext uri="{FF2B5EF4-FFF2-40B4-BE49-F238E27FC236}">
                  <a16:creationId xmlns:a16="http://schemas.microsoft.com/office/drawing/2014/main" id="{00000000-0008-0000-0200-000056000000}"/>
                </a:ext>
              </a:extLst>
            </xdr:cNvPr>
            <xdr:cNvSpPr/>
          </xdr:nvSpPr>
          <xdr:spPr>
            <a:xfrm rot="10800000">
              <a:off x="709273" y="6014023"/>
              <a:ext cx="739888" cy="261937"/>
            </a:xfrm>
            <a:prstGeom prst="rightArrow">
              <a:avLst/>
            </a:prstGeom>
            <a:grp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87" name="Right Arrow 86">
              <a:extLst>
                <a:ext uri="{FF2B5EF4-FFF2-40B4-BE49-F238E27FC236}">
                  <a16:creationId xmlns:a16="http://schemas.microsoft.com/office/drawing/2014/main" id="{00000000-0008-0000-0200-000057000000}"/>
                </a:ext>
              </a:extLst>
            </xdr:cNvPr>
            <xdr:cNvSpPr/>
          </xdr:nvSpPr>
          <xdr:spPr>
            <a:xfrm rot="10800000">
              <a:off x="700089" y="7225692"/>
              <a:ext cx="749072" cy="261937"/>
            </a:xfrm>
            <a:prstGeom prst="rightArrow">
              <a:avLst/>
            </a:prstGeom>
            <a:grp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88" name="Right Arrow 87">
              <a:extLst>
                <a:ext uri="{FF2B5EF4-FFF2-40B4-BE49-F238E27FC236}">
                  <a16:creationId xmlns:a16="http://schemas.microsoft.com/office/drawing/2014/main" id="{00000000-0008-0000-0200-000058000000}"/>
                </a:ext>
              </a:extLst>
            </xdr:cNvPr>
            <xdr:cNvSpPr/>
          </xdr:nvSpPr>
          <xdr:spPr>
            <a:xfrm rot="10800000">
              <a:off x="696857" y="8484146"/>
              <a:ext cx="745501" cy="261937"/>
            </a:xfrm>
            <a:prstGeom prst="rightArrow">
              <a:avLst/>
            </a:prstGeom>
            <a:grp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sp macro="" textlink="">
        <xdr:nvSpPr>
          <xdr:cNvPr id="83" name="Up Arrow 82">
            <a:extLst>
              <a:ext uri="{FF2B5EF4-FFF2-40B4-BE49-F238E27FC236}">
                <a16:creationId xmlns:a16="http://schemas.microsoft.com/office/drawing/2014/main" id="{00000000-0008-0000-0200-000053000000}"/>
              </a:ext>
            </a:extLst>
          </xdr:cNvPr>
          <xdr:cNvSpPr/>
        </xdr:nvSpPr>
        <xdr:spPr>
          <a:xfrm>
            <a:off x="421820" y="5231946"/>
            <a:ext cx="346982" cy="5932715"/>
          </a:xfrm>
          <a:prstGeom prst="upArrow">
            <a:avLst/>
          </a:prstGeom>
          <a:grpFill/>
          <a:ln>
            <a:solidFill>
              <a:schemeClr val="accent5">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4</xdr:col>
      <xdr:colOff>218611</xdr:colOff>
      <xdr:row>8</xdr:row>
      <xdr:rowOff>31977</xdr:rowOff>
    </xdr:from>
    <xdr:to>
      <xdr:col>4</xdr:col>
      <xdr:colOff>1239148</xdr:colOff>
      <xdr:row>18</xdr:row>
      <xdr:rowOff>853508</xdr:rowOff>
    </xdr:to>
    <xdr:grpSp>
      <xdr:nvGrpSpPr>
        <xdr:cNvPr id="89" name="Group 88">
          <a:extLst>
            <a:ext uri="{FF2B5EF4-FFF2-40B4-BE49-F238E27FC236}">
              <a16:creationId xmlns:a16="http://schemas.microsoft.com/office/drawing/2014/main" id="{00000000-0008-0000-0200-000059000000}"/>
            </a:ext>
          </a:extLst>
        </xdr:cNvPr>
        <xdr:cNvGrpSpPr/>
      </xdr:nvGrpSpPr>
      <xdr:grpSpPr>
        <a:xfrm>
          <a:off x="6124111" y="5635852"/>
          <a:ext cx="1020537" cy="7465219"/>
          <a:chOff x="421820" y="5231946"/>
          <a:chExt cx="1020537" cy="5932715"/>
        </a:xfrm>
        <a:solidFill>
          <a:schemeClr val="accent4">
            <a:lumMod val="60000"/>
            <a:lumOff val="40000"/>
          </a:schemeClr>
        </a:solidFill>
      </xdr:grpSpPr>
      <xdr:grpSp>
        <xdr:nvGrpSpPr>
          <xdr:cNvPr id="90" name="Group 89">
            <a:extLst>
              <a:ext uri="{FF2B5EF4-FFF2-40B4-BE49-F238E27FC236}">
                <a16:creationId xmlns:a16="http://schemas.microsoft.com/office/drawing/2014/main" id="{00000000-0008-0000-0200-00005A000000}"/>
              </a:ext>
            </a:extLst>
          </xdr:cNvPr>
          <xdr:cNvGrpSpPr/>
        </xdr:nvGrpSpPr>
        <xdr:grpSpPr>
          <a:xfrm>
            <a:off x="690053" y="5907577"/>
            <a:ext cx="752304" cy="5257084"/>
            <a:chOff x="696857" y="3516220"/>
            <a:chExt cx="752304" cy="5229863"/>
          </a:xfrm>
          <a:grpFill/>
        </xdr:grpSpPr>
        <xdr:sp macro="" textlink="">
          <xdr:nvSpPr>
            <xdr:cNvPr id="92" name="Right Arrow 91">
              <a:extLst>
                <a:ext uri="{FF2B5EF4-FFF2-40B4-BE49-F238E27FC236}">
                  <a16:creationId xmlns:a16="http://schemas.microsoft.com/office/drawing/2014/main" id="{00000000-0008-0000-0200-00005C000000}"/>
                </a:ext>
              </a:extLst>
            </xdr:cNvPr>
            <xdr:cNvSpPr/>
          </xdr:nvSpPr>
          <xdr:spPr>
            <a:xfrm rot="10800000">
              <a:off x="709274" y="3516220"/>
              <a:ext cx="733084" cy="261937"/>
            </a:xfrm>
            <a:prstGeom prst="rightArrow">
              <a:avLst/>
            </a:prstGeom>
            <a:grpFill/>
            <a:ln>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93" name="Right Arrow 92">
              <a:extLst>
                <a:ext uri="{FF2B5EF4-FFF2-40B4-BE49-F238E27FC236}">
                  <a16:creationId xmlns:a16="http://schemas.microsoft.com/office/drawing/2014/main" id="{00000000-0008-0000-0200-00005D000000}"/>
                </a:ext>
              </a:extLst>
            </xdr:cNvPr>
            <xdr:cNvSpPr/>
          </xdr:nvSpPr>
          <xdr:spPr>
            <a:xfrm rot="10800000">
              <a:off x="700088" y="4773639"/>
              <a:ext cx="742270" cy="261937"/>
            </a:xfrm>
            <a:prstGeom prst="rightArrow">
              <a:avLst/>
            </a:prstGeom>
            <a:grpFill/>
            <a:ln>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94" name="Right Arrow 93">
              <a:extLst>
                <a:ext uri="{FF2B5EF4-FFF2-40B4-BE49-F238E27FC236}">
                  <a16:creationId xmlns:a16="http://schemas.microsoft.com/office/drawing/2014/main" id="{00000000-0008-0000-0200-00005E000000}"/>
                </a:ext>
              </a:extLst>
            </xdr:cNvPr>
            <xdr:cNvSpPr/>
          </xdr:nvSpPr>
          <xdr:spPr>
            <a:xfrm rot="10800000">
              <a:off x="709273" y="6014023"/>
              <a:ext cx="739888" cy="261937"/>
            </a:xfrm>
            <a:prstGeom prst="rightArrow">
              <a:avLst/>
            </a:prstGeom>
            <a:grpFill/>
            <a:ln>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95" name="Right Arrow 94">
              <a:extLst>
                <a:ext uri="{FF2B5EF4-FFF2-40B4-BE49-F238E27FC236}">
                  <a16:creationId xmlns:a16="http://schemas.microsoft.com/office/drawing/2014/main" id="{00000000-0008-0000-0200-00005F000000}"/>
                </a:ext>
              </a:extLst>
            </xdr:cNvPr>
            <xdr:cNvSpPr/>
          </xdr:nvSpPr>
          <xdr:spPr>
            <a:xfrm rot="10800000">
              <a:off x="700089" y="7225692"/>
              <a:ext cx="749072" cy="261937"/>
            </a:xfrm>
            <a:prstGeom prst="rightArrow">
              <a:avLst/>
            </a:prstGeom>
            <a:grpFill/>
            <a:ln>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96" name="Right Arrow 95">
              <a:extLst>
                <a:ext uri="{FF2B5EF4-FFF2-40B4-BE49-F238E27FC236}">
                  <a16:creationId xmlns:a16="http://schemas.microsoft.com/office/drawing/2014/main" id="{00000000-0008-0000-0200-000060000000}"/>
                </a:ext>
              </a:extLst>
            </xdr:cNvPr>
            <xdr:cNvSpPr/>
          </xdr:nvSpPr>
          <xdr:spPr>
            <a:xfrm rot="10800000">
              <a:off x="696857" y="8484146"/>
              <a:ext cx="745501" cy="261937"/>
            </a:xfrm>
            <a:prstGeom prst="rightArrow">
              <a:avLst/>
            </a:prstGeom>
            <a:grpFill/>
            <a:ln>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sp macro="" textlink="">
        <xdr:nvSpPr>
          <xdr:cNvPr id="91" name="Up Arrow 90">
            <a:extLst>
              <a:ext uri="{FF2B5EF4-FFF2-40B4-BE49-F238E27FC236}">
                <a16:creationId xmlns:a16="http://schemas.microsoft.com/office/drawing/2014/main" id="{00000000-0008-0000-0200-00005B000000}"/>
              </a:ext>
            </a:extLst>
          </xdr:cNvPr>
          <xdr:cNvSpPr/>
        </xdr:nvSpPr>
        <xdr:spPr>
          <a:xfrm>
            <a:off x="421820" y="5231946"/>
            <a:ext cx="346982" cy="5932715"/>
          </a:xfrm>
          <a:prstGeom prst="upArrow">
            <a:avLst/>
          </a:prstGeom>
          <a:grpFill/>
          <a:ln>
            <a:solidFill>
              <a:schemeClr val="accent4">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xdr:col>
      <xdr:colOff>227517</xdr:colOff>
      <xdr:row>8</xdr:row>
      <xdr:rowOff>53408</xdr:rowOff>
    </xdr:from>
    <xdr:to>
      <xdr:col>2</xdr:col>
      <xdr:colOff>1248054</xdr:colOff>
      <xdr:row>18</xdr:row>
      <xdr:rowOff>874939</xdr:rowOff>
    </xdr:to>
    <xdr:grpSp>
      <xdr:nvGrpSpPr>
        <xdr:cNvPr id="97" name="Group 96">
          <a:extLst>
            <a:ext uri="{FF2B5EF4-FFF2-40B4-BE49-F238E27FC236}">
              <a16:creationId xmlns:a16="http://schemas.microsoft.com/office/drawing/2014/main" id="{00000000-0008-0000-0200-000061000000}"/>
            </a:ext>
          </a:extLst>
        </xdr:cNvPr>
        <xdr:cNvGrpSpPr/>
      </xdr:nvGrpSpPr>
      <xdr:grpSpPr>
        <a:xfrm>
          <a:off x="3180267" y="5657283"/>
          <a:ext cx="1020537" cy="7465219"/>
          <a:chOff x="421820" y="5231946"/>
          <a:chExt cx="1020537" cy="5932715"/>
        </a:xfrm>
        <a:solidFill>
          <a:schemeClr val="accent3">
            <a:lumMod val="60000"/>
            <a:lumOff val="40000"/>
          </a:schemeClr>
        </a:solidFill>
      </xdr:grpSpPr>
      <xdr:grpSp>
        <xdr:nvGrpSpPr>
          <xdr:cNvPr id="98" name="Group 97">
            <a:extLst>
              <a:ext uri="{FF2B5EF4-FFF2-40B4-BE49-F238E27FC236}">
                <a16:creationId xmlns:a16="http://schemas.microsoft.com/office/drawing/2014/main" id="{00000000-0008-0000-0200-000062000000}"/>
              </a:ext>
            </a:extLst>
          </xdr:cNvPr>
          <xdr:cNvGrpSpPr/>
        </xdr:nvGrpSpPr>
        <xdr:grpSpPr>
          <a:xfrm>
            <a:off x="690053" y="5907577"/>
            <a:ext cx="752304" cy="5257084"/>
            <a:chOff x="696857" y="3516220"/>
            <a:chExt cx="752304" cy="5229863"/>
          </a:xfrm>
          <a:grpFill/>
        </xdr:grpSpPr>
        <xdr:sp macro="" textlink="">
          <xdr:nvSpPr>
            <xdr:cNvPr id="100" name="Right Arrow 99">
              <a:extLst>
                <a:ext uri="{FF2B5EF4-FFF2-40B4-BE49-F238E27FC236}">
                  <a16:creationId xmlns:a16="http://schemas.microsoft.com/office/drawing/2014/main" id="{00000000-0008-0000-0200-000064000000}"/>
                </a:ext>
              </a:extLst>
            </xdr:cNvPr>
            <xdr:cNvSpPr/>
          </xdr:nvSpPr>
          <xdr:spPr>
            <a:xfrm rot="10800000">
              <a:off x="709274" y="3516220"/>
              <a:ext cx="733084" cy="261937"/>
            </a:xfrm>
            <a:prstGeom prst="rightArrow">
              <a:avLst/>
            </a:prstGeom>
            <a:grp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01" name="Right Arrow 100">
              <a:extLst>
                <a:ext uri="{FF2B5EF4-FFF2-40B4-BE49-F238E27FC236}">
                  <a16:creationId xmlns:a16="http://schemas.microsoft.com/office/drawing/2014/main" id="{00000000-0008-0000-0200-000065000000}"/>
                </a:ext>
              </a:extLst>
            </xdr:cNvPr>
            <xdr:cNvSpPr/>
          </xdr:nvSpPr>
          <xdr:spPr>
            <a:xfrm rot="10800000">
              <a:off x="700088" y="4773639"/>
              <a:ext cx="742270" cy="261937"/>
            </a:xfrm>
            <a:prstGeom prst="rightArrow">
              <a:avLst/>
            </a:prstGeom>
            <a:grp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02" name="Right Arrow 101">
              <a:extLst>
                <a:ext uri="{FF2B5EF4-FFF2-40B4-BE49-F238E27FC236}">
                  <a16:creationId xmlns:a16="http://schemas.microsoft.com/office/drawing/2014/main" id="{00000000-0008-0000-0200-000066000000}"/>
                </a:ext>
              </a:extLst>
            </xdr:cNvPr>
            <xdr:cNvSpPr/>
          </xdr:nvSpPr>
          <xdr:spPr>
            <a:xfrm rot="10800000">
              <a:off x="709273" y="6014023"/>
              <a:ext cx="739888" cy="261937"/>
            </a:xfrm>
            <a:prstGeom prst="rightArrow">
              <a:avLst/>
            </a:prstGeom>
            <a:grp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03" name="Right Arrow 102">
              <a:extLst>
                <a:ext uri="{FF2B5EF4-FFF2-40B4-BE49-F238E27FC236}">
                  <a16:creationId xmlns:a16="http://schemas.microsoft.com/office/drawing/2014/main" id="{00000000-0008-0000-0200-000067000000}"/>
                </a:ext>
              </a:extLst>
            </xdr:cNvPr>
            <xdr:cNvSpPr/>
          </xdr:nvSpPr>
          <xdr:spPr>
            <a:xfrm rot="10800000">
              <a:off x="700089" y="7225692"/>
              <a:ext cx="749072" cy="261937"/>
            </a:xfrm>
            <a:prstGeom prst="rightArrow">
              <a:avLst/>
            </a:prstGeom>
            <a:grp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sp macro="" textlink="">
          <xdr:nvSpPr>
            <xdr:cNvPr id="104" name="Right Arrow 103">
              <a:extLst>
                <a:ext uri="{FF2B5EF4-FFF2-40B4-BE49-F238E27FC236}">
                  <a16:creationId xmlns:a16="http://schemas.microsoft.com/office/drawing/2014/main" id="{00000000-0008-0000-0200-000068000000}"/>
                </a:ext>
              </a:extLst>
            </xdr:cNvPr>
            <xdr:cNvSpPr/>
          </xdr:nvSpPr>
          <xdr:spPr>
            <a:xfrm rot="10800000">
              <a:off x="696857" y="8484146"/>
              <a:ext cx="745501" cy="261937"/>
            </a:xfrm>
            <a:prstGeom prst="rightArrow">
              <a:avLst/>
            </a:prstGeom>
            <a:grp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cap="none" spc="0">
                <a:ln w="0"/>
                <a:solidFill>
                  <a:schemeClr val="tx1"/>
                </a:solidFill>
                <a:effectLst>
                  <a:outerShdw blurRad="38100" dist="19050" dir="2700000" algn="tl" rotWithShape="0">
                    <a:schemeClr val="dk1">
                      <a:alpha val="40000"/>
                    </a:schemeClr>
                  </a:outerShdw>
                </a:effectLst>
              </a:endParaRPr>
            </a:p>
          </xdr:txBody>
        </xdr:sp>
      </xdr:grpSp>
      <xdr:sp macro="" textlink="">
        <xdr:nvSpPr>
          <xdr:cNvPr id="99" name="Up Arrow 98">
            <a:extLst>
              <a:ext uri="{FF2B5EF4-FFF2-40B4-BE49-F238E27FC236}">
                <a16:creationId xmlns:a16="http://schemas.microsoft.com/office/drawing/2014/main" id="{00000000-0008-0000-0200-000063000000}"/>
              </a:ext>
            </a:extLst>
          </xdr:cNvPr>
          <xdr:cNvSpPr/>
        </xdr:nvSpPr>
        <xdr:spPr>
          <a:xfrm>
            <a:off x="421820" y="5231946"/>
            <a:ext cx="346982" cy="5932715"/>
          </a:xfrm>
          <a:prstGeom prst="upArrow">
            <a:avLst/>
          </a:prstGeom>
          <a:grpFill/>
          <a:ln>
            <a:solidFill>
              <a:schemeClr val="accent3">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499984740745262"/>
  </sheetPr>
  <dimension ref="A1:N24"/>
  <sheetViews>
    <sheetView view="pageBreakPreview" zoomScaleNormal="100" zoomScaleSheetLayoutView="100" workbookViewId="0">
      <selection activeCell="L13" sqref="L13"/>
    </sheetView>
  </sheetViews>
  <sheetFormatPr defaultRowHeight="14.5" x14ac:dyDescent="0.35"/>
  <cols>
    <col min="3" max="3" width="16.453125" customWidth="1"/>
    <col min="5" max="5" width="6.7265625" customWidth="1"/>
    <col min="6" max="6" width="18.54296875" customWidth="1"/>
    <col min="9" max="9" width="14.81640625" customWidth="1"/>
    <col min="12" max="12" width="11.81640625" customWidth="1"/>
    <col min="14" max="14" width="15" customWidth="1"/>
  </cols>
  <sheetData>
    <row r="1" spans="1:14" ht="64.5" customHeight="1" x14ac:dyDescent="0.35">
      <c r="A1" s="1161" t="s">
        <v>79</v>
      </c>
      <c r="B1" s="1162"/>
      <c r="C1" s="1162"/>
      <c r="D1" s="1162"/>
      <c r="E1" s="1162"/>
      <c r="F1" s="1162"/>
      <c r="G1" s="1162"/>
      <c r="H1" s="1162"/>
      <c r="I1" s="1162"/>
      <c r="J1" s="1162"/>
      <c r="K1" s="1162"/>
      <c r="L1" s="1162"/>
      <c r="M1" s="1162"/>
      <c r="N1" s="1163"/>
    </row>
    <row r="2" spans="1:14" ht="32.25" customHeight="1" thickBot="1" x14ac:dyDescent="0.4">
      <c r="A2" s="1164" t="s">
        <v>77</v>
      </c>
      <c r="B2" s="1165"/>
      <c r="C2" s="1165"/>
      <c r="D2" s="1165"/>
      <c r="E2" s="1165"/>
      <c r="F2" s="1165"/>
      <c r="G2" s="1165"/>
      <c r="H2" s="1165"/>
      <c r="I2" s="1165"/>
      <c r="J2" s="1165"/>
      <c r="K2" s="1165"/>
      <c r="L2" s="1165"/>
      <c r="M2" s="1165"/>
      <c r="N2" s="1166"/>
    </row>
    <row r="3" spans="1:14" ht="31.5" customHeight="1" thickBot="1" x14ac:dyDescent="0.4">
      <c r="A3" s="1167" t="s">
        <v>78</v>
      </c>
      <c r="B3" s="1168"/>
      <c r="C3" s="1168"/>
      <c r="D3" s="1168"/>
      <c r="E3" s="1168"/>
      <c r="F3" s="1168"/>
      <c r="G3" s="1168"/>
      <c r="H3" s="1168"/>
      <c r="I3" s="1168"/>
      <c r="J3" s="1168"/>
      <c r="K3" s="1168"/>
      <c r="L3" s="1168"/>
      <c r="M3" s="1168"/>
      <c r="N3" s="1169"/>
    </row>
    <row r="4" spans="1:14" x14ac:dyDescent="0.35">
      <c r="G4" t="s">
        <v>84</v>
      </c>
    </row>
    <row r="5" spans="1:14" ht="1.5" customHeight="1" thickBot="1" x14ac:dyDescent="0.4"/>
    <row r="6" spans="1:14" s="374" customFormat="1" ht="33.75" customHeight="1" thickBot="1" x14ac:dyDescent="0.4">
      <c r="C6" s="1170" t="s">
        <v>85</v>
      </c>
      <c r="D6" s="1171"/>
      <c r="F6" s="1172" t="s">
        <v>86</v>
      </c>
      <c r="G6" s="1173"/>
      <c r="I6" s="1174" t="s">
        <v>87</v>
      </c>
      <c r="J6" s="1175"/>
      <c r="L6" s="1172" t="s">
        <v>89</v>
      </c>
      <c r="M6" s="1173"/>
    </row>
    <row r="7" spans="1:14" ht="15" thickBot="1" x14ac:dyDescent="0.4"/>
    <row r="8" spans="1:14" ht="27" customHeight="1" thickBot="1" x14ac:dyDescent="0.4">
      <c r="C8" s="1155" t="s">
        <v>90</v>
      </c>
      <c r="D8" s="1156"/>
      <c r="E8" s="1156"/>
      <c r="F8" s="1156"/>
      <c r="G8" s="1156"/>
      <c r="H8" s="1156"/>
      <c r="I8" s="1156"/>
      <c r="J8" s="1156"/>
      <c r="K8" s="1156"/>
      <c r="L8" s="1156"/>
      <c r="M8" s="1157"/>
    </row>
    <row r="9" spans="1:14" ht="15" thickBot="1" x14ac:dyDescent="0.4"/>
    <row r="10" spans="1:14" ht="75.75" customHeight="1" thickBot="1" x14ac:dyDescent="0.4">
      <c r="A10" s="375"/>
      <c r="B10" s="376"/>
      <c r="C10" s="376"/>
      <c r="D10" s="375"/>
      <c r="E10" s="1158" t="s">
        <v>91</v>
      </c>
      <c r="F10" s="1159"/>
      <c r="G10" s="375"/>
      <c r="H10" s="1158" t="s">
        <v>93</v>
      </c>
      <c r="I10" s="1160"/>
      <c r="J10" s="375"/>
      <c r="K10" s="376"/>
      <c r="L10" s="376"/>
      <c r="M10" s="375"/>
    </row>
    <row r="11" spans="1:14" x14ac:dyDescent="0.35">
      <c r="A11" s="375"/>
      <c r="B11" s="375"/>
      <c r="C11" s="375"/>
      <c r="D11" s="375"/>
      <c r="E11" s="375"/>
      <c r="F11" s="375"/>
      <c r="G11" s="375"/>
      <c r="H11" s="375"/>
      <c r="I11" s="375"/>
      <c r="J11" s="375"/>
      <c r="K11" s="375"/>
      <c r="L11" s="375"/>
      <c r="M11" s="375"/>
    </row>
    <row r="12" spans="1:14" ht="15" thickBot="1" x14ac:dyDescent="0.4">
      <c r="A12" s="375"/>
      <c r="B12" s="375"/>
      <c r="C12" s="375"/>
      <c r="D12" s="375"/>
      <c r="E12" s="375"/>
      <c r="F12" s="375"/>
      <c r="G12" s="375"/>
      <c r="H12" s="375"/>
      <c r="I12" s="375"/>
      <c r="J12" s="375"/>
      <c r="K12" s="375"/>
      <c r="L12" s="375"/>
      <c r="M12" s="375"/>
    </row>
    <row r="13" spans="1:14" ht="77.150000000000006" customHeight="1" thickBot="1" x14ac:dyDescent="0.4">
      <c r="A13" s="375"/>
      <c r="B13" s="376"/>
      <c r="C13" s="376"/>
      <c r="D13" s="375"/>
      <c r="E13" s="1153" t="s">
        <v>95</v>
      </c>
      <c r="F13" s="1154"/>
      <c r="G13" s="375"/>
      <c r="H13" s="1153" t="s">
        <v>94</v>
      </c>
      <c r="I13" s="1154"/>
      <c r="J13" s="375"/>
      <c r="K13" s="377"/>
      <c r="L13" s="377"/>
      <c r="M13" s="375"/>
    </row>
    <row r="14" spans="1:14" x14ac:dyDescent="0.35">
      <c r="A14" s="375"/>
      <c r="B14" s="378"/>
      <c r="C14" s="375"/>
      <c r="D14" s="375"/>
      <c r="E14" s="375"/>
      <c r="F14" s="375"/>
      <c r="G14" s="375"/>
      <c r="H14" s="375"/>
      <c r="I14" s="375"/>
      <c r="J14" s="375"/>
      <c r="K14" s="375"/>
      <c r="L14" s="375"/>
      <c r="M14" s="375"/>
    </row>
    <row r="15" spans="1:14" ht="15" thickBot="1" x14ac:dyDescent="0.4">
      <c r="A15" s="375"/>
      <c r="B15" s="375"/>
      <c r="C15" s="375"/>
      <c r="D15" s="375"/>
      <c r="E15" s="375"/>
      <c r="F15" s="379"/>
      <c r="G15" s="375"/>
      <c r="H15" s="375"/>
      <c r="I15" s="375"/>
      <c r="J15" s="375"/>
      <c r="K15" s="375"/>
      <c r="L15" s="375"/>
      <c r="M15" s="375"/>
    </row>
    <row r="16" spans="1:14" ht="73.5" customHeight="1" thickBot="1" x14ac:dyDescent="0.4">
      <c r="A16" s="375"/>
      <c r="B16" s="376"/>
      <c r="C16" s="376"/>
      <c r="D16" s="375"/>
      <c r="E16" s="1153" t="s">
        <v>96</v>
      </c>
      <c r="F16" s="1154"/>
      <c r="G16" s="375"/>
      <c r="H16" s="1153" t="s">
        <v>97</v>
      </c>
      <c r="I16" s="1154"/>
      <c r="J16" s="375"/>
      <c r="K16" s="376"/>
      <c r="L16" s="376"/>
      <c r="M16" s="375"/>
    </row>
    <row r="17" spans="1:13" x14ac:dyDescent="0.35">
      <c r="A17" s="375"/>
      <c r="B17" s="375"/>
      <c r="C17" s="375"/>
      <c r="D17" s="375"/>
      <c r="E17" s="375"/>
      <c r="F17" s="375"/>
      <c r="G17" s="375"/>
      <c r="H17" s="375"/>
      <c r="I17" s="375"/>
      <c r="J17" s="375"/>
      <c r="K17" s="375"/>
      <c r="L17" s="375"/>
      <c r="M17" s="375"/>
    </row>
    <row r="18" spans="1:13" ht="15" thickBot="1" x14ac:dyDescent="0.4">
      <c r="A18" s="375"/>
      <c r="B18" s="375"/>
      <c r="C18" s="375"/>
      <c r="D18" s="375"/>
      <c r="E18" s="375"/>
      <c r="F18" s="375"/>
      <c r="G18" s="375"/>
      <c r="H18" s="375"/>
      <c r="I18" s="375"/>
      <c r="J18" s="375"/>
      <c r="K18" s="375"/>
      <c r="L18" s="375"/>
      <c r="M18" s="375"/>
    </row>
    <row r="19" spans="1:13" ht="75" customHeight="1" thickBot="1" x14ac:dyDescent="0.4">
      <c r="A19" s="375"/>
      <c r="B19" s="380"/>
      <c r="C19" s="380"/>
      <c r="D19" s="375"/>
      <c r="E19" s="1153" t="s">
        <v>92</v>
      </c>
      <c r="F19" s="1154"/>
      <c r="G19" s="375"/>
      <c r="H19" s="376"/>
      <c r="I19" s="376"/>
      <c r="J19" s="375"/>
      <c r="K19" s="380"/>
      <c r="L19" s="380"/>
      <c r="M19" s="375"/>
    </row>
    <row r="20" spans="1:13" x14ac:dyDescent="0.35">
      <c r="A20" s="375"/>
      <c r="B20" s="375"/>
      <c r="C20" s="375"/>
      <c r="D20" s="375"/>
      <c r="E20" s="375"/>
      <c r="F20" s="375"/>
      <c r="G20" s="375"/>
      <c r="H20" s="375"/>
      <c r="I20" s="375"/>
      <c r="J20" s="375"/>
      <c r="K20" s="375"/>
      <c r="L20" s="375"/>
      <c r="M20" s="375"/>
    </row>
    <row r="21" spans="1:13" x14ac:dyDescent="0.35">
      <c r="A21" s="375"/>
      <c r="B21" s="375"/>
      <c r="C21" s="375"/>
      <c r="D21" s="375"/>
      <c r="E21" s="375"/>
      <c r="F21" s="375"/>
      <c r="G21" s="375"/>
      <c r="H21" s="375"/>
      <c r="I21" s="375"/>
      <c r="J21" s="375"/>
      <c r="K21" s="375"/>
      <c r="L21" s="375"/>
      <c r="M21" s="375"/>
    </row>
    <row r="22" spans="1:13" ht="44.25" customHeight="1" x14ac:dyDescent="0.35">
      <c r="A22" s="375"/>
      <c r="B22" s="380"/>
      <c r="C22" s="380"/>
      <c r="D22" s="375"/>
      <c r="E22" s="381"/>
      <c r="F22" s="381"/>
      <c r="G22" s="375"/>
      <c r="H22" s="381"/>
      <c r="I22" s="381"/>
      <c r="J22" s="375"/>
      <c r="K22" s="376"/>
      <c r="L22" s="376"/>
      <c r="M22" s="375"/>
    </row>
    <row r="23" spans="1:13" x14ac:dyDescent="0.35">
      <c r="A23" s="375"/>
      <c r="B23" s="375"/>
      <c r="C23" s="375"/>
      <c r="D23" s="375"/>
      <c r="E23" s="375"/>
      <c r="F23" s="375"/>
      <c r="G23" s="375"/>
      <c r="H23" s="375"/>
      <c r="I23" s="375"/>
      <c r="J23" s="375"/>
      <c r="K23" s="375"/>
      <c r="L23" s="375"/>
      <c r="M23" s="375"/>
    </row>
    <row r="24" spans="1:13" x14ac:dyDescent="0.35">
      <c r="A24" s="375"/>
      <c r="B24" s="375"/>
      <c r="C24" s="375"/>
      <c r="D24" s="375"/>
      <c r="E24" s="375"/>
      <c r="F24" s="375"/>
      <c r="G24" s="375"/>
      <c r="H24" s="375"/>
      <c r="I24" s="375"/>
      <c r="J24" s="375"/>
      <c r="K24" s="375"/>
      <c r="L24" s="375"/>
      <c r="M24" s="375"/>
    </row>
  </sheetData>
  <mergeCells count="15">
    <mergeCell ref="A1:N1"/>
    <mergeCell ref="A2:N2"/>
    <mergeCell ref="A3:N3"/>
    <mergeCell ref="C6:D6"/>
    <mergeCell ref="F6:G6"/>
    <mergeCell ref="I6:J6"/>
    <mergeCell ref="L6:M6"/>
    <mergeCell ref="E19:F19"/>
    <mergeCell ref="H13:I13"/>
    <mergeCell ref="H16:I16"/>
    <mergeCell ref="C8:M8"/>
    <mergeCell ref="E10:F10"/>
    <mergeCell ref="H10:I10"/>
    <mergeCell ref="E13:F13"/>
    <mergeCell ref="E16:F16"/>
  </mergeCells>
  <pageMargins left="0.2" right="0.2" top="0.25" bottom="0.25" header="0.05" footer="0.05"/>
  <pageSetup scale="9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E1474"/>
  <sheetViews>
    <sheetView view="pageBreakPreview" topLeftCell="A8" zoomScaleNormal="100" zoomScaleSheetLayoutView="100" zoomScalePageLayoutView="130" workbookViewId="0">
      <selection activeCell="E11" sqref="E11"/>
    </sheetView>
  </sheetViews>
  <sheetFormatPr defaultColWidth="9.1796875" defaultRowHeight="14.5" x14ac:dyDescent="0.35"/>
  <cols>
    <col min="1" max="1" width="12.7265625" style="154" customWidth="1"/>
    <col min="2" max="2" width="26.1796875" style="154" customWidth="1"/>
    <col min="3" max="3" width="39.81640625" style="155" customWidth="1"/>
    <col min="4" max="4" width="10" style="155" customWidth="1"/>
    <col min="5" max="5" width="44.26953125" style="155" customWidth="1"/>
    <col min="6" max="16384" width="9.1796875" style="154"/>
  </cols>
  <sheetData>
    <row r="1" spans="1:5" ht="310" customHeight="1" thickBot="1" x14ac:dyDescent="0.4">
      <c r="A1" s="278" t="s">
        <v>54</v>
      </c>
      <c r="B1" s="279" t="s">
        <v>80</v>
      </c>
      <c r="C1" s="279" t="s">
        <v>83</v>
      </c>
      <c r="D1" s="280"/>
      <c r="E1" s="279" t="s">
        <v>82</v>
      </c>
    </row>
    <row r="2" spans="1:5" ht="25.5" customHeight="1" thickBot="1" x14ac:dyDescent="0.4">
      <c r="A2" s="281" t="s">
        <v>53</v>
      </c>
      <c r="B2" s="1176" t="s">
        <v>124</v>
      </c>
      <c r="C2" s="1177"/>
      <c r="D2" s="1177"/>
      <c r="E2" s="1178"/>
    </row>
    <row r="3" spans="1:5" ht="25.5" customHeight="1" thickBot="1" x14ac:dyDescent="0.4">
      <c r="A3" s="176" t="s">
        <v>50</v>
      </c>
      <c r="B3" s="176" t="s">
        <v>49</v>
      </c>
      <c r="C3" s="175" t="s">
        <v>33</v>
      </c>
      <c r="D3" s="175" t="s">
        <v>51</v>
      </c>
      <c r="E3" s="175" t="s">
        <v>19</v>
      </c>
    </row>
    <row r="4" spans="1:5" ht="52.5" thickBot="1" x14ac:dyDescent="0.4">
      <c r="A4" s="172" t="s">
        <v>27</v>
      </c>
      <c r="B4" s="172" t="s">
        <v>99</v>
      </c>
      <c r="C4" s="303"/>
      <c r="D4" s="174" t="s">
        <v>11</v>
      </c>
      <c r="E4" s="382" t="s">
        <v>98</v>
      </c>
    </row>
    <row r="5" spans="1:5" ht="52" x14ac:dyDescent="0.35">
      <c r="A5" s="292" t="s">
        <v>22</v>
      </c>
      <c r="B5" s="292" t="s">
        <v>100</v>
      </c>
      <c r="C5" s="282"/>
      <c r="D5" s="282" t="s">
        <v>37</v>
      </c>
      <c r="E5" s="304" t="s">
        <v>106</v>
      </c>
    </row>
    <row r="6" spans="1:5" ht="52" x14ac:dyDescent="0.35">
      <c r="A6" s="293" t="s">
        <v>88</v>
      </c>
      <c r="B6" s="293" t="s">
        <v>101</v>
      </c>
      <c r="C6" s="283"/>
      <c r="D6" s="283" t="s">
        <v>38</v>
      </c>
      <c r="E6" s="305" t="s">
        <v>107</v>
      </c>
    </row>
    <row r="7" spans="1:5" ht="52" x14ac:dyDescent="0.35">
      <c r="A7" s="294" t="s">
        <v>28</v>
      </c>
      <c r="B7" s="294" t="s">
        <v>145</v>
      </c>
      <c r="C7" s="283"/>
      <c r="D7" s="283" t="s">
        <v>39</v>
      </c>
      <c r="E7" s="305" t="s">
        <v>108</v>
      </c>
    </row>
    <row r="8" spans="1:5" ht="65.5" thickBot="1" x14ac:dyDescent="0.4">
      <c r="A8" s="293" t="s">
        <v>29</v>
      </c>
      <c r="B8" s="293" t="s">
        <v>102</v>
      </c>
      <c r="C8" s="283"/>
      <c r="D8" s="283" t="s">
        <v>40</v>
      </c>
      <c r="E8" s="306" t="s">
        <v>109</v>
      </c>
    </row>
    <row r="9" spans="1:5" ht="39" x14ac:dyDescent="0.35">
      <c r="A9" s="295" t="s">
        <v>23</v>
      </c>
      <c r="B9" s="295" t="s">
        <v>103</v>
      </c>
      <c r="C9" s="284"/>
      <c r="D9" s="284" t="s">
        <v>52</v>
      </c>
      <c r="E9" s="307" t="s">
        <v>110</v>
      </c>
    </row>
    <row r="10" spans="1:5" ht="39" x14ac:dyDescent="0.35">
      <c r="A10" s="296" t="s">
        <v>30</v>
      </c>
      <c r="B10" s="296" t="s">
        <v>104</v>
      </c>
      <c r="C10" s="285"/>
      <c r="D10" s="285" t="s">
        <v>41</v>
      </c>
      <c r="E10" s="308" t="s">
        <v>111</v>
      </c>
    </row>
    <row r="11" spans="1:5" ht="39.5" thickBot="1" x14ac:dyDescent="0.4">
      <c r="A11" s="296" t="s">
        <v>31</v>
      </c>
      <c r="B11" s="296" t="s">
        <v>105</v>
      </c>
      <c r="C11" s="285"/>
      <c r="D11" s="285" t="s">
        <v>42</v>
      </c>
      <c r="E11" s="308" t="s">
        <v>112</v>
      </c>
    </row>
    <row r="12" spans="1:5" x14ac:dyDescent="0.35">
      <c r="A12" s="297" t="s">
        <v>24</v>
      </c>
      <c r="B12" s="297"/>
      <c r="C12" s="286"/>
      <c r="D12" s="286" t="s">
        <v>44</v>
      </c>
      <c r="E12" s="309"/>
    </row>
    <row r="13" spans="1:5" ht="13" customHeight="1" thickBot="1" x14ac:dyDescent="0.4">
      <c r="A13" s="298" t="s">
        <v>32</v>
      </c>
      <c r="B13" s="298"/>
      <c r="C13" s="287"/>
      <c r="D13" s="287" t="s">
        <v>43</v>
      </c>
      <c r="E13" s="310"/>
    </row>
    <row r="14" spans="1:5" x14ac:dyDescent="0.35">
      <c r="A14" s="299" t="s">
        <v>25</v>
      </c>
      <c r="B14" s="299"/>
      <c r="C14" s="288"/>
      <c r="D14" s="288" t="s">
        <v>46</v>
      </c>
      <c r="E14" s="311"/>
    </row>
    <row r="15" spans="1:5" ht="15" thickBot="1" x14ac:dyDescent="0.4">
      <c r="A15" s="300" t="s">
        <v>35</v>
      </c>
      <c r="B15" s="300"/>
      <c r="C15" s="289"/>
      <c r="D15" s="289" t="s">
        <v>45</v>
      </c>
      <c r="E15" s="312"/>
    </row>
    <row r="16" spans="1:5" x14ac:dyDescent="0.35">
      <c r="A16" s="301" t="s">
        <v>26</v>
      </c>
      <c r="B16" s="301"/>
      <c r="C16" s="290"/>
      <c r="D16" s="290" t="s">
        <v>47</v>
      </c>
      <c r="E16" s="313"/>
    </row>
    <row r="17" spans="1:5" x14ac:dyDescent="0.35">
      <c r="A17" s="302" t="s">
        <v>36</v>
      </c>
      <c r="B17" s="302"/>
      <c r="C17" s="291"/>
      <c r="D17" s="291" t="s">
        <v>48</v>
      </c>
      <c r="E17" s="314"/>
    </row>
    <row r="18" spans="1:5" x14ac:dyDescent="0.35">
      <c r="E18" s="9"/>
    </row>
    <row r="19" spans="1:5" x14ac:dyDescent="0.35">
      <c r="E19" s="9"/>
    </row>
    <row r="20" spans="1:5" x14ac:dyDescent="0.35">
      <c r="E20" s="9"/>
    </row>
    <row r="21" spans="1:5" x14ac:dyDescent="0.35">
      <c r="E21" s="9"/>
    </row>
    <row r="22" spans="1:5" x14ac:dyDescent="0.35">
      <c r="E22" s="9"/>
    </row>
    <row r="23" spans="1:5" x14ac:dyDescent="0.35">
      <c r="E23" s="9"/>
    </row>
    <row r="24" spans="1:5" x14ac:dyDescent="0.35">
      <c r="E24" s="9"/>
    </row>
    <row r="25" spans="1:5" x14ac:dyDescent="0.35">
      <c r="E25" s="9"/>
    </row>
    <row r="26" spans="1:5" x14ac:dyDescent="0.35">
      <c r="E26" s="9"/>
    </row>
    <row r="27" spans="1:5" x14ac:dyDescent="0.35">
      <c r="E27" s="9"/>
    </row>
    <row r="28" spans="1:5" x14ac:dyDescent="0.35">
      <c r="E28" s="9"/>
    </row>
    <row r="29" spans="1:5" x14ac:dyDescent="0.35">
      <c r="E29" s="9"/>
    </row>
    <row r="30" spans="1:5" x14ac:dyDescent="0.35">
      <c r="E30" s="9"/>
    </row>
    <row r="31" spans="1:5" x14ac:dyDescent="0.35">
      <c r="E31" s="9"/>
    </row>
    <row r="32" spans="1:5" x14ac:dyDescent="0.35">
      <c r="E32" s="9"/>
    </row>
    <row r="33" spans="5:5" s="154" customFormat="1" x14ac:dyDescent="0.35">
      <c r="E33" s="9"/>
    </row>
    <row r="34" spans="5:5" s="154" customFormat="1" x14ac:dyDescent="0.35">
      <c r="E34" s="9"/>
    </row>
    <row r="35" spans="5:5" s="154" customFormat="1" x14ac:dyDescent="0.35">
      <c r="E35" s="9"/>
    </row>
    <row r="36" spans="5:5" s="154" customFormat="1" x14ac:dyDescent="0.35">
      <c r="E36" s="9"/>
    </row>
    <row r="37" spans="5:5" s="154" customFormat="1" x14ac:dyDescent="0.35">
      <c r="E37" s="9"/>
    </row>
    <row r="38" spans="5:5" s="154" customFormat="1" x14ac:dyDescent="0.35">
      <c r="E38" s="9"/>
    </row>
    <row r="39" spans="5:5" s="154" customFormat="1" x14ac:dyDescent="0.35">
      <c r="E39" s="9"/>
    </row>
    <row r="40" spans="5:5" s="154" customFormat="1" x14ac:dyDescent="0.35">
      <c r="E40" s="9"/>
    </row>
    <row r="41" spans="5:5" s="154" customFormat="1" x14ac:dyDescent="0.35">
      <c r="E41" s="9"/>
    </row>
    <row r="42" spans="5:5" s="154" customFormat="1" x14ac:dyDescent="0.35">
      <c r="E42" s="9"/>
    </row>
    <row r="43" spans="5:5" s="154" customFormat="1" x14ac:dyDescent="0.35">
      <c r="E43" s="9"/>
    </row>
    <row r="44" spans="5:5" s="154" customFormat="1" x14ac:dyDescent="0.35">
      <c r="E44" s="9"/>
    </row>
    <row r="45" spans="5:5" s="154" customFormat="1" x14ac:dyDescent="0.35">
      <c r="E45" s="9"/>
    </row>
    <row r="46" spans="5:5" s="154" customFormat="1" x14ac:dyDescent="0.35">
      <c r="E46" s="9"/>
    </row>
    <row r="47" spans="5:5" s="154" customFormat="1" x14ac:dyDescent="0.35">
      <c r="E47" s="9"/>
    </row>
    <row r="48" spans="5:5" s="154" customFormat="1" x14ac:dyDescent="0.35">
      <c r="E48" s="9"/>
    </row>
    <row r="49" spans="5:5" s="154" customFormat="1" x14ac:dyDescent="0.35">
      <c r="E49" s="9"/>
    </row>
    <row r="50" spans="5:5" s="154" customFormat="1" x14ac:dyDescent="0.35">
      <c r="E50" s="9"/>
    </row>
    <row r="51" spans="5:5" s="154" customFormat="1" x14ac:dyDescent="0.35">
      <c r="E51" s="9"/>
    </row>
    <row r="52" spans="5:5" s="154" customFormat="1" x14ac:dyDescent="0.35">
      <c r="E52" s="9"/>
    </row>
    <row r="53" spans="5:5" s="154" customFormat="1" x14ac:dyDescent="0.35">
      <c r="E53" s="9"/>
    </row>
    <row r="54" spans="5:5" s="154" customFormat="1" x14ac:dyDescent="0.35">
      <c r="E54" s="9"/>
    </row>
    <row r="55" spans="5:5" s="154" customFormat="1" x14ac:dyDescent="0.35">
      <c r="E55" s="9"/>
    </row>
    <row r="56" spans="5:5" s="154" customFormat="1" x14ac:dyDescent="0.35">
      <c r="E56" s="9"/>
    </row>
    <row r="57" spans="5:5" s="154" customFormat="1" x14ac:dyDescent="0.35">
      <c r="E57" s="9"/>
    </row>
    <row r="58" spans="5:5" s="154" customFormat="1" x14ac:dyDescent="0.35">
      <c r="E58" s="9"/>
    </row>
    <row r="59" spans="5:5" s="154" customFormat="1" x14ac:dyDescent="0.35">
      <c r="E59" s="9"/>
    </row>
    <row r="60" spans="5:5" s="154" customFormat="1" x14ac:dyDescent="0.35">
      <c r="E60" s="9"/>
    </row>
    <row r="61" spans="5:5" s="154" customFormat="1" x14ac:dyDescent="0.35">
      <c r="E61" s="9"/>
    </row>
    <row r="62" spans="5:5" s="154" customFormat="1" x14ac:dyDescent="0.35">
      <c r="E62" s="9"/>
    </row>
    <row r="63" spans="5:5" s="154" customFormat="1" x14ac:dyDescent="0.35">
      <c r="E63" s="9"/>
    </row>
    <row r="64" spans="5:5" s="154" customFormat="1" x14ac:dyDescent="0.35">
      <c r="E64" s="9"/>
    </row>
    <row r="65" spans="5:5" s="154" customFormat="1" x14ac:dyDescent="0.35">
      <c r="E65" s="9"/>
    </row>
    <row r="66" spans="5:5" s="154" customFormat="1" x14ac:dyDescent="0.35">
      <c r="E66" s="9"/>
    </row>
    <row r="67" spans="5:5" s="154" customFormat="1" x14ac:dyDescent="0.35">
      <c r="E67" s="9"/>
    </row>
    <row r="68" spans="5:5" s="154" customFormat="1" x14ac:dyDescent="0.35">
      <c r="E68" s="9"/>
    </row>
    <row r="69" spans="5:5" s="154" customFormat="1" x14ac:dyDescent="0.35">
      <c r="E69" s="9"/>
    </row>
    <row r="70" spans="5:5" s="154" customFormat="1" x14ac:dyDescent="0.35">
      <c r="E70" s="9"/>
    </row>
    <row r="71" spans="5:5" s="154" customFormat="1" x14ac:dyDescent="0.35">
      <c r="E71" s="9"/>
    </row>
    <row r="72" spans="5:5" s="154" customFormat="1" x14ac:dyDescent="0.35">
      <c r="E72" s="9"/>
    </row>
    <row r="73" spans="5:5" s="154" customFormat="1" x14ac:dyDescent="0.35">
      <c r="E73" s="9"/>
    </row>
    <row r="74" spans="5:5" s="154" customFormat="1" x14ac:dyDescent="0.35">
      <c r="E74" s="9"/>
    </row>
    <row r="75" spans="5:5" s="154" customFormat="1" x14ac:dyDescent="0.35">
      <c r="E75" s="9"/>
    </row>
    <row r="76" spans="5:5" s="154" customFormat="1" x14ac:dyDescent="0.35">
      <c r="E76" s="9"/>
    </row>
    <row r="77" spans="5:5" s="154" customFormat="1" x14ac:dyDescent="0.35">
      <c r="E77" s="9"/>
    </row>
    <row r="78" spans="5:5" s="154" customFormat="1" x14ac:dyDescent="0.35">
      <c r="E78" s="9"/>
    </row>
    <row r="79" spans="5:5" s="154" customFormat="1" x14ac:dyDescent="0.35">
      <c r="E79" s="9"/>
    </row>
    <row r="80" spans="5:5" s="154" customFormat="1" x14ac:dyDescent="0.35">
      <c r="E80" s="9"/>
    </row>
    <row r="81" spans="5:5" s="154" customFormat="1" x14ac:dyDescent="0.35">
      <c r="E81" s="9"/>
    </row>
    <row r="82" spans="5:5" s="154" customFormat="1" x14ac:dyDescent="0.35">
      <c r="E82" s="9"/>
    </row>
    <row r="83" spans="5:5" s="154" customFormat="1" x14ac:dyDescent="0.35">
      <c r="E83" s="9"/>
    </row>
    <row r="84" spans="5:5" s="154" customFormat="1" x14ac:dyDescent="0.35">
      <c r="E84" s="9"/>
    </row>
    <row r="85" spans="5:5" s="154" customFormat="1" x14ac:dyDescent="0.35">
      <c r="E85" s="9"/>
    </row>
    <row r="86" spans="5:5" s="154" customFormat="1" x14ac:dyDescent="0.35">
      <c r="E86" s="9"/>
    </row>
    <row r="87" spans="5:5" s="154" customFormat="1" x14ac:dyDescent="0.35">
      <c r="E87" s="9"/>
    </row>
    <row r="88" spans="5:5" s="154" customFormat="1" x14ac:dyDescent="0.35">
      <c r="E88" s="9"/>
    </row>
    <row r="89" spans="5:5" s="154" customFormat="1" x14ac:dyDescent="0.35">
      <c r="E89" s="9"/>
    </row>
    <row r="90" spans="5:5" s="154" customFormat="1" x14ac:dyDescent="0.35">
      <c r="E90" s="9"/>
    </row>
    <row r="91" spans="5:5" s="154" customFormat="1" x14ac:dyDescent="0.35">
      <c r="E91" s="9"/>
    </row>
    <row r="92" spans="5:5" s="154" customFormat="1" x14ac:dyDescent="0.35">
      <c r="E92" s="9"/>
    </row>
    <row r="93" spans="5:5" s="154" customFormat="1" x14ac:dyDescent="0.35">
      <c r="E93" s="9"/>
    </row>
    <row r="94" spans="5:5" s="154" customFormat="1" x14ac:dyDescent="0.35">
      <c r="E94" s="9"/>
    </row>
    <row r="95" spans="5:5" s="154" customFormat="1" x14ac:dyDescent="0.35">
      <c r="E95" s="9"/>
    </row>
    <row r="96" spans="5:5" s="154" customFormat="1" x14ac:dyDescent="0.35">
      <c r="E96" s="9"/>
    </row>
    <row r="97" spans="5:5" s="154" customFormat="1" x14ac:dyDescent="0.35">
      <c r="E97" s="9"/>
    </row>
    <row r="98" spans="5:5" s="154" customFormat="1" x14ac:dyDescent="0.35">
      <c r="E98" s="9"/>
    </row>
    <row r="99" spans="5:5" s="154" customFormat="1" x14ac:dyDescent="0.35">
      <c r="E99" s="9"/>
    </row>
    <row r="100" spans="5:5" s="154" customFormat="1" x14ac:dyDescent="0.35">
      <c r="E100" s="9"/>
    </row>
    <row r="101" spans="5:5" s="154" customFormat="1" x14ac:dyDescent="0.35">
      <c r="E101" s="9"/>
    </row>
    <row r="102" spans="5:5" s="154" customFormat="1" x14ac:dyDescent="0.35">
      <c r="E102" s="9"/>
    </row>
    <row r="103" spans="5:5" s="154" customFormat="1" x14ac:dyDescent="0.35">
      <c r="E103" s="9"/>
    </row>
    <row r="104" spans="5:5" s="154" customFormat="1" x14ac:dyDescent="0.35">
      <c r="E104" s="9"/>
    </row>
    <row r="105" spans="5:5" s="154" customFormat="1" x14ac:dyDescent="0.35">
      <c r="E105" s="9"/>
    </row>
    <row r="106" spans="5:5" s="154" customFormat="1" x14ac:dyDescent="0.35">
      <c r="E106" s="9"/>
    </row>
    <row r="107" spans="5:5" s="154" customFormat="1" x14ac:dyDescent="0.35">
      <c r="E107" s="9"/>
    </row>
    <row r="108" spans="5:5" s="154" customFormat="1" x14ac:dyDescent="0.35">
      <c r="E108" s="9"/>
    </row>
    <row r="109" spans="5:5" s="154" customFormat="1" x14ac:dyDescent="0.35">
      <c r="E109" s="9"/>
    </row>
    <row r="110" spans="5:5" s="154" customFormat="1" x14ac:dyDescent="0.35">
      <c r="E110" s="9"/>
    </row>
    <row r="111" spans="5:5" s="154" customFormat="1" x14ac:dyDescent="0.35">
      <c r="E111" s="9"/>
    </row>
    <row r="112" spans="5:5" s="154" customFormat="1" x14ac:dyDescent="0.35">
      <c r="E112" s="9"/>
    </row>
    <row r="113" spans="5:5" s="154" customFormat="1" x14ac:dyDescent="0.35">
      <c r="E113" s="9"/>
    </row>
    <row r="114" spans="5:5" s="154" customFormat="1" x14ac:dyDescent="0.35">
      <c r="E114" s="9"/>
    </row>
    <row r="115" spans="5:5" s="154" customFormat="1" x14ac:dyDescent="0.35">
      <c r="E115" s="9"/>
    </row>
    <row r="116" spans="5:5" s="154" customFormat="1" x14ac:dyDescent="0.35">
      <c r="E116" s="9"/>
    </row>
    <row r="117" spans="5:5" s="154" customFormat="1" x14ac:dyDescent="0.35">
      <c r="E117" s="9"/>
    </row>
    <row r="118" spans="5:5" s="154" customFormat="1" x14ac:dyDescent="0.35">
      <c r="E118" s="9"/>
    </row>
    <row r="119" spans="5:5" s="154" customFormat="1" x14ac:dyDescent="0.35">
      <c r="E119" s="9"/>
    </row>
    <row r="120" spans="5:5" s="154" customFormat="1" x14ac:dyDescent="0.35">
      <c r="E120" s="9"/>
    </row>
    <row r="121" spans="5:5" s="154" customFormat="1" x14ac:dyDescent="0.35">
      <c r="E121" s="9"/>
    </row>
    <row r="122" spans="5:5" s="154" customFormat="1" x14ac:dyDescent="0.35">
      <c r="E122" s="9"/>
    </row>
    <row r="123" spans="5:5" s="154" customFormat="1" x14ac:dyDescent="0.35">
      <c r="E123" s="9"/>
    </row>
    <row r="124" spans="5:5" s="154" customFormat="1" x14ac:dyDescent="0.35">
      <c r="E124" s="9"/>
    </row>
    <row r="125" spans="5:5" s="154" customFormat="1" x14ac:dyDescent="0.35">
      <c r="E125" s="9"/>
    </row>
    <row r="126" spans="5:5" s="154" customFormat="1" x14ac:dyDescent="0.35">
      <c r="E126" s="9"/>
    </row>
    <row r="127" spans="5:5" s="154" customFormat="1" x14ac:dyDescent="0.35">
      <c r="E127" s="9"/>
    </row>
    <row r="128" spans="5:5" s="154" customFormat="1" x14ac:dyDescent="0.35">
      <c r="E128" s="9"/>
    </row>
    <row r="129" spans="5:5" s="154" customFormat="1" x14ac:dyDescent="0.35">
      <c r="E129" s="9"/>
    </row>
    <row r="130" spans="5:5" s="154" customFormat="1" x14ac:dyDescent="0.35">
      <c r="E130" s="9"/>
    </row>
    <row r="131" spans="5:5" s="154" customFormat="1" x14ac:dyDescent="0.35">
      <c r="E131" s="9"/>
    </row>
    <row r="132" spans="5:5" s="154" customFormat="1" x14ac:dyDescent="0.35">
      <c r="E132" s="9"/>
    </row>
    <row r="133" spans="5:5" s="154" customFormat="1" x14ac:dyDescent="0.35">
      <c r="E133" s="9"/>
    </row>
    <row r="134" spans="5:5" s="154" customFormat="1" x14ac:dyDescent="0.35">
      <c r="E134" s="9"/>
    </row>
    <row r="135" spans="5:5" s="154" customFormat="1" x14ac:dyDescent="0.35">
      <c r="E135" s="9"/>
    </row>
    <row r="136" spans="5:5" s="154" customFormat="1" x14ac:dyDescent="0.35">
      <c r="E136" s="9"/>
    </row>
    <row r="137" spans="5:5" s="154" customFormat="1" x14ac:dyDescent="0.35">
      <c r="E137" s="9"/>
    </row>
    <row r="138" spans="5:5" s="154" customFormat="1" x14ac:dyDescent="0.35">
      <c r="E138" s="9"/>
    </row>
    <row r="139" spans="5:5" s="154" customFormat="1" x14ac:dyDescent="0.35">
      <c r="E139" s="9"/>
    </row>
    <row r="140" spans="5:5" s="154" customFormat="1" x14ac:dyDescent="0.35">
      <c r="E140" s="9"/>
    </row>
    <row r="141" spans="5:5" s="154" customFormat="1" x14ac:dyDescent="0.35">
      <c r="E141" s="9"/>
    </row>
    <row r="142" spans="5:5" s="154" customFormat="1" x14ac:dyDescent="0.35">
      <c r="E142" s="9"/>
    </row>
    <row r="143" spans="5:5" s="154" customFormat="1" x14ac:dyDescent="0.35">
      <c r="E143" s="9"/>
    </row>
    <row r="144" spans="5:5" s="154" customFormat="1" x14ac:dyDescent="0.35">
      <c r="E144" s="9"/>
    </row>
    <row r="145" spans="5:5" s="154" customFormat="1" x14ac:dyDescent="0.35">
      <c r="E145" s="9"/>
    </row>
    <row r="146" spans="5:5" s="154" customFormat="1" x14ac:dyDescent="0.35">
      <c r="E146" s="9"/>
    </row>
    <row r="147" spans="5:5" s="154" customFormat="1" x14ac:dyDescent="0.35">
      <c r="E147" s="9"/>
    </row>
    <row r="148" spans="5:5" s="154" customFormat="1" x14ac:dyDescent="0.35">
      <c r="E148" s="9"/>
    </row>
    <row r="149" spans="5:5" s="154" customFormat="1" x14ac:dyDescent="0.35">
      <c r="E149" s="9"/>
    </row>
    <row r="150" spans="5:5" s="154" customFormat="1" x14ac:dyDescent="0.35">
      <c r="E150" s="9"/>
    </row>
    <row r="151" spans="5:5" s="154" customFormat="1" x14ac:dyDescent="0.35">
      <c r="E151" s="9"/>
    </row>
    <row r="152" spans="5:5" s="154" customFormat="1" x14ac:dyDescent="0.35">
      <c r="E152" s="9"/>
    </row>
    <row r="153" spans="5:5" s="154" customFormat="1" x14ac:dyDescent="0.35">
      <c r="E153" s="9"/>
    </row>
    <row r="154" spans="5:5" s="154" customFormat="1" x14ac:dyDescent="0.35">
      <c r="E154" s="9"/>
    </row>
    <row r="155" spans="5:5" s="154" customFormat="1" x14ac:dyDescent="0.35">
      <c r="E155" s="9"/>
    </row>
    <row r="156" spans="5:5" s="154" customFormat="1" x14ac:dyDescent="0.35">
      <c r="E156" s="9"/>
    </row>
    <row r="157" spans="5:5" s="154" customFormat="1" x14ac:dyDescent="0.35">
      <c r="E157" s="9"/>
    </row>
    <row r="158" spans="5:5" s="154" customFormat="1" x14ac:dyDescent="0.35">
      <c r="E158" s="9"/>
    </row>
    <row r="159" spans="5:5" s="154" customFormat="1" x14ac:dyDescent="0.35">
      <c r="E159" s="9"/>
    </row>
    <row r="160" spans="5:5" s="154" customFormat="1" x14ac:dyDescent="0.35">
      <c r="E160" s="9"/>
    </row>
    <row r="161" spans="5:5" s="154" customFormat="1" x14ac:dyDescent="0.35">
      <c r="E161" s="9"/>
    </row>
    <row r="162" spans="5:5" s="154" customFormat="1" x14ac:dyDescent="0.35">
      <c r="E162" s="9"/>
    </row>
    <row r="163" spans="5:5" s="154" customFormat="1" x14ac:dyDescent="0.35">
      <c r="E163" s="9"/>
    </row>
    <row r="164" spans="5:5" s="154" customFormat="1" x14ac:dyDescent="0.35">
      <c r="E164" s="9"/>
    </row>
    <row r="165" spans="5:5" s="154" customFormat="1" x14ac:dyDescent="0.35">
      <c r="E165" s="9"/>
    </row>
    <row r="166" spans="5:5" s="154" customFormat="1" x14ac:dyDescent="0.35">
      <c r="E166" s="9"/>
    </row>
    <row r="167" spans="5:5" s="154" customFormat="1" x14ac:dyDescent="0.35">
      <c r="E167" s="9"/>
    </row>
    <row r="168" spans="5:5" s="154" customFormat="1" x14ac:dyDescent="0.35">
      <c r="E168" s="9"/>
    </row>
    <row r="169" spans="5:5" s="154" customFormat="1" x14ac:dyDescent="0.35">
      <c r="E169" s="9"/>
    </row>
    <row r="170" spans="5:5" s="154" customFormat="1" x14ac:dyDescent="0.35">
      <c r="E170" s="9"/>
    </row>
    <row r="171" spans="5:5" s="154" customFormat="1" x14ac:dyDescent="0.35">
      <c r="E171" s="9"/>
    </row>
    <row r="172" spans="5:5" s="154" customFormat="1" x14ac:dyDescent="0.35">
      <c r="E172" s="9"/>
    </row>
    <row r="173" spans="5:5" s="154" customFormat="1" x14ac:dyDescent="0.35">
      <c r="E173" s="9"/>
    </row>
    <row r="174" spans="5:5" s="154" customFormat="1" x14ac:dyDescent="0.35">
      <c r="E174" s="9"/>
    </row>
    <row r="175" spans="5:5" s="154" customFormat="1" x14ac:dyDescent="0.35">
      <c r="E175" s="9"/>
    </row>
    <row r="176" spans="5:5" s="154" customFormat="1" x14ac:dyDescent="0.35">
      <c r="E176" s="9"/>
    </row>
    <row r="177" spans="5:5" s="154" customFormat="1" x14ac:dyDescent="0.35">
      <c r="E177" s="9"/>
    </row>
    <row r="178" spans="5:5" s="154" customFormat="1" x14ac:dyDescent="0.35">
      <c r="E178" s="9"/>
    </row>
    <row r="179" spans="5:5" s="154" customFormat="1" x14ac:dyDescent="0.35">
      <c r="E179" s="9"/>
    </row>
    <row r="180" spans="5:5" s="154" customFormat="1" x14ac:dyDescent="0.35">
      <c r="E180" s="9"/>
    </row>
    <row r="181" spans="5:5" s="154" customFormat="1" x14ac:dyDescent="0.35">
      <c r="E181" s="9"/>
    </row>
    <row r="182" spans="5:5" s="154" customFormat="1" x14ac:dyDescent="0.35">
      <c r="E182" s="9"/>
    </row>
    <row r="183" spans="5:5" s="154" customFormat="1" x14ac:dyDescent="0.35">
      <c r="E183" s="9"/>
    </row>
    <row r="184" spans="5:5" s="154" customFormat="1" x14ac:dyDescent="0.35">
      <c r="E184" s="9"/>
    </row>
    <row r="185" spans="5:5" s="154" customFormat="1" x14ac:dyDescent="0.35">
      <c r="E185" s="9"/>
    </row>
    <row r="186" spans="5:5" s="154" customFormat="1" x14ac:dyDescent="0.35">
      <c r="E186" s="9"/>
    </row>
    <row r="187" spans="5:5" s="154" customFormat="1" x14ac:dyDescent="0.35">
      <c r="E187" s="9"/>
    </row>
    <row r="188" spans="5:5" s="154" customFormat="1" x14ac:dyDescent="0.35">
      <c r="E188" s="9"/>
    </row>
    <row r="189" spans="5:5" s="154" customFormat="1" x14ac:dyDescent="0.35">
      <c r="E189" s="9"/>
    </row>
    <row r="190" spans="5:5" s="154" customFormat="1" x14ac:dyDescent="0.35">
      <c r="E190" s="9"/>
    </row>
    <row r="191" spans="5:5" s="154" customFormat="1" x14ac:dyDescent="0.35">
      <c r="E191" s="9"/>
    </row>
    <row r="192" spans="5:5" s="154" customFormat="1" x14ac:dyDescent="0.35">
      <c r="E192" s="9"/>
    </row>
    <row r="193" spans="5:5" s="154" customFormat="1" x14ac:dyDescent="0.35">
      <c r="E193" s="9"/>
    </row>
    <row r="194" spans="5:5" s="154" customFormat="1" x14ac:dyDescent="0.35">
      <c r="E194" s="9"/>
    </row>
    <row r="195" spans="5:5" s="154" customFormat="1" x14ac:dyDescent="0.35">
      <c r="E195" s="9"/>
    </row>
    <row r="196" spans="5:5" s="154" customFormat="1" x14ac:dyDescent="0.35">
      <c r="E196" s="9"/>
    </row>
    <row r="197" spans="5:5" s="154" customFormat="1" x14ac:dyDescent="0.35">
      <c r="E197" s="9"/>
    </row>
    <row r="198" spans="5:5" s="154" customFormat="1" x14ac:dyDescent="0.35">
      <c r="E198" s="9"/>
    </row>
    <row r="199" spans="5:5" s="154" customFormat="1" x14ac:dyDescent="0.35">
      <c r="E199" s="9"/>
    </row>
    <row r="200" spans="5:5" s="154" customFormat="1" x14ac:dyDescent="0.35">
      <c r="E200" s="9"/>
    </row>
    <row r="201" spans="5:5" s="154" customFormat="1" x14ac:dyDescent="0.35">
      <c r="E201" s="9"/>
    </row>
    <row r="202" spans="5:5" s="154" customFormat="1" x14ac:dyDescent="0.35">
      <c r="E202" s="9"/>
    </row>
    <row r="203" spans="5:5" s="154" customFormat="1" x14ac:dyDescent="0.35">
      <c r="E203" s="9"/>
    </row>
    <row r="204" spans="5:5" s="154" customFormat="1" x14ac:dyDescent="0.35">
      <c r="E204" s="9"/>
    </row>
    <row r="205" spans="5:5" s="154" customFormat="1" x14ac:dyDescent="0.35">
      <c r="E205" s="9"/>
    </row>
    <row r="206" spans="5:5" s="154" customFormat="1" x14ac:dyDescent="0.35">
      <c r="E206" s="9"/>
    </row>
    <row r="207" spans="5:5" s="154" customFormat="1" x14ac:dyDescent="0.35">
      <c r="E207" s="9"/>
    </row>
    <row r="208" spans="5:5" s="154" customFormat="1" x14ac:dyDescent="0.35">
      <c r="E208" s="9"/>
    </row>
    <row r="209" spans="5:5" s="154" customFormat="1" x14ac:dyDescent="0.35">
      <c r="E209" s="9"/>
    </row>
    <row r="210" spans="5:5" s="154" customFormat="1" x14ac:dyDescent="0.35">
      <c r="E210" s="9"/>
    </row>
    <row r="211" spans="5:5" s="154" customFormat="1" x14ac:dyDescent="0.35">
      <c r="E211" s="9"/>
    </row>
    <row r="212" spans="5:5" s="154" customFormat="1" x14ac:dyDescent="0.35">
      <c r="E212" s="9"/>
    </row>
    <row r="213" spans="5:5" s="154" customFormat="1" x14ac:dyDescent="0.35">
      <c r="E213" s="9"/>
    </row>
    <row r="214" spans="5:5" s="154" customFormat="1" x14ac:dyDescent="0.35">
      <c r="E214" s="9"/>
    </row>
    <row r="215" spans="5:5" s="154" customFormat="1" x14ac:dyDescent="0.35">
      <c r="E215" s="9"/>
    </row>
    <row r="216" spans="5:5" s="154" customFormat="1" x14ac:dyDescent="0.35">
      <c r="E216" s="9"/>
    </row>
    <row r="217" spans="5:5" s="154" customFormat="1" x14ac:dyDescent="0.35">
      <c r="E217" s="9"/>
    </row>
    <row r="218" spans="5:5" s="154" customFormat="1" x14ac:dyDescent="0.35">
      <c r="E218" s="9"/>
    </row>
    <row r="219" spans="5:5" s="154" customFormat="1" x14ac:dyDescent="0.35">
      <c r="E219" s="9"/>
    </row>
    <row r="220" spans="5:5" s="154" customFormat="1" x14ac:dyDescent="0.35">
      <c r="E220" s="9"/>
    </row>
    <row r="221" spans="5:5" s="154" customFormat="1" x14ac:dyDescent="0.35">
      <c r="E221" s="9"/>
    </row>
    <row r="222" spans="5:5" s="154" customFormat="1" x14ac:dyDescent="0.35">
      <c r="E222" s="9"/>
    </row>
    <row r="223" spans="5:5" s="154" customFormat="1" x14ac:dyDescent="0.35">
      <c r="E223" s="9"/>
    </row>
    <row r="224" spans="5:5" s="154" customFormat="1" x14ac:dyDescent="0.35">
      <c r="E224" s="9"/>
    </row>
    <row r="225" spans="5:5" s="154" customFormat="1" x14ac:dyDescent="0.35">
      <c r="E225" s="9"/>
    </row>
    <row r="226" spans="5:5" s="154" customFormat="1" x14ac:dyDescent="0.35">
      <c r="E226" s="9"/>
    </row>
    <row r="227" spans="5:5" s="154" customFormat="1" x14ac:dyDescent="0.35">
      <c r="E227" s="9"/>
    </row>
    <row r="228" spans="5:5" s="154" customFormat="1" x14ac:dyDescent="0.35">
      <c r="E228" s="9"/>
    </row>
    <row r="229" spans="5:5" s="154" customFormat="1" x14ac:dyDescent="0.35">
      <c r="E229" s="9"/>
    </row>
    <row r="230" spans="5:5" s="154" customFormat="1" x14ac:dyDescent="0.35">
      <c r="E230" s="9"/>
    </row>
    <row r="231" spans="5:5" s="154" customFormat="1" x14ac:dyDescent="0.35">
      <c r="E231" s="9"/>
    </row>
    <row r="232" spans="5:5" s="154" customFormat="1" x14ac:dyDescent="0.35">
      <c r="E232" s="9"/>
    </row>
    <row r="233" spans="5:5" s="154" customFormat="1" x14ac:dyDescent="0.35">
      <c r="E233" s="9"/>
    </row>
    <row r="234" spans="5:5" s="154" customFormat="1" x14ac:dyDescent="0.35">
      <c r="E234" s="9"/>
    </row>
    <row r="235" spans="5:5" s="154" customFormat="1" x14ac:dyDescent="0.35">
      <c r="E235" s="9"/>
    </row>
    <row r="236" spans="5:5" s="154" customFormat="1" x14ac:dyDescent="0.35">
      <c r="E236" s="9"/>
    </row>
    <row r="237" spans="5:5" s="154" customFormat="1" x14ac:dyDescent="0.35">
      <c r="E237" s="9"/>
    </row>
    <row r="238" spans="5:5" s="154" customFormat="1" x14ac:dyDescent="0.35">
      <c r="E238" s="9"/>
    </row>
    <row r="239" spans="5:5" s="154" customFormat="1" x14ac:dyDescent="0.35">
      <c r="E239" s="9"/>
    </row>
    <row r="240" spans="5:5" s="154" customFormat="1" x14ac:dyDescent="0.35">
      <c r="E240" s="9"/>
    </row>
    <row r="241" spans="5:5" s="154" customFormat="1" x14ac:dyDescent="0.35">
      <c r="E241" s="9"/>
    </row>
    <row r="242" spans="5:5" s="154" customFormat="1" x14ac:dyDescent="0.35">
      <c r="E242" s="9"/>
    </row>
    <row r="243" spans="5:5" s="154" customFormat="1" x14ac:dyDescent="0.35">
      <c r="E243" s="9"/>
    </row>
    <row r="244" spans="5:5" s="154" customFormat="1" x14ac:dyDescent="0.35">
      <c r="E244" s="9"/>
    </row>
    <row r="245" spans="5:5" s="154" customFormat="1" x14ac:dyDescent="0.35">
      <c r="E245" s="9"/>
    </row>
    <row r="246" spans="5:5" s="154" customFormat="1" x14ac:dyDescent="0.35">
      <c r="E246" s="9"/>
    </row>
    <row r="247" spans="5:5" s="154" customFormat="1" x14ac:dyDescent="0.35">
      <c r="E247" s="9"/>
    </row>
    <row r="248" spans="5:5" s="154" customFormat="1" x14ac:dyDescent="0.35">
      <c r="E248" s="9"/>
    </row>
    <row r="249" spans="5:5" s="154" customFormat="1" x14ac:dyDescent="0.35">
      <c r="E249" s="9"/>
    </row>
    <row r="250" spans="5:5" s="154" customFormat="1" x14ac:dyDescent="0.35">
      <c r="E250" s="9"/>
    </row>
    <row r="251" spans="5:5" s="154" customFormat="1" x14ac:dyDescent="0.35">
      <c r="E251" s="9"/>
    </row>
    <row r="252" spans="5:5" s="154" customFormat="1" x14ac:dyDescent="0.35">
      <c r="E252" s="9"/>
    </row>
    <row r="253" spans="5:5" s="154" customFormat="1" x14ac:dyDescent="0.35">
      <c r="E253" s="9"/>
    </row>
    <row r="254" spans="5:5" s="154" customFormat="1" x14ac:dyDescent="0.35">
      <c r="E254" s="9"/>
    </row>
    <row r="255" spans="5:5" s="154" customFormat="1" x14ac:dyDescent="0.35">
      <c r="E255" s="9"/>
    </row>
    <row r="256" spans="5:5" s="154" customFormat="1" x14ac:dyDescent="0.35">
      <c r="E256" s="9"/>
    </row>
    <row r="257" spans="5:5" s="154" customFormat="1" x14ac:dyDescent="0.35">
      <c r="E257" s="9"/>
    </row>
    <row r="258" spans="5:5" s="154" customFormat="1" x14ac:dyDescent="0.35">
      <c r="E258" s="9"/>
    </row>
    <row r="259" spans="5:5" s="154" customFormat="1" x14ac:dyDescent="0.35">
      <c r="E259" s="9"/>
    </row>
    <row r="260" spans="5:5" s="154" customFormat="1" x14ac:dyDescent="0.35">
      <c r="E260" s="9"/>
    </row>
    <row r="261" spans="5:5" s="154" customFormat="1" x14ac:dyDescent="0.35">
      <c r="E261" s="9"/>
    </row>
    <row r="262" spans="5:5" s="154" customFormat="1" x14ac:dyDescent="0.35">
      <c r="E262" s="9"/>
    </row>
    <row r="263" spans="5:5" s="154" customFormat="1" x14ac:dyDescent="0.35">
      <c r="E263" s="9"/>
    </row>
    <row r="264" spans="5:5" s="154" customFormat="1" x14ac:dyDescent="0.35">
      <c r="E264" s="9"/>
    </row>
    <row r="265" spans="5:5" s="154" customFormat="1" x14ac:dyDescent="0.35">
      <c r="E265" s="9"/>
    </row>
    <row r="266" spans="5:5" s="154" customFormat="1" x14ac:dyDescent="0.35">
      <c r="E266" s="9"/>
    </row>
    <row r="267" spans="5:5" s="154" customFormat="1" x14ac:dyDescent="0.35">
      <c r="E267" s="9"/>
    </row>
    <row r="268" spans="5:5" s="154" customFormat="1" x14ac:dyDescent="0.35">
      <c r="E268" s="9"/>
    </row>
    <row r="269" spans="5:5" s="154" customFormat="1" x14ac:dyDescent="0.35">
      <c r="E269" s="9"/>
    </row>
    <row r="270" spans="5:5" s="154" customFormat="1" x14ac:dyDescent="0.35">
      <c r="E270" s="9"/>
    </row>
    <row r="271" spans="5:5" s="154" customFormat="1" x14ac:dyDescent="0.35">
      <c r="E271" s="9"/>
    </row>
    <row r="272" spans="5:5" s="154" customFormat="1" x14ac:dyDescent="0.35">
      <c r="E272" s="9"/>
    </row>
    <row r="273" spans="5:5" s="154" customFormat="1" x14ac:dyDescent="0.35">
      <c r="E273" s="9"/>
    </row>
    <row r="274" spans="5:5" s="154" customFormat="1" x14ac:dyDescent="0.35">
      <c r="E274" s="9"/>
    </row>
    <row r="275" spans="5:5" s="154" customFormat="1" x14ac:dyDescent="0.35">
      <c r="E275" s="9"/>
    </row>
    <row r="276" spans="5:5" s="154" customFormat="1" x14ac:dyDescent="0.35">
      <c r="E276" s="9"/>
    </row>
    <row r="277" spans="5:5" s="154" customFormat="1" x14ac:dyDescent="0.35">
      <c r="E277" s="9"/>
    </row>
    <row r="278" spans="5:5" s="154" customFormat="1" x14ac:dyDescent="0.35">
      <c r="E278" s="9"/>
    </row>
    <row r="279" spans="5:5" s="154" customFormat="1" x14ac:dyDescent="0.35">
      <c r="E279" s="9"/>
    </row>
    <row r="280" spans="5:5" s="154" customFormat="1" x14ac:dyDescent="0.35">
      <c r="E280" s="9"/>
    </row>
    <row r="281" spans="5:5" s="154" customFormat="1" x14ac:dyDescent="0.35">
      <c r="E281" s="9"/>
    </row>
    <row r="282" spans="5:5" s="154" customFormat="1" x14ac:dyDescent="0.35">
      <c r="E282" s="9"/>
    </row>
    <row r="283" spans="5:5" s="154" customFormat="1" x14ac:dyDescent="0.35">
      <c r="E283" s="9"/>
    </row>
    <row r="284" spans="5:5" s="154" customFormat="1" x14ac:dyDescent="0.35">
      <c r="E284" s="9"/>
    </row>
    <row r="285" spans="5:5" s="154" customFormat="1" x14ac:dyDescent="0.35">
      <c r="E285" s="9"/>
    </row>
    <row r="286" spans="5:5" s="154" customFormat="1" x14ac:dyDescent="0.35">
      <c r="E286" s="9"/>
    </row>
    <row r="287" spans="5:5" s="154" customFormat="1" x14ac:dyDescent="0.35">
      <c r="E287" s="9"/>
    </row>
    <row r="288" spans="5:5" s="154" customFormat="1" x14ac:dyDescent="0.35">
      <c r="E288" s="9"/>
    </row>
    <row r="289" spans="5:5" s="154" customFormat="1" x14ac:dyDescent="0.35">
      <c r="E289" s="9"/>
    </row>
    <row r="290" spans="5:5" s="154" customFormat="1" x14ac:dyDescent="0.35">
      <c r="E290" s="9"/>
    </row>
    <row r="291" spans="5:5" s="154" customFormat="1" x14ac:dyDescent="0.35">
      <c r="E291" s="9"/>
    </row>
    <row r="292" spans="5:5" s="154" customFormat="1" x14ac:dyDescent="0.35">
      <c r="E292" s="9"/>
    </row>
    <row r="293" spans="5:5" s="154" customFormat="1" x14ac:dyDescent="0.35">
      <c r="E293" s="9"/>
    </row>
    <row r="294" spans="5:5" s="154" customFormat="1" x14ac:dyDescent="0.35">
      <c r="E294" s="9"/>
    </row>
    <row r="295" spans="5:5" s="154" customFormat="1" x14ac:dyDescent="0.35">
      <c r="E295" s="9"/>
    </row>
    <row r="296" spans="5:5" s="154" customFormat="1" x14ac:dyDescent="0.35">
      <c r="E296" s="9"/>
    </row>
    <row r="297" spans="5:5" s="154" customFormat="1" x14ac:dyDescent="0.35">
      <c r="E297" s="9"/>
    </row>
    <row r="298" spans="5:5" s="154" customFormat="1" x14ac:dyDescent="0.35">
      <c r="E298" s="9"/>
    </row>
    <row r="299" spans="5:5" s="154" customFormat="1" x14ac:dyDescent="0.35">
      <c r="E299" s="9"/>
    </row>
    <row r="300" spans="5:5" s="154" customFormat="1" x14ac:dyDescent="0.35">
      <c r="E300" s="9"/>
    </row>
    <row r="301" spans="5:5" s="154" customFormat="1" x14ac:dyDescent="0.35">
      <c r="E301" s="9"/>
    </row>
    <row r="302" spans="5:5" s="154" customFormat="1" x14ac:dyDescent="0.35">
      <c r="E302" s="9"/>
    </row>
    <row r="303" spans="5:5" s="154" customFormat="1" x14ac:dyDescent="0.35">
      <c r="E303" s="9"/>
    </row>
    <row r="304" spans="5:5" s="154" customFormat="1" x14ac:dyDescent="0.35">
      <c r="E304" s="9"/>
    </row>
    <row r="305" spans="5:5" s="154" customFormat="1" x14ac:dyDescent="0.35">
      <c r="E305" s="9"/>
    </row>
    <row r="306" spans="5:5" s="154" customFormat="1" x14ac:dyDescent="0.35">
      <c r="E306" s="9"/>
    </row>
    <row r="307" spans="5:5" s="154" customFormat="1" x14ac:dyDescent="0.35">
      <c r="E307" s="9"/>
    </row>
    <row r="308" spans="5:5" s="154" customFormat="1" x14ac:dyDescent="0.35">
      <c r="E308" s="9"/>
    </row>
    <row r="309" spans="5:5" s="154" customFormat="1" x14ac:dyDescent="0.35">
      <c r="E309" s="9"/>
    </row>
    <row r="310" spans="5:5" s="154" customFormat="1" x14ac:dyDescent="0.35">
      <c r="E310" s="9"/>
    </row>
    <row r="311" spans="5:5" s="154" customFormat="1" x14ac:dyDescent="0.35">
      <c r="E311" s="9"/>
    </row>
    <row r="312" spans="5:5" s="154" customFormat="1" x14ac:dyDescent="0.35">
      <c r="E312" s="9"/>
    </row>
    <row r="313" spans="5:5" s="154" customFormat="1" x14ac:dyDescent="0.35">
      <c r="E313" s="9"/>
    </row>
    <row r="314" spans="5:5" s="154" customFormat="1" x14ac:dyDescent="0.35">
      <c r="E314" s="9"/>
    </row>
    <row r="315" spans="5:5" s="154" customFormat="1" x14ac:dyDescent="0.35">
      <c r="E315" s="9"/>
    </row>
    <row r="316" spans="5:5" s="154" customFormat="1" x14ac:dyDescent="0.35">
      <c r="E316" s="9"/>
    </row>
    <row r="317" spans="5:5" s="154" customFormat="1" x14ac:dyDescent="0.35">
      <c r="E317" s="9"/>
    </row>
    <row r="318" spans="5:5" s="154" customFormat="1" x14ac:dyDescent="0.35">
      <c r="E318" s="9"/>
    </row>
    <row r="319" spans="5:5" s="154" customFormat="1" x14ac:dyDescent="0.35">
      <c r="E319" s="9"/>
    </row>
    <row r="320" spans="5:5" s="154" customFormat="1" x14ac:dyDescent="0.35">
      <c r="E320" s="9"/>
    </row>
    <row r="321" spans="5:5" s="154" customFormat="1" x14ac:dyDescent="0.35">
      <c r="E321" s="9"/>
    </row>
    <row r="322" spans="5:5" s="154" customFormat="1" x14ac:dyDescent="0.35">
      <c r="E322" s="9"/>
    </row>
    <row r="323" spans="5:5" s="154" customFormat="1" x14ac:dyDescent="0.35">
      <c r="E323" s="9"/>
    </row>
    <row r="324" spans="5:5" s="154" customFormat="1" x14ac:dyDescent="0.35">
      <c r="E324" s="9"/>
    </row>
    <row r="325" spans="5:5" s="154" customFormat="1" x14ac:dyDescent="0.35">
      <c r="E325" s="9"/>
    </row>
    <row r="326" spans="5:5" s="154" customFormat="1" x14ac:dyDescent="0.35">
      <c r="E326" s="9"/>
    </row>
    <row r="327" spans="5:5" s="154" customFormat="1" x14ac:dyDescent="0.35">
      <c r="E327" s="9"/>
    </row>
    <row r="328" spans="5:5" s="154" customFormat="1" x14ac:dyDescent="0.35">
      <c r="E328" s="9"/>
    </row>
    <row r="329" spans="5:5" s="154" customFormat="1" x14ac:dyDescent="0.35">
      <c r="E329" s="9"/>
    </row>
    <row r="330" spans="5:5" s="154" customFormat="1" x14ac:dyDescent="0.35">
      <c r="E330" s="9"/>
    </row>
    <row r="331" spans="5:5" s="154" customFormat="1" x14ac:dyDescent="0.35">
      <c r="E331" s="9"/>
    </row>
    <row r="332" spans="5:5" s="154" customFormat="1" x14ac:dyDescent="0.35">
      <c r="E332" s="9"/>
    </row>
    <row r="333" spans="5:5" s="154" customFormat="1" x14ac:dyDescent="0.35">
      <c r="E333" s="9"/>
    </row>
    <row r="334" spans="5:5" s="154" customFormat="1" x14ac:dyDescent="0.35">
      <c r="E334" s="9"/>
    </row>
    <row r="335" spans="5:5" s="154" customFormat="1" x14ac:dyDescent="0.35">
      <c r="E335" s="9"/>
    </row>
    <row r="336" spans="5:5" s="154" customFormat="1" x14ac:dyDescent="0.35">
      <c r="E336" s="9"/>
    </row>
    <row r="337" spans="5:5" s="154" customFormat="1" x14ac:dyDescent="0.35">
      <c r="E337" s="9"/>
    </row>
    <row r="338" spans="5:5" s="154" customFormat="1" x14ac:dyDescent="0.35">
      <c r="E338" s="9"/>
    </row>
    <row r="339" spans="5:5" s="154" customFormat="1" x14ac:dyDescent="0.35">
      <c r="E339" s="9"/>
    </row>
    <row r="340" spans="5:5" s="154" customFormat="1" x14ac:dyDescent="0.35">
      <c r="E340" s="9"/>
    </row>
    <row r="341" spans="5:5" s="154" customFormat="1" x14ac:dyDescent="0.35">
      <c r="E341" s="9"/>
    </row>
    <row r="342" spans="5:5" s="154" customFormat="1" x14ac:dyDescent="0.35">
      <c r="E342" s="9"/>
    </row>
    <row r="343" spans="5:5" s="154" customFormat="1" x14ac:dyDescent="0.35">
      <c r="E343" s="9"/>
    </row>
    <row r="344" spans="5:5" s="154" customFormat="1" x14ac:dyDescent="0.35">
      <c r="E344" s="9"/>
    </row>
    <row r="345" spans="5:5" s="154" customFormat="1" x14ac:dyDescent="0.35">
      <c r="E345" s="9"/>
    </row>
    <row r="346" spans="5:5" s="154" customFormat="1" x14ac:dyDescent="0.35">
      <c r="E346" s="9"/>
    </row>
    <row r="347" spans="5:5" s="154" customFormat="1" x14ac:dyDescent="0.35">
      <c r="E347" s="9"/>
    </row>
    <row r="348" spans="5:5" s="154" customFormat="1" x14ac:dyDescent="0.35">
      <c r="E348" s="9"/>
    </row>
    <row r="349" spans="5:5" s="154" customFormat="1" x14ac:dyDescent="0.35">
      <c r="E349" s="9"/>
    </row>
    <row r="350" spans="5:5" s="154" customFormat="1" x14ac:dyDescent="0.35">
      <c r="E350" s="9"/>
    </row>
    <row r="351" spans="5:5" s="154" customFormat="1" x14ac:dyDescent="0.35">
      <c r="E351" s="9"/>
    </row>
    <row r="352" spans="5:5" s="154" customFormat="1" x14ac:dyDescent="0.35">
      <c r="E352" s="9"/>
    </row>
    <row r="353" spans="5:5" s="154" customFormat="1" x14ac:dyDescent="0.35">
      <c r="E353" s="9"/>
    </row>
    <row r="354" spans="5:5" s="154" customFormat="1" x14ac:dyDescent="0.35">
      <c r="E354" s="9"/>
    </row>
    <row r="355" spans="5:5" s="154" customFormat="1" x14ac:dyDescent="0.35">
      <c r="E355" s="9"/>
    </row>
    <row r="356" spans="5:5" s="154" customFormat="1" x14ac:dyDescent="0.35">
      <c r="E356" s="9"/>
    </row>
    <row r="357" spans="5:5" s="154" customFormat="1" x14ac:dyDescent="0.35">
      <c r="E357" s="9"/>
    </row>
    <row r="358" spans="5:5" s="154" customFormat="1" x14ac:dyDescent="0.35">
      <c r="E358" s="9"/>
    </row>
    <row r="359" spans="5:5" s="154" customFormat="1" x14ac:dyDescent="0.35">
      <c r="E359" s="9"/>
    </row>
    <row r="360" spans="5:5" s="154" customFormat="1" x14ac:dyDescent="0.35">
      <c r="E360" s="9"/>
    </row>
    <row r="361" spans="5:5" s="154" customFormat="1" x14ac:dyDescent="0.35">
      <c r="E361" s="9"/>
    </row>
    <row r="362" spans="5:5" s="154" customFormat="1" x14ac:dyDescent="0.35">
      <c r="E362" s="9"/>
    </row>
    <row r="363" spans="5:5" s="154" customFormat="1" x14ac:dyDescent="0.35">
      <c r="E363" s="9"/>
    </row>
    <row r="364" spans="5:5" s="154" customFormat="1" x14ac:dyDescent="0.35">
      <c r="E364" s="9"/>
    </row>
    <row r="365" spans="5:5" s="154" customFormat="1" x14ac:dyDescent="0.35">
      <c r="E365" s="9"/>
    </row>
    <row r="366" spans="5:5" s="154" customFormat="1" x14ac:dyDescent="0.35">
      <c r="E366" s="9"/>
    </row>
    <row r="367" spans="5:5" s="154" customFormat="1" x14ac:dyDescent="0.35">
      <c r="E367" s="9"/>
    </row>
    <row r="368" spans="5:5" s="154" customFormat="1" x14ac:dyDescent="0.35">
      <c r="E368" s="9"/>
    </row>
    <row r="369" spans="5:5" s="154" customFormat="1" x14ac:dyDescent="0.35">
      <c r="E369" s="9"/>
    </row>
    <row r="370" spans="5:5" s="154" customFormat="1" x14ac:dyDescent="0.35">
      <c r="E370" s="9"/>
    </row>
    <row r="371" spans="5:5" s="154" customFormat="1" x14ac:dyDescent="0.35">
      <c r="E371" s="9"/>
    </row>
    <row r="372" spans="5:5" s="154" customFormat="1" x14ac:dyDescent="0.35">
      <c r="E372" s="9"/>
    </row>
    <row r="373" spans="5:5" s="154" customFormat="1" x14ac:dyDescent="0.35">
      <c r="E373" s="9"/>
    </row>
    <row r="374" spans="5:5" s="154" customFormat="1" x14ac:dyDescent="0.35">
      <c r="E374" s="9"/>
    </row>
    <row r="375" spans="5:5" s="154" customFormat="1" x14ac:dyDescent="0.35">
      <c r="E375" s="9"/>
    </row>
    <row r="376" spans="5:5" s="154" customFormat="1" x14ac:dyDescent="0.35">
      <c r="E376" s="9"/>
    </row>
    <row r="377" spans="5:5" s="154" customFormat="1" x14ac:dyDescent="0.35">
      <c r="E377" s="9"/>
    </row>
    <row r="378" spans="5:5" s="154" customFormat="1" x14ac:dyDescent="0.35">
      <c r="E378" s="9"/>
    </row>
    <row r="379" spans="5:5" s="154" customFormat="1" x14ac:dyDescent="0.35">
      <c r="E379" s="9"/>
    </row>
    <row r="380" spans="5:5" s="154" customFormat="1" x14ac:dyDescent="0.35">
      <c r="E380" s="9"/>
    </row>
    <row r="381" spans="5:5" s="154" customFormat="1" x14ac:dyDescent="0.35">
      <c r="E381" s="9"/>
    </row>
    <row r="382" spans="5:5" s="154" customFormat="1" x14ac:dyDescent="0.35">
      <c r="E382" s="9"/>
    </row>
    <row r="383" spans="5:5" s="154" customFormat="1" x14ac:dyDescent="0.35">
      <c r="E383" s="9"/>
    </row>
    <row r="384" spans="5:5" s="154" customFormat="1" x14ac:dyDescent="0.35">
      <c r="E384" s="9"/>
    </row>
    <row r="385" spans="5:5" s="154" customFormat="1" x14ac:dyDescent="0.35">
      <c r="E385" s="9"/>
    </row>
    <row r="386" spans="5:5" s="154" customFormat="1" x14ac:dyDescent="0.35">
      <c r="E386" s="9"/>
    </row>
    <row r="387" spans="5:5" s="154" customFormat="1" x14ac:dyDescent="0.35">
      <c r="E387" s="9"/>
    </row>
    <row r="388" spans="5:5" s="154" customFormat="1" x14ac:dyDescent="0.35">
      <c r="E388" s="9"/>
    </row>
    <row r="389" spans="5:5" s="154" customFormat="1" x14ac:dyDescent="0.35">
      <c r="E389" s="9"/>
    </row>
    <row r="390" spans="5:5" s="154" customFormat="1" x14ac:dyDescent="0.35">
      <c r="E390" s="9"/>
    </row>
    <row r="391" spans="5:5" s="154" customFormat="1" x14ac:dyDescent="0.35">
      <c r="E391" s="9"/>
    </row>
    <row r="392" spans="5:5" s="154" customFormat="1" x14ac:dyDescent="0.35">
      <c r="E392" s="9"/>
    </row>
    <row r="393" spans="5:5" s="154" customFormat="1" x14ac:dyDescent="0.35">
      <c r="E393" s="9"/>
    </row>
    <row r="394" spans="5:5" s="154" customFormat="1" x14ac:dyDescent="0.35">
      <c r="E394" s="9"/>
    </row>
    <row r="395" spans="5:5" s="154" customFormat="1" x14ac:dyDescent="0.35">
      <c r="E395" s="9"/>
    </row>
    <row r="396" spans="5:5" s="154" customFormat="1" x14ac:dyDescent="0.35">
      <c r="E396" s="9"/>
    </row>
    <row r="397" spans="5:5" s="154" customFormat="1" x14ac:dyDescent="0.35">
      <c r="E397" s="9"/>
    </row>
    <row r="398" spans="5:5" s="154" customFormat="1" x14ac:dyDescent="0.35">
      <c r="E398" s="9"/>
    </row>
    <row r="399" spans="5:5" s="154" customFormat="1" x14ac:dyDescent="0.35">
      <c r="E399" s="9"/>
    </row>
    <row r="400" spans="5:5" s="154" customFormat="1" x14ac:dyDescent="0.35">
      <c r="E400" s="9"/>
    </row>
    <row r="401" spans="5:5" s="154" customFormat="1" x14ac:dyDescent="0.35">
      <c r="E401" s="9"/>
    </row>
    <row r="402" spans="5:5" s="154" customFormat="1" x14ac:dyDescent="0.35">
      <c r="E402" s="9"/>
    </row>
    <row r="403" spans="5:5" s="154" customFormat="1" x14ac:dyDescent="0.35">
      <c r="E403" s="9"/>
    </row>
    <row r="404" spans="5:5" s="154" customFormat="1" x14ac:dyDescent="0.35">
      <c r="E404" s="9"/>
    </row>
    <row r="405" spans="5:5" s="154" customFormat="1" x14ac:dyDescent="0.35">
      <c r="E405" s="9"/>
    </row>
    <row r="406" spans="5:5" s="154" customFormat="1" x14ac:dyDescent="0.35">
      <c r="E406" s="9"/>
    </row>
    <row r="407" spans="5:5" s="154" customFormat="1" x14ac:dyDescent="0.35">
      <c r="E407" s="9"/>
    </row>
    <row r="408" spans="5:5" s="154" customFormat="1" x14ac:dyDescent="0.35">
      <c r="E408" s="9"/>
    </row>
    <row r="409" spans="5:5" s="154" customFormat="1" x14ac:dyDescent="0.35">
      <c r="E409" s="9"/>
    </row>
    <row r="410" spans="5:5" s="154" customFormat="1" x14ac:dyDescent="0.35">
      <c r="E410" s="9"/>
    </row>
    <row r="411" spans="5:5" s="154" customFormat="1" x14ac:dyDescent="0.35">
      <c r="E411" s="9"/>
    </row>
    <row r="412" spans="5:5" s="154" customFormat="1" x14ac:dyDescent="0.35">
      <c r="E412" s="9"/>
    </row>
    <row r="413" spans="5:5" s="154" customFormat="1" x14ac:dyDescent="0.35">
      <c r="E413" s="9"/>
    </row>
    <row r="414" spans="5:5" s="154" customFormat="1" x14ac:dyDescent="0.35">
      <c r="E414" s="9"/>
    </row>
    <row r="415" spans="5:5" s="154" customFormat="1" x14ac:dyDescent="0.35">
      <c r="E415" s="9"/>
    </row>
    <row r="416" spans="5:5" s="154" customFormat="1" x14ac:dyDescent="0.35">
      <c r="E416" s="9"/>
    </row>
    <row r="417" spans="5:5" s="154" customFormat="1" x14ac:dyDescent="0.35">
      <c r="E417" s="9"/>
    </row>
    <row r="418" spans="5:5" s="154" customFormat="1" x14ac:dyDescent="0.35">
      <c r="E418" s="9"/>
    </row>
    <row r="419" spans="5:5" s="154" customFormat="1" x14ac:dyDescent="0.35">
      <c r="E419" s="9"/>
    </row>
    <row r="420" spans="5:5" s="154" customFormat="1" x14ac:dyDescent="0.35">
      <c r="E420" s="9"/>
    </row>
    <row r="421" spans="5:5" s="154" customFormat="1" x14ac:dyDescent="0.35">
      <c r="E421" s="9"/>
    </row>
    <row r="422" spans="5:5" s="154" customFormat="1" x14ac:dyDescent="0.35">
      <c r="E422" s="9"/>
    </row>
    <row r="423" spans="5:5" s="154" customFormat="1" x14ac:dyDescent="0.35">
      <c r="E423" s="9"/>
    </row>
    <row r="424" spans="5:5" s="154" customFormat="1" x14ac:dyDescent="0.35">
      <c r="E424" s="9"/>
    </row>
    <row r="425" spans="5:5" s="154" customFormat="1" x14ac:dyDescent="0.35">
      <c r="E425" s="9"/>
    </row>
    <row r="426" spans="5:5" s="154" customFormat="1" x14ac:dyDescent="0.35">
      <c r="E426" s="9"/>
    </row>
    <row r="427" spans="5:5" s="154" customFormat="1" x14ac:dyDescent="0.35">
      <c r="E427" s="9"/>
    </row>
    <row r="428" spans="5:5" s="154" customFormat="1" x14ac:dyDescent="0.35">
      <c r="E428" s="9"/>
    </row>
    <row r="429" spans="5:5" s="154" customFormat="1" x14ac:dyDescent="0.35">
      <c r="E429" s="9"/>
    </row>
    <row r="430" spans="5:5" s="154" customFormat="1" x14ac:dyDescent="0.35">
      <c r="E430" s="9"/>
    </row>
    <row r="431" spans="5:5" s="154" customFormat="1" x14ac:dyDescent="0.35">
      <c r="E431" s="9"/>
    </row>
    <row r="432" spans="5:5" s="154" customFormat="1" x14ac:dyDescent="0.35">
      <c r="E432" s="9"/>
    </row>
    <row r="433" spans="5:5" s="154" customFormat="1" x14ac:dyDescent="0.35">
      <c r="E433" s="9"/>
    </row>
    <row r="434" spans="5:5" s="154" customFormat="1" x14ac:dyDescent="0.35">
      <c r="E434" s="9"/>
    </row>
    <row r="435" spans="5:5" s="154" customFormat="1" x14ac:dyDescent="0.35">
      <c r="E435" s="9"/>
    </row>
    <row r="436" spans="5:5" s="154" customFormat="1" x14ac:dyDescent="0.35">
      <c r="E436" s="9"/>
    </row>
    <row r="437" spans="5:5" s="154" customFormat="1" x14ac:dyDescent="0.35">
      <c r="E437" s="9"/>
    </row>
    <row r="438" spans="5:5" s="154" customFormat="1" x14ac:dyDescent="0.35">
      <c r="E438" s="9"/>
    </row>
    <row r="439" spans="5:5" s="154" customFormat="1" x14ac:dyDescent="0.35">
      <c r="E439" s="9"/>
    </row>
    <row r="440" spans="5:5" s="154" customFormat="1" x14ac:dyDescent="0.35">
      <c r="E440" s="9"/>
    </row>
    <row r="441" spans="5:5" s="154" customFormat="1" x14ac:dyDescent="0.35">
      <c r="E441" s="9"/>
    </row>
    <row r="442" spans="5:5" s="154" customFormat="1" x14ac:dyDescent="0.35">
      <c r="E442" s="9"/>
    </row>
    <row r="443" spans="5:5" s="154" customFormat="1" x14ac:dyDescent="0.35">
      <c r="E443" s="9"/>
    </row>
    <row r="444" spans="5:5" s="154" customFormat="1" x14ac:dyDescent="0.35">
      <c r="E444" s="9"/>
    </row>
    <row r="445" spans="5:5" s="154" customFormat="1" x14ac:dyDescent="0.35">
      <c r="E445" s="9"/>
    </row>
    <row r="446" spans="5:5" s="154" customFormat="1" x14ac:dyDescent="0.35">
      <c r="E446" s="9"/>
    </row>
    <row r="447" spans="5:5" s="154" customFormat="1" x14ac:dyDescent="0.35">
      <c r="E447" s="9"/>
    </row>
    <row r="448" spans="5:5" s="154" customFormat="1" x14ac:dyDescent="0.35">
      <c r="E448" s="9"/>
    </row>
    <row r="449" spans="5:5" s="154" customFormat="1" x14ac:dyDescent="0.35">
      <c r="E449" s="9"/>
    </row>
    <row r="450" spans="5:5" s="154" customFormat="1" x14ac:dyDescent="0.35">
      <c r="E450" s="9"/>
    </row>
    <row r="451" spans="5:5" s="154" customFormat="1" x14ac:dyDescent="0.35">
      <c r="E451" s="9"/>
    </row>
    <row r="452" spans="5:5" s="154" customFormat="1" x14ac:dyDescent="0.35">
      <c r="E452" s="9"/>
    </row>
    <row r="453" spans="5:5" s="154" customFormat="1" x14ac:dyDescent="0.35">
      <c r="E453" s="9"/>
    </row>
    <row r="454" spans="5:5" s="154" customFormat="1" x14ac:dyDescent="0.35">
      <c r="E454" s="9"/>
    </row>
    <row r="455" spans="5:5" s="154" customFormat="1" x14ac:dyDescent="0.35">
      <c r="E455" s="9"/>
    </row>
    <row r="456" spans="5:5" s="154" customFormat="1" x14ac:dyDescent="0.35">
      <c r="E456" s="9"/>
    </row>
    <row r="457" spans="5:5" s="154" customFormat="1" x14ac:dyDescent="0.35">
      <c r="E457" s="9"/>
    </row>
    <row r="458" spans="5:5" s="154" customFormat="1" x14ac:dyDescent="0.35">
      <c r="E458" s="9"/>
    </row>
    <row r="459" spans="5:5" s="154" customFormat="1" x14ac:dyDescent="0.35">
      <c r="E459" s="9"/>
    </row>
    <row r="460" spans="5:5" s="154" customFormat="1" x14ac:dyDescent="0.35">
      <c r="E460" s="9"/>
    </row>
    <row r="461" spans="5:5" s="154" customFormat="1" x14ac:dyDescent="0.35">
      <c r="E461" s="9"/>
    </row>
    <row r="462" spans="5:5" s="154" customFormat="1" x14ac:dyDescent="0.35">
      <c r="E462" s="9"/>
    </row>
    <row r="463" spans="5:5" s="154" customFormat="1" x14ac:dyDescent="0.35">
      <c r="E463" s="9"/>
    </row>
    <row r="464" spans="5:5" s="154" customFormat="1" x14ac:dyDescent="0.35">
      <c r="E464" s="9"/>
    </row>
    <row r="465" spans="5:5" s="154" customFormat="1" x14ac:dyDescent="0.35">
      <c r="E465" s="9"/>
    </row>
    <row r="466" spans="5:5" s="154" customFormat="1" x14ac:dyDescent="0.35">
      <c r="E466" s="9"/>
    </row>
    <row r="467" spans="5:5" s="154" customFormat="1" x14ac:dyDescent="0.35">
      <c r="E467" s="9"/>
    </row>
    <row r="468" spans="5:5" s="154" customFormat="1" x14ac:dyDescent="0.35">
      <c r="E468" s="9"/>
    </row>
    <row r="469" spans="5:5" s="154" customFormat="1" x14ac:dyDescent="0.35">
      <c r="E469" s="9"/>
    </row>
    <row r="470" spans="5:5" s="154" customFormat="1" x14ac:dyDescent="0.35">
      <c r="E470" s="9"/>
    </row>
    <row r="471" spans="5:5" s="154" customFormat="1" x14ac:dyDescent="0.35">
      <c r="E471" s="9"/>
    </row>
    <row r="472" spans="5:5" s="154" customFormat="1" x14ac:dyDescent="0.35">
      <c r="E472" s="9"/>
    </row>
    <row r="473" spans="5:5" s="154" customFormat="1" x14ac:dyDescent="0.35">
      <c r="E473" s="9"/>
    </row>
    <row r="474" spans="5:5" s="154" customFormat="1" x14ac:dyDescent="0.35">
      <c r="E474" s="9"/>
    </row>
    <row r="475" spans="5:5" s="154" customFormat="1" x14ac:dyDescent="0.35">
      <c r="E475" s="9"/>
    </row>
    <row r="476" spans="5:5" s="154" customFormat="1" x14ac:dyDescent="0.35">
      <c r="E476" s="9"/>
    </row>
    <row r="477" spans="5:5" s="154" customFormat="1" x14ac:dyDescent="0.35">
      <c r="E477" s="9"/>
    </row>
    <row r="478" spans="5:5" s="154" customFormat="1" x14ac:dyDescent="0.35">
      <c r="E478" s="9"/>
    </row>
    <row r="479" spans="5:5" s="154" customFormat="1" x14ac:dyDescent="0.35">
      <c r="E479" s="9"/>
    </row>
    <row r="480" spans="5:5" s="154" customFormat="1" x14ac:dyDescent="0.35">
      <c r="E480" s="9"/>
    </row>
    <row r="481" spans="5:5" s="154" customFormat="1" x14ac:dyDescent="0.35">
      <c r="E481" s="9"/>
    </row>
    <row r="482" spans="5:5" s="154" customFormat="1" x14ac:dyDescent="0.35">
      <c r="E482" s="9"/>
    </row>
    <row r="483" spans="5:5" s="154" customFormat="1" x14ac:dyDescent="0.35">
      <c r="E483" s="9"/>
    </row>
    <row r="484" spans="5:5" s="154" customFormat="1" x14ac:dyDescent="0.35">
      <c r="E484" s="9"/>
    </row>
    <row r="485" spans="5:5" s="154" customFormat="1" x14ac:dyDescent="0.35">
      <c r="E485" s="9"/>
    </row>
    <row r="486" spans="5:5" s="154" customFormat="1" x14ac:dyDescent="0.35">
      <c r="E486" s="9"/>
    </row>
    <row r="487" spans="5:5" s="154" customFormat="1" x14ac:dyDescent="0.35">
      <c r="E487" s="9"/>
    </row>
    <row r="488" spans="5:5" s="154" customFormat="1" x14ac:dyDescent="0.35">
      <c r="E488" s="9"/>
    </row>
    <row r="489" spans="5:5" s="154" customFormat="1" x14ac:dyDescent="0.35">
      <c r="E489" s="9"/>
    </row>
    <row r="490" spans="5:5" s="154" customFormat="1" x14ac:dyDescent="0.35">
      <c r="E490" s="9"/>
    </row>
    <row r="491" spans="5:5" s="154" customFormat="1" x14ac:dyDescent="0.35">
      <c r="E491" s="9"/>
    </row>
    <row r="492" spans="5:5" s="154" customFormat="1" x14ac:dyDescent="0.35">
      <c r="E492" s="9"/>
    </row>
    <row r="493" spans="5:5" s="154" customFormat="1" x14ac:dyDescent="0.35">
      <c r="E493" s="9"/>
    </row>
    <row r="494" spans="5:5" s="154" customFormat="1" x14ac:dyDescent="0.35">
      <c r="E494" s="9"/>
    </row>
    <row r="495" spans="5:5" s="154" customFormat="1" x14ac:dyDescent="0.35">
      <c r="E495" s="9"/>
    </row>
    <row r="496" spans="5:5" s="154" customFormat="1" x14ac:dyDescent="0.35">
      <c r="E496" s="9"/>
    </row>
    <row r="497" spans="5:5" s="154" customFormat="1" x14ac:dyDescent="0.35">
      <c r="E497" s="9"/>
    </row>
    <row r="498" spans="5:5" s="154" customFormat="1" x14ac:dyDescent="0.35">
      <c r="E498" s="9"/>
    </row>
    <row r="499" spans="5:5" s="154" customFormat="1" x14ac:dyDescent="0.35">
      <c r="E499" s="9"/>
    </row>
    <row r="500" spans="5:5" s="154" customFormat="1" x14ac:dyDescent="0.35">
      <c r="E500" s="9"/>
    </row>
    <row r="501" spans="5:5" s="154" customFormat="1" x14ac:dyDescent="0.35">
      <c r="E501" s="9"/>
    </row>
    <row r="502" spans="5:5" s="154" customFormat="1" x14ac:dyDescent="0.35">
      <c r="E502" s="9"/>
    </row>
    <row r="503" spans="5:5" s="154" customFormat="1" x14ac:dyDescent="0.35">
      <c r="E503" s="9"/>
    </row>
    <row r="504" spans="5:5" s="154" customFormat="1" x14ac:dyDescent="0.35">
      <c r="E504" s="9"/>
    </row>
    <row r="505" spans="5:5" s="154" customFormat="1" x14ac:dyDescent="0.35">
      <c r="E505" s="9"/>
    </row>
    <row r="506" spans="5:5" s="154" customFormat="1" x14ac:dyDescent="0.35">
      <c r="E506" s="9"/>
    </row>
    <row r="507" spans="5:5" s="154" customFormat="1" x14ac:dyDescent="0.35">
      <c r="E507" s="9"/>
    </row>
    <row r="508" spans="5:5" s="154" customFormat="1" x14ac:dyDescent="0.35">
      <c r="E508" s="9"/>
    </row>
    <row r="509" spans="5:5" s="154" customFormat="1" x14ac:dyDescent="0.35">
      <c r="E509" s="9"/>
    </row>
    <row r="510" spans="5:5" s="154" customFormat="1" x14ac:dyDescent="0.35">
      <c r="E510" s="9"/>
    </row>
    <row r="511" spans="5:5" s="154" customFormat="1" x14ac:dyDescent="0.35">
      <c r="E511" s="9"/>
    </row>
    <row r="512" spans="5:5" s="154" customFormat="1" x14ac:dyDescent="0.35">
      <c r="E512" s="9"/>
    </row>
    <row r="513" spans="5:5" s="154" customFormat="1" x14ac:dyDescent="0.35">
      <c r="E513" s="9"/>
    </row>
    <row r="514" spans="5:5" s="154" customFormat="1" x14ac:dyDescent="0.35">
      <c r="E514" s="9"/>
    </row>
    <row r="515" spans="5:5" s="154" customFormat="1" x14ac:dyDescent="0.35">
      <c r="E515" s="9"/>
    </row>
    <row r="516" spans="5:5" s="154" customFormat="1" x14ac:dyDescent="0.35">
      <c r="E516" s="9"/>
    </row>
    <row r="517" spans="5:5" s="154" customFormat="1" x14ac:dyDescent="0.35">
      <c r="E517" s="9"/>
    </row>
    <row r="518" spans="5:5" s="154" customFormat="1" x14ac:dyDescent="0.35">
      <c r="E518" s="9"/>
    </row>
    <row r="519" spans="5:5" s="154" customFormat="1" x14ac:dyDescent="0.35">
      <c r="E519" s="9"/>
    </row>
    <row r="520" spans="5:5" s="154" customFormat="1" x14ac:dyDescent="0.35">
      <c r="E520" s="9"/>
    </row>
    <row r="521" spans="5:5" s="154" customFormat="1" x14ac:dyDescent="0.35">
      <c r="E521" s="9"/>
    </row>
    <row r="522" spans="5:5" s="154" customFormat="1" x14ac:dyDescent="0.35">
      <c r="E522" s="9"/>
    </row>
    <row r="523" spans="5:5" s="154" customFormat="1" x14ac:dyDescent="0.35">
      <c r="E523" s="9"/>
    </row>
    <row r="524" spans="5:5" s="154" customFormat="1" x14ac:dyDescent="0.35">
      <c r="E524" s="9"/>
    </row>
    <row r="525" spans="5:5" s="154" customFormat="1" x14ac:dyDescent="0.35">
      <c r="E525" s="9"/>
    </row>
    <row r="526" spans="5:5" s="154" customFormat="1" x14ac:dyDescent="0.35">
      <c r="E526" s="9"/>
    </row>
    <row r="527" spans="5:5" s="154" customFormat="1" x14ac:dyDescent="0.35">
      <c r="E527" s="9"/>
    </row>
    <row r="528" spans="5:5" s="154" customFormat="1" x14ac:dyDescent="0.35">
      <c r="E528" s="9"/>
    </row>
    <row r="529" spans="5:5" s="154" customFormat="1" x14ac:dyDescent="0.35">
      <c r="E529" s="9"/>
    </row>
    <row r="530" spans="5:5" s="154" customFormat="1" x14ac:dyDescent="0.35">
      <c r="E530" s="9"/>
    </row>
    <row r="531" spans="5:5" s="154" customFormat="1" x14ac:dyDescent="0.35">
      <c r="E531" s="9"/>
    </row>
    <row r="532" spans="5:5" s="154" customFormat="1" x14ac:dyDescent="0.35">
      <c r="E532" s="9"/>
    </row>
    <row r="533" spans="5:5" s="154" customFormat="1" x14ac:dyDescent="0.35">
      <c r="E533" s="9"/>
    </row>
    <row r="534" spans="5:5" s="154" customFormat="1" x14ac:dyDescent="0.35">
      <c r="E534" s="9"/>
    </row>
    <row r="535" spans="5:5" s="154" customFormat="1" x14ac:dyDescent="0.35">
      <c r="E535" s="9"/>
    </row>
    <row r="536" spans="5:5" s="154" customFormat="1" x14ac:dyDescent="0.35">
      <c r="E536" s="9"/>
    </row>
    <row r="537" spans="5:5" s="154" customFormat="1" x14ac:dyDescent="0.35">
      <c r="E537" s="9"/>
    </row>
    <row r="538" spans="5:5" s="154" customFormat="1" x14ac:dyDescent="0.35">
      <c r="E538" s="9"/>
    </row>
    <row r="539" spans="5:5" s="154" customFormat="1" x14ac:dyDescent="0.35">
      <c r="E539" s="9"/>
    </row>
    <row r="540" spans="5:5" s="154" customFormat="1" x14ac:dyDescent="0.35">
      <c r="E540" s="9"/>
    </row>
    <row r="541" spans="5:5" s="154" customFormat="1" x14ac:dyDescent="0.35">
      <c r="E541" s="9"/>
    </row>
    <row r="542" spans="5:5" s="154" customFormat="1" x14ac:dyDescent="0.35">
      <c r="E542" s="9"/>
    </row>
    <row r="543" spans="5:5" s="154" customFormat="1" x14ac:dyDescent="0.35">
      <c r="E543" s="9"/>
    </row>
    <row r="544" spans="5:5" s="154" customFormat="1" x14ac:dyDescent="0.35">
      <c r="E544" s="9"/>
    </row>
    <row r="545" spans="5:5" s="154" customFormat="1" x14ac:dyDescent="0.35">
      <c r="E545" s="9"/>
    </row>
    <row r="546" spans="5:5" s="154" customFormat="1" x14ac:dyDescent="0.35">
      <c r="E546" s="9"/>
    </row>
    <row r="547" spans="5:5" s="154" customFormat="1" x14ac:dyDescent="0.35">
      <c r="E547" s="9"/>
    </row>
    <row r="548" spans="5:5" s="154" customFormat="1" x14ac:dyDescent="0.35">
      <c r="E548" s="9"/>
    </row>
    <row r="549" spans="5:5" s="154" customFormat="1" x14ac:dyDescent="0.35">
      <c r="E549" s="9"/>
    </row>
    <row r="550" spans="5:5" s="154" customFormat="1" x14ac:dyDescent="0.35">
      <c r="E550" s="9"/>
    </row>
    <row r="551" spans="5:5" s="154" customFormat="1" x14ac:dyDescent="0.35">
      <c r="E551" s="9"/>
    </row>
    <row r="552" spans="5:5" s="154" customFormat="1" x14ac:dyDescent="0.35">
      <c r="E552" s="9"/>
    </row>
    <row r="553" spans="5:5" s="154" customFormat="1" x14ac:dyDescent="0.35">
      <c r="E553" s="9"/>
    </row>
    <row r="554" spans="5:5" s="154" customFormat="1" x14ac:dyDescent="0.35">
      <c r="E554" s="9"/>
    </row>
    <row r="555" spans="5:5" s="154" customFormat="1" x14ac:dyDescent="0.35">
      <c r="E555" s="9"/>
    </row>
    <row r="556" spans="5:5" s="154" customFormat="1" x14ac:dyDescent="0.35">
      <c r="E556" s="9"/>
    </row>
    <row r="557" spans="5:5" s="154" customFormat="1" x14ac:dyDescent="0.35">
      <c r="E557" s="9"/>
    </row>
    <row r="558" spans="5:5" s="154" customFormat="1" x14ac:dyDescent="0.35">
      <c r="E558" s="9"/>
    </row>
    <row r="559" spans="5:5" s="154" customFormat="1" x14ac:dyDescent="0.35">
      <c r="E559" s="9"/>
    </row>
    <row r="560" spans="5:5" s="154" customFormat="1" x14ac:dyDescent="0.35">
      <c r="E560" s="9"/>
    </row>
    <row r="561" spans="5:5" s="154" customFormat="1" x14ac:dyDescent="0.35">
      <c r="E561" s="9"/>
    </row>
    <row r="562" spans="5:5" s="154" customFormat="1" x14ac:dyDescent="0.35">
      <c r="E562" s="9"/>
    </row>
    <row r="563" spans="5:5" s="154" customFormat="1" x14ac:dyDescent="0.35">
      <c r="E563" s="9"/>
    </row>
    <row r="564" spans="5:5" s="154" customFormat="1" x14ac:dyDescent="0.35">
      <c r="E564" s="9"/>
    </row>
    <row r="565" spans="5:5" s="154" customFormat="1" x14ac:dyDescent="0.35">
      <c r="E565" s="9"/>
    </row>
    <row r="566" spans="5:5" s="154" customFormat="1" x14ac:dyDescent="0.35">
      <c r="E566" s="9"/>
    </row>
    <row r="567" spans="5:5" s="154" customFormat="1" x14ac:dyDescent="0.35">
      <c r="E567" s="9"/>
    </row>
    <row r="568" spans="5:5" s="154" customFormat="1" x14ac:dyDescent="0.35">
      <c r="E568" s="9"/>
    </row>
    <row r="569" spans="5:5" s="154" customFormat="1" x14ac:dyDescent="0.35">
      <c r="E569" s="9"/>
    </row>
    <row r="570" spans="5:5" s="154" customFormat="1" x14ac:dyDescent="0.35">
      <c r="E570" s="9"/>
    </row>
    <row r="571" spans="5:5" s="154" customFormat="1" x14ac:dyDescent="0.35">
      <c r="E571" s="9"/>
    </row>
    <row r="572" spans="5:5" s="154" customFormat="1" x14ac:dyDescent="0.35">
      <c r="E572" s="9"/>
    </row>
    <row r="573" spans="5:5" s="154" customFormat="1" x14ac:dyDescent="0.35">
      <c r="E573" s="9"/>
    </row>
    <row r="574" spans="5:5" s="154" customFormat="1" x14ac:dyDescent="0.35">
      <c r="E574" s="9"/>
    </row>
    <row r="575" spans="5:5" s="154" customFormat="1" x14ac:dyDescent="0.35">
      <c r="E575" s="9"/>
    </row>
    <row r="576" spans="5:5" s="154" customFormat="1" x14ac:dyDescent="0.35">
      <c r="E576" s="9"/>
    </row>
    <row r="577" spans="5:5" s="154" customFormat="1" x14ac:dyDescent="0.35">
      <c r="E577" s="9"/>
    </row>
    <row r="578" spans="5:5" s="154" customFormat="1" x14ac:dyDescent="0.35">
      <c r="E578" s="9"/>
    </row>
    <row r="579" spans="5:5" s="154" customFormat="1" x14ac:dyDescent="0.35">
      <c r="E579" s="9"/>
    </row>
    <row r="580" spans="5:5" s="154" customFormat="1" x14ac:dyDescent="0.35">
      <c r="E580" s="9"/>
    </row>
    <row r="581" spans="5:5" s="154" customFormat="1" x14ac:dyDescent="0.35">
      <c r="E581" s="9"/>
    </row>
    <row r="582" spans="5:5" s="154" customFormat="1" x14ac:dyDescent="0.35">
      <c r="E582" s="9"/>
    </row>
    <row r="583" spans="5:5" s="154" customFormat="1" x14ac:dyDescent="0.35">
      <c r="E583" s="9"/>
    </row>
    <row r="584" spans="5:5" s="154" customFormat="1" x14ac:dyDescent="0.35">
      <c r="E584" s="9"/>
    </row>
    <row r="585" spans="5:5" s="154" customFormat="1" x14ac:dyDescent="0.35">
      <c r="E585" s="9"/>
    </row>
    <row r="586" spans="5:5" s="154" customFormat="1" x14ac:dyDescent="0.35">
      <c r="E586" s="9"/>
    </row>
    <row r="587" spans="5:5" s="154" customFormat="1" x14ac:dyDescent="0.35">
      <c r="E587" s="9"/>
    </row>
    <row r="588" spans="5:5" s="154" customFormat="1" x14ac:dyDescent="0.35">
      <c r="E588" s="9"/>
    </row>
    <row r="589" spans="5:5" s="154" customFormat="1" x14ac:dyDescent="0.35">
      <c r="E589" s="9"/>
    </row>
    <row r="590" spans="5:5" s="154" customFormat="1" x14ac:dyDescent="0.35">
      <c r="E590" s="9"/>
    </row>
    <row r="591" spans="5:5" s="154" customFormat="1" x14ac:dyDescent="0.35">
      <c r="E591" s="9"/>
    </row>
    <row r="592" spans="5:5" s="154" customFormat="1" x14ac:dyDescent="0.35">
      <c r="E592" s="9"/>
    </row>
    <row r="593" spans="5:5" s="154" customFormat="1" x14ac:dyDescent="0.35">
      <c r="E593" s="9"/>
    </row>
    <row r="594" spans="5:5" s="154" customFormat="1" x14ac:dyDescent="0.35">
      <c r="E594" s="9"/>
    </row>
    <row r="595" spans="5:5" s="154" customFormat="1" x14ac:dyDescent="0.35">
      <c r="E595" s="9"/>
    </row>
    <row r="596" spans="5:5" s="154" customFormat="1" x14ac:dyDescent="0.35">
      <c r="E596" s="9"/>
    </row>
    <row r="597" spans="5:5" s="154" customFormat="1" x14ac:dyDescent="0.35">
      <c r="E597" s="9"/>
    </row>
    <row r="598" spans="5:5" s="154" customFormat="1" x14ac:dyDescent="0.35">
      <c r="E598" s="9"/>
    </row>
    <row r="599" spans="5:5" s="154" customFormat="1" x14ac:dyDescent="0.35">
      <c r="E599" s="9"/>
    </row>
    <row r="600" spans="5:5" s="154" customFormat="1" x14ac:dyDescent="0.35">
      <c r="E600" s="9"/>
    </row>
    <row r="601" spans="5:5" s="154" customFormat="1" x14ac:dyDescent="0.35">
      <c r="E601" s="9"/>
    </row>
    <row r="602" spans="5:5" s="154" customFormat="1" x14ac:dyDescent="0.35">
      <c r="E602" s="9"/>
    </row>
    <row r="603" spans="5:5" s="154" customFormat="1" x14ac:dyDescent="0.35">
      <c r="E603" s="9"/>
    </row>
    <row r="604" spans="5:5" s="154" customFormat="1" x14ac:dyDescent="0.35">
      <c r="E604" s="9"/>
    </row>
    <row r="605" spans="5:5" s="154" customFormat="1" x14ac:dyDescent="0.35">
      <c r="E605" s="9"/>
    </row>
    <row r="606" spans="5:5" s="154" customFormat="1" x14ac:dyDescent="0.35">
      <c r="E606" s="9"/>
    </row>
    <row r="607" spans="5:5" s="154" customFormat="1" x14ac:dyDescent="0.35">
      <c r="E607" s="9"/>
    </row>
    <row r="608" spans="5:5" s="154" customFormat="1" x14ac:dyDescent="0.35">
      <c r="E608" s="9"/>
    </row>
    <row r="609" spans="5:5" s="154" customFormat="1" x14ac:dyDescent="0.35">
      <c r="E609" s="9"/>
    </row>
    <row r="610" spans="5:5" s="154" customFormat="1" x14ac:dyDescent="0.35">
      <c r="E610" s="9"/>
    </row>
    <row r="611" spans="5:5" s="154" customFormat="1" x14ac:dyDescent="0.35">
      <c r="E611" s="9"/>
    </row>
    <row r="612" spans="5:5" s="154" customFormat="1" x14ac:dyDescent="0.35">
      <c r="E612" s="9"/>
    </row>
    <row r="613" spans="5:5" s="154" customFormat="1" x14ac:dyDescent="0.35">
      <c r="E613" s="9"/>
    </row>
    <row r="614" spans="5:5" s="154" customFormat="1" x14ac:dyDescent="0.35">
      <c r="E614" s="9"/>
    </row>
    <row r="615" spans="5:5" s="154" customFormat="1" x14ac:dyDescent="0.35">
      <c r="E615" s="9"/>
    </row>
    <row r="616" spans="5:5" s="154" customFormat="1" x14ac:dyDescent="0.35">
      <c r="E616" s="9"/>
    </row>
    <row r="617" spans="5:5" s="154" customFormat="1" x14ac:dyDescent="0.35">
      <c r="E617" s="9"/>
    </row>
    <row r="618" spans="5:5" s="154" customFormat="1" x14ac:dyDescent="0.35">
      <c r="E618" s="9"/>
    </row>
    <row r="619" spans="5:5" s="154" customFormat="1" x14ac:dyDescent="0.35">
      <c r="E619" s="9"/>
    </row>
    <row r="620" spans="5:5" s="154" customFormat="1" x14ac:dyDescent="0.35">
      <c r="E620" s="9"/>
    </row>
    <row r="621" spans="5:5" s="154" customFormat="1" x14ac:dyDescent="0.35">
      <c r="E621" s="9"/>
    </row>
    <row r="622" spans="5:5" s="154" customFormat="1" x14ac:dyDescent="0.35">
      <c r="E622" s="9"/>
    </row>
    <row r="623" spans="5:5" s="154" customFormat="1" x14ac:dyDescent="0.35">
      <c r="E623" s="9"/>
    </row>
    <row r="624" spans="5:5" s="154" customFormat="1" x14ac:dyDescent="0.35">
      <c r="E624" s="9"/>
    </row>
    <row r="625" spans="5:5" s="154" customFormat="1" x14ac:dyDescent="0.35">
      <c r="E625" s="9"/>
    </row>
    <row r="626" spans="5:5" s="154" customFormat="1" x14ac:dyDescent="0.35">
      <c r="E626" s="9"/>
    </row>
    <row r="627" spans="5:5" s="154" customFormat="1" x14ac:dyDescent="0.35">
      <c r="E627" s="9"/>
    </row>
    <row r="628" spans="5:5" s="154" customFormat="1" x14ac:dyDescent="0.35">
      <c r="E628" s="9"/>
    </row>
    <row r="629" spans="5:5" s="154" customFormat="1" x14ac:dyDescent="0.35">
      <c r="E629" s="9"/>
    </row>
    <row r="630" spans="5:5" s="154" customFormat="1" x14ac:dyDescent="0.35">
      <c r="E630" s="9"/>
    </row>
    <row r="631" spans="5:5" s="154" customFormat="1" x14ac:dyDescent="0.35">
      <c r="E631" s="9"/>
    </row>
    <row r="632" spans="5:5" s="154" customFormat="1" x14ac:dyDescent="0.35">
      <c r="E632" s="9"/>
    </row>
    <row r="633" spans="5:5" s="154" customFormat="1" x14ac:dyDescent="0.35">
      <c r="E633" s="9"/>
    </row>
    <row r="634" spans="5:5" s="154" customFormat="1" x14ac:dyDescent="0.35">
      <c r="E634" s="9"/>
    </row>
    <row r="635" spans="5:5" s="154" customFormat="1" x14ac:dyDescent="0.35">
      <c r="E635" s="9"/>
    </row>
    <row r="636" spans="5:5" s="154" customFormat="1" x14ac:dyDescent="0.35">
      <c r="E636" s="9"/>
    </row>
    <row r="637" spans="5:5" s="154" customFormat="1" x14ac:dyDescent="0.35">
      <c r="E637" s="9"/>
    </row>
    <row r="638" spans="5:5" s="154" customFormat="1" x14ac:dyDescent="0.35">
      <c r="E638" s="9"/>
    </row>
    <row r="639" spans="5:5" s="154" customFormat="1" x14ac:dyDescent="0.35">
      <c r="E639" s="9"/>
    </row>
    <row r="640" spans="5:5" s="154" customFormat="1" x14ac:dyDescent="0.35">
      <c r="E640" s="9"/>
    </row>
    <row r="641" spans="5:5" s="154" customFormat="1" x14ac:dyDescent="0.35">
      <c r="E641" s="9"/>
    </row>
    <row r="642" spans="5:5" s="154" customFormat="1" x14ac:dyDescent="0.35">
      <c r="E642" s="9"/>
    </row>
    <row r="643" spans="5:5" s="154" customFormat="1" x14ac:dyDescent="0.35">
      <c r="E643" s="9"/>
    </row>
    <row r="644" spans="5:5" s="154" customFormat="1" x14ac:dyDescent="0.35">
      <c r="E644" s="9"/>
    </row>
    <row r="645" spans="5:5" s="154" customFormat="1" x14ac:dyDescent="0.35">
      <c r="E645" s="9"/>
    </row>
    <row r="646" spans="5:5" s="154" customFormat="1" x14ac:dyDescent="0.35">
      <c r="E646" s="9"/>
    </row>
    <row r="647" spans="5:5" s="154" customFormat="1" x14ac:dyDescent="0.35">
      <c r="E647" s="9"/>
    </row>
    <row r="648" spans="5:5" s="154" customFormat="1" x14ac:dyDescent="0.35">
      <c r="E648" s="9"/>
    </row>
    <row r="649" spans="5:5" s="154" customFormat="1" x14ac:dyDescent="0.35">
      <c r="E649" s="9"/>
    </row>
    <row r="650" spans="5:5" s="154" customFormat="1" x14ac:dyDescent="0.35">
      <c r="E650" s="9"/>
    </row>
    <row r="651" spans="5:5" s="154" customFormat="1" x14ac:dyDescent="0.35">
      <c r="E651" s="9"/>
    </row>
    <row r="652" spans="5:5" s="154" customFormat="1" x14ac:dyDescent="0.35">
      <c r="E652" s="9"/>
    </row>
    <row r="653" spans="5:5" s="154" customFormat="1" x14ac:dyDescent="0.35">
      <c r="E653" s="9"/>
    </row>
    <row r="654" spans="5:5" s="154" customFormat="1" x14ac:dyDescent="0.35">
      <c r="E654" s="9"/>
    </row>
    <row r="655" spans="5:5" s="154" customFormat="1" x14ac:dyDescent="0.35">
      <c r="E655" s="9"/>
    </row>
    <row r="656" spans="5:5" s="154" customFormat="1" x14ac:dyDescent="0.35">
      <c r="E656" s="9"/>
    </row>
    <row r="657" spans="5:5" s="154" customFormat="1" x14ac:dyDescent="0.35">
      <c r="E657" s="9"/>
    </row>
    <row r="658" spans="5:5" s="154" customFormat="1" x14ac:dyDescent="0.35">
      <c r="E658" s="9"/>
    </row>
    <row r="659" spans="5:5" s="154" customFormat="1" x14ac:dyDescent="0.35">
      <c r="E659" s="9"/>
    </row>
    <row r="660" spans="5:5" s="154" customFormat="1" x14ac:dyDescent="0.35">
      <c r="E660" s="9"/>
    </row>
    <row r="661" spans="5:5" s="154" customFormat="1" x14ac:dyDescent="0.35">
      <c r="E661" s="9"/>
    </row>
    <row r="662" spans="5:5" s="154" customFormat="1" x14ac:dyDescent="0.35">
      <c r="E662" s="9"/>
    </row>
    <row r="663" spans="5:5" s="154" customFormat="1" x14ac:dyDescent="0.35">
      <c r="E663" s="9"/>
    </row>
    <row r="664" spans="5:5" s="154" customFormat="1" x14ac:dyDescent="0.35">
      <c r="E664" s="9"/>
    </row>
    <row r="665" spans="5:5" s="154" customFormat="1" x14ac:dyDescent="0.35">
      <c r="E665" s="9"/>
    </row>
    <row r="666" spans="5:5" s="154" customFormat="1" x14ac:dyDescent="0.35">
      <c r="E666" s="9"/>
    </row>
    <row r="667" spans="5:5" s="154" customFormat="1" x14ac:dyDescent="0.35">
      <c r="E667" s="9"/>
    </row>
    <row r="668" spans="5:5" s="154" customFormat="1" x14ac:dyDescent="0.35">
      <c r="E668" s="9"/>
    </row>
    <row r="669" spans="5:5" s="154" customFormat="1" x14ac:dyDescent="0.35">
      <c r="E669" s="9"/>
    </row>
    <row r="670" spans="5:5" s="154" customFormat="1" x14ac:dyDescent="0.35">
      <c r="E670" s="9"/>
    </row>
    <row r="671" spans="5:5" s="154" customFormat="1" x14ac:dyDescent="0.35">
      <c r="E671" s="9"/>
    </row>
    <row r="672" spans="5:5" s="154" customFormat="1" x14ac:dyDescent="0.35">
      <c r="E672" s="9"/>
    </row>
    <row r="673" spans="5:5" s="154" customFormat="1" x14ac:dyDescent="0.35">
      <c r="E673" s="9"/>
    </row>
    <row r="674" spans="5:5" s="154" customFormat="1" x14ac:dyDescent="0.35">
      <c r="E674" s="9"/>
    </row>
    <row r="675" spans="5:5" s="154" customFormat="1" x14ac:dyDescent="0.35">
      <c r="E675" s="9"/>
    </row>
    <row r="676" spans="5:5" s="154" customFormat="1" x14ac:dyDescent="0.35">
      <c r="E676" s="9"/>
    </row>
    <row r="677" spans="5:5" s="154" customFormat="1" x14ac:dyDescent="0.35">
      <c r="E677" s="9"/>
    </row>
    <row r="678" spans="5:5" s="154" customFormat="1" x14ac:dyDescent="0.35">
      <c r="E678" s="9"/>
    </row>
    <row r="679" spans="5:5" s="154" customFormat="1" x14ac:dyDescent="0.35">
      <c r="E679" s="9"/>
    </row>
    <row r="680" spans="5:5" s="154" customFormat="1" x14ac:dyDescent="0.35">
      <c r="E680" s="9"/>
    </row>
    <row r="681" spans="5:5" s="154" customFormat="1" x14ac:dyDescent="0.35">
      <c r="E681" s="9"/>
    </row>
    <row r="682" spans="5:5" s="154" customFormat="1" x14ac:dyDescent="0.35">
      <c r="E682" s="9"/>
    </row>
    <row r="683" spans="5:5" s="154" customFormat="1" x14ac:dyDescent="0.35">
      <c r="E683" s="9"/>
    </row>
    <row r="684" spans="5:5" s="154" customFormat="1" x14ac:dyDescent="0.35">
      <c r="E684" s="9"/>
    </row>
    <row r="685" spans="5:5" s="154" customFormat="1" x14ac:dyDescent="0.35">
      <c r="E685" s="9"/>
    </row>
    <row r="686" spans="5:5" s="154" customFormat="1" x14ac:dyDescent="0.35">
      <c r="E686" s="9"/>
    </row>
    <row r="687" spans="5:5" s="154" customFormat="1" x14ac:dyDescent="0.35">
      <c r="E687" s="9"/>
    </row>
    <row r="688" spans="5:5" s="154" customFormat="1" x14ac:dyDescent="0.35">
      <c r="E688" s="9"/>
    </row>
    <row r="689" spans="5:5" s="154" customFormat="1" x14ac:dyDescent="0.35">
      <c r="E689" s="9"/>
    </row>
    <row r="690" spans="5:5" s="154" customFormat="1" x14ac:dyDescent="0.35">
      <c r="E690" s="9"/>
    </row>
    <row r="691" spans="5:5" s="154" customFormat="1" x14ac:dyDescent="0.35">
      <c r="E691" s="9"/>
    </row>
    <row r="692" spans="5:5" s="154" customFormat="1" x14ac:dyDescent="0.35">
      <c r="E692" s="9"/>
    </row>
    <row r="693" spans="5:5" s="154" customFormat="1" x14ac:dyDescent="0.35">
      <c r="E693" s="9"/>
    </row>
    <row r="694" spans="5:5" s="154" customFormat="1" x14ac:dyDescent="0.35">
      <c r="E694" s="9"/>
    </row>
    <row r="695" spans="5:5" s="154" customFormat="1" x14ac:dyDescent="0.35">
      <c r="E695" s="9"/>
    </row>
    <row r="696" spans="5:5" s="154" customFormat="1" x14ac:dyDescent="0.35">
      <c r="E696" s="9"/>
    </row>
    <row r="697" spans="5:5" s="154" customFormat="1" x14ac:dyDescent="0.35">
      <c r="E697" s="9"/>
    </row>
    <row r="698" spans="5:5" s="154" customFormat="1" x14ac:dyDescent="0.35">
      <c r="E698" s="9"/>
    </row>
    <row r="699" spans="5:5" s="154" customFormat="1" x14ac:dyDescent="0.35">
      <c r="E699" s="9"/>
    </row>
    <row r="700" spans="5:5" s="154" customFormat="1" x14ac:dyDescent="0.35">
      <c r="E700" s="9"/>
    </row>
    <row r="701" spans="5:5" s="154" customFormat="1" x14ac:dyDescent="0.35">
      <c r="E701" s="9"/>
    </row>
    <row r="702" spans="5:5" s="154" customFormat="1" x14ac:dyDescent="0.35">
      <c r="E702" s="9"/>
    </row>
    <row r="703" spans="5:5" s="154" customFormat="1" x14ac:dyDescent="0.35">
      <c r="E703" s="9"/>
    </row>
    <row r="704" spans="5:5" s="154" customFormat="1" x14ac:dyDescent="0.35">
      <c r="E704" s="9"/>
    </row>
    <row r="705" spans="5:5" s="154" customFormat="1" x14ac:dyDescent="0.35">
      <c r="E705" s="9"/>
    </row>
    <row r="706" spans="5:5" s="154" customFormat="1" x14ac:dyDescent="0.35">
      <c r="E706" s="9"/>
    </row>
    <row r="707" spans="5:5" s="154" customFormat="1" x14ac:dyDescent="0.35">
      <c r="E707" s="9"/>
    </row>
    <row r="708" spans="5:5" s="154" customFormat="1" x14ac:dyDescent="0.35">
      <c r="E708" s="9"/>
    </row>
    <row r="709" spans="5:5" s="154" customFormat="1" x14ac:dyDescent="0.35">
      <c r="E709" s="9"/>
    </row>
    <row r="710" spans="5:5" s="154" customFormat="1" x14ac:dyDescent="0.35">
      <c r="E710" s="9"/>
    </row>
    <row r="711" spans="5:5" s="154" customFormat="1" x14ac:dyDescent="0.35">
      <c r="E711" s="9"/>
    </row>
    <row r="712" spans="5:5" s="154" customFormat="1" x14ac:dyDescent="0.35">
      <c r="E712" s="9"/>
    </row>
    <row r="713" spans="5:5" s="154" customFormat="1" x14ac:dyDescent="0.35">
      <c r="E713" s="9"/>
    </row>
    <row r="714" spans="5:5" s="154" customFormat="1" x14ac:dyDescent="0.35">
      <c r="E714" s="9"/>
    </row>
    <row r="715" spans="5:5" s="154" customFormat="1" x14ac:dyDescent="0.35">
      <c r="E715" s="9"/>
    </row>
    <row r="716" spans="5:5" s="154" customFormat="1" x14ac:dyDescent="0.35">
      <c r="E716" s="9"/>
    </row>
    <row r="717" spans="5:5" s="154" customFormat="1" x14ac:dyDescent="0.35">
      <c r="E717" s="9"/>
    </row>
    <row r="718" spans="5:5" s="154" customFormat="1" x14ac:dyDescent="0.35">
      <c r="E718" s="9"/>
    </row>
    <row r="719" spans="5:5" s="154" customFormat="1" x14ac:dyDescent="0.35">
      <c r="E719" s="9"/>
    </row>
    <row r="720" spans="5:5" s="154" customFormat="1" x14ac:dyDescent="0.35">
      <c r="E720" s="9"/>
    </row>
    <row r="721" spans="5:5" s="154" customFormat="1" x14ac:dyDescent="0.35">
      <c r="E721" s="9"/>
    </row>
    <row r="722" spans="5:5" s="154" customFormat="1" x14ac:dyDescent="0.35">
      <c r="E722" s="9"/>
    </row>
    <row r="723" spans="5:5" s="154" customFormat="1" x14ac:dyDescent="0.35">
      <c r="E723" s="9"/>
    </row>
    <row r="724" spans="5:5" s="154" customFormat="1" x14ac:dyDescent="0.35">
      <c r="E724" s="9"/>
    </row>
    <row r="725" spans="5:5" s="154" customFormat="1" x14ac:dyDescent="0.35">
      <c r="E725" s="9"/>
    </row>
    <row r="726" spans="5:5" s="154" customFormat="1" x14ac:dyDescent="0.35">
      <c r="E726" s="9"/>
    </row>
    <row r="727" spans="5:5" s="154" customFormat="1" x14ac:dyDescent="0.35">
      <c r="E727" s="9"/>
    </row>
    <row r="728" spans="5:5" s="154" customFormat="1" x14ac:dyDescent="0.35">
      <c r="E728" s="9"/>
    </row>
    <row r="729" spans="5:5" s="154" customFormat="1" x14ac:dyDescent="0.35">
      <c r="E729" s="9"/>
    </row>
    <row r="730" spans="5:5" s="154" customFormat="1" x14ac:dyDescent="0.35">
      <c r="E730" s="9"/>
    </row>
    <row r="731" spans="5:5" s="154" customFormat="1" x14ac:dyDescent="0.35">
      <c r="E731" s="9"/>
    </row>
    <row r="732" spans="5:5" s="154" customFormat="1" x14ac:dyDescent="0.35">
      <c r="E732" s="9"/>
    </row>
    <row r="733" spans="5:5" s="154" customFormat="1" x14ac:dyDescent="0.35">
      <c r="E733" s="9"/>
    </row>
    <row r="734" spans="5:5" s="154" customFormat="1" x14ac:dyDescent="0.35">
      <c r="E734" s="9"/>
    </row>
    <row r="735" spans="5:5" s="154" customFormat="1" x14ac:dyDescent="0.35">
      <c r="E735" s="9"/>
    </row>
    <row r="736" spans="5:5" s="154" customFormat="1" x14ac:dyDescent="0.35">
      <c r="E736" s="9"/>
    </row>
    <row r="737" spans="5:5" s="154" customFormat="1" x14ac:dyDescent="0.35">
      <c r="E737" s="9"/>
    </row>
    <row r="738" spans="5:5" s="154" customFormat="1" x14ac:dyDescent="0.35">
      <c r="E738" s="9"/>
    </row>
    <row r="739" spans="5:5" s="154" customFormat="1" x14ac:dyDescent="0.35">
      <c r="E739" s="9"/>
    </row>
    <row r="740" spans="5:5" s="154" customFormat="1" x14ac:dyDescent="0.35">
      <c r="E740" s="9"/>
    </row>
    <row r="741" spans="5:5" s="154" customFormat="1" x14ac:dyDescent="0.35">
      <c r="E741" s="9"/>
    </row>
    <row r="742" spans="5:5" s="154" customFormat="1" x14ac:dyDescent="0.35">
      <c r="E742" s="9"/>
    </row>
    <row r="743" spans="5:5" s="154" customFormat="1" x14ac:dyDescent="0.35">
      <c r="E743" s="9"/>
    </row>
    <row r="744" spans="5:5" s="154" customFormat="1" x14ac:dyDescent="0.35">
      <c r="E744" s="9"/>
    </row>
    <row r="745" spans="5:5" s="154" customFormat="1" x14ac:dyDescent="0.35">
      <c r="E745" s="9"/>
    </row>
    <row r="746" spans="5:5" s="154" customFormat="1" x14ac:dyDescent="0.35">
      <c r="E746" s="9"/>
    </row>
    <row r="747" spans="5:5" s="154" customFormat="1" x14ac:dyDescent="0.35">
      <c r="E747" s="9"/>
    </row>
    <row r="748" spans="5:5" s="154" customFormat="1" x14ac:dyDescent="0.35">
      <c r="E748" s="9"/>
    </row>
    <row r="749" spans="5:5" s="154" customFormat="1" x14ac:dyDescent="0.35">
      <c r="E749" s="9"/>
    </row>
    <row r="750" spans="5:5" s="154" customFormat="1" x14ac:dyDescent="0.35">
      <c r="E750" s="9"/>
    </row>
    <row r="751" spans="5:5" s="154" customFormat="1" x14ac:dyDescent="0.35">
      <c r="E751" s="9"/>
    </row>
    <row r="752" spans="5:5" s="154" customFormat="1" x14ac:dyDescent="0.35">
      <c r="E752" s="9"/>
    </row>
    <row r="753" spans="5:5" s="154" customFormat="1" x14ac:dyDescent="0.35">
      <c r="E753" s="9"/>
    </row>
    <row r="754" spans="5:5" s="154" customFormat="1" x14ac:dyDescent="0.35">
      <c r="E754" s="9"/>
    </row>
    <row r="755" spans="5:5" s="154" customFormat="1" x14ac:dyDescent="0.35">
      <c r="E755" s="9"/>
    </row>
    <row r="756" spans="5:5" s="154" customFormat="1" x14ac:dyDescent="0.35">
      <c r="E756" s="9"/>
    </row>
    <row r="757" spans="5:5" s="154" customFormat="1" x14ac:dyDescent="0.35">
      <c r="E757" s="9"/>
    </row>
    <row r="758" spans="5:5" s="154" customFormat="1" x14ac:dyDescent="0.35">
      <c r="E758" s="9"/>
    </row>
    <row r="759" spans="5:5" s="154" customFormat="1" x14ac:dyDescent="0.35">
      <c r="E759" s="9"/>
    </row>
    <row r="760" spans="5:5" s="154" customFormat="1" x14ac:dyDescent="0.35">
      <c r="E760" s="9"/>
    </row>
    <row r="761" spans="5:5" s="154" customFormat="1" x14ac:dyDescent="0.35">
      <c r="E761" s="9"/>
    </row>
    <row r="762" spans="5:5" s="154" customFormat="1" x14ac:dyDescent="0.35">
      <c r="E762" s="9"/>
    </row>
    <row r="763" spans="5:5" s="154" customFormat="1" x14ac:dyDescent="0.35">
      <c r="E763" s="9"/>
    </row>
    <row r="764" spans="5:5" s="154" customFormat="1" x14ac:dyDescent="0.35">
      <c r="E764" s="9"/>
    </row>
    <row r="765" spans="5:5" s="154" customFormat="1" x14ac:dyDescent="0.35">
      <c r="E765" s="9"/>
    </row>
    <row r="766" spans="5:5" s="154" customFormat="1" x14ac:dyDescent="0.35">
      <c r="E766" s="9"/>
    </row>
    <row r="767" spans="5:5" s="154" customFormat="1" x14ac:dyDescent="0.35">
      <c r="E767" s="9"/>
    </row>
    <row r="768" spans="5:5" s="154" customFormat="1" x14ac:dyDescent="0.35">
      <c r="E768" s="9"/>
    </row>
    <row r="769" spans="5:5" s="154" customFormat="1" x14ac:dyDescent="0.35">
      <c r="E769" s="9"/>
    </row>
    <row r="770" spans="5:5" s="154" customFormat="1" x14ac:dyDescent="0.35">
      <c r="E770" s="9"/>
    </row>
    <row r="771" spans="5:5" s="154" customFormat="1" x14ac:dyDescent="0.35">
      <c r="E771" s="9"/>
    </row>
    <row r="772" spans="5:5" s="154" customFormat="1" x14ac:dyDescent="0.35">
      <c r="E772" s="9"/>
    </row>
    <row r="773" spans="5:5" s="154" customFormat="1" x14ac:dyDescent="0.35">
      <c r="E773" s="9"/>
    </row>
    <row r="774" spans="5:5" s="154" customFormat="1" x14ac:dyDescent="0.35">
      <c r="E774" s="9"/>
    </row>
    <row r="775" spans="5:5" s="154" customFormat="1" x14ac:dyDescent="0.35">
      <c r="E775" s="9"/>
    </row>
    <row r="776" spans="5:5" s="154" customFormat="1" x14ac:dyDescent="0.35">
      <c r="E776" s="9"/>
    </row>
    <row r="777" spans="5:5" s="154" customFormat="1" x14ac:dyDescent="0.35">
      <c r="E777" s="9"/>
    </row>
    <row r="778" spans="5:5" s="154" customFormat="1" x14ac:dyDescent="0.35">
      <c r="E778" s="9"/>
    </row>
    <row r="779" spans="5:5" s="154" customFormat="1" x14ac:dyDescent="0.35">
      <c r="E779" s="9"/>
    </row>
    <row r="780" spans="5:5" s="154" customFormat="1" x14ac:dyDescent="0.35">
      <c r="E780" s="9"/>
    </row>
    <row r="781" spans="5:5" s="154" customFormat="1" x14ac:dyDescent="0.35">
      <c r="E781" s="9"/>
    </row>
    <row r="782" spans="5:5" s="154" customFormat="1" x14ac:dyDescent="0.35">
      <c r="E782" s="9"/>
    </row>
    <row r="783" spans="5:5" s="154" customFormat="1" x14ac:dyDescent="0.35">
      <c r="E783" s="9"/>
    </row>
    <row r="784" spans="5:5" s="154" customFormat="1" x14ac:dyDescent="0.35">
      <c r="E784" s="9"/>
    </row>
    <row r="785" spans="5:5" s="154" customFormat="1" x14ac:dyDescent="0.35">
      <c r="E785" s="9"/>
    </row>
    <row r="786" spans="5:5" s="154" customFormat="1" x14ac:dyDescent="0.35">
      <c r="E786" s="9"/>
    </row>
    <row r="787" spans="5:5" s="154" customFormat="1" x14ac:dyDescent="0.35">
      <c r="E787" s="9"/>
    </row>
    <row r="788" spans="5:5" s="154" customFormat="1" x14ac:dyDescent="0.35">
      <c r="E788" s="9"/>
    </row>
    <row r="789" spans="5:5" s="154" customFormat="1" x14ac:dyDescent="0.35">
      <c r="E789" s="9"/>
    </row>
    <row r="790" spans="5:5" s="154" customFormat="1" x14ac:dyDescent="0.35">
      <c r="E790" s="9"/>
    </row>
    <row r="791" spans="5:5" s="154" customFormat="1" x14ac:dyDescent="0.35">
      <c r="E791" s="9"/>
    </row>
    <row r="792" spans="5:5" s="154" customFormat="1" x14ac:dyDescent="0.35">
      <c r="E792" s="9"/>
    </row>
    <row r="793" spans="5:5" s="154" customFormat="1" x14ac:dyDescent="0.35">
      <c r="E793" s="9"/>
    </row>
    <row r="794" spans="5:5" s="154" customFormat="1" x14ac:dyDescent="0.35">
      <c r="E794" s="9"/>
    </row>
    <row r="795" spans="5:5" s="154" customFormat="1" x14ac:dyDescent="0.35">
      <c r="E795" s="9"/>
    </row>
    <row r="796" spans="5:5" s="154" customFormat="1" x14ac:dyDescent="0.35">
      <c r="E796" s="9"/>
    </row>
    <row r="797" spans="5:5" s="154" customFormat="1" x14ac:dyDescent="0.35">
      <c r="E797" s="9"/>
    </row>
    <row r="798" spans="5:5" s="154" customFormat="1" x14ac:dyDescent="0.35">
      <c r="E798" s="9"/>
    </row>
    <row r="799" spans="5:5" s="154" customFormat="1" x14ac:dyDescent="0.35">
      <c r="E799" s="9"/>
    </row>
    <row r="800" spans="5:5" s="154" customFormat="1" x14ac:dyDescent="0.35">
      <c r="E800" s="9"/>
    </row>
    <row r="801" spans="5:5" s="154" customFormat="1" x14ac:dyDescent="0.35">
      <c r="E801" s="9"/>
    </row>
    <row r="802" spans="5:5" s="154" customFormat="1" x14ac:dyDescent="0.35">
      <c r="E802" s="9"/>
    </row>
    <row r="803" spans="5:5" s="154" customFormat="1" x14ac:dyDescent="0.35">
      <c r="E803" s="9"/>
    </row>
    <row r="804" spans="5:5" s="154" customFormat="1" x14ac:dyDescent="0.35">
      <c r="E804" s="9"/>
    </row>
    <row r="805" spans="5:5" s="154" customFormat="1" x14ac:dyDescent="0.35">
      <c r="E805" s="9"/>
    </row>
    <row r="806" spans="5:5" s="154" customFormat="1" x14ac:dyDescent="0.35">
      <c r="E806" s="9"/>
    </row>
    <row r="807" spans="5:5" s="154" customFormat="1" x14ac:dyDescent="0.35">
      <c r="E807" s="9"/>
    </row>
    <row r="808" spans="5:5" s="154" customFormat="1" x14ac:dyDescent="0.35">
      <c r="E808" s="9"/>
    </row>
    <row r="809" spans="5:5" s="154" customFormat="1" x14ac:dyDescent="0.35">
      <c r="E809" s="9"/>
    </row>
    <row r="810" spans="5:5" s="154" customFormat="1" x14ac:dyDescent="0.35">
      <c r="E810" s="9"/>
    </row>
    <row r="811" spans="5:5" s="154" customFormat="1" x14ac:dyDescent="0.35">
      <c r="E811" s="9"/>
    </row>
    <row r="812" spans="5:5" s="154" customFormat="1" x14ac:dyDescent="0.35">
      <c r="E812" s="9"/>
    </row>
    <row r="813" spans="5:5" s="154" customFormat="1" x14ac:dyDescent="0.35">
      <c r="E813" s="9"/>
    </row>
    <row r="814" spans="5:5" s="154" customFormat="1" x14ac:dyDescent="0.35">
      <c r="E814" s="9"/>
    </row>
    <row r="815" spans="5:5" s="154" customFormat="1" x14ac:dyDescent="0.35">
      <c r="E815" s="9"/>
    </row>
    <row r="816" spans="5:5" s="154" customFormat="1" x14ac:dyDescent="0.35">
      <c r="E816" s="9"/>
    </row>
    <row r="817" spans="5:5" s="154" customFormat="1" x14ac:dyDescent="0.35">
      <c r="E817" s="9"/>
    </row>
    <row r="818" spans="5:5" s="154" customFormat="1" x14ac:dyDescent="0.35">
      <c r="E818" s="9"/>
    </row>
    <row r="819" spans="5:5" s="154" customFormat="1" x14ac:dyDescent="0.35">
      <c r="E819" s="9"/>
    </row>
    <row r="820" spans="5:5" s="154" customFormat="1" x14ac:dyDescent="0.35">
      <c r="E820" s="9"/>
    </row>
    <row r="821" spans="5:5" s="154" customFormat="1" x14ac:dyDescent="0.35">
      <c r="E821" s="9"/>
    </row>
    <row r="822" spans="5:5" s="154" customFormat="1" x14ac:dyDescent="0.35">
      <c r="E822" s="9"/>
    </row>
    <row r="823" spans="5:5" s="154" customFormat="1" x14ac:dyDescent="0.35">
      <c r="E823" s="9"/>
    </row>
    <row r="824" spans="5:5" s="154" customFormat="1" x14ac:dyDescent="0.35">
      <c r="E824" s="9"/>
    </row>
    <row r="825" spans="5:5" s="154" customFormat="1" x14ac:dyDescent="0.35">
      <c r="E825" s="9"/>
    </row>
    <row r="826" spans="5:5" s="154" customFormat="1" x14ac:dyDescent="0.35">
      <c r="E826" s="9"/>
    </row>
    <row r="827" spans="5:5" s="154" customFormat="1" x14ac:dyDescent="0.35">
      <c r="E827" s="9"/>
    </row>
    <row r="828" spans="5:5" s="154" customFormat="1" x14ac:dyDescent="0.35">
      <c r="E828" s="9"/>
    </row>
    <row r="829" spans="5:5" s="154" customFormat="1" x14ac:dyDescent="0.35">
      <c r="E829" s="9"/>
    </row>
    <row r="830" spans="5:5" s="154" customFormat="1" x14ac:dyDescent="0.35">
      <c r="E830" s="9"/>
    </row>
    <row r="831" spans="5:5" s="154" customFormat="1" x14ac:dyDescent="0.35">
      <c r="E831" s="9"/>
    </row>
    <row r="832" spans="5:5" s="154" customFormat="1" x14ac:dyDescent="0.35">
      <c r="E832" s="9"/>
    </row>
    <row r="833" spans="5:5" s="154" customFormat="1" x14ac:dyDescent="0.35">
      <c r="E833" s="9"/>
    </row>
    <row r="834" spans="5:5" s="154" customFormat="1" x14ac:dyDescent="0.35">
      <c r="E834" s="9"/>
    </row>
    <row r="835" spans="5:5" s="154" customFormat="1" x14ac:dyDescent="0.35">
      <c r="E835" s="9"/>
    </row>
    <row r="836" spans="5:5" s="154" customFormat="1" x14ac:dyDescent="0.35">
      <c r="E836" s="9"/>
    </row>
    <row r="837" spans="5:5" s="154" customFormat="1" x14ac:dyDescent="0.35">
      <c r="E837" s="9"/>
    </row>
    <row r="838" spans="5:5" s="154" customFormat="1" x14ac:dyDescent="0.35">
      <c r="E838" s="9"/>
    </row>
    <row r="839" spans="5:5" s="154" customFormat="1" x14ac:dyDescent="0.35">
      <c r="E839" s="9"/>
    </row>
    <row r="840" spans="5:5" s="154" customFormat="1" x14ac:dyDescent="0.35">
      <c r="E840" s="9"/>
    </row>
    <row r="841" spans="5:5" s="154" customFormat="1" x14ac:dyDescent="0.35">
      <c r="E841" s="9"/>
    </row>
    <row r="842" spans="5:5" s="154" customFormat="1" x14ac:dyDescent="0.35">
      <c r="E842" s="9"/>
    </row>
    <row r="843" spans="5:5" s="154" customFormat="1" x14ac:dyDescent="0.35">
      <c r="E843" s="9"/>
    </row>
    <row r="844" spans="5:5" s="154" customFormat="1" x14ac:dyDescent="0.35">
      <c r="E844" s="9"/>
    </row>
    <row r="845" spans="5:5" s="154" customFormat="1" x14ac:dyDescent="0.35">
      <c r="E845" s="9"/>
    </row>
    <row r="846" spans="5:5" s="154" customFormat="1" x14ac:dyDescent="0.35">
      <c r="E846" s="9"/>
    </row>
    <row r="847" spans="5:5" s="154" customFormat="1" x14ac:dyDescent="0.35">
      <c r="E847" s="9"/>
    </row>
    <row r="848" spans="5:5" s="154" customFormat="1" x14ac:dyDescent="0.35">
      <c r="E848" s="9"/>
    </row>
    <row r="849" spans="5:5" s="154" customFormat="1" x14ac:dyDescent="0.35">
      <c r="E849" s="9"/>
    </row>
    <row r="850" spans="5:5" s="154" customFormat="1" x14ac:dyDescent="0.35">
      <c r="E850" s="9"/>
    </row>
    <row r="851" spans="5:5" s="154" customFormat="1" x14ac:dyDescent="0.35">
      <c r="E851" s="9"/>
    </row>
    <row r="852" spans="5:5" s="154" customFormat="1" x14ac:dyDescent="0.35">
      <c r="E852" s="9"/>
    </row>
    <row r="853" spans="5:5" s="154" customFormat="1" x14ac:dyDescent="0.35">
      <c r="E853" s="9"/>
    </row>
    <row r="854" spans="5:5" s="154" customFormat="1" x14ac:dyDescent="0.35">
      <c r="E854" s="9"/>
    </row>
    <row r="855" spans="5:5" s="154" customFormat="1" x14ac:dyDescent="0.35">
      <c r="E855" s="9"/>
    </row>
    <row r="856" spans="5:5" s="154" customFormat="1" x14ac:dyDescent="0.35">
      <c r="E856" s="9"/>
    </row>
    <row r="857" spans="5:5" s="154" customFormat="1" x14ac:dyDescent="0.35">
      <c r="E857" s="9"/>
    </row>
    <row r="858" spans="5:5" s="154" customFormat="1" x14ac:dyDescent="0.35">
      <c r="E858" s="9"/>
    </row>
    <row r="859" spans="5:5" s="154" customFormat="1" x14ac:dyDescent="0.35">
      <c r="E859" s="9"/>
    </row>
    <row r="860" spans="5:5" s="154" customFormat="1" x14ac:dyDescent="0.35">
      <c r="E860" s="9"/>
    </row>
    <row r="861" spans="5:5" s="154" customFormat="1" x14ac:dyDescent="0.35">
      <c r="E861" s="9"/>
    </row>
    <row r="862" spans="5:5" s="154" customFormat="1" x14ac:dyDescent="0.35">
      <c r="E862" s="9"/>
    </row>
    <row r="863" spans="5:5" s="154" customFormat="1" x14ac:dyDescent="0.35">
      <c r="E863" s="9"/>
    </row>
    <row r="864" spans="5:5" s="154" customFormat="1" x14ac:dyDescent="0.35">
      <c r="E864" s="9"/>
    </row>
    <row r="865" spans="5:5" s="154" customFormat="1" x14ac:dyDescent="0.35">
      <c r="E865" s="9"/>
    </row>
    <row r="866" spans="5:5" s="154" customFormat="1" x14ac:dyDescent="0.35">
      <c r="E866" s="9"/>
    </row>
    <row r="867" spans="5:5" s="154" customFormat="1" x14ac:dyDescent="0.35">
      <c r="E867" s="9"/>
    </row>
    <row r="868" spans="5:5" s="154" customFormat="1" x14ac:dyDescent="0.35">
      <c r="E868" s="9"/>
    </row>
    <row r="869" spans="5:5" s="154" customFormat="1" x14ac:dyDescent="0.35">
      <c r="E869" s="9"/>
    </row>
    <row r="870" spans="5:5" s="154" customFormat="1" x14ac:dyDescent="0.35">
      <c r="E870" s="9"/>
    </row>
    <row r="871" spans="5:5" s="154" customFormat="1" x14ac:dyDescent="0.35">
      <c r="E871" s="9"/>
    </row>
    <row r="872" spans="5:5" s="154" customFormat="1" x14ac:dyDescent="0.35">
      <c r="E872" s="9"/>
    </row>
    <row r="873" spans="5:5" s="154" customFormat="1" x14ac:dyDescent="0.35">
      <c r="E873" s="9"/>
    </row>
    <row r="874" spans="5:5" s="154" customFormat="1" x14ac:dyDescent="0.35">
      <c r="E874" s="9"/>
    </row>
    <row r="875" spans="5:5" s="154" customFormat="1" x14ac:dyDescent="0.35">
      <c r="E875" s="9"/>
    </row>
    <row r="876" spans="5:5" s="154" customFormat="1" x14ac:dyDescent="0.35">
      <c r="E876" s="9"/>
    </row>
    <row r="877" spans="5:5" s="154" customFormat="1" x14ac:dyDescent="0.35">
      <c r="E877" s="9"/>
    </row>
    <row r="878" spans="5:5" s="154" customFormat="1" x14ac:dyDescent="0.35">
      <c r="E878" s="9"/>
    </row>
    <row r="879" spans="5:5" s="154" customFormat="1" x14ac:dyDescent="0.35">
      <c r="E879" s="9"/>
    </row>
    <row r="880" spans="5:5" s="154" customFormat="1" x14ac:dyDescent="0.35">
      <c r="E880" s="9"/>
    </row>
    <row r="881" spans="5:5" s="154" customFormat="1" x14ac:dyDescent="0.35">
      <c r="E881" s="9"/>
    </row>
    <row r="882" spans="5:5" s="154" customFormat="1" x14ac:dyDescent="0.35">
      <c r="E882" s="9"/>
    </row>
    <row r="883" spans="5:5" s="154" customFormat="1" x14ac:dyDescent="0.35">
      <c r="E883" s="9"/>
    </row>
    <row r="884" spans="5:5" s="154" customFormat="1" x14ac:dyDescent="0.35">
      <c r="E884" s="9"/>
    </row>
    <row r="885" spans="5:5" s="154" customFormat="1" x14ac:dyDescent="0.35">
      <c r="E885" s="9"/>
    </row>
    <row r="886" spans="5:5" s="154" customFormat="1" x14ac:dyDescent="0.35">
      <c r="E886" s="9"/>
    </row>
    <row r="887" spans="5:5" s="154" customFormat="1" x14ac:dyDescent="0.35">
      <c r="E887" s="9"/>
    </row>
    <row r="888" spans="5:5" s="154" customFormat="1" x14ac:dyDescent="0.35">
      <c r="E888" s="9"/>
    </row>
    <row r="889" spans="5:5" s="154" customFormat="1" x14ac:dyDescent="0.35">
      <c r="E889" s="9"/>
    </row>
    <row r="890" spans="5:5" s="154" customFormat="1" x14ac:dyDescent="0.35">
      <c r="E890" s="9"/>
    </row>
    <row r="891" spans="5:5" s="154" customFormat="1" x14ac:dyDescent="0.35">
      <c r="E891" s="9"/>
    </row>
    <row r="892" spans="5:5" s="154" customFormat="1" x14ac:dyDescent="0.35">
      <c r="E892" s="9"/>
    </row>
    <row r="893" spans="5:5" s="154" customFormat="1" x14ac:dyDescent="0.35">
      <c r="E893" s="9"/>
    </row>
    <row r="894" spans="5:5" s="154" customFormat="1" x14ac:dyDescent="0.35">
      <c r="E894" s="9"/>
    </row>
    <row r="895" spans="5:5" s="154" customFormat="1" x14ac:dyDescent="0.35">
      <c r="E895" s="9"/>
    </row>
    <row r="896" spans="5:5" s="154" customFormat="1" x14ac:dyDescent="0.35">
      <c r="E896" s="9"/>
    </row>
    <row r="897" spans="5:5" s="154" customFormat="1" x14ac:dyDescent="0.35">
      <c r="E897" s="9"/>
    </row>
    <row r="898" spans="5:5" s="154" customFormat="1" x14ac:dyDescent="0.35">
      <c r="E898" s="9"/>
    </row>
    <row r="899" spans="5:5" s="154" customFormat="1" x14ac:dyDescent="0.35">
      <c r="E899" s="9"/>
    </row>
    <row r="900" spans="5:5" s="154" customFormat="1" x14ac:dyDescent="0.35">
      <c r="E900" s="9"/>
    </row>
    <row r="901" spans="5:5" s="154" customFormat="1" x14ac:dyDescent="0.35">
      <c r="E901" s="9"/>
    </row>
    <row r="902" spans="5:5" s="154" customFormat="1" x14ac:dyDescent="0.35">
      <c r="E902" s="9"/>
    </row>
    <row r="903" spans="5:5" s="154" customFormat="1" x14ac:dyDescent="0.35">
      <c r="E903" s="9"/>
    </row>
    <row r="904" spans="5:5" s="154" customFormat="1" x14ac:dyDescent="0.35">
      <c r="E904" s="9"/>
    </row>
    <row r="905" spans="5:5" s="154" customFormat="1" x14ac:dyDescent="0.35">
      <c r="E905" s="9"/>
    </row>
    <row r="906" spans="5:5" s="154" customFormat="1" x14ac:dyDescent="0.35">
      <c r="E906" s="9"/>
    </row>
    <row r="907" spans="5:5" s="154" customFormat="1" x14ac:dyDescent="0.35">
      <c r="E907" s="9"/>
    </row>
    <row r="908" spans="5:5" s="154" customFormat="1" x14ac:dyDescent="0.35">
      <c r="E908" s="9"/>
    </row>
    <row r="909" spans="5:5" s="154" customFormat="1" x14ac:dyDescent="0.35">
      <c r="E909" s="9"/>
    </row>
    <row r="910" spans="5:5" s="154" customFormat="1" x14ac:dyDescent="0.35">
      <c r="E910" s="9"/>
    </row>
    <row r="911" spans="5:5" s="154" customFormat="1" x14ac:dyDescent="0.35">
      <c r="E911" s="9"/>
    </row>
    <row r="912" spans="5:5" s="154" customFormat="1" x14ac:dyDescent="0.35">
      <c r="E912" s="9"/>
    </row>
    <row r="913" spans="5:5" s="154" customFormat="1" x14ac:dyDescent="0.35">
      <c r="E913" s="9"/>
    </row>
    <row r="914" spans="5:5" s="154" customFormat="1" x14ac:dyDescent="0.35">
      <c r="E914" s="9"/>
    </row>
    <row r="915" spans="5:5" s="154" customFormat="1" x14ac:dyDescent="0.35">
      <c r="E915" s="9"/>
    </row>
    <row r="916" spans="5:5" s="154" customFormat="1" x14ac:dyDescent="0.35">
      <c r="E916" s="9"/>
    </row>
    <row r="917" spans="5:5" s="154" customFormat="1" x14ac:dyDescent="0.35">
      <c r="E917" s="9"/>
    </row>
    <row r="918" spans="5:5" s="154" customFormat="1" x14ac:dyDescent="0.35">
      <c r="E918" s="9"/>
    </row>
    <row r="919" spans="5:5" s="154" customFormat="1" x14ac:dyDescent="0.35">
      <c r="E919" s="9"/>
    </row>
    <row r="920" spans="5:5" s="154" customFormat="1" x14ac:dyDescent="0.35">
      <c r="E920" s="9"/>
    </row>
    <row r="921" spans="5:5" s="154" customFormat="1" x14ac:dyDescent="0.35">
      <c r="E921" s="9"/>
    </row>
    <row r="922" spans="5:5" s="154" customFormat="1" x14ac:dyDescent="0.35">
      <c r="E922" s="9"/>
    </row>
    <row r="923" spans="5:5" s="154" customFormat="1" x14ac:dyDescent="0.35">
      <c r="E923" s="9"/>
    </row>
    <row r="924" spans="5:5" s="154" customFormat="1" x14ac:dyDescent="0.35">
      <c r="E924" s="9"/>
    </row>
    <row r="925" spans="5:5" s="154" customFormat="1" x14ac:dyDescent="0.35">
      <c r="E925" s="9"/>
    </row>
    <row r="926" spans="5:5" s="154" customFormat="1" x14ac:dyDescent="0.35">
      <c r="E926" s="9"/>
    </row>
    <row r="927" spans="5:5" s="154" customFormat="1" x14ac:dyDescent="0.35">
      <c r="E927" s="9"/>
    </row>
    <row r="928" spans="5:5" s="154" customFormat="1" x14ac:dyDescent="0.35">
      <c r="E928" s="9"/>
    </row>
    <row r="929" spans="5:5" s="154" customFormat="1" x14ac:dyDescent="0.35">
      <c r="E929" s="9"/>
    </row>
    <row r="930" spans="5:5" s="154" customFormat="1" x14ac:dyDescent="0.35">
      <c r="E930" s="9"/>
    </row>
    <row r="931" spans="5:5" s="154" customFormat="1" x14ac:dyDescent="0.35">
      <c r="E931" s="9"/>
    </row>
    <row r="932" spans="5:5" s="154" customFormat="1" x14ac:dyDescent="0.35">
      <c r="E932" s="9"/>
    </row>
    <row r="933" spans="5:5" s="154" customFormat="1" x14ac:dyDescent="0.35">
      <c r="E933" s="9"/>
    </row>
    <row r="934" spans="5:5" s="154" customFormat="1" x14ac:dyDescent="0.35">
      <c r="E934" s="9"/>
    </row>
    <row r="935" spans="5:5" s="154" customFormat="1" x14ac:dyDescent="0.35">
      <c r="E935" s="9"/>
    </row>
    <row r="936" spans="5:5" s="154" customFormat="1" x14ac:dyDescent="0.35">
      <c r="E936" s="9"/>
    </row>
    <row r="937" spans="5:5" s="154" customFormat="1" x14ac:dyDescent="0.35">
      <c r="E937" s="9"/>
    </row>
    <row r="938" spans="5:5" s="154" customFormat="1" x14ac:dyDescent="0.35">
      <c r="E938" s="9"/>
    </row>
    <row r="939" spans="5:5" s="154" customFormat="1" x14ac:dyDescent="0.35">
      <c r="E939" s="9"/>
    </row>
    <row r="940" spans="5:5" s="154" customFormat="1" x14ac:dyDescent="0.35">
      <c r="E940" s="9"/>
    </row>
    <row r="941" spans="5:5" s="154" customFormat="1" x14ac:dyDescent="0.35">
      <c r="E941" s="9"/>
    </row>
    <row r="942" spans="5:5" s="154" customFormat="1" x14ac:dyDescent="0.35">
      <c r="E942" s="9"/>
    </row>
    <row r="943" spans="5:5" s="154" customFormat="1" x14ac:dyDescent="0.35">
      <c r="E943" s="9"/>
    </row>
    <row r="944" spans="5:5" s="154" customFormat="1" x14ac:dyDescent="0.35">
      <c r="E944" s="9"/>
    </row>
    <row r="945" spans="5:5" s="154" customFormat="1" x14ac:dyDescent="0.35">
      <c r="E945" s="9"/>
    </row>
    <row r="946" spans="5:5" s="154" customFormat="1" x14ac:dyDescent="0.35">
      <c r="E946" s="9"/>
    </row>
    <row r="947" spans="5:5" s="154" customFormat="1" x14ac:dyDescent="0.35">
      <c r="E947" s="9"/>
    </row>
    <row r="948" spans="5:5" s="154" customFormat="1" x14ac:dyDescent="0.35">
      <c r="E948" s="9"/>
    </row>
    <row r="949" spans="5:5" s="154" customFormat="1" x14ac:dyDescent="0.35">
      <c r="E949" s="9"/>
    </row>
    <row r="950" spans="5:5" s="154" customFormat="1" x14ac:dyDescent="0.35">
      <c r="E950" s="9"/>
    </row>
    <row r="951" spans="5:5" s="154" customFormat="1" x14ac:dyDescent="0.35">
      <c r="E951" s="9"/>
    </row>
    <row r="952" spans="5:5" s="154" customFormat="1" x14ac:dyDescent="0.35">
      <c r="E952" s="9"/>
    </row>
    <row r="953" spans="5:5" s="154" customFormat="1" x14ac:dyDescent="0.35">
      <c r="E953" s="9"/>
    </row>
    <row r="954" spans="5:5" s="154" customFormat="1" x14ac:dyDescent="0.35">
      <c r="E954" s="9"/>
    </row>
    <row r="955" spans="5:5" s="154" customFormat="1" x14ac:dyDescent="0.35">
      <c r="E955" s="9"/>
    </row>
    <row r="956" spans="5:5" s="154" customFormat="1" x14ac:dyDescent="0.35">
      <c r="E956" s="9"/>
    </row>
    <row r="957" spans="5:5" s="154" customFormat="1" x14ac:dyDescent="0.35">
      <c r="E957" s="9"/>
    </row>
    <row r="958" spans="5:5" s="154" customFormat="1" x14ac:dyDescent="0.35">
      <c r="E958" s="9"/>
    </row>
    <row r="959" spans="5:5" s="154" customFormat="1" x14ac:dyDescent="0.35">
      <c r="E959" s="9"/>
    </row>
    <row r="960" spans="5:5" s="154" customFormat="1" x14ac:dyDescent="0.35">
      <c r="E960" s="9"/>
    </row>
    <row r="961" spans="5:5" s="154" customFormat="1" x14ac:dyDescent="0.35">
      <c r="E961" s="9"/>
    </row>
    <row r="962" spans="5:5" s="154" customFormat="1" x14ac:dyDescent="0.35">
      <c r="E962" s="9"/>
    </row>
    <row r="963" spans="5:5" s="154" customFormat="1" x14ac:dyDescent="0.35">
      <c r="E963" s="9"/>
    </row>
    <row r="964" spans="5:5" s="154" customFormat="1" x14ac:dyDescent="0.35">
      <c r="E964" s="9"/>
    </row>
    <row r="965" spans="5:5" s="154" customFormat="1" x14ac:dyDescent="0.35">
      <c r="E965" s="9"/>
    </row>
    <row r="966" spans="5:5" s="154" customFormat="1" x14ac:dyDescent="0.35">
      <c r="E966" s="9"/>
    </row>
    <row r="967" spans="5:5" s="154" customFormat="1" x14ac:dyDescent="0.35">
      <c r="E967" s="9"/>
    </row>
    <row r="968" spans="5:5" s="154" customFormat="1" x14ac:dyDescent="0.35">
      <c r="E968" s="9"/>
    </row>
    <row r="969" spans="5:5" s="154" customFormat="1" x14ac:dyDescent="0.35">
      <c r="E969" s="9"/>
    </row>
    <row r="970" spans="5:5" s="154" customFormat="1" x14ac:dyDescent="0.35">
      <c r="E970" s="9"/>
    </row>
    <row r="971" spans="5:5" s="154" customFormat="1" x14ac:dyDescent="0.35">
      <c r="E971" s="9"/>
    </row>
    <row r="972" spans="5:5" s="154" customFormat="1" x14ac:dyDescent="0.35">
      <c r="E972" s="9"/>
    </row>
    <row r="973" spans="5:5" s="154" customFormat="1" x14ac:dyDescent="0.35">
      <c r="E973" s="9"/>
    </row>
    <row r="974" spans="5:5" s="154" customFormat="1" x14ac:dyDescent="0.35">
      <c r="E974" s="9"/>
    </row>
    <row r="975" spans="5:5" s="154" customFormat="1" x14ac:dyDescent="0.35">
      <c r="E975" s="9"/>
    </row>
    <row r="976" spans="5:5" s="154" customFormat="1" x14ac:dyDescent="0.35">
      <c r="E976" s="9"/>
    </row>
    <row r="977" spans="5:5" s="154" customFormat="1" x14ac:dyDescent="0.35">
      <c r="E977" s="9"/>
    </row>
    <row r="978" spans="5:5" s="154" customFormat="1" x14ac:dyDescent="0.35">
      <c r="E978" s="9"/>
    </row>
    <row r="979" spans="5:5" s="154" customFormat="1" x14ac:dyDescent="0.35">
      <c r="E979" s="9"/>
    </row>
    <row r="980" spans="5:5" s="154" customFormat="1" x14ac:dyDescent="0.35">
      <c r="E980" s="9"/>
    </row>
    <row r="981" spans="5:5" s="154" customFormat="1" x14ac:dyDescent="0.35">
      <c r="E981" s="9"/>
    </row>
    <row r="982" spans="5:5" s="154" customFormat="1" x14ac:dyDescent="0.35">
      <c r="E982" s="9"/>
    </row>
    <row r="983" spans="5:5" s="154" customFormat="1" x14ac:dyDescent="0.35">
      <c r="E983" s="9"/>
    </row>
    <row r="984" spans="5:5" s="154" customFormat="1" x14ac:dyDescent="0.35">
      <c r="E984" s="9"/>
    </row>
    <row r="985" spans="5:5" s="154" customFormat="1" x14ac:dyDescent="0.35">
      <c r="E985" s="9"/>
    </row>
    <row r="986" spans="5:5" s="154" customFormat="1" x14ac:dyDescent="0.35">
      <c r="E986" s="9"/>
    </row>
    <row r="987" spans="5:5" s="154" customFormat="1" x14ac:dyDescent="0.35">
      <c r="E987" s="9"/>
    </row>
    <row r="988" spans="5:5" s="154" customFormat="1" x14ac:dyDescent="0.35">
      <c r="E988" s="9"/>
    </row>
    <row r="989" spans="5:5" s="154" customFormat="1" x14ac:dyDescent="0.35">
      <c r="E989" s="9"/>
    </row>
    <row r="990" spans="5:5" s="154" customFormat="1" x14ac:dyDescent="0.35">
      <c r="E990" s="9"/>
    </row>
    <row r="991" spans="5:5" s="154" customFormat="1" x14ac:dyDescent="0.35">
      <c r="E991" s="9"/>
    </row>
    <row r="992" spans="5:5" s="154" customFormat="1" x14ac:dyDescent="0.35">
      <c r="E992" s="9"/>
    </row>
    <row r="993" spans="5:5" s="154" customFormat="1" x14ac:dyDescent="0.35">
      <c r="E993" s="9"/>
    </row>
    <row r="994" spans="5:5" s="154" customFormat="1" x14ac:dyDescent="0.35">
      <c r="E994" s="9"/>
    </row>
    <row r="995" spans="5:5" s="154" customFormat="1" x14ac:dyDescent="0.35">
      <c r="E995" s="9"/>
    </row>
    <row r="996" spans="5:5" s="154" customFormat="1" x14ac:dyDescent="0.35">
      <c r="E996" s="9"/>
    </row>
    <row r="997" spans="5:5" s="154" customFormat="1" x14ac:dyDescent="0.35">
      <c r="E997" s="9"/>
    </row>
    <row r="998" spans="5:5" s="154" customFormat="1" x14ac:dyDescent="0.35">
      <c r="E998" s="9"/>
    </row>
    <row r="999" spans="5:5" s="154" customFormat="1" x14ac:dyDescent="0.35">
      <c r="E999" s="9"/>
    </row>
    <row r="1000" spans="5:5" s="154" customFormat="1" x14ac:dyDescent="0.35">
      <c r="E1000" s="9"/>
    </row>
    <row r="1001" spans="5:5" s="154" customFormat="1" x14ac:dyDescent="0.35">
      <c r="E1001" s="9"/>
    </row>
    <row r="1002" spans="5:5" s="154" customFormat="1" x14ac:dyDescent="0.35">
      <c r="E1002" s="9"/>
    </row>
    <row r="1003" spans="5:5" s="154" customFormat="1" x14ac:dyDescent="0.35">
      <c r="E1003" s="9"/>
    </row>
    <row r="1004" spans="5:5" s="154" customFormat="1" x14ac:dyDescent="0.35">
      <c r="E1004" s="9"/>
    </row>
    <row r="1005" spans="5:5" s="154" customFormat="1" x14ac:dyDescent="0.35">
      <c r="E1005" s="9"/>
    </row>
    <row r="1006" spans="5:5" s="154" customFormat="1" x14ac:dyDescent="0.35">
      <c r="E1006" s="9"/>
    </row>
    <row r="1007" spans="5:5" s="154" customFormat="1" x14ac:dyDescent="0.35">
      <c r="E1007" s="9"/>
    </row>
    <row r="1008" spans="5:5" s="154" customFormat="1" x14ac:dyDescent="0.35">
      <c r="E1008" s="9"/>
    </row>
    <row r="1009" spans="5:5" s="154" customFormat="1" x14ac:dyDescent="0.35">
      <c r="E1009" s="9"/>
    </row>
    <row r="1010" spans="5:5" s="154" customFormat="1" x14ac:dyDescent="0.35">
      <c r="E1010" s="9"/>
    </row>
    <row r="1011" spans="5:5" s="154" customFormat="1" x14ac:dyDescent="0.35">
      <c r="E1011" s="9"/>
    </row>
    <row r="1012" spans="5:5" s="154" customFormat="1" x14ac:dyDescent="0.35">
      <c r="E1012" s="9"/>
    </row>
    <row r="1013" spans="5:5" s="154" customFormat="1" x14ac:dyDescent="0.35">
      <c r="E1013" s="9"/>
    </row>
    <row r="1014" spans="5:5" s="154" customFormat="1" x14ac:dyDescent="0.35">
      <c r="E1014" s="9"/>
    </row>
    <row r="1015" spans="5:5" s="154" customFormat="1" x14ac:dyDescent="0.35">
      <c r="E1015" s="9"/>
    </row>
    <row r="1016" spans="5:5" s="154" customFormat="1" x14ac:dyDescent="0.35">
      <c r="E1016" s="9"/>
    </row>
    <row r="1017" spans="5:5" s="154" customFormat="1" x14ac:dyDescent="0.35">
      <c r="E1017" s="9"/>
    </row>
    <row r="1018" spans="5:5" s="154" customFormat="1" x14ac:dyDescent="0.35">
      <c r="E1018" s="9"/>
    </row>
    <row r="1019" spans="5:5" s="154" customFormat="1" x14ac:dyDescent="0.35">
      <c r="E1019" s="9"/>
    </row>
    <row r="1020" spans="5:5" s="154" customFormat="1" x14ac:dyDescent="0.35">
      <c r="E1020" s="9"/>
    </row>
    <row r="1021" spans="5:5" s="154" customFormat="1" x14ac:dyDescent="0.35">
      <c r="E1021" s="9"/>
    </row>
    <row r="1022" spans="5:5" s="154" customFormat="1" x14ac:dyDescent="0.35">
      <c r="E1022" s="9"/>
    </row>
    <row r="1023" spans="5:5" s="154" customFormat="1" x14ac:dyDescent="0.35">
      <c r="E1023" s="9"/>
    </row>
    <row r="1024" spans="5:5" s="154" customFormat="1" x14ac:dyDescent="0.35">
      <c r="E1024" s="9"/>
    </row>
    <row r="1025" spans="5:5" s="154" customFormat="1" x14ac:dyDescent="0.35">
      <c r="E1025" s="9"/>
    </row>
    <row r="1026" spans="5:5" s="154" customFormat="1" x14ac:dyDescent="0.35">
      <c r="E1026" s="9"/>
    </row>
    <row r="1027" spans="5:5" s="154" customFormat="1" x14ac:dyDescent="0.35">
      <c r="E1027" s="9"/>
    </row>
    <row r="1028" spans="5:5" s="154" customFormat="1" x14ac:dyDescent="0.35">
      <c r="E1028" s="9"/>
    </row>
    <row r="1029" spans="5:5" s="154" customFormat="1" x14ac:dyDescent="0.35">
      <c r="E1029" s="9"/>
    </row>
    <row r="1030" spans="5:5" s="154" customFormat="1" x14ac:dyDescent="0.35">
      <c r="E1030" s="9"/>
    </row>
    <row r="1031" spans="5:5" s="154" customFormat="1" x14ac:dyDescent="0.35">
      <c r="E1031" s="9"/>
    </row>
    <row r="1032" spans="5:5" s="154" customFormat="1" x14ac:dyDescent="0.35">
      <c r="E1032" s="9"/>
    </row>
    <row r="1033" spans="5:5" s="154" customFormat="1" x14ac:dyDescent="0.35">
      <c r="E1033" s="9"/>
    </row>
    <row r="1034" spans="5:5" s="154" customFormat="1" x14ac:dyDescent="0.35">
      <c r="E1034" s="9"/>
    </row>
    <row r="1035" spans="5:5" s="154" customFormat="1" x14ac:dyDescent="0.35">
      <c r="E1035" s="9"/>
    </row>
    <row r="1036" spans="5:5" s="154" customFormat="1" x14ac:dyDescent="0.35">
      <c r="E1036" s="9"/>
    </row>
    <row r="1037" spans="5:5" s="154" customFormat="1" x14ac:dyDescent="0.35">
      <c r="E1037" s="9"/>
    </row>
    <row r="1038" spans="5:5" s="154" customFormat="1" x14ac:dyDescent="0.35">
      <c r="E1038" s="9"/>
    </row>
    <row r="1039" spans="5:5" s="154" customFormat="1" x14ac:dyDescent="0.35">
      <c r="E1039" s="9"/>
    </row>
    <row r="1040" spans="5:5" s="154" customFormat="1" x14ac:dyDescent="0.35">
      <c r="E1040" s="9"/>
    </row>
    <row r="1041" spans="5:5" s="154" customFormat="1" x14ac:dyDescent="0.35">
      <c r="E1041" s="9"/>
    </row>
    <row r="1042" spans="5:5" s="154" customFormat="1" x14ac:dyDescent="0.35">
      <c r="E1042" s="9"/>
    </row>
    <row r="1043" spans="5:5" s="154" customFormat="1" x14ac:dyDescent="0.35">
      <c r="E1043" s="9"/>
    </row>
    <row r="1044" spans="5:5" s="154" customFormat="1" x14ac:dyDescent="0.35">
      <c r="E1044" s="9"/>
    </row>
    <row r="1045" spans="5:5" s="154" customFormat="1" x14ac:dyDescent="0.35">
      <c r="E1045" s="9"/>
    </row>
    <row r="1046" spans="5:5" s="154" customFormat="1" x14ac:dyDescent="0.35">
      <c r="E1046" s="9"/>
    </row>
    <row r="1047" spans="5:5" s="154" customFormat="1" x14ac:dyDescent="0.35">
      <c r="E1047" s="9"/>
    </row>
    <row r="1048" spans="5:5" s="154" customFormat="1" x14ac:dyDescent="0.35">
      <c r="E1048" s="9"/>
    </row>
    <row r="1049" spans="5:5" s="154" customFormat="1" x14ac:dyDescent="0.35">
      <c r="E1049" s="9"/>
    </row>
    <row r="1050" spans="5:5" s="154" customFormat="1" x14ac:dyDescent="0.35">
      <c r="E1050" s="9"/>
    </row>
    <row r="1051" spans="5:5" s="154" customFormat="1" x14ac:dyDescent="0.35">
      <c r="E1051" s="9"/>
    </row>
    <row r="1052" spans="5:5" s="154" customFormat="1" x14ac:dyDescent="0.35">
      <c r="E1052" s="9"/>
    </row>
    <row r="1053" spans="5:5" s="154" customFormat="1" x14ac:dyDescent="0.35">
      <c r="E1053" s="9"/>
    </row>
    <row r="1054" spans="5:5" s="154" customFormat="1" x14ac:dyDescent="0.35">
      <c r="E1054" s="9"/>
    </row>
    <row r="1055" spans="5:5" s="154" customFormat="1" x14ac:dyDescent="0.35">
      <c r="E1055" s="9"/>
    </row>
    <row r="1056" spans="5:5" s="154" customFormat="1" x14ac:dyDescent="0.35">
      <c r="E1056" s="9"/>
    </row>
    <row r="1057" spans="5:5" s="154" customFormat="1" x14ac:dyDescent="0.35">
      <c r="E1057" s="9"/>
    </row>
    <row r="1058" spans="5:5" s="154" customFormat="1" x14ac:dyDescent="0.35">
      <c r="E1058" s="9"/>
    </row>
    <row r="1059" spans="5:5" s="154" customFormat="1" x14ac:dyDescent="0.35">
      <c r="E1059" s="9"/>
    </row>
    <row r="1060" spans="5:5" s="154" customFormat="1" x14ac:dyDescent="0.35">
      <c r="E1060" s="9"/>
    </row>
    <row r="1061" spans="5:5" s="154" customFormat="1" x14ac:dyDescent="0.35">
      <c r="E1061" s="9"/>
    </row>
    <row r="1062" spans="5:5" s="154" customFormat="1" x14ac:dyDescent="0.35">
      <c r="E1062" s="9"/>
    </row>
    <row r="1063" spans="5:5" s="154" customFormat="1" x14ac:dyDescent="0.35">
      <c r="E1063" s="9"/>
    </row>
    <row r="1064" spans="5:5" s="154" customFormat="1" x14ac:dyDescent="0.35">
      <c r="E1064" s="9"/>
    </row>
    <row r="1065" spans="5:5" s="154" customFormat="1" x14ac:dyDescent="0.35">
      <c r="E1065" s="9"/>
    </row>
    <row r="1066" spans="5:5" s="154" customFormat="1" x14ac:dyDescent="0.35">
      <c r="E1066" s="9"/>
    </row>
    <row r="1067" spans="5:5" s="154" customFormat="1" x14ac:dyDescent="0.35">
      <c r="E1067" s="9"/>
    </row>
    <row r="1068" spans="5:5" s="154" customFormat="1" x14ac:dyDescent="0.35">
      <c r="E1068" s="9"/>
    </row>
    <row r="1069" spans="5:5" s="154" customFormat="1" x14ac:dyDescent="0.35">
      <c r="E1069" s="9"/>
    </row>
    <row r="1070" spans="5:5" s="154" customFormat="1" x14ac:dyDescent="0.35">
      <c r="E1070" s="9"/>
    </row>
    <row r="1071" spans="5:5" s="154" customFormat="1" x14ac:dyDescent="0.35">
      <c r="E1071" s="9"/>
    </row>
    <row r="1072" spans="5:5" s="154" customFormat="1" x14ac:dyDescent="0.35">
      <c r="E1072" s="9"/>
    </row>
    <row r="1073" spans="5:5" s="154" customFormat="1" x14ac:dyDescent="0.35">
      <c r="E1073" s="9"/>
    </row>
    <row r="1074" spans="5:5" s="154" customFormat="1" x14ac:dyDescent="0.35">
      <c r="E1074" s="9"/>
    </row>
    <row r="1075" spans="5:5" s="154" customFormat="1" x14ac:dyDescent="0.35">
      <c r="E1075" s="9"/>
    </row>
    <row r="1076" spans="5:5" s="154" customFormat="1" x14ac:dyDescent="0.35">
      <c r="E1076" s="9"/>
    </row>
    <row r="1077" spans="5:5" s="154" customFormat="1" x14ac:dyDescent="0.35">
      <c r="E1077" s="9"/>
    </row>
    <row r="1078" spans="5:5" s="154" customFormat="1" x14ac:dyDescent="0.35">
      <c r="E1078" s="9"/>
    </row>
    <row r="1079" spans="5:5" s="154" customFormat="1" x14ac:dyDescent="0.35">
      <c r="E1079" s="9"/>
    </row>
    <row r="1080" spans="5:5" s="154" customFormat="1" x14ac:dyDescent="0.35">
      <c r="E1080" s="9"/>
    </row>
    <row r="1081" spans="5:5" s="154" customFormat="1" x14ac:dyDescent="0.35">
      <c r="E1081" s="9"/>
    </row>
    <row r="1082" spans="5:5" s="154" customFormat="1" x14ac:dyDescent="0.35">
      <c r="E1082" s="9"/>
    </row>
    <row r="1083" spans="5:5" s="154" customFormat="1" x14ac:dyDescent="0.35">
      <c r="E1083" s="9"/>
    </row>
    <row r="1084" spans="5:5" s="154" customFormat="1" x14ac:dyDescent="0.35">
      <c r="E1084" s="9"/>
    </row>
    <row r="1085" spans="5:5" s="154" customFormat="1" x14ac:dyDescent="0.35">
      <c r="E1085" s="9"/>
    </row>
    <row r="1086" spans="5:5" s="154" customFormat="1" x14ac:dyDescent="0.35">
      <c r="E1086" s="9"/>
    </row>
    <row r="1087" spans="5:5" s="154" customFormat="1" x14ac:dyDescent="0.35">
      <c r="E1087" s="9"/>
    </row>
    <row r="1088" spans="5:5" s="154" customFormat="1" x14ac:dyDescent="0.35">
      <c r="E1088" s="9"/>
    </row>
    <row r="1089" spans="5:5" s="154" customFormat="1" x14ac:dyDescent="0.35">
      <c r="E1089" s="9"/>
    </row>
    <row r="1090" spans="5:5" s="154" customFormat="1" x14ac:dyDescent="0.35">
      <c r="E1090" s="9"/>
    </row>
    <row r="1091" spans="5:5" s="154" customFormat="1" x14ac:dyDescent="0.35">
      <c r="E1091" s="9"/>
    </row>
    <row r="1092" spans="5:5" s="154" customFormat="1" x14ac:dyDescent="0.35">
      <c r="E1092" s="9"/>
    </row>
    <row r="1093" spans="5:5" s="154" customFormat="1" x14ac:dyDescent="0.35">
      <c r="E1093" s="9"/>
    </row>
    <row r="1094" spans="5:5" s="154" customFormat="1" x14ac:dyDescent="0.35">
      <c r="E1094" s="9"/>
    </row>
    <row r="1095" spans="5:5" s="154" customFormat="1" x14ac:dyDescent="0.35">
      <c r="E1095" s="9"/>
    </row>
    <row r="1096" spans="5:5" s="154" customFormat="1" x14ac:dyDescent="0.35">
      <c r="E1096" s="9"/>
    </row>
    <row r="1097" spans="5:5" s="154" customFormat="1" x14ac:dyDescent="0.35">
      <c r="E1097" s="9"/>
    </row>
    <row r="1098" spans="5:5" s="154" customFormat="1" x14ac:dyDescent="0.35">
      <c r="E1098" s="9"/>
    </row>
    <row r="1099" spans="5:5" s="154" customFormat="1" x14ac:dyDescent="0.35">
      <c r="E1099" s="9"/>
    </row>
    <row r="1100" spans="5:5" s="154" customFormat="1" x14ac:dyDescent="0.35">
      <c r="E1100" s="9"/>
    </row>
    <row r="1101" spans="5:5" s="154" customFormat="1" x14ac:dyDescent="0.35">
      <c r="E1101" s="9"/>
    </row>
    <row r="1102" spans="5:5" s="154" customFormat="1" x14ac:dyDescent="0.35">
      <c r="E1102" s="9"/>
    </row>
    <row r="1103" spans="5:5" s="154" customFormat="1" x14ac:dyDescent="0.35">
      <c r="E1103" s="9"/>
    </row>
    <row r="1104" spans="5:5" s="154" customFormat="1" x14ac:dyDescent="0.35">
      <c r="E1104" s="9"/>
    </row>
    <row r="1105" spans="5:5" s="154" customFormat="1" x14ac:dyDescent="0.35">
      <c r="E1105" s="9"/>
    </row>
    <row r="1106" spans="5:5" s="154" customFormat="1" x14ac:dyDescent="0.35">
      <c r="E1106" s="9"/>
    </row>
    <row r="1107" spans="5:5" s="154" customFormat="1" x14ac:dyDescent="0.35">
      <c r="E1107" s="9"/>
    </row>
    <row r="1108" spans="5:5" s="154" customFormat="1" x14ac:dyDescent="0.35">
      <c r="E1108" s="9"/>
    </row>
    <row r="1109" spans="5:5" s="154" customFormat="1" x14ac:dyDescent="0.35">
      <c r="E1109" s="9"/>
    </row>
    <row r="1110" spans="5:5" s="154" customFormat="1" x14ac:dyDescent="0.35">
      <c r="E1110" s="9"/>
    </row>
    <row r="1111" spans="5:5" s="154" customFormat="1" x14ac:dyDescent="0.35">
      <c r="E1111" s="9"/>
    </row>
    <row r="1112" spans="5:5" s="154" customFormat="1" x14ac:dyDescent="0.35">
      <c r="E1112" s="9"/>
    </row>
    <row r="1113" spans="5:5" s="154" customFormat="1" x14ac:dyDescent="0.35">
      <c r="E1113" s="9"/>
    </row>
    <row r="1114" spans="5:5" s="154" customFormat="1" x14ac:dyDescent="0.35">
      <c r="E1114" s="9"/>
    </row>
    <row r="1115" spans="5:5" s="154" customFormat="1" x14ac:dyDescent="0.35">
      <c r="E1115" s="9"/>
    </row>
    <row r="1116" spans="5:5" s="154" customFormat="1" x14ac:dyDescent="0.35">
      <c r="E1116" s="9"/>
    </row>
    <row r="1117" spans="5:5" s="154" customFormat="1" x14ac:dyDescent="0.35">
      <c r="E1117" s="9"/>
    </row>
    <row r="1118" spans="5:5" s="154" customFormat="1" x14ac:dyDescent="0.35">
      <c r="E1118" s="9"/>
    </row>
    <row r="1119" spans="5:5" s="154" customFormat="1" x14ac:dyDescent="0.35">
      <c r="E1119" s="9"/>
    </row>
    <row r="1120" spans="5:5" s="154" customFormat="1" x14ac:dyDescent="0.35">
      <c r="E1120" s="9"/>
    </row>
    <row r="1121" spans="5:5" s="154" customFormat="1" x14ac:dyDescent="0.35">
      <c r="E1121" s="9"/>
    </row>
    <row r="1122" spans="5:5" s="154" customFormat="1" x14ac:dyDescent="0.35">
      <c r="E1122" s="9"/>
    </row>
    <row r="1123" spans="5:5" s="154" customFormat="1" x14ac:dyDescent="0.35">
      <c r="E1123" s="9"/>
    </row>
    <row r="1124" spans="5:5" s="154" customFormat="1" x14ac:dyDescent="0.35">
      <c r="E1124" s="9"/>
    </row>
    <row r="1125" spans="5:5" s="154" customFormat="1" x14ac:dyDescent="0.35">
      <c r="E1125" s="9"/>
    </row>
    <row r="1126" spans="5:5" s="154" customFormat="1" x14ac:dyDescent="0.35">
      <c r="E1126" s="9"/>
    </row>
    <row r="1127" spans="5:5" s="154" customFormat="1" x14ac:dyDescent="0.35">
      <c r="E1127" s="9"/>
    </row>
    <row r="1128" spans="5:5" s="154" customFormat="1" x14ac:dyDescent="0.35">
      <c r="E1128" s="9"/>
    </row>
    <row r="1129" spans="5:5" s="154" customFormat="1" x14ac:dyDescent="0.35">
      <c r="E1129" s="9"/>
    </row>
    <row r="1130" spans="5:5" s="154" customFormat="1" x14ac:dyDescent="0.35">
      <c r="E1130" s="9"/>
    </row>
    <row r="1131" spans="5:5" s="154" customFormat="1" x14ac:dyDescent="0.35">
      <c r="E1131" s="9"/>
    </row>
    <row r="1132" spans="5:5" s="154" customFormat="1" x14ac:dyDescent="0.35">
      <c r="E1132" s="9"/>
    </row>
    <row r="1133" spans="5:5" s="154" customFormat="1" x14ac:dyDescent="0.35">
      <c r="E1133" s="9"/>
    </row>
    <row r="1134" spans="5:5" s="154" customFormat="1" x14ac:dyDescent="0.35">
      <c r="E1134" s="9"/>
    </row>
    <row r="1135" spans="5:5" s="154" customFormat="1" x14ac:dyDescent="0.35">
      <c r="E1135" s="9"/>
    </row>
    <row r="1136" spans="5:5" s="154" customFormat="1" x14ac:dyDescent="0.35">
      <c r="E1136" s="9"/>
    </row>
    <row r="1137" spans="5:5" s="154" customFormat="1" x14ac:dyDescent="0.35">
      <c r="E1137" s="9"/>
    </row>
    <row r="1138" spans="5:5" s="154" customFormat="1" x14ac:dyDescent="0.35">
      <c r="E1138" s="9"/>
    </row>
    <row r="1139" spans="5:5" s="154" customFormat="1" x14ac:dyDescent="0.35">
      <c r="E1139" s="9"/>
    </row>
    <row r="1140" spans="5:5" s="154" customFormat="1" x14ac:dyDescent="0.35">
      <c r="E1140" s="9"/>
    </row>
    <row r="1141" spans="5:5" s="154" customFormat="1" x14ac:dyDescent="0.35">
      <c r="E1141" s="9"/>
    </row>
    <row r="1142" spans="5:5" s="154" customFormat="1" x14ac:dyDescent="0.35">
      <c r="E1142" s="9"/>
    </row>
    <row r="1143" spans="5:5" s="154" customFormat="1" x14ac:dyDescent="0.35">
      <c r="E1143" s="9"/>
    </row>
    <row r="1144" spans="5:5" s="154" customFormat="1" x14ac:dyDescent="0.35">
      <c r="E1144" s="9"/>
    </row>
    <row r="1145" spans="5:5" s="154" customFormat="1" x14ac:dyDescent="0.35">
      <c r="E1145" s="9"/>
    </row>
    <row r="1146" spans="5:5" s="154" customFormat="1" x14ac:dyDescent="0.35">
      <c r="E1146" s="9"/>
    </row>
    <row r="1147" spans="5:5" s="154" customFormat="1" x14ac:dyDescent="0.35">
      <c r="E1147" s="9"/>
    </row>
    <row r="1148" spans="5:5" s="154" customFormat="1" x14ac:dyDescent="0.35">
      <c r="E1148" s="9"/>
    </row>
    <row r="1149" spans="5:5" s="154" customFormat="1" x14ac:dyDescent="0.35">
      <c r="E1149" s="9"/>
    </row>
    <row r="1150" spans="5:5" s="154" customFormat="1" x14ac:dyDescent="0.35">
      <c r="E1150" s="9"/>
    </row>
    <row r="1151" spans="5:5" s="154" customFormat="1" x14ac:dyDescent="0.35">
      <c r="E1151" s="9"/>
    </row>
    <row r="1152" spans="5:5" s="154" customFormat="1" x14ac:dyDescent="0.35">
      <c r="E1152" s="9"/>
    </row>
    <row r="1153" spans="5:5" s="154" customFormat="1" x14ac:dyDescent="0.35">
      <c r="E1153" s="9"/>
    </row>
    <row r="1154" spans="5:5" s="154" customFormat="1" x14ac:dyDescent="0.35">
      <c r="E1154" s="9"/>
    </row>
    <row r="1155" spans="5:5" s="154" customFormat="1" x14ac:dyDescent="0.35">
      <c r="E1155" s="9"/>
    </row>
    <row r="1156" spans="5:5" s="154" customFormat="1" x14ac:dyDescent="0.35">
      <c r="E1156" s="9"/>
    </row>
    <row r="1157" spans="5:5" s="154" customFormat="1" x14ac:dyDescent="0.35">
      <c r="E1157" s="9"/>
    </row>
    <row r="1158" spans="5:5" s="154" customFormat="1" x14ac:dyDescent="0.35">
      <c r="E1158" s="9"/>
    </row>
    <row r="1159" spans="5:5" s="154" customFormat="1" x14ac:dyDescent="0.35">
      <c r="E1159" s="9"/>
    </row>
    <row r="1160" spans="5:5" s="154" customFormat="1" x14ac:dyDescent="0.35">
      <c r="E1160" s="9"/>
    </row>
    <row r="1161" spans="5:5" s="154" customFormat="1" x14ac:dyDescent="0.35">
      <c r="E1161" s="9"/>
    </row>
    <row r="1162" spans="5:5" s="154" customFormat="1" x14ac:dyDescent="0.35">
      <c r="E1162" s="9"/>
    </row>
    <row r="1163" spans="5:5" s="154" customFormat="1" x14ac:dyDescent="0.35">
      <c r="E1163" s="9"/>
    </row>
    <row r="1164" spans="5:5" s="154" customFormat="1" x14ac:dyDescent="0.35">
      <c r="E1164" s="9"/>
    </row>
    <row r="1165" spans="5:5" s="154" customFormat="1" x14ac:dyDescent="0.35">
      <c r="E1165" s="9"/>
    </row>
    <row r="1166" spans="5:5" s="154" customFormat="1" x14ac:dyDescent="0.35">
      <c r="E1166" s="9"/>
    </row>
    <row r="1167" spans="5:5" s="154" customFormat="1" x14ac:dyDescent="0.35">
      <c r="E1167" s="9"/>
    </row>
    <row r="1168" spans="5:5" s="154" customFormat="1" x14ac:dyDescent="0.35">
      <c r="E1168" s="9"/>
    </row>
    <row r="1169" spans="5:5" s="154" customFormat="1" x14ac:dyDescent="0.35">
      <c r="E1169" s="9"/>
    </row>
    <row r="1170" spans="5:5" s="154" customFormat="1" x14ac:dyDescent="0.35">
      <c r="E1170" s="9"/>
    </row>
    <row r="1171" spans="5:5" s="154" customFormat="1" x14ac:dyDescent="0.35">
      <c r="E1171" s="9"/>
    </row>
    <row r="1172" spans="5:5" s="154" customFormat="1" x14ac:dyDescent="0.35">
      <c r="E1172" s="9"/>
    </row>
    <row r="1173" spans="5:5" s="154" customFormat="1" x14ac:dyDescent="0.35">
      <c r="E1173" s="9"/>
    </row>
    <row r="1174" spans="5:5" s="154" customFormat="1" x14ac:dyDescent="0.35">
      <c r="E1174" s="9"/>
    </row>
    <row r="1175" spans="5:5" s="154" customFormat="1" x14ac:dyDescent="0.35">
      <c r="E1175" s="9"/>
    </row>
    <row r="1176" spans="5:5" s="154" customFormat="1" x14ac:dyDescent="0.35">
      <c r="E1176" s="9"/>
    </row>
    <row r="1177" spans="5:5" s="154" customFormat="1" x14ac:dyDescent="0.35">
      <c r="E1177" s="9"/>
    </row>
    <row r="1178" spans="5:5" s="154" customFormat="1" x14ac:dyDescent="0.35">
      <c r="E1178" s="9"/>
    </row>
    <row r="1179" spans="5:5" s="154" customFormat="1" x14ac:dyDescent="0.35">
      <c r="E1179" s="9"/>
    </row>
    <row r="1180" spans="5:5" s="154" customFormat="1" x14ac:dyDescent="0.35">
      <c r="E1180" s="9"/>
    </row>
    <row r="1181" spans="5:5" s="154" customFormat="1" x14ac:dyDescent="0.35">
      <c r="E1181" s="9"/>
    </row>
    <row r="1182" spans="5:5" s="154" customFormat="1" x14ac:dyDescent="0.35">
      <c r="E1182" s="9"/>
    </row>
    <row r="1183" spans="5:5" s="154" customFormat="1" x14ac:dyDescent="0.35">
      <c r="E1183" s="9"/>
    </row>
    <row r="1184" spans="5:5" s="154" customFormat="1" x14ac:dyDescent="0.35">
      <c r="E1184" s="9"/>
    </row>
    <row r="1185" spans="5:5" s="154" customFormat="1" x14ac:dyDescent="0.35">
      <c r="E1185" s="9"/>
    </row>
    <row r="1186" spans="5:5" s="154" customFormat="1" x14ac:dyDescent="0.35">
      <c r="E1186" s="9"/>
    </row>
    <row r="1187" spans="5:5" s="154" customFormat="1" x14ac:dyDescent="0.35">
      <c r="E1187" s="9"/>
    </row>
    <row r="1188" spans="5:5" s="154" customFormat="1" x14ac:dyDescent="0.35">
      <c r="E1188" s="9"/>
    </row>
    <row r="1189" spans="5:5" s="154" customFormat="1" x14ac:dyDescent="0.35">
      <c r="E1189" s="9"/>
    </row>
    <row r="1190" spans="5:5" s="154" customFormat="1" x14ac:dyDescent="0.35">
      <c r="E1190" s="9"/>
    </row>
    <row r="1191" spans="5:5" s="154" customFormat="1" x14ac:dyDescent="0.35">
      <c r="E1191" s="9"/>
    </row>
    <row r="1192" spans="5:5" s="154" customFormat="1" x14ac:dyDescent="0.35">
      <c r="E1192" s="9"/>
    </row>
    <row r="1193" spans="5:5" s="154" customFormat="1" x14ac:dyDescent="0.35">
      <c r="E1193" s="9"/>
    </row>
    <row r="1194" spans="5:5" s="154" customFormat="1" x14ac:dyDescent="0.35">
      <c r="E1194" s="9"/>
    </row>
    <row r="1195" spans="5:5" s="154" customFormat="1" x14ac:dyDescent="0.35">
      <c r="E1195" s="9"/>
    </row>
    <row r="1196" spans="5:5" s="154" customFormat="1" x14ac:dyDescent="0.35">
      <c r="E1196" s="9"/>
    </row>
    <row r="1197" spans="5:5" s="154" customFormat="1" x14ac:dyDescent="0.35">
      <c r="E1197" s="9"/>
    </row>
    <row r="1198" spans="5:5" s="154" customFormat="1" x14ac:dyDescent="0.35">
      <c r="E1198" s="9"/>
    </row>
    <row r="1199" spans="5:5" s="154" customFormat="1" x14ac:dyDescent="0.35">
      <c r="E1199" s="9"/>
    </row>
    <row r="1200" spans="5:5" s="154" customFormat="1" x14ac:dyDescent="0.35">
      <c r="E1200" s="9"/>
    </row>
    <row r="1201" spans="5:5" s="154" customFormat="1" x14ac:dyDescent="0.35">
      <c r="E1201" s="9"/>
    </row>
    <row r="1202" spans="5:5" s="154" customFormat="1" x14ac:dyDescent="0.35">
      <c r="E1202" s="9"/>
    </row>
    <row r="1203" spans="5:5" s="154" customFormat="1" x14ac:dyDescent="0.35">
      <c r="E1203" s="9"/>
    </row>
    <row r="1204" spans="5:5" s="154" customFormat="1" x14ac:dyDescent="0.35">
      <c r="E1204" s="9"/>
    </row>
    <row r="1205" spans="5:5" s="154" customFormat="1" x14ac:dyDescent="0.35">
      <c r="E1205" s="9"/>
    </row>
    <row r="1206" spans="5:5" s="154" customFormat="1" x14ac:dyDescent="0.35">
      <c r="E1206" s="9"/>
    </row>
    <row r="1207" spans="5:5" s="154" customFormat="1" x14ac:dyDescent="0.35">
      <c r="E1207" s="9"/>
    </row>
    <row r="1208" spans="5:5" s="154" customFormat="1" x14ac:dyDescent="0.35">
      <c r="E1208" s="9"/>
    </row>
    <row r="1209" spans="5:5" s="154" customFormat="1" x14ac:dyDescent="0.35">
      <c r="E1209" s="9"/>
    </row>
    <row r="1210" spans="5:5" s="154" customFormat="1" x14ac:dyDescent="0.35">
      <c r="E1210" s="9"/>
    </row>
    <row r="1211" spans="5:5" s="154" customFormat="1" x14ac:dyDescent="0.35">
      <c r="E1211" s="9"/>
    </row>
    <row r="1212" spans="5:5" s="154" customFormat="1" x14ac:dyDescent="0.35">
      <c r="E1212" s="9"/>
    </row>
    <row r="1213" spans="5:5" s="154" customFormat="1" x14ac:dyDescent="0.35">
      <c r="E1213" s="9"/>
    </row>
    <row r="1214" spans="5:5" s="154" customFormat="1" x14ac:dyDescent="0.35">
      <c r="E1214" s="9"/>
    </row>
    <row r="1215" spans="5:5" s="154" customFormat="1" x14ac:dyDescent="0.35">
      <c r="E1215" s="9"/>
    </row>
    <row r="1216" spans="5:5" s="154" customFormat="1" x14ac:dyDescent="0.35">
      <c r="E1216" s="9"/>
    </row>
    <row r="1217" spans="5:5" s="154" customFormat="1" x14ac:dyDescent="0.35">
      <c r="E1217" s="9"/>
    </row>
    <row r="1218" spans="5:5" s="154" customFormat="1" x14ac:dyDescent="0.35">
      <c r="E1218" s="9"/>
    </row>
    <row r="1219" spans="5:5" s="154" customFormat="1" x14ac:dyDescent="0.35">
      <c r="E1219" s="9"/>
    </row>
    <row r="1220" spans="5:5" s="154" customFormat="1" x14ac:dyDescent="0.35">
      <c r="E1220" s="9"/>
    </row>
    <row r="1221" spans="5:5" s="154" customFormat="1" x14ac:dyDescent="0.35">
      <c r="E1221" s="9"/>
    </row>
    <row r="1222" spans="5:5" s="154" customFormat="1" x14ac:dyDescent="0.35">
      <c r="E1222" s="9"/>
    </row>
    <row r="1223" spans="5:5" s="154" customFormat="1" x14ac:dyDescent="0.35">
      <c r="E1223" s="9"/>
    </row>
    <row r="1224" spans="5:5" s="154" customFormat="1" x14ac:dyDescent="0.35">
      <c r="E1224" s="9"/>
    </row>
    <row r="1225" spans="5:5" s="154" customFormat="1" x14ac:dyDescent="0.35">
      <c r="E1225" s="9"/>
    </row>
    <row r="1226" spans="5:5" s="154" customFormat="1" x14ac:dyDescent="0.35">
      <c r="E1226" s="9"/>
    </row>
    <row r="1227" spans="5:5" s="154" customFormat="1" x14ac:dyDescent="0.35">
      <c r="E1227" s="9"/>
    </row>
    <row r="1228" spans="5:5" s="154" customFormat="1" x14ac:dyDescent="0.35">
      <c r="E1228" s="9"/>
    </row>
    <row r="1229" spans="5:5" s="154" customFormat="1" x14ac:dyDescent="0.35">
      <c r="E1229" s="9"/>
    </row>
    <row r="1230" spans="5:5" s="154" customFormat="1" x14ac:dyDescent="0.35">
      <c r="E1230" s="9"/>
    </row>
    <row r="1231" spans="5:5" s="154" customFormat="1" x14ac:dyDescent="0.35">
      <c r="E1231" s="9"/>
    </row>
    <row r="1232" spans="5:5" s="154" customFormat="1" x14ac:dyDescent="0.35">
      <c r="E1232" s="9"/>
    </row>
    <row r="1233" spans="5:5" s="154" customFormat="1" x14ac:dyDescent="0.35">
      <c r="E1233" s="9"/>
    </row>
    <row r="1234" spans="5:5" s="154" customFormat="1" x14ac:dyDescent="0.35">
      <c r="E1234" s="9"/>
    </row>
    <row r="1235" spans="5:5" s="154" customFormat="1" x14ac:dyDescent="0.35">
      <c r="E1235" s="9"/>
    </row>
    <row r="1236" spans="5:5" s="154" customFormat="1" x14ac:dyDescent="0.35">
      <c r="E1236" s="9"/>
    </row>
    <row r="1237" spans="5:5" s="154" customFormat="1" x14ac:dyDescent="0.35">
      <c r="E1237" s="9"/>
    </row>
    <row r="1238" spans="5:5" s="154" customFormat="1" x14ac:dyDescent="0.35">
      <c r="E1238" s="9"/>
    </row>
    <row r="1239" spans="5:5" s="154" customFormat="1" x14ac:dyDescent="0.35">
      <c r="E1239" s="9"/>
    </row>
    <row r="1240" spans="5:5" s="154" customFormat="1" x14ac:dyDescent="0.35">
      <c r="E1240" s="9"/>
    </row>
    <row r="1241" spans="5:5" s="154" customFormat="1" x14ac:dyDescent="0.35">
      <c r="E1241" s="9"/>
    </row>
    <row r="1242" spans="5:5" s="154" customFormat="1" x14ac:dyDescent="0.35">
      <c r="E1242" s="9"/>
    </row>
    <row r="1243" spans="5:5" s="154" customFormat="1" x14ac:dyDescent="0.35">
      <c r="E1243" s="9"/>
    </row>
    <row r="1244" spans="5:5" s="154" customFormat="1" x14ac:dyDescent="0.35">
      <c r="E1244" s="9"/>
    </row>
    <row r="1245" spans="5:5" s="154" customFormat="1" x14ac:dyDescent="0.35">
      <c r="E1245" s="9"/>
    </row>
    <row r="1246" spans="5:5" s="154" customFormat="1" x14ac:dyDescent="0.35">
      <c r="E1246" s="9"/>
    </row>
    <row r="1247" spans="5:5" s="154" customFormat="1" x14ac:dyDescent="0.35">
      <c r="E1247" s="9"/>
    </row>
    <row r="1248" spans="5:5" s="154" customFormat="1" x14ac:dyDescent="0.35">
      <c r="E1248" s="9"/>
    </row>
    <row r="1249" spans="5:5" s="154" customFormat="1" x14ac:dyDescent="0.35">
      <c r="E1249" s="9"/>
    </row>
    <row r="1250" spans="5:5" s="154" customFormat="1" x14ac:dyDescent="0.35">
      <c r="E1250" s="9"/>
    </row>
    <row r="1251" spans="5:5" s="154" customFormat="1" x14ac:dyDescent="0.35">
      <c r="E1251" s="9"/>
    </row>
    <row r="1252" spans="5:5" s="154" customFormat="1" x14ac:dyDescent="0.35">
      <c r="E1252" s="9"/>
    </row>
    <row r="1253" spans="5:5" s="154" customFormat="1" x14ac:dyDescent="0.35">
      <c r="E1253" s="9"/>
    </row>
    <row r="1254" spans="5:5" s="154" customFormat="1" x14ac:dyDescent="0.35">
      <c r="E1254" s="9"/>
    </row>
    <row r="1255" spans="5:5" s="154" customFormat="1" x14ac:dyDescent="0.35">
      <c r="E1255" s="9"/>
    </row>
    <row r="1256" spans="5:5" s="154" customFormat="1" x14ac:dyDescent="0.35">
      <c r="E1256" s="9"/>
    </row>
    <row r="1257" spans="5:5" s="154" customFormat="1" x14ac:dyDescent="0.35">
      <c r="E1257" s="9"/>
    </row>
    <row r="1258" spans="5:5" s="154" customFormat="1" x14ac:dyDescent="0.35">
      <c r="E1258" s="9"/>
    </row>
    <row r="1259" spans="5:5" s="154" customFormat="1" x14ac:dyDescent="0.35">
      <c r="E1259" s="9"/>
    </row>
    <row r="1260" spans="5:5" s="154" customFormat="1" x14ac:dyDescent="0.35">
      <c r="E1260" s="9"/>
    </row>
    <row r="1261" spans="5:5" s="154" customFormat="1" x14ac:dyDescent="0.35">
      <c r="E1261" s="9"/>
    </row>
    <row r="1262" spans="5:5" s="154" customFormat="1" x14ac:dyDescent="0.35">
      <c r="E1262" s="9"/>
    </row>
    <row r="1263" spans="5:5" s="154" customFormat="1" x14ac:dyDescent="0.35">
      <c r="E1263" s="9"/>
    </row>
    <row r="1264" spans="5:5" s="154" customFormat="1" x14ac:dyDescent="0.35">
      <c r="E1264" s="9"/>
    </row>
    <row r="1265" spans="5:5" s="154" customFormat="1" x14ac:dyDescent="0.35">
      <c r="E1265" s="9"/>
    </row>
    <row r="1266" spans="5:5" s="154" customFormat="1" x14ac:dyDescent="0.35">
      <c r="E1266" s="9"/>
    </row>
    <row r="1267" spans="5:5" s="154" customFormat="1" x14ac:dyDescent="0.35">
      <c r="E1267" s="9"/>
    </row>
    <row r="1268" spans="5:5" s="154" customFormat="1" x14ac:dyDescent="0.35">
      <c r="E1268" s="9"/>
    </row>
    <row r="1269" spans="5:5" s="154" customFormat="1" x14ac:dyDescent="0.35">
      <c r="E1269" s="9"/>
    </row>
    <row r="1270" spans="5:5" s="154" customFormat="1" x14ac:dyDescent="0.35">
      <c r="E1270" s="9"/>
    </row>
    <row r="1271" spans="5:5" s="154" customFormat="1" x14ac:dyDescent="0.35">
      <c r="E1271" s="9"/>
    </row>
    <row r="1272" spans="5:5" s="154" customFormat="1" x14ac:dyDescent="0.35">
      <c r="E1272" s="9"/>
    </row>
    <row r="1273" spans="5:5" s="154" customFormat="1" x14ac:dyDescent="0.35">
      <c r="E1273" s="9"/>
    </row>
    <row r="1274" spans="5:5" s="154" customFormat="1" x14ac:dyDescent="0.35">
      <c r="E1274" s="9"/>
    </row>
    <row r="1275" spans="5:5" s="154" customFormat="1" x14ac:dyDescent="0.35">
      <c r="E1275" s="9"/>
    </row>
    <row r="1276" spans="5:5" s="154" customFormat="1" x14ac:dyDescent="0.35">
      <c r="E1276" s="9"/>
    </row>
    <row r="1277" spans="5:5" s="154" customFormat="1" x14ac:dyDescent="0.35">
      <c r="E1277" s="9"/>
    </row>
    <row r="1278" spans="5:5" s="154" customFormat="1" x14ac:dyDescent="0.35">
      <c r="E1278" s="9"/>
    </row>
    <row r="1279" spans="5:5" s="154" customFormat="1" x14ac:dyDescent="0.35">
      <c r="E1279" s="9"/>
    </row>
    <row r="1280" spans="5:5" s="154" customFormat="1" x14ac:dyDescent="0.35">
      <c r="E1280" s="9"/>
    </row>
    <row r="1281" spans="5:5" s="154" customFormat="1" x14ac:dyDescent="0.35">
      <c r="E1281" s="9"/>
    </row>
    <row r="1282" spans="5:5" s="154" customFormat="1" x14ac:dyDescent="0.35">
      <c r="E1282" s="9"/>
    </row>
    <row r="1283" spans="5:5" s="154" customFormat="1" x14ac:dyDescent="0.35">
      <c r="E1283" s="9"/>
    </row>
    <row r="1284" spans="5:5" s="154" customFormat="1" x14ac:dyDescent="0.35">
      <c r="E1284" s="9"/>
    </row>
    <row r="1285" spans="5:5" s="154" customFormat="1" x14ac:dyDescent="0.35">
      <c r="E1285" s="9"/>
    </row>
    <row r="1286" spans="5:5" s="154" customFormat="1" x14ac:dyDescent="0.35">
      <c r="E1286" s="9"/>
    </row>
    <row r="1287" spans="5:5" s="154" customFormat="1" x14ac:dyDescent="0.35">
      <c r="E1287" s="9"/>
    </row>
    <row r="1288" spans="5:5" s="154" customFormat="1" x14ac:dyDescent="0.35">
      <c r="E1288" s="9"/>
    </row>
    <row r="1289" spans="5:5" s="154" customFormat="1" x14ac:dyDescent="0.35">
      <c r="E1289" s="9"/>
    </row>
    <row r="1290" spans="5:5" s="154" customFormat="1" x14ac:dyDescent="0.35">
      <c r="E1290" s="9"/>
    </row>
    <row r="1291" spans="5:5" s="154" customFormat="1" x14ac:dyDescent="0.35">
      <c r="E1291" s="9"/>
    </row>
    <row r="1292" spans="5:5" s="154" customFormat="1" x14ac:dyDescent="0.35">
      <c r="E1292" s="9"/>
    </row>
    <row r="1293" spans="5:5" s="154" customFormat="1" x14ac:dyDescent="0.35">
      <c r="E1293" s="9"/>
    </row>
    <row r="1294" spans="5:5" s="154" customFormat="1" x14ac:dyDescent="0.35">
      <c r="E1294" s="9"/>
    </row>
    <row r="1295" spans="5:5" s="154" customFormat="1" x14ac:dyDescent="0.35">
      <c r="E1295" s="9"/>
    </row>
    <row r="1296" spans="5:5" s="154" customFormat="1" x14ac:dyDescent="0.35">
      <c r="E1296" s="9"/>
    </row>
    <row r="1297" spans="5:5" s="154" customFormat="1" x14ac:dyDescent="0.35">
      <c r="E1297" s="9"/>
    </row>
    <row r="1298" spans="5:5" s="154" customFormat="1" x14ac:dyDescent="0.35">
      <c r="E1298" s="9"/>
    </row>
    <row r="1299" spans="5:5" s="154" customFormat="1" x14ac:dyDescent="0.35">
      <c r="E1299" s="9"/>
    </row>
    <row r="1300" spans="5:5" s="154" customFormat="1" x14ac:dyDescent="0.35">
      <c r="E1300" s="9"/>
    </row>
    <row r="1301" spans="5:5" s="154" customFormat="1" x14ac:dyDescent="0.35">
      <c r="E1301" s="9"/>
    </row>
    <row r="1302" spans="5:5" s="154" customFormat="1" x14ac:dyDescent="0.35">
      <c r="E1302" s="9"/>
    </row>
    <row r="1303" spans="5:5" s="154" customFormat="1" x14ac:dyDescent="0.35">
      <c r="E1303" s="9"/>
    </row>
    <row r="1304" spans="5:5" s="154" customFormat="1" x14ac:dyDescent="0.35">
      <c r="E1304" s="9"/>
    </row>
    <row r="1305" spans="5:5" s="154" customFormat="1" x14ac:dyDescent="0.35">
      <c r="E1305" s="9"/>
    </row>
    <row r="1306" spans="5:5" s="154" customFormat="1" x14ac:dyDescent="0.35">
      <c r="E1306" s="9"/>
    </row>
    <row r="1307" spans="5:5" s="154" customFormat="1" x14ac:dyDescent="0.35">
      <c r="E1307" s="9"/>
    </row>
    <row r="1308" spans="5:5" s="154" customFormat="1" x14ac:dyDescent="0.35">
      <c r="E1308" s="9"/>
    </row>
    <row r="1309" spans="5:5" s="154" customFormat="1" x14ac:dyDescent="0.35">
      <c r="E1309" s="9"/>
    </row>
    <row r="1310" spans="5:5" s="154" customFormat="1" x14ac:dyDescent="0.35">
      <c r="E1310" s="9"/>
    </row>
    <row r="1311" spans="5:5" s="154" customFormat="1" x14ac:dyDescent="0.35">
      <c r="E1311" s="9"/>
    </row>
    <row r="1312" spans="5:5" s="154" customFormat="1" x14ac:dyDescent="0.35">
      <c r="E1312" s="9"/>
    </row>
    <row r="1313" spans="5:5" s="154" customFormat="1" x14ac:dyDescent="0.35">
      <c r="E1313" s="9"/>
    </row>
    <row r="1314" spans="5:5" s="154" customFormat="1" x14ac:dyDescent="0.35">
      <c r="E1314" s="9"/>
    </row>
    <row r="1315" spans="5:5" s="154" customFormat="1" x14ac:dyDescent="0.35">
      <c r="E1315" s="9"/>
    </row>
    <row r="1316" spans="5:5" s="154" customFormat="1" x14ac:dyDescent="0.35">
      <c r="E1316" s="9"/>
    </row>
    <row r="1317" spans="5:5" s="154" customFormat="1" x14ac:dyDescent="0.35">
      <c r="E1317" s="9"/>
    </row>
    <row r="1318" spans="5:5" s="154" customFormat="1" x14ac:dyDescent="0.35">
      <c r="E1318" s="9"/>
    </row>
    <row r="1319" spans="5:5" s="154" customFormat="1" x14ac:dyDescent="0.35">
      <c r="E1319" s="9"/>
    </row>
    <row r="1320" spans="5:5" s="154" customFormat="1" x14ac:dyDescent="0.35">
      <c r="E1320" s="9"/>
    </row>
    <row r="1321" spans="5:5" s="154" customFormat="1" x14ac:dyDescent="0.35">
      <c r="E1321" s="9"/>
    </row>
    <row r="1322" spans="5:5" s="154" customFormat="1" x14ac:dyDescent="0.35">
      <c r="E1322" s="9"/>
    </row>
    <row r="1323" spans="5:5" s="154" customFormat="1" x14ac:dyDescent="0.35">
      <c r="E1323" s="9"/>
    </row>
    <row r="1324" spans="5:5" s="154" customFormat="1" x14ac:dyDescent="0.35">
      <c r="E1324" s="9"/>
    </row>
    <row r="1325" spans="5:5" s="154" customFormat="1" x14ac:dyDescent="0.35">
      <c r="E1325" s="9"/>
    </row>
    <row r="1326" spans="5:5" s="154" customFormat="1" x14ac:dyDescent="0.35">
      <c r="E1326" s="9"/>
    </row>
    <row r="1327" spans="5:5" s="154" customFormat="1" x14ac:dyDescent="0.35">
      <c r="E1327" s="9"/>
    </row>
    <row r="1328" spans="5:5" s="154" customFormat="1" x14ac:dyDescent="0.35">
      <c r="E1328" s="9"/>
    </row>
    <row r="1329" spans="5:5" s="154" customFormat="1" x14ac:dyDescent="0.35">
      <c r="E1329" s="9"/>
    </row>
    <row r="1330" spans="5:5" s="154" customFormat="1" x14ac:dyDescent="0.35">
      <c r="E1330" s="9"/>
    </row>
    <row r="1331" spans="5:5" s="154" customFormat="1" x14ac:dyDescent="0.35">
      <c r="E1331" s="9"/>
    </row>
    <row r="1332" spans="5:5" s="154" customFormat="1" x14ac:dyDescent="0.35">
      <c r="E1332" s="9"/>
    </row>
    <row r="1333" spans="5:5" s="154" customFormat="1" x14ac:dyDescent="0.35">
      <c r="E1333" s="9"/>
    </row>
    <row r="1334" spans="5:5" s="154" customFormat="1" x14ac:dyDescent="0.35">
      <c r="E1334" s="9"/>
    </row>
    <row r="1335" spans="5:5" s="154" customFormat="1" x14ac:dyDescent="0.35">
      <c r="E1335" s="9"/>
    </row>
    <row r="1336" spans="5:5" s="154" customFormat="1" x14ac:dyDescent="0.35">
      <c r="E1336" s="9"/>
    </row>
    <row r="1337" spans="5:5" s="154" customFormat="1" x14ac:dyDescent="0.35">
      <c r="E1337" s="9"/>
    </row>
    <row r="1338" spans="5:5" s="154" customFormat="1" x14ac:dyDescent="0.35">
      <c r="E1338" s="9"/>
    </row>
    <row r="1339" spans="5:5" s="154" customFormat="1" x14ac:dyDescent="0.35">
      <c r="E1339" s="9"/>
    </row>
    <row r="1340" spans="5:5" s="154" customFormat="1" x14ac:dyDescent="0.35">
      <c r="E1340" s="9"/>
    </row>
    <row r="1341" spans="5:5" s="154" customFormat="1" x14ac:dyDescent="0.35">
      <c r="E1341" s="9"/>
    </row>
    <row r="1342" spans="5:5" s="154" customFormat="1" x14ac:dyDescent="0.35">
      <c r="E1342" s="9"/>
    </row>
    <row r="1343" spans="5:5" s="154" customFormat="1" x14ac:dyDescent="0.35">
      <c r="E1343" s="9"/>
    </row>
    <row r="1344" spans="5:5" s="154" customFormat="1" x14ac:dyDescent="0.35">
      <c r="E1344" s="9"/>
    </row>
    <row r="1345" spans="5:5" s="154" customFormat="1" x14ac:dyDescent="0.35">
      <c r="E1345" s="9"/>
    </row>
    <row r="1346" spans="5:5" s="154" customFormat="1" x14ac:dyDescent="0.35">
      <c r="E1346" s="9"/>
    </row>
    <row r="1347" spans="5:5" s="154" customFormat="1" x14ac:dyDescent="0.35">
      <c r="E1347" s="9"/>
    </row>
    <row r="1348" spans="5:5" s="154" customFormat="1" x14ac:dyDescent="0.35">
      <c r="E1348" s="9"/>
    </row>
    <row r="1349" spans="5:5" s="154" customFormat="1" x14ac:dyDescent="0.35">
      <c r="E1349" s="9"/>
    </row>
    <row r="1350" spans="5:5" s="154" customFormat="1" x14ac:dyDescent="0.35">
      <c r="E1350" s="9"/>
    </row>
    <row r="1351" spans="5:5" s="154" customFormat="1" x14ac:dyDescent="0.35">
      <c r="E1351" s="9"/>
    </row>
    <row r="1352" spans="5:5" s="154" customFormat="1" x14ac:dyDescent="0.35">
      <c r="E1352" s="9"/>
    </row>
    <row r="1353" spans="5:5" s="154" customFormat="1" x14ac:dyDescent="0.35">
      <c r="E1353" s="9"/>
    </row>
    <row r="1354" spans="5:5" s="154" customFormat="1" x14ac:dyDescent="0.35">
      <c r="E1354" s="9"/>
    </row>
    <row r="1355" spans="5:5" s="154" customFormat="1" x14ac:dyDescent="0.35">
      <c r="E1355" s="9"/>
    </row>
    <row r="1356" spans="5:5" s="154" customFormat="1" x14ac:dyDescent="0.35">
      <c r="E1356" s="9"/>
    </row>
    <row r="1357" spans="5:5" s="154" customFormat="1" x14ac:dyDescent="0.35">
      <c r="E1357" s="9"/>
    </row>
    <row r="1358" spans="5:5" s="154" customFormat="1" x14ac:dyDescent="0.35">
      <c r="E1358" s="9"/>
    </row>
    <row r="1359" spans="5:5" s="154" customFormat="1" x14ac:dyDescent="0.35">
      <c r="E1359" s="9"/>
    </row>
    <row r="1360" spans="5:5" s="154" customFormat="1" x14ac:dyDescent="0.35">
      <c r="E1360" s="9"/>
    </row>
    <row r="1361" spans="5:5" s="154" customFormat="1" x14ac:dyDescent="0.35">
      <c r="E1361" s="9"/>
    </row>
    <row r="1362" spans="5:5" s="154" customFormat="1" x14ac:dyDescent="0.35">
      <c r="E1362" s="9"/>
    </row>
    <row r="1363" spans="5:5" s="154" customFormat="1" x14ac:dyDescent="0.35">
      <c r="E1363" s="9"/>
    </row>
    <row r="1364" spans="5:5" s="154" customFormat="1" x14ac:dyDescent="0.35">
      <c r="E1364" s="9"/>
    </row>
    <row r="1365" spans="5:5" s="154" customFormat="1" x14ac:dyDescent="0.35">
      <c r="E1365" s="9"/>
    </row>
    <row r="1366" spans="5:5" s="154" customFormat="1" x14ac:dyDescent="0.35">
      <c r="E1366" s="9"/>
    </row>
    <row r="1367" spans="5:5" s="154" customFormat="1" x14ac:dyDescent="0.35">
      <c r="E1367" s="9"/>
    </row>
    <row r="1368" spans="5:5" s="154" customFormat="1" x14ac:dyDescent="0.35">
      <c r="E1368" s="9"/>
    </row>
    <row r="1369" spans="5:5" s="154" customFormat="1" x14ac:dyDescent="0.35">
      <c r="E1369" s="9"/>
    </row>
    <row r="1370" spans="5:5" s="154" customFormat="1" x14ac:dyDescent="0.35">
      <c r="E1370" s="9"/>
    </row>
    <row r="1371" spans="5:5" s="154" customFormat="1" x14ac:dyDescent="0.35">
      <c r="E1371" s="9"/>
    </row>
    <row r="1372" spans="5:5" s="154" customFormat="1" x14ac:dyDescent="0.35">
      <c r="E1372" s="9"/>
    </row>
    <row r="1373" spans="5:5" s="154" customFormat="1" x14ac:dyDescent="0.35">
      <c r="E1373" s="9"/>
    </row>
    <row r="1374" spans="5:5" s="154" customFormat="1" x14ac:dyDescent="0.35">
      <c r="E1374" s="9"/>
    </row>
    <row r="1375" spans="5:5" s="154" customFormat="1" x14ac:dyDescent="0.35">
      <c r="E1375" s="9"/>
    </row>
    <row r="1376" spans="5:5" s="154" customFormat="1" x14ac:dyDescent="0.35">
      <c r="E1376" s="9"/>
    </row>
    <row r="1377" spans="5:5" s="154" customFormat="1" x14ac:dyDescent="0.35">
      <c r="E1377" s="9"/>
    </row>
    <row r="1378" spans="5:5" s="154" customFormat="1" x14ac:dyDescent="0.35">
      <c r="E1378" s="9"/>
    </row>
    <row r="1379" spans="5:5" s="154" customFormat="1" x14ac:dyDescent="0.35">
      <c r="E1379" s="9"/>
    </row>
    <row r="1380" spans="5:5" s="154" customFormat="1" x14ac:dyDescent="0.35">
      <c r="E1380" s="9"/>
    </row>
    <row r="1381" spans="5:5" s="154" customFormat="1" x14ac:dyDescent="0.35">
      <c r="E1381" s="9"/>
    </row>
    <row r="1382" spans="5:5" s="154" customFormat="1" x14ac:dyDescent="0.35">
      <c r="E1382" s="9"/>
    </row>
    <row r="1383" spans="5:5" s="154" customFormat="1" x14ac:dyDescent="0.35">
      <c r="E1383" s="9"/>
    </row>
    <row r="1384" spans="5:5" s="154" customFormat="1" x14ac:dyDescent="0.35">
      <c r="E1384" s="9"/>
    </row>
    <row r="1385" spans="5:5" s="154" customFormat="1" x14ac:dyDescent="0.35">
      <c r="E1385" s="9"/>
    </row>
    <row r="1386" spans="5:5" s="154" customFormat="1" x14ac:dyDescent="0.35">
      <c r="E1386" s="9"/>
    </row>
    <row r="1387" spans="5:5" s="154" customFormat="1" x14ac:dyDescent="0.35">
      <c r="E1387" s="9"/>
    </row>
    <row r="1388" spans="5:5" s="154" customFormat="1" x14ac:dyDescent="0.35">
      <c r="E1388" s="9"/>
    </row>
    <row r="1389" spans="5:5" s="154" customFormat="1" x14ac:dyDescent="0.35">
      <c r="E1389" s="9"/>
    </row>
    <row r="1390" spans="5:5" s="154" customFormat="1" x14ac:dyDescent="0.35">
      <c r="E1390" s="9"/>
    </row>
    <row r="1391" spans="5:5" s="154" customFormat="1" x14ac:dyDescent="0.35">
      <c r="E1391" s="9"/>
    </row>
    <row r="1392" spans="5:5" s="154" customFormat="1" x14ac:dyDescent="0.35">
      <c r="E1392" s="9"/>
    </row>
    <row r="1393" spans="5:5" s="154" customFormat="1" x14ac:dyDescent="0.35">
      <c r="E1393" s="9"/>
    </row>
    <row r="1394" spans="5:5" s="154" customFormat="1" x14ac:dyDescent="0.35">
      <c r="E1394" s="9"/>
    </row>
    <row r="1395" spans="5:5" s="154" customFormat="1" x14ac:dyDescent="0.35">
      <c r="E1395" s="9"/>
    </row>
    <row r="1396" spans="5:5" s="154" customFormat="1" x14ac:dyDescent="0.35">
      <c r="E1396" s="9"/>
    </row>
    <row r="1397" spans="5:5" s="154" customFormat="1" x14ac:dyDescent="0.35">
      <c r="E1397" s="9"/>
    </row>
    <row r="1398" spans="5:5" s="154" customFormat="1" x14ac:dyDescent="0.35">
      <c r="E1398" s="9"/>
    </row>
    <row r="1399" spans="5:5" s="154" customFormat="1" x14ac:dyDescent="0.35">
      <c r="E1399" s="9"/>
    </row>
    <row r="1400" spans="5:5" s="154" customFormat="1" x14ac:dyDescent="0.35">
      <c r="E1400" s="9"/>
    </row>
    <row r="1401" spans="5:5" s="154" customFormat="1" x14ac:dyDescent="0.35">
      <c r="E1401" s="9"/>
    </row>
    <row r="1402" spans="5:5" s="154" customFormat="1" x14ac:dyDescent="0.35">
      <c r="E1402" s="9"/>
    </row>
    <row r="1403" spans="5:5" s="154" customFormat="1" x14ac:dyDescent="0.35">
      <c r="E1403" s="9"/>
    </row>
    <row r="1404" spans="5:5" s="154" customFormat="1" x14ac:dyDescent="0.35">
      <c r="E1404" s="9"/>
    </row>
    <row r="1405" spans="5:5" s="154" customFormat="1" x14ac:dyDescent="0.35">
      <c r="E1405" s="9"/>
    </row>
    <row r="1406" spans="5:5" s="154" customFormat="1" x14ac:dyDescent="0.35">
      <c r="E1406" s="9"/>
    </row>
    <row r="1407" spans="5:5" s="154" customFormat="1" x14ac:dyDescent="0.35">
      <c r="E1407" s="9"/>
    </row>
    <row r="1408" spans="5:5" s="154" customFormat="1" x14ac:dyDescent="0.35">
      <c r="E1408" s="9"/>
    </row>
    <row r="1409" spans="5:5" s="154" customFormat="1" x14ac:dyDescent="0.35">
      <c r="E1409" s="9"/>
    </row>
    <row r="1410" spans="5:5" s="154" customFormat="1" x14ac:dyDescent="0.35">
      <c r="E1410" s="9"/>
    </row>
    <row r="1411" spans="5:5" s="154" customFormat="1" x14ac:dyDescent="0.35">
      <c r="E1411" s="9"/>
    </row>
    <row r="1412" spans="5:5" s="154" customFormat="1" x14ac:dyDescent="0.35">
      <c r="E1412" s="9"/>
    </row>
    <row r="1413" spans="5:5" s="154" customFormat="1" x14ac:dyDescent="0.35">
      <c r="E1413" s="9"/>
    </row>
    <row r="1414" spans="5:5" s="154" customFormat="1" x14ac:dyDescent="0.35">
      <c r="E1414" s="9"/>
    </row>
    <row r="1415" spans="5:5" s="154" customFormat="1" x14ac:dyDescent="0.35">
      <c r="E1415" s="9"/>
    </row>
    <row r="1416" spans="5:5" s="154" customFormat="1" x14ac:dyDescent="0.35">
      <c r="E1416" s="9"/>
    </row>
    <row r="1417" spans="5:5" s="154" customFormat="1" x14ac:dyDescent="0.35">
      <c r="E1417" s="9"/>
    </row>
    <row r="1418" spans="5:5" s="154" customFormat="1" x14ac:dyDescent="0.35">
      <c r="E1418" s="9"/>
    </row>
    <row r="1419" spans="5:5" s="154" customFormat="1" x14ac:dyDescent="0.35">
      <c r="E1419" s="9"/>
    </row>
    <row r="1420" spans="5:5" s="154" customFormat="1" x14ac:dyDescent="0.35">
      <c r="E1420" s="9"/>
    </row>
    <row r="1421" spans="5:5" s="154" customFormat="1" x14ac:dyDescent="0.35">
      <c r="E1421" s="9"/>
    </row>
    <row r="1422" spans="5:5" s="154" customFormat="1" x14ac:dyDescent="0.35">
      <c r="E1422" s="9"/>
    </row>
    <row r="1423" spans="5:5" s="154" customFormat="1" x14ac:dyDescent="0.35">
      <c r="E1423" s="9"/>
    </row>
    <row r="1424" spans="5:5" s="154" customFormat="1" x14ac:dyDescent="0.35">
      <c r="E1424" s="9"/>
    </row>
    <row r="1425" spans="5:5" s="154" customFormat="1" x14ac:dyDescent="0.35">
      <c r="E1425" s="9"/>
    </row>
    <row r="1426" spans="5:5" s="154" customFormat="1" x14ac:dyDescent="0.35">
      <c r="E1426" s="9"/>
    </row>
    <row r="1427" spans="5:5" s="154" customFormat="1" x14ac:dyDescent="0.35">
      <c r="E1427" s="9"/>
    </row>
    <row r="1428" spans="5:5" s="154" customFormat="1" x14ac:dyDescent="0.35">
      <c r="E1428" s="9"/>
    </row>
    <row r="1429" spans="5:5" s="154" customFormat="1" x14ac:dyDescent="0.35">
      <c r="E1429" s="9"/>
    </row>
    <row r="1430" spans="5:5" s="154" customFormat="1" x14ac:dyDescent="0.35">
      <c r="E1430" s="9"/>
    </row>
    <row r="1431" spans="5:5" s="154" customFormat="1" x14ac:dyDescent="0.35">
      <c r="E1431" s="9"/>
    </row>
    <row r="1432" spans="5:5" s="154" customFormat="1" x14ac:dyDescent="0.35">
      <c r="E1432" s="9"/>
    </row>
    <row r="1433" spans="5:5" s="154" customFormat="1" x14ac:dyDescent="0.35">
      <c r="E1433" s="9"/>
    </row>
    <row r="1434" spans="5:5" s="154" customFormat="1" x14ac:dyDescent="0.35">
      <c r="E1434" s="9"/>
    </row>
    <row r="1435" spans="5:5" s="154" customFormat="1" x14ac:dyDescent="0.35">
      <c r="E1435" s="9"/>
    </row>
    <row r="1436" spans="5:5" s="154" customFormat="1" x14ac:dyDescent="0.35">
      <c r="E1436" s="9"/>
    </row>
    <row r="1437" spans="5:5" s="154" customFormat="1" x14ac:dyDescent="0.35">
      <c r="E1437" s="9"/>
    </row>
    <row r="1438" spans="5:5" s="154" customFormat="1" x14ac:dyDescent="0.35">
      <c r="E1438" s="9"/>
    </row>
    <row r="1439" spans="5:5" s="154" customFormat="1" x14ac:dyDescent="0.35">
      <c r="E1439" s="9"/>
    </row>
    <row r="1440" spans="5:5" s="154" customFormat="1" x14ac:dyDescent="0.35">
      <c r="E1440" s="9"/>
    </row>
    <row r="1441" spans="5:5" s="154" customFormat="1" x14ac:dyDescent="0.35">
      <c r="E1441" s="9"/>
    </row>
    <row r="1442" spans="5:5" s="154" customFormat="1" x14ac:dyDescent="0.35">
      <c r="E1442" s="9"/>
    </row>
    <row r="1443" spans="5:5" s="154" customFormat="1" x14ac:dyDescent="0.35">
      <c r="E1443" s="9"/>
    </row>
    <row r="1444" spans="5:5" s="154" customFormat="1" x14ac:dyDescent="0.35">
      <c r="E1444" s="9"/>
    </row>
    <row r="1445" spans="5:5" s="154" customFormat="1" x14ac:dyDescent="0.35">
      <c r="E1445" s="9"/>
    </row>
    <row r="1446" spans="5:5" s="154" customFormat="1" x14ac:dyDescent="0.35">
      <c r="E1446" s="9"/>
    </row>
    <row r="1447" spans="5:5" s="154" customFormat="1" x14ac:dyDescent="0.35">
      <c r="E1447" s="9"/>
    </row>
    <row r="1448" spans="5:5" s="154" customFormat="1" x14ac:dyDescent="0.35">
      <c r="E1448" s="9"/>
    </row>
    <row r="1449" spans="5:5" s="154" customFormat="1" x14ac:dyDescent="0.35">
      <c r="E1449" s="9"/>
    </row>
    <row r="1450" spans="5:5" s="154" customFormat="1" x14ac:dyDescent="0.35">
      <c r="E1450" s="9"/>
    </row>
    <row r="1451" spans="5:5" s="154" customFormat="1" x14ac:dyDescent="0.35">
      <c r="E1451" s="9"/>
    </row>
    <row r="1452" spans="5:5" s="154" customFormat="1" x14ac:dyDescent="0.35">
      <c r="E1452" s="9"/>
    </row>
    <row r="1453" spans="5:5" s="154" customFormat="1" x14ac:dyDescent="0.35">
      <c r="E1453" s="9"/>
    </row>
    <row r="1454" spans="5:5" s="154" customFormat="1" x14ac:dyDescent="0.35">
      <c r="E1454" s="9"/>
    </row>
    <row r="1455" spans="5:5" s="154" customFormat="1" x14ac:dyDescent="0.35">
      <c r="E1455" s="9"/>
    </row>
    <row r="1456" spans="5:5" s="154" customFormat="1" x14ac:dyDescent="0.35">
      <c r="E1456" s="9"/>
    </row>
    <row r="1457" spans="5:5" s="154" customFormat="1" x14ac:dyDescent="0.35">
      <c r="E1457" s="9"/>
    </row>
    <row r="1458" spans="5:5" s="154" customFormat="1" x14ac:dyDescent="0.35">
      <c r="E1458" s="9"/>
    </row>
    <row r="1459" spans="5:5" s="154" customFormat="1" x14ac:dyDescent="0.35">
      <c r="E1459" s="9"/>
    </row>
    <row r="1460" spans="5:5" s="154" customFormat="1" x14ac:dyDescent="0.35">
      <c r="E1460" s="9"/>
    </row>
    <row r="1461" spans="5:5" s="154" customFormat="1" x14ac:dyDescent="0.35">
      <c r="E1461" s="9"/>
    </row>
    <row r="1462" spans="5:5" s="154" customFormat="1" x14ac:dyDescent="0.35">
      <c r="E1462" s="9"/>
    </row>
    <row r="1463" spans="5:5" s="154" customFormat="1" x14ac:dyDescent="0.35">
      <c r="E1463" s="9"/>
    </row>
    <row r="1464" spans="5:5" s="154" customFormat="1" x14ac:dyDescent="0.35">
      <c r="E1464" s="9"/>
    </row>
    <row r="1465" spans="5:5" s="154" customFormat="1" x14ac:dyDescent="0.35">
      <c r="E1465" s="9"/>
    </row>
    <row r="1466" spans="5:5" s="154" customFormat="1" x14ac:dyDescent="0.35">
      <c r="E1466" s="9"/>
    </row>
    <row r="1467" spans="5:5" s="154" customFormat="1" x14ac:dyDescent="0.35">
      <c r="E1467" s="9"/>
    </row>
    <row r="1468" spans="5:5" s="154" customFormat="1" x14ac:dyDescent="0.35">
      <c r="E1468" s="9"/>
    </row>
    <row r="1469" spans="5:5" s="154" customFormat="1" x14ac:dyDescent="0.35">
      <c r="E1469" s="9"/>
    </row>
    <row r="1470" spans="5:5" s="154" customFormat="1" x14ac:dyDescent="0.35">
      <c r="E1470" s="9"/>
    </row>
    <row r="1471" spans="5:5" s="154" customFormat="1" x14ac:dyDescent="0.35">
      <c r="E1471" s="9"/>
    </row>
    <row r="1472" spans="5:5" s="154" customFormat="1" x14ac:dyDescent="0.35">
      <c r="E1472" s="9"/>
    </row>
    <row r="1473" spans="5:5" s="154" customFormat="1" x14ac:dyDescent="0.35">
      <c r="E1473" s="9"/>
    </row>
    <row r="1474" spans="5:5" s="154" customFormat="1" x14ac:dyDescent="0.35">
      <c r="E1474" s="9"/>
    </row>
  </sheetData>
  <mergeCells count="1">
    <mergeCell ref="B2:E2"/>
  </mergeCells>
  <pageMargins left="0.2" right="0.2" top="0.25" bottom="0.25" header="0.25" footer="0.25"/>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499984740745262"/>
  </sheetPr>
  <dimension ref="A1:N19"/>
  <sheetViews>
    <sheetView view="pageBreakPreview" topLeftCell="A7" zoomScale="80" zoomScaleNormal="80" zoomScaleSheetLayoutView="80" workbookViewId="0">
      <selection activeCell="B11" sqref="B11"/>
    </sheetView>
  </sheetViews>
  <sheetFormatPr defaultColWidth="3.26953125" defaultRowHeight="13" x14ac:dyDescent="0.3"/>
  <cols>
    <col min="1" max="1" width="19" style="85" customWidth="1"/>
    <col min="2" max="2" width="23.26953125" style="85" customWidth="1"/>
    <col min="3" max="3" width="19" style="85" customWidth="1"/>
    <col min="4" max="4" width="23.26953125" style="85" customWidth="1"/>
    <col min="5" max="5" width="19" style="85" customWidth="1"/>
    <col min="6" max="6" width="23.26953125" style="85" customWidth="1"/>
    <col min="7" max="7" width="19" style="85" customWidth="1"/>
    <col min="8" max="8" width="23.26953125" style="85" customWidth="1"/>
    <col min="9" max="9" width="19" style="85" customWidth="1"/>
    <col min="10" max="10" width="23.26953125" style="85" customWidth="1"/>
    <col min="11" max="14" width="3.26953125" style="85"/>
    <col min="15" max="15" width="3.26953125" style="85" customWidth="1"/>
    <col min="16" max="16384" width="3.26953125" style="85"/>
  </cols>
  <sheetData>
    <row r="1" spans="1:14" ht="120.75" customHeight="1" thickBot="1" x14ac:dyDescent="0.35">
      <c r="A1" s="1179" t="s">
        <v>81</v>
      </c>
      <c r="B1" s="1180"/>
      <c r="C1" s="1180"/>
      <c r="D1" s="1180"/>
      <c r="E1" s="1180"/>
      <c r="F1" s="1180"/>
      <c r="G1" s="1180"/>
      <c r="H1" s="1180"/>
      <c r="I1" s="1180"/>
      <c r="J1" s="1181"/>
    </row>
    <row r="2" spans="1:14" ht="20.25" customHeight="1" thickBot="1" x14ac:dyDescent="0.5">
      <c r="A2" s="273" t="s">
        <v>12</v>
      </c>
      <c r="B2" s="1182" t="str">
        <f>'b. Problems to Objectives'!B2:E2</f>
        <v>REselience SUpport Leading To Sustainable Livelihoods for South Sudanese Refugees (RESULTS Livelihoods) Project</v>
      </c>
      <c r="C2" s="1183"/>
      <c r="D2" s="1183"/>
      <c r="E2" s="1183"/>
      <c r="F2" s="1183"/>
      <c r="G2" s="1183"/>
      <c r="H2" s="1184"/>
      <c r="I2" s="245"/>
      <c r="J2" s="246"/>
      <c r="K2" s="100"/>
      <c r="L2" s="100"/>
      <c r="M2" s="100"/>
      <c r="N2" s="100"/>
    </row>
    <row r="3" spans="1:14" ht="13.5" thickBot="1" x14ac:dyDescent="0.35">
      <c r="A3" s="247"/>
      <c r="B3" s="248"/>
      <c r="C3" s="248"/>
      <c r="D3" s="248"/>
      <c r="E3" s="248"/>
      <c r="F3" s="248"/>
      <c r="G3" s="248"/>
      <c r="H3" s="248"/>
      <c r="I3" s="248"/>
      <c r="J3" s="249"/>
    </row>
    <row r="4" spans="1:14" ht="37.5" customHeight="1" thickBot="1" x14ac:dyDescent="0.5">
      <c r="A4" s="266" t="s">
        <v>11</v>
      </c>
      <c r="B4" s="250" t="str">
        <f>'b. Problems to Objectives'!E4</f>
        <v>Targeted South Sudan refugees and their host communities  optimize income, self reliance and livelihood opportunities</v>
      </c>
      <c r="C4" s="251"/>
      <c r="D4" s="251"/>
      <c r="E4" s="251"/>
      <c r="F4" s="251"/>
      <c r="G4" s="251"/>
      <c r="H4" s="252"/>
      <c r="I4" s="253"/>
      <c r="J4" s="254"/>
    </row>
    <row r="5" spans="1:14" ht="81" customHeight="1" thickBot="1" x14ac:dyDescent="0.35">
      <c r="A5" s="255"/>
      <c r="B5" s="248"/>
      <c r="C5" s="253"/>
      <c r="D5" s="253"/>
      <c r="E5" s="253"/>
      <c r="F5" s="253"/>
      <c r="G5" s="253"/>
      <c r="H5" s="253"/>
      <c r="I5" s="253"/>
      <c r="J5" s="254"/>
    </row>
    <row r="6" spans="1:14" s="97" customFormat="1" ht="26.25" customHeight="1" x14ac:dyDescent="0.55000000000000004">
      <c r="A6" s="274" t="s">
        <v>10</v>
      </c>
      <c r="B6" s="267"/>
      <c r="C6" s="274" t="str">
        <f>A6</f>
        <v>Outcome</v>
      </c>
      <c r="D6" s="267"/>
      <c r="E6" s="274" t="str">
        <f>C6</f>
        <v>Outcome</v>
      </c>
      <c r="F6" s="267"/>
      <c r="G6" s="274" t="str">
        <f>E6</f>
        <v>Outcome</v>
      </c>
      <c r="H6" s="267"/>
      <c r="I6" s="274" t="str">
        <f>G6</f>
        <v>Outcome</v>
      </c>
      <c r="J6" s="256"/>
    </row>
    <row r="7" spans="1:14" ht="21.5" thickBot="1" x14ac:dyDescent="0.55000000000000004">
      <c r="A7" s="275">
        <v>1</v>
      </c>
      <c r="B7" s="265"/>
      <c r="C7" s="275">
        <f>A7+1</f>
        <v>2</v>
      </c>
      <c r="D7" s="265"/>
      <c r="E7" s="275">
        <f>C7+1</f>
        <v>3</v>
      </c>
      <c r="F7" s="271"/>
      <c r="G7" s="275">
        <f>E7+1</f>
        <v>4</v>
      </c>
      <c r="H7" s="265"/>
      <c r="I7" s="275">
        <f>G7+1</f>
        <v>5</v>
      </c>
      <c r="J7" s="249"/>
    </row>
    <row r="8" spans="1:14" ht="120.75" customHeight="1" thickBot="1" x14ac:dyDescent="0.35">
      <c r="A8" s="87" t="str">
        <f>'b. Problems to Objectives'!E5</f>
        <v xml:space="preserve">Targeted South Sudan refugees and their host communities have improved productivity and increased income generated from agriculture </v>
      </c>
      <c r="B8" s="86"/>
      <c r="C8" s="93" t="str">
        <f>'b. Problems to Objectives'!E9</f>
        <v>Targeted South Sudan vulnerable refugees have improved living conditions</v>
      </c>
      <c r="D8" s="86"/>
      <c r="E8" s="88">
        <f>'b. Problems to Objectives'!E12</f>
        <v>0</v>
      </c>
      <c r="F8" s="86"/>
      <c r="G8" s="89">
        <f>'b. Problems to Objectives'!E14</f>
        <v>0</v>
      </c>
      <c r="H8" s="86"/>
      <c r="I8" s="90"/>
      <c r="J8" s="244"/>
    </row>
    <row r="9" spans="1:14" s="272" customFormat="1" ht="17.25" customHeight="1" x14ac:dyDescent="0.35">
      <c r="A9" s="261"/>
      <c r="B9" s="276" t="s">
        <v>13</v>
      </c>
      <c r="C9" s="262"/>
      <c r="D9" s="276" t="str">
        <f>B9</f>
        <v>Output</v>
      </c>
      <c r="E9" s="262"/>
      <c r="F9" s="276" t="str">
        <f>D9</f>
        <v>Output</v>
      </c>
      <c r="G9" s="262"/>
      <c r="H9" s="276" t="str">
        <f>F9</f>
        <v>Output</v>
      </c>
      <c r="I9" s="262"/>
      <c r="J9" s="276" t="str">
        <f>H9</f>
        <v>Output</v>
      </c>
    </row>
    <row r="10" spans="1:14" s="270" customFormat="1" ht="16" thickBot="1" x14ac:dyDescent="0.4">
      <c r="A10" s="264"/>
      <c r="B10" s="277">
        <f>A7+0.1</f>
        <v>1.1000000000000001</v>
      </c>
      <c r="C10" s="263"/>
      <c r="D10" s="277">
        <f>C7+0.1</f>
        <v>2.1</v>
      </c>
      <c r="E10" s="263"/>
      <c r="F10" s="277">
        <f>E7+0.1</f>
        <v>3.1</v>
      </c>
      <c r="G10" s="263"/>
      <c r="H10" s="277">
        <f>G7+0.1</f>
        <v>4.0999999999999996</v>
      </c>
      <c r="I10" s="263"/>
      <c r="J10" s="277">
        <f>I7+0.1</f>
        <v>5.0999999999999996</v>
      </c>
    </row>
    <row r="11" spans="1:14" ht="106.5" customHeight="1" thickBot="1" x14ac:dyDescent="0.35">
      <c r="A11" s="257"/>
      <c r="B11" s="92" t="str">
        <f>'b. Problems to Objectives'!E6</f>
        <v xml:space="preserve">Targeted South Sudan Refugees and their host communities have access to agricultural extension services </v>
      </c>
      <c r="C11" s="259"/>
      <c r="D11" s="91" t="str">
        <f>'b. Problems to Objectives'!E10</f>
        <v>Targeted South Sudan vulnerable refugees have access to resources (mission quilts and personal care kits)</v>
      </c>
      <c r="E11" s="259"/>
      <c r="F11" s="94">
        <f>'b. Problems to Objectives'!E13</f>
        <v>0</v>
      </c>
      <c r="G11" s="259"/>
      <c r="H11" s="95">
        <f>'b. Problems to Objectives'!E15</f>
        <v>0</v>
      </c>
      <c r="I11" s="259"/>
      <c r="J11" s="96">
        <f>'b. Problems to Objectives'!E17</f>
        <v>0</v>
      </c>
    </row>
    <row r="12" spans="1:14" s="263" customFormat="1" ht="16" thickBot="1" x14ac:dyDescent="0.4">
      <c r="A12" s="264"/>
      <c r="B12" s="268">
        <f>B10+0.1</f>
        <v>1.2000000000000002</v>
      </c>
      <c r="D12" s="268">
        <f>D10+0.1</f>
        <v>2.2000000000000002</v>
      </c>
      <c r="F12" s="268">
        <f>F10+0.1</f>
        <v>3.2</v>
      </c>
      <c r="H12" s="268">
        <f>H10+0.1</f>
        <v>4.1999999999999993</v>
      </c>
      <c r="J12" s="269">
        <f>J10+0.1</f>
        <v>5.1999999999999993</v>
      </c>
    </row>
    <row r="13" spans="1:14" ht="106.5" customHeight="1" thickBot="1" x14ac:dyDescent="0.35">
      <c r="A13" s="257"/>
      <c r="B13" s="92" t="str">
        <f>'b. Problems to Objectives'!E7</f>
        <v>Targeted South Sudan Refugees and their host communities have access to agricultural inputs</v>
      </c>
      <c r="C13" s="259"/>
      <c r="D13" s="91" t="str">
        <f>'b. Problems to Objectives'!E11</f>
        <v>Targeted South Sudan refugee children have access to material resources (baby care kits)</v>
      </c>
      <c r="E13" s="259"/>
      <c r="F13" s="94"/>
      <c r="G13" s="259"/>
      <c r="H13" s="95"/>
      <c r="I13" s="259"/>
      <c r="J13" s="96"/>
    </row>
    <row r="14" spans="1:14" s="263" customFormat="1" ht="16" thickBot="1" x14ac:dyDescent="0.4">
      <c r="A14" s="264"/>
      <c r="B14" s="268">
        <f>B12+0.1</f>
        <v>1.3000000000000003</v>
      </c>
      <c r="D14" s="268">
        <f>D12+0.1</f>
        <v>2.3000000000000003</v>
      </c>
      <c r="F14" s="268"/>
      <c r="H14" s="268">
        <f>H12+0.1</f>
        <v>4.2999999999999989</v>
      </c>
      <c r="J14" s="269">
        <f>J12+0.1</f>
        <v>5.2999999999999989</v>
      </c>
    </row>
    <row r="15" spans="1:14" ht="106.5" customHeight="1" thickBot="1" x14ac:dyDescent="0.35">
      <c r="A15" s="257"/>
      <c r="B15" s="92" t="str">
        <f>'b. Problems to Objectives'!E8</f>
        <v>Targeted South Sudan Refugees and their host communities practice climate smart agriculture</v>
      </c>
      <c r="C15" s="259"/>
      <c r="D15" s="91"/>
      <c r="E15" s="259"/>
      <c r="F15" s="94"/>
      <c r="G15" s="259"/>
      <c r="H15" s="95"/>
      <c r="I15" s="259"/>
      <c r="J15" s="96"/>
    </row>
    <row r="16" spans="1:14" s="263" customFormat="1" ht="16" thickBot="1" x14ac:dyDescent="0.4">
      <c r="A16" s="264"/>
      <c r="B16" s="268">
        <f>B14+0.1</f>
        <v>1.4000000000000004</v>
      </c>
      <c r="D16" s="268">
        <f>D14+0.1</f>
        <v>2.4000000000000004</v>
      </c>
      <c r="F16" s="268">
        <f>F14+0.1</f>
        <v>0.1</v>
      </c>
      <c r="H16" s="268">
        <f>H14+0.1</f>
        <v>4.3999999999999986</v>
      </c>
      <c r="J16" s="269">
        <f>J14+0.1</f>
        <v>5.3999999999999986</v>
      </c>
    </row>
    <row r="17" spans="1:10" ht="106.5" customHeight="1" thickBot="1" x14ac:dyDescent="0.35">
      <c r="A17" s="257"/>
      <c r="B17" s="92"/>
      <c r="C17" s="259"/>
      <c r="D17" s="91"/>
      <c r="E17" s="259"/>
      <c r="F17" s="94"/>
      <c r="G17" s="259"/>
      <c r="H17" s="95"/>
      <c r="I17" s="259"/>
      <c r="J17" s="96"/>
    </row>
    <row r="18" spans="1:10" s="263" customFormat="1" ht="16" thickBot="1" x14ac:dyDescent="0.4">
      <c r="A18" s="264"/>
      <c r="B18" s="268">
        <f>B16+0.1</f>
        <v>1.5000000000000004</v>
      </c>
      <c r="D18" s="268">
        <f>D16+0.1</f>
        <v>2.5000000000000004</v>
      </c>
      <c r="F18" s="268"/>
      <c r="H18" s="268">
        <f>H16+0.1</f>
        <v>4.4999999999999982</v>
      </c>
      <c r="J18" s="269">
        <f>J16+0.1</f>
        <v>5.4999999999999982</v>
      </c>
    </row>
    <row r="19" spans="1:10" ht="106.5" customHeight="1" thickBot="1" x14ac:dyDescent="0.35">
      <c r="A19" s="258"/>
      <c r="B19" s="92"/>
      <c r="C19" s="260"/>
      <c r="D19" s="91"/>
      <c r="E19" s="260"/>
      <c r="F19" s="94"/>
      <c r="G19" s="260"/>
      <c r="H19" s="95"/>
      <c r="I19" s="260"/>
      <c r="J19" s="96"/>
    </row>
  </sheetData>
  <mergeCells count="2">
    <mergeCell ref="A1:J1"/>
    <mergeCell ref="B2:H2"/>
  </mergeCells>
  <pageMargins left="1" right="1" top="1" bottom="1" header="0.5" footer="0.5"/>
  <pageSetup scale="52" orientation="landscape" r:id="rId1"/>
  <headerFooter>
    <oddHeader>&amp;C&amp;"-,Bold"&amp;12Results Framework</oddHeader>
    <oddFooter>&amp;R&amp;"Times New Roman,Regular"&amp;12Page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499984740745262"/>
  </sheetPr>
  <dimension ref="A1:IS1494"/>
  <sheetViews>
    <sheetView view="pageBreakPreview" topLeftCell="A9" zoomScale="90" zoomScaleNormal="100" zoomScaleSheetLayoutView="90" workbookViewId="0">
      <selection activeCell="E23" sqref="E23:G24"/>
    </sheetView>
  </sheetViews>
  <sheetFormatPr defaultColWidth="8.81640625" defaultRowHeight="13" x14ac:dyDescent="0.35"/>
  <cols>
    <col min="1" max="1" width="11.26953125" style="16" customWidth="1"/>
    <col min="2" max="2" width="6.81640625" style="13" customWidth="1"/>
    <col min="3" max="3" width="26.26953125" style="156" hidden="1" customWidth="1"/>
    <col min="4" max="4" width="34.54296875" style="156" hidden="1" customWidth="1"/>
    <col min="5" max="5" width="41.81640625" style="8" customWidth="1"/>
    <col min="6" max="6" width="33.81640625" style="8" customWidth="1"/>
    <col min="7" max="7" width="35" style="8" customWidth="1"/>
    <col min="8" max="8" width="31.54296875" style="8" customWidth="1"/>
    <col min="9" max="11" width="3.453125" style="6" customWidth="1"/>
    <col min="12" max="16384" width="8.81640625" style="6"/>
  </cols>
  <sheetData>
    <row r="1" spans="1:253" ht="26.5" customHeight="1" thickBot="1" x14ac:dyDescent="0.4">
      <c r="A1" s="242" t="str">
        <f>'c. Results Framework'!A2</f>
        <v>Project Title</v>
      </c>
      <c r="B1" s="243"/>
      <c r="C1" s="240"/>
      <c r="D1" s="240"/>
      <c r="E1" s="1191" t="str">
        <f>'c. Results Framework'!B2</f>
        <v>REselience SUpport Leading To Sustainable Livelihoods for South Sudanese Refugees (RESULTS Livelihoods) Project</v>
      </c>
      <c r="F1" s="1192"/>
      <c r="G1" s="1192"/>
      <c r="H1" s="1193"/>
    </row>
    <row r="2" spans="1:253" ht="37.5" customHeight="1" thickBot="1" x14ac:dyDescent="0.4">
      <c r="A2" s="241"/>
      <c r="B2" s="156"/>
      <c r="C2" s="190" t="s">
        <v>49</v>
      </c>
      <c r="D2" s="191" t="s">
        <v>34</v>
      </c>
      <c r="E2" s="192" t="s">
        <v>19</v>
      </c>
      <c r="F2" s="193" t="s">
        <v>7</v>
      </c>
      <c r="G2" s="193" t="s">
        <v>8</v>
      </c>
      <c r="H2" s="194" t="s">
        <v>9</v>
      </c>
    </row>
    <row r="3" spans="1:253" s="5" customFormat="1" ht="25.5" customHeight="1" thickBot="1" x14ac:dyDescent="0.4">
      <c r="A3" s="195" t="str">
        <f>'c. Results Framework'!A4</f>
        <v>GOAL:</v>
      </c>
      <c r="B3" s="196"/>
      <c r="C3" s="196" t="str">
        <f>'b. Problems to Objectives'!B4</f>
        <v>Targeted South Sudan refugees and their host communities do not optimise income and livelihood opportunities</v>
      </c>
      <c r="D3" s="196">
        <f>'b. Problems to Objectives'!C4</f>
        <v>0</v>
      </c>
      <c r="E3" s="1200" t="str">
        <f>'c. Results Framework'!B4</f>
        <v>Targeted South Sudan refugees and their host communities  optimize income, self reliance and livelihood opportunities</v>
      </c>
      <c r="F3" s="1200"/>
      <c r="G3" s="1200"/>
      <c r="H3" s="1201"/>
    </row>
    <row r="4" spans="1:253" s="17" customFormat="1" ht="52.5" thickBot="1" x14ac:dyDescent="0.4">
      <c r="A4" s="233" t="str">
        <f>'c. Results Framework'!A6</f>
        <v>Outcome</v>
      </c>
      <c r="B4" s="234">
        <f>'c. Results Framework'!A7</f>
        <v>1</v>
      </c>
      <c r="C4" s="234" t="str">
        <f>'b. Problems to Objectives'!B5</f>
        <v>Targeted South Sudan refugees and their host communities have poor productivity and low income from agriculture</v>
      </c>
      <c r="D4" s="234">
        <f>'b. Problems to Objectives'!C5</f>
        <v>0</v>
      </c>
      <c r="E4" s="235" t="str">
        <f>'c. Results Framework'!A8</f>
        <v xml:space="preserve">Targeted South Sudan refugees and their host communities have improved productivity and increased income generated from agriculture </v>
      </c>
      <c r="F4" s="236" t="s">
        <v>137</v>
      </c>
      <c r="G4" s="236" t="s">
        <v>125</v>
      </c>
      <c r="H4" s="237" t="s">
        <v>128</v>
      </c>
    </row>
    <row r="5" spans="1:253" s="5" customFormat="1" ht="65" x14ac:dyDescent="0.35">
      <c r="A5" s="173" t="str">
        <f>'c. Results Framework'!B9</f>
        <v>Output</v>
      </c>
      <c r="B5" s="183">
        <f>'c. Results Framework'!B10</f>
        <v>1.1000000000000001</v>
      </c>
      <c r="C5" s="183" t="str">
        <f>'b. Problems to Objectives'!B6</f>
        <v>Targeted South Sudan refugees and their host communities have poor access to agricultural extension services</v>
      </c>
      <c r="D5" s="183">
        <f>'b. Problems to Objectives'!C6</f>
        <v>0</v>
      </c>
      <c r="E5" s="210" t="str">
        <f>'c. Results Framework'!B11</f>
        <v xml:space="preserve">Targeted South Sudan Refugees and their host communities have access to agricultural extension services </v>
      </c>
      <c r="F5" s="211" t="s">
        <v>138</v>
      </c>
      <c r="G5" s="211" t="s">
        <v>126</v>
      </c>
      <c r="H5" s="212" t="s">
        <v>127</v>
      </c>
    </row>
    <row r="6" spans="1:253" s="5" customFormat="1" x14ac:dyDescent="0.35">
      <c r="A6" s="180" t="s">
        <v>55</v>
      </c>
      <c r="B6" s="181" t="s">
        <v>56</v>
      </c>
      <c r="C6" s="181"/>
      <c r="D6" s="181"/>
      <c r="E6" s="1185" t="s">
        <v>113</v>
      </c>
      <c r="F6" s="1186"/>
      <c r="G6" s="1187"/>
      <c r="H6" s="182"/>
    </row>
    <row r="7" spans="1:253" s="5" customFormat="1" x14ac:dyDescent="0.35">
      <c r="A7" s="180" t="s">
        <v>55</v>
      </c>
      <c r="B7" s="181" t="s">
        <v>57</v>
      </c>
      <c r="C7" s="181"/>
      <c r="D7" s="181"/>
      <c r="E7" s="1185" t="s">
        <v>114</v>
      </c>
      <c r="F7" s="1186"/>
      <c r="G7" s="1187"/>
      <c r="H7" s="182"/>
    </row>
    <row r="8" spans="1:253" s="5" customFormat="1" x14ac:dyDescent="0.35">
      <c r="A8" s="180" t="s">
        <v>55</v>
      </c>
      <c r="B8" s="181" t="s">
        <v>58</v>
      </c>
      <c r="C8" s="181"/>
      <c r="D8" s="181"/>
      <c r="E8" s="1185" t="s">
        <v>115</v>
      </c>
      <c r="F8" s="1186"/>
      <c r="G8" s="1187"/>
      <c r="H8" s="182"/>
    </row>
    <row r="9" spans="1:253" ht="68.5" customHeight="1" x14ac:dyDescent="0.35">
      <c r="A9" s="160" t="str">
        <f>A5</f>
        <v>Output</v>
      </c>
      <c r="B9" s="161">
        <f>'c. Results Framework'!B12</f>
        <v>1.2000000000000002</v>
      </c>
      <c r="C9" s="161" t="str">
        <f>'b. Problems to Objectives'!B7</f>
        <v>Targeted South Sudan refugees and their host communities have limited access to agricultural inputs</v>
      </c>
      <c r="D9" s="161">
        <f>'b. Problems to Objectives'!C7</f>
        <v>0</v>
      </c>
      <c r="E9" s="99" t="str">
        <f>'c. Results Framework'!B13</f>
        <v>Targeted South Sudan Refugees and their host communities have access to agricultural inputs</v>
      </c>
      <c r="F9" s="10" t="s">
        <v>139</v>
      </c>
      <c r="G9" s="10" t="s">
        <v>129</v>
      </c>
      <c r="H9" s="11" t="s">
        <v>130</v>
      </c>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c r="DP9" s="5"/>
      <c r="DQ9" s="5"/>
      <c r="DR9" s="5"/>
      <c r="DS9" s="5"/>
      <c r="DT9" s="5"/>
      <c r="DU9" s="5"/>
      <c r="DV9" s="5"/>
      <c r="DW9" s="5"/>
      <c r="DX9" s="5"/>
      <c r="DY9" s="5"/>
      <c r="DZ9" s="5"/>
      <c r="EA9" s="5"/>
      <c r="EB9" s="5"/>
      <c r="EC9" s="5"/>
      <c r="ED9" s="5"/>
      <c r="EE9" s="5"/>
      <c r="EF9" s="5"/>
      <c r="EG9" s="5"/>
      <c r="EH9" s="5"/>
      <c r="EI9" s="5"/>
      <c r="EJ9" s="5"/>
      <c r="EK9" s="5"/>
      <c r="EL9" s="5"/>
      <c r="EM9" s="5"/>
      <c r="EN9" s="5"/>
      <c r="EO9" s="5"/>
      <c r="EP9" s="5"/>
      <c r="EQ9" s="5"/>
      <c r="ER9" s="5"/>
      <c r="ES9" s="5"/>
      <c r="ET9" s="5"/>
      <c r="EU9" s="5"/>
      <c r="EV9" s="5"/>
      <c r="EW9" s="5"/>
      <c r="EX9" s="5"/>
      <c r="EY9" s="5"/>
      <c r="EZ9" s="5"/>
      <c r="FA9" s="5"/>
      <c r="FB9" s="5"/>
      <c r="FC9" s="5"/>
      <c r="FD9" s="5"/>
      <c r="FE9" s="5"/>
      <c r="FF9" s="5"/>
      <c r="FG9" s="5"/>
      <c r="FH9" s="5"/>
      <c r="FI9" s="5"/>
      <c r="FJ9" s="5"/>
      <c r="FK9" s="5"/>
      <c r="FL9" s="5"/>
      <c r="FM9" s="5"/>
      <c r="FN9" s="5"/>
      <c r="FO9" s="5"/>
      <c r="FP9" s="5"/>
      <c r="FQ9" s="5"/>
      <c r="FR9" s="5"/>
      <c r="FS9" s="5"/>
      <c r="FT9" s="5"/>
      <c r="FU9" s="5"/>
      <c r="FV9" s="5"/>
      <c r="FW9" s="5"/>
      <c r="FX9" s="5"/>
      <c r="FY9" s="5"/>
      <c r="FZ9" s="5"/>
      <c r="GA9" s="5"/>
      <c r="GB9" s="5"/>
      <c r="GC9" s="5"/>
      <c r="GD9" s="5"/>
      <c r="GE9" s="5"/>
      <c r="GF9" s="5"/>
      <c r="GG9" s="5"/>
      <c r="GH9" s="5"/>
      <c r="GI9" s="5"/>
      <c r="GJ9" s="5"/>
      <c r="GK9" s="5"/>
      <c r="GL9" s="5"/>
      <c r="GM9" s="5"/>
      <c r="GN9" s="5"/>
      <c r="GO9" s="5"/>
      <c r="GP9" s="5"/>
      <c r="GQ9" s="5"/>
      <c r="GR9" s="5"/>
      <c r="GS9" s="5"/>
      <c r="GT9" s="5"/>
      <c r="GU9" s="5"/>
      <c r="GV9" s="5"/>
      <c r="GW9" s="5"/>
      <c r="GX9" s="5"/>
      <c r="GY9" s="5"/>
      <c r="GZ9" s="5"/>
      <c r="HA9" s="5"/>
      <c r="HB9" s="5"/>
      <c r="HC9" s="5"/>
      <c r="HD9" s="5"/>
      <c r="HE9" s="5"/>
      <c r="HF9" s="5"/>
      <c r="HG9" s="5"/>
      <c r="HH9" s="5"/>
      <c r="HI9" s="5"/>
      <c r="HJ9" s="5"/>
      <c r="HK9" s="5"/>
      <c r="HL9" s="5"/>
      <c r="HM9" s="5"/>
      <c r="HN9" s="5"/>
      <c r="HO9" s="5"/>
      <c r="HP9" s="5"/>
      <c r="HQ9" s="5"/>
      <c r="HR9" s="5"/>
      <c r="HS9" s="5"/>
      <c r="HT9" s="5"/>
      <c r="HU9" s="5"/>
      <c r="HV9" s="5"/>
      <c r="HW9" s="5"/>
      <c r="HX9" s="5"/>
      <c r="HY9" s="5"/>
      <c r="HZ9" s="5"/>
      <c r="IA9" s="5"/>
      <c r="IB9" s="5"/>
      <c r="IC9" s="5"/>
      <c r="ID9" s="5"/>
      <c r="IE9" s="5"/>
      <c r="IF9" s="5"/>
      <c r="IG9" s="5"/>
      <c r="IH9" s="5"/>
      <c r="II9" s="5"/>
      <c r="IJ9" s="5"/>
      <c r="IK9" s="5"/>
      <c r="IL9" s="5"/>
      <c r="IM9" s="5"/>
      <c r="IN9" s="5"/>
      <c r="IO9" s="5"/>
      <c r="IP9" s="5"/>
      <c r="IQ9" s="5"/>
      <c r="IR9" s="5"/>
      <c r="IS9" s="5"/>
    </row>
    <row r="10" spans="1:253" x14ac:dyDescent="0.35">
      <c r="A10" s="180" t="s">
        <v>55</v>
      </c>
      <c r="B10" s="181" t="s">
        <v>59</v>
      </c>
      <c r="C10" s="181"/>
      <c r="D10" s="181"/>
      <c r="E10" s="1185" t="s">
        <v>116</v>
      </c>
      <c r="F10" s="1186"/>
      <c r="G10" s="1187"/>
      <c r="H10" s="182"/>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row>
    <row r="11" spans="1:253" x14ac:dyDescent="0.35">
      <c r="A11" s="180" t="s">
        <v>55</v>
      </c>
      <c r="B11" s="181" t="s">
        <v>60</v>
      </c>
      <c r="C11" s="181"/>
      <c r="D11" s="181"/>
      <c r="E11" s="1185" t="s">
        <v>117</v>
      </c>
      <c r="F11" s="1186"/>
      <c r="G11" s="1187"/>
      <c r="H11" s="182"/>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row>
    <row r="12" spans="1:253" x14ac:dyDescent="0.35">
      <c r="A12" s="180" t="s">
        <v>55</v>
      </c>
      <c r="B12" s="181" t="s">
        <v>61</v>
      </c>
      <c r="C12" s="181"/>
      <c r="D12" s="181"/>
      <c r="E12" s="1185" t="s">
        <v>118</v>
      </c>
      <c r="F12" s="1186"/>
      <c r="G12" s="1187"/>
      <c r="H12" s="182"/>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row>
    <row r="13" spans="1:253" ht="44.15" customHeight="1" x14ac:dyDescent="0.35">
      <c r="A13" s="160" t="str">
        <f>A9</f>
        <v>Output</v>
      </c>
      <c r="B13" s="161">
        <f>'c. Results Framework'!B14</f>
        <v>1.3000000000000003</v>
      </c>
      <c r="C13" s="161" t="str">
        <f>'b. Problems to Objectives'!B8</f>
        <v>Targeted South Sudan refugees and their host communities have poor knowledge on recommended agronomic practices</v>
      </c>
      <c r="D13" s="161">
        <f>'b. Problems to Objectives'!C8</f>
        <v>0</v>
      </c>
      <c r="E13" s="98" t="str">
        <f>'c. Results Framework'!B15</f>
        <v>Targeted South Sudan Refugees and their host communities practice climate smart agriculture</v>
      </c>
      <c r="F13" s="10" t="s">
        <v>140</v>
      </c>
      <c r="G13" s="10" t="s">
        <v>131</v>
      </c>
      <c r="H13" s="11" t="s">
        <v>132</v>
      </c>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row>
    <row r="14" spans="1:253" x14ac:dyDescent="0.35">
      <c r="A14" s="180" t="s">
        <v>55</v>
      </c>
      <c r="B14" s="181" t="s">
        <v>62</v>
      </c>
      <c r="C14" s="181"/>
      <c r="D14" s="181"/>
      <c r="E14" s="1188" t="s">
        <v>119</v>
      </c>
      <c r="F14" s="1189"/>
      <c r="G14" s="1190"/>
      <c r="H14" s="182"/>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row>
    <row r="15" spans="1:253" x14ac:dyDescent="0.35">
      <c r="A15" s="180" t="s">
        <v>55</v>
      </c>
      <c r="B15" s="181" t="s">
        <v>63</v>
      </c>
      <c r="C15" s="181"/>
      <c r="D15" s="181"/>
      <c r="E15" s="1188" t="s">
        <v>144</v>
      </c>
      <c r="F15" s="1189"/>
      <c r="G15" s="1190"/>
      <c r="H15" s="182"/>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row>
    <row r="16" spans="1:253" ht="13.5" thickBot="1" x14ac:dyDescent="0.4">
      <c r="A16" s="180" t="s">
        <v>55</v>
      </c>
      <c r="B16" s="181" t="s">
        <v>64</v>
      </c>
      <c r="C16" s="181"/>
      <c r="D16" s="181"/>
      <c r="E16" s="1188"/>
      <c r="F16" s="1189"/>
      <c r="G16" s="1190"/>
      <c r="H16" s="182"/>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row>
    <row r="17" spans="1:253" s="18" customFormat="1" ht="39.5" thickBot="1" x14ac:dyDescent="0.4">
      <c r="A17" s="228" t="str">
        <f>A4</f>
        <v>Outcome</v>
      </c>
      <c r="B17" s="229">
        <f>'c. Results Framework'!C7</f>
        <v>2</v>
      </c>
      <c r="C17" s="229" t="str">
        <f>'b. Problems to Objectives'!B9</f>
        <v>Targeted South Sudn vulnerable refugees have poor living conditions</v>
      </c>
      <c r="D17" s="229">
        <f>'b. Problems to Objectives'!C9</f>
        <v>0</v>
      </c>
      <c r="E17" s="230" t="str">
        <f>'c. Results Framework'!C8</f>
        <v>Targeted South Sudan vulnerable refugees have improved living conditions</v>
      </c>
      <c r="F17" s="231" t="s">
        <v>141</v>
      </c>
      <c r="G17" s="231" t="s">
        <v>134</v>
      </c>
      <c r="H17" s="232" t="s">
        <v>133</v>
      </c>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c r="DO17" s="17"/>
      <c r="DP17" s="17"/>
      <c r="DQ17" s="17"/>
      <c r="DR17" s="17"/>
      <c r="DS17" s="17"/>
      <c r="DT17" s="17"/>
      <c r="DU17" s="17"/>
      <c r="DV17" s="17"/>
      <c r="DW17" s="17"/>
      <c r="DX17" s="17"/>
      <c r="DY17" s="17"/>
      <c r="DZ17" s="17"/>
      <c r="EA17" s="17"/>
      <c r="EB17" s="17"/>
      <c r="EC17" s="17"/>
      <c r="ED17" s="17"/>
      <c r="EE17" s="17"/>
      <c r="EF17" s="17"/>
      <c r="EG17" s="17"/>
      <c r="EH17" s="17"/>
      <c r="EI17" s="17"/>
      <c r="EJ17" s="17"/>
      <c r="EK17" s="17"/>
      <c r="EL17" s="17"/>
      <c r="EM17" s="17"/>
      <c r="EN17" s="17"/>
      <c r="EO17" s="17"/>
      <c r="EP17" s="17"/>
      <c r="EQ17" s="17"/>
      <c r="ER17" s="17"/>
      <c r="ES17" s="17"/>
      <c r="ET17" s="17"/>
      <c r="EU17" s="17"/>
      <c r="EV17" s="17"/>
      <c r="EW17" s="17"/>
      <c r="EX17" s="17"/>
      <c r="EY17" s="17"/>
      <c r="EZ17" s="17"/>
      <c r="FA17" s="17"/>
      <c r="FB17" s="17"/>
      <c r="FC17" s="17"/>
      <c r="FD17" s="17"/>
      <c r="FE17" s="17"/>
      <c r="FF17" s="17"/>
      <c r="FG17" s="17"/>
      <c r="FH17" s="17"/>
      <c r="FI17" s="17"/>
      <c r="FJ17" s="17"/>
      <c r="FK17" s="17"/>
      <c r="FL17" s="17"/>
      <c r="FM17" s="17"/>
      <c r="FN17" s="17"/>
      <c r="FO17" s="17"/>
      <c r="FP17" s="17"/>
      <c r="FQ17" s="17"/>
      <c r="FR17" s="17"/>
      <c r="FS17" s="17"/>
      <c r="FT17" s="17"/>
      <c r="FU17" s="17"/>
      <c r="FV17" s="17"/>
      <c r="FW17" s="17"/>
      <c r="FX17" s="17"/>
      <c r="FY17" s="17"/>
      <c r="FZ17" s="17"/>
      <c r="GA17" s="17"/>
      <c r="GB17" s="17"/>
      <c r="GC17" s="17"/>
      <c r="GD17" s="17"/>
      <c r="GE17" s="17"/>
      <c r="GF17" s="17"/>
      <c r="GG17" s="17"/>
      <c r="GH17" s="17"/>
      <c r="GI17" s="17"/>
      <c r="GJ17" s="17"/>
      <c r="GK17" s="17"/>
      <c r="GL17" s="17"/>
      <c r="GM17" s="17"/>
      <c r="GN17" s="17"/>
      <c r="GO17" s="17"/>
      <c r="GP17" s="17"/>
      <c r="GQ17" s="17"/>
      <c r="GR17" s="17"/>
      <c r="GS17" s="17"/>
      <c r="GT17" s="17"/>
      <c r="GU17" s="17"/>
      <c r="GV17" s="17"/>
      <c r="GW17" s="17"/>
      <c r="GX17" s="17"/>
      <c r="GY17" s="17"/>
      <c r="GZ17" s="17"/>
      <c r="HA17" s="17"/>
      <c r="HB17" s="17"/>
      <c r="HC17" s="17"/>
      <c r="HD17" s="17"/>
      <c r="HE17" s="17"/>
      <c r="HF17" s="17"/>
      <c r="HG17" s="17"/>
      <c r="HH17" s="17"/>
      <c r="HI17" s="17"/>
      <c r="HJ17" s="17"/>
      <c r="HK17" s="17"/>
      <c r="HL17" s="17"/>
      <c r="HM17" s="17"/>
      <c r="HN17" s="17"/>
      <c r="HO17" s="17"/>
      <c r="HP17" s="17"/>
      <c r="HQ17" s="17"/>
      <c r="HR17" s="17"/>
      <c r="HS17" s="17"/>
      <c r="HT17" s="17"/>
      <c r="HU17" s="17"/>
      <c r="HV17" s="17"/>
      <c r="HW17" s="17"/>
      <c r="HX17" s="17"/>
      <c r="HY17" s="17"/>
      <c r="HZ17" s="17"/>
      <c r="IA17" s="17"/>
      <c r="IB17" s="17"/>
      <c r="IC17" s="17"/>
      <c r="ID17" s="17"/>
      <c r="IE17" s="17"/>
      <c r="IF17" s="17"/>
      <c r="IG17" s="17"/>
      <c r="IH17" s="17"/>
      <c r="II17" s="17"/>
      <c r="IJ17" s="17"/>
      <c r="IK17" s="17"/>
      <c r="IL17" s="17"/>
      <c r="IM17" s="17"/>
      <c r="IN17" s="17"/>
      <c r="IO17" s="17"/>
      <c r="IP17" s="17"/>
      <c r="IQ17" s="17"/>
      <c r="IR17" s="17"/>
      <c r="IS17" s="17"/>
    </row>
    <row r="18" spans="1:253" ht="39" x14ac:dyDescent="0.35">
      <c r="A18" s="184" t="str">
        <f>'c. Results Framework'!D9</f>
        <v>Output</v>
      </c>
      <c r="B18" s="185">
        <f>'c. Results Framework'!D10</f>
        <v>2.1</v>
      </c>
      <c r="C18" s="185" t="str">
        <f>'b. Problems to Objectives'!B10</f>
        <v>Targeted South Sudan vulverable refugees have limited access to resources</v>
      </c>
      <c r="D18" s="185">
        <f>'b. Problems to Objectives'!C10</f>
        <v>0</v>
      </c>
      <c r="E18" s="208" t="str">
        <f>'c. Results Framework'!D11</f>
        <v>Targeted South Sudan vulnerable refugees have access to resources (mission quilts and personal care kits)</v>
      </c>
      <c r="F18" s="209" t="s">
        <v>142</v>
      </c>
      <c r="G18" s="209" t="s">
        <v>135</v>
      </c>
      <c r="H18" s="209" t="s">
        <v>133</v>
      </c>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row>
    <row r="19" spans="1:253" x14ac:dyDescent="0.35">
      <c r="A19" s="177" t="s">
        <v>55</v>
      </c>
      <c r="B19" s="178" t="s">
        <v>65</v>
      </c>
      <c r="C19" s="178"/>
      <c r="D19" s="178"/>
      <c r="E19" s="1197" t="s">
        <v>120</v>
      </c>
      <c r="F19" s="1198"/>
      <c r="G19" s="1199"/>
      <c r="H19" s="179"/>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row>
    <row r="20" spans="1:253" x14ac:dyDescent="0.35">
      <c r="A20" s="177" t="s">
        <v>55</v>
      </c>
      <c r="B20" s="178" t="s">
        <v>66</v>
      </c>
      <c r="C20" s="178"/>
      <c r="D20" s="178"/>
      <c r="E20" s="1197" t="s">
        <v>121</v>
      </c>
      <c r="F20" s="1198"/>
      <c r="G20" s="1199"/>
      <c r="H20" s="179"/>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row>
    <row r="21" spans="1:253" x14ac:dyDescent="0.35">
      <c r="A21" s="177" t="s">
        <v>55</v>
      </c>
      <c r="B21" s="178" t="s">
        <v>67</v>
      </c>
      <c r="C21" s="178"/>
      <c r="D21" s="178"/>
      <c r="E21" s="1197"/>
      <c r="F21" s="1198"/>
      <c r="G21" s="1199"/>
      <c r="H21" s="179"/>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row>
    <row r="22" spans="1:253" ht="39" x14ac:dyDescent="0.35">
      <c r="A22" s="158" t="str">
        <f>A18</f>
        <v>Output</v>
      </c>
      <c r="B22" s="159">
        <f>'c. Results Framework'!D12</f>
        <v>2.2000000000000002</v>
      </c>
      <c r="C22" s="159" t="str">
        <f>'b. Problems to Objectives'!B11</f>
        <v>Targeted South Sudan refugees children have limited access to material resources</v>
      </c>
      <c r="D22" s="159">
        <f>'b. Problems to Objectives'!C11</f>
        <v>0</v>
      </c>
      <c r="E22" s="101" t="str">
        <f>'c. Results Framework'!D13</f>
        <v>Targeted South Sudan refugee children have access to material resources (baby care kits)</v>
      </c>
      <c r="F22" s="12" t="s">
        <v>143</v>
      </c>
      <c r="G22" s="12" t="s">
        <v>136</v>
      </c>
      <c r="H22" s="12" t="s">
        <v>133</v>
      </c>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row>
    <row r="23" spans="1:253" x14ac:dyDescent="0.35">
      <c r="A23" s="177" t="s">
        <v>55</v>
      </c>
      <c r="B23" s="178" t="s">
        <v>68</v>
      </c>
      <c r="C23" s="178"/>
      <c r="D23" s="178"/>
      <c r="E23" s="1197" t="s">
        <v>122</v>
      </c>
      <c r="F23" s="1198"/>
      <c r="G23" s="1199"/>
      <c r="H23" s="179"/>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row>
    <row r="24" spans="1:253" x14ac:dyDescent="0.35">
      <c r="A24" s="177" t="s">
        <v>55</v>
      </c>
      <c r="B24" s="178" t="s">
        <v>69</v>
      </c>
      <c r="C24" s="178"/>
      <c r="D24" s="178"/>
      <c r="E24" s="1197" t="s">
        <v>123</v>
      </c>
      <c r="F24" s="1198"/>
      <c r="G24" s="1199"/>
      <c r="H24" s="179"/>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c r="DP24" s="5"/>
      <c r="DQ24" s="5"/>
      <c r="DR24" s="5"/>
      <c r="DS24" s="5"/>
      <c r="DT24" s="5"/>
      <c r="DU24" s="5"/>
      <c r="DV24" s="5"/>
      <c r="DW24" s="5"/>
      <c r="DX24" s="5"/>
      <c r="DY24" s="5"/>
      <c r="DZ24" s="5"/>
      <c r="EA24" s="5"/>
      <c r="EB24" s="5"/>
      <c r="EC24" s="5"/>
      <c r="ED24" s="5"/>
      <c r="EE24" s="5"/>
      <c r="EF24" s="5"/>
      <c r="EG24" s="5"/>
      <c r="EH24" s="5"/>
      <c r="EI24" s="5"/>
      <c r="EJ24" s="5"/>
      <c r="EK24" s="5"/>
      <c r="EL24" s="5"/>
      <c r="EM24" s="5"/>
      <c r="EN24" s="5"/>
      <c r="EO24" s="5"/>
      <c r="EP24" s="5"/>
      <c r="EQ24" s="5"/>
      <c r="ER24" s="5"/>
      <c r="ES24" s="5"/>
      <c r="ET24" s="5"/>
      <c r="EU24" s="5"/>
      <c r="EV24" s="5"/>
      <c r="EW24" s="5"/>
      <c r="EX24" s="5"/>
      <c r="EY24" s="5"/>
      <c r="EZ24" s="5"/>
      <c r="FA24" s="5"/>
      <c r="FB24" s="5"/>
      <c r="FC24" s="5"/>
      <c r="FD24" s="5"/>
      <c r="FE24" s="5"/>
      <c r="FF24" s="5"/>
      <c r="FG24" s="5"/>
      <c r="FH24" s="5"/>
      <c r="FI24" s="5"/>
      <c r="FJ24" s="5"/>
      <c r="FK24" s="5"/>
      <c r="FL24" s="5"/>
      <c r="FM24" s="5"/>
      <c r="FN24" s="5"/>
      <c r="FO24" s="5"/>
      <c r="FP24" s="5"/>
      <c r="FQ24" s="5"/>
      <c r="FR24" s="5"/>
      <c r="FS24" s="5"/>
      <c r="FT24" s="5"/>
      <c r="FU24" s="5"/>
      <c r="FV24" s="5"/>
      <c r="FW24" s="5"/>
      <c r="FX24" s="5"/>
      <c r="FY24" s="5"/>
      <c r="FZ24" s="5"/>
      <c r="GA24" s="5"/>
      <c r="GB24" s="5"/>
      <c r="GC24" s="5"/>
      <c r="GD24" s="5"/>
      <c r="GE24" s="5"/>
      <c r="GF24" s="5"/>
      <c r="GG24" s="5"/>
      <c r="GH24" s="5"/>
      <c r="GI24" s="5"/>
      <c r="GJ24" s="5"/>
      <c r="GK24" s="5"/>
      <c r="GL24" s="5"/>
      <c r="GM24" s="5"/>
      <c r="GN24" s="5"/>
      <c r="GO24" s="5"/>
      <c r="GP24" s="5"/>
      <c r="GQ24" s="5"/>
      <c r="GR24" s="5"/>
      <c r="GS24" s="5"/>
      <c r="GT24" s="5"/>
      <c r="GU24" s="5"/>
      <c r="GV24" s="5"/>
      <c r="GW24" s="5"/>
      <c r="GX24" s="5"/>
      <c r="GY24" s="5"/>
      <c r="GZ24" s="5"/>
      <c r="HA24" s="5"/>
      <c r="HB24" s="5"/>
      <c r="HC24" s="5"/>
      <c r="HD24" s="5"/>
      <c r="HE24" s="5"/>
      <c r="HF24" s="5"/>
      <c r="HG24" s="5"/>
      <c r="HH24" s="5"/>
      <c r="HI24" s="5"/>
      <c r="HJ24" s="5"/>
      <c r="HK24" s="5"/>
      <c r="HL24" s="5"/>
      <c r="HM24" s="5"/>
      <c r="HN24" s="5"/>
      <c r="HO24" s="5"/>
      <c r="HP24" s="5"/>
      <c r="HQ24" s="5"/>
      <c r="HR24" s="5"/>
      <c r="HS24" s="5"/>
      <c r="HT24" s="5"/>
      <c r="HU24" s="5"/>
      <c r="HV24" s="5"/>
      <c r="HW24" s="5"/>
      <c r="HX24" s="5"/>
      <c r="HY24" s="5"/>
      <c r="HZ24" s="5"/>
      <c r="IA24" s="5"/>
      <c r="IB24" s="5"/>
      <c r="IC24" s="5"/>
      <c r="ID24" s="5"/>
      <c r="IE24" s="5"/>
      <c r="IF24" s="5"/>
      <c r="IG24" s="5"/>
      <c r="IH24" s="5"/>
      <c r="II24" s="5"/>
      <c r="IJ24" s="5"/>
      <c r="IK24" s="5"/>
      <c r="IL24" s="5"/>
      <c r="IM24" s="5"/>
      <c r="IN24" s="5"/>
      <c r="IO24" s="5"/>
      <c r="IP24" s="5"/>
      <c r="IQ24" s="5"/>
      <c r="IR24" s="5"/>
      <c r="IS24" s="5"/>
    </row>
    <row r="25" spans="1:253" ht="13.5" thickBot="1" x14ac:dyDescent="0.4">
      <c r="A25" s="177" t="s">
        <v>55</v>
      </c>
      <c r="B25" s="178" t="s">
        <v>70</v>
      </c>
      <c r="C25" s="178"/>
      <c r="D25" s="178"/>
      <c r="E25" s="1197"/>
      <c r="F25" s="1198"/>
      <c r="G25" s="1199"/>
      <c r="H25" s="179"/>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row>
    <row r="26" spans="1:253" s="18" customFormat="1" ht="13.5" thickBot="1" x14ac:dyDescent="0.4">
      <c r="A26" s="223" t="str">
        <f>A17</f>
        <v>Outcome</v>
      </c>
      <c r="B26" s="224">
        <f>'c. Results Framework'!E7</f>
        <v>3</v>
      </c>
      <c r="C26" s="224">
        <f>'b. Problems to Objectives'!B12</f>
        <v>0</v>
      </c>
      <c r="D26" s="224">
        <f>'b. Problems to Objectives'!C12</f>
        <v>0</v>
      </c>
      <c r="E26" s="225">
        <f>'c. Results Framework'!E8</f>
        <v>0</v>
      </c>
      <c r="F26" s="226"/>
      <c r="G26" s="226"/>
      <c r="H26" s="22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7"/>
      <c r="EU26" s="17"/>
      <c r="EV26" s="17"/>
      <c r="EW26" s="17"/>
      <c r="EX26" s="17"/>
      <c r="EY26" s="17"/>
      <c r="EZ26" s="17"/>
      <c r="FA26" s="17"/>
      <c r="FB26" s="17"/>
      <c r="FC26" s="17"/>
      <c r="FD26" s="17"/>
      <c r="FE26" s="17"/>
      <c r="FF26" s="17"/>
      <c r="FG26" s="17"/>
      <c r="FH26" s="17"/>
      <c r="FI26" s="17"/>
      <c r="FJ26" s="17"/>
      <c r="FK26" s="17"/>
      <c r="FL26" s="17"/>
      <c r="FM26" s="17"/>
      <c r="FN26" s="17"/>
      <c r="FO26" s="17"/>
      <c r="FP26" s="17"/>
      <c r="FQ26" s="17"/>
      <c r="FR26" s="17"/>
      <c r="FS26" s="17"/>
      <c r="FT26" s="17"/>
      <c r="FU26" s="17"/>
      <c r="FV26" s="17"/>
      <c r="FW26" s="17"/>
      <c r="FX26" s="17"/>
      <c r="FY26" s="17"/>
      <c r="FZ26" s="17"/>
      <c r="GA26" s="17"/>
      <c r="GB26" s="17"/>
      <c r="GC26" s="17"/>
      <c r="GD26" s="17"/>
      <c r="GE26" s="17"/>
      <c r="GF26" s="17"/>
      <c r="GG26" s="17"/>
      <c r="GH26" s="17"/>
      <c r="GI26" s="17"/>
      <c r="GJ26" s="17"/>
      <c r="GK26" s="17"/>
      <c r="GL26" s="17"/>
      <c r="GM26" s="17"/>
      <c r="GN26" s="17"/>
      <c r="GO26" s="17"/>
      <c r="GP26" s="17"/>
      <c r="GQ26" s="17"/>
      <c r="GR26" s="17"/>
      <c r="GS26" s="17"/>
      <c r="GT26" s="17"/>
      <c r="GU26" s="17"/>
      <c r="GV26" s="17"/>
      <c r="GW26" s="17"/>
      <c r="GX26" s="17"/>
      <c r="GY26" s="17"/>
      <c r="GZ26" s="17"/>
      <c r="HA26" s="17"/>
      <c r="HB26" s="17"/>
      <c r="HC26" s="17"/>
      <c r="HD26" s="17"/>
      <c r="HE26" s="17"/>
      <c r="HF26" s="17"/>
      <c r="HG26" s="17"/>
      <c r="HH26" s="17"/>
      <c r="HI26" s="17"/>
      <c r="HJ26" s="17"/>
      <c r="HK26" s="17"/>
      <c r="HL26" s="17"/>
      <c r="HM26" s="17"/>
      <c r="HN26" s="17"/>
      <c r="HO26" s="17"/>
      <c r="HP26" s="17"/>
      <c r="HQ26" s="17"/>
      <c r="HR26" s="17"/>
      <c r="HS26" s="17"/>
      <c r="HT26" s="17"/>
      <c r="HU26" s="17"/>
      <c r="HV26" s="17"/>
      <c r="HW26" s="17"/>
      <c r="HX26" s="17"/>
      <c r="HY26" s="17"/>
      <c r="HZ26" s="17"/>
      <c r="IA26" s="17"/>
      <c r="IB26" s="17"/>
      <c r="IC26" s="17"/>
      <c r="ID26" s="17"/>
      <c r="IE26" s="17"/>
      <c r="IF26" s="17"/>
      <c r="IG26" s="17"/>
      <c r="IH26" s="17"/>
      <c r="II26" s="17"/>
      <c r="IJ26" s="17"/>
      <c r="IK26" s="17"/>
      <c r="IL26" s="17"/>
      <c r="IM26" s="17"/>
      <c r="IN26" s="17"/>
      <c r="IO26" s="17"/>
      <c r="IP26" s="17"/>
      <c r="IQ26" s="17"/>
      <c r="IR26" s="17"/>
      <c r="IS26" s="17"/>
    </row>
    <row r="27" spans="1:253" x14ac:dyDescent="0.35">
      <c r="A27" s="186" t="str">
        <f>'c. Results Framework'!F9</f>
        <v>Output</v>
      </c>
      <c r="B27" s="187">
        <f>'c. Results Framework'!F10</f>
        <v>3.1</v>
      </c>
      <c r="C27" s="187">
        <f>'b. Problems to Objectives'!B13</f>
        <v>0</v>
      </c>
      <c r="D27" s="187">
        <f>'b. Problems to Objectives'!C13</f>
        <v>0</v>
      </c>
      <c r="E27" s="188">
        <f>'c. Results Framework'!F11</f>
        <v>0</v>
      </c>
      <c r="F27" s="206"/>
      <c r="G27" s="206"/>
      <c r="H27" s="207"/>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row>
    <row r="28" spans="1:253" x14ac:dyDescent="0.35">
      <c r="A28" s="177" t="s">
        <v>55</v>
      </c>
      <c r="B28" s="178" t="s">
        <v>71</v>
      </c>
      <c r="C28" s="238"/>
      <c r="D28" s="238"/>
      <c r="E28" s="1194"/>
      <c r="F28" s="1195"/>
      <c r="G28" s="1196"/>
      <c r="H28" s="239"/>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c r="DZ28" s="5"/>
      <c r="EA28" s="5"/>
      <c r="EB28" s="5"/>
      <c r="EC28" s="5"/>
      <c r="ED28" s="5"/>
      <c r="EE28" s="5"/>
      <c r="EF28" s="5"/>
      <c r="EG28" s="5"/>
      <c r="EH28" s="5"/>
      <c r="EI28" s="5"/>
      <c r="EJ28" s="5"/>
      <c r="EK28" s="5"/>
      <c r="EL28" s="5"/>
      <c r="EM28" s="5"/>
      <c r="EN28" s="5"/>
      <c r="EO28" s="5"/>
      <c r="EP28" s="5"/>
      <c r="EQ28" s="5"/>
      <c r="ER28" s="5"/>
      <c r="ES28" s="5"/>
      <c r="ET28" s="5"/>
      <c r="EU28" s="5"/>
      <c r="EV28" s="5"/>
      <c r="EW28" s="5"/>
      <c r="EX28" s="5"/>
      <c r="EY28" s="5"/>
      <c r="EZ28" s="5"/>
      <c r="FA28" s="5"/>
      <c r="FB28" s="5"/>
      <c r="FC28" s="5"/>
      <c r="FD28" s="5"/>
      <c r="FE28" s="5"/>
      <c r="FF28" s="5"/>
      <c r="FG28" s="5"/>
      <c r="FH28" s="5"/>
      <c r="FI28" s="5"/>
      <c r="FJ28" s="5"/>
      <c r="FK28" s="5"/>
      <c r="FL28" s="5"/>
      <c r="FM28" s="5"/>
      <c r="FN28" s="5"/>
      <c r="FO28" s="5"/>
      <c r="FP28" s="5"/>
      <c r="FQ28" s="5"/>
      <c r="FR28" s="5"/>
      <c r="FS28" s="5"/>
      <c r="FT28" s="5"/>
      <c r="FU28" s="5"/>
      <c r="FV28" s="5"/>
      <c r="FW28" s="5"/>
      <c r="FX28" s="5"/>
      <c r="FY28" s="5"/>
      <c r="FZ28" s="5"/>
      <c r="GA28" s="5"/>
      <c r="GB28" s="5"/>
      <c r="GC28" s="5"/>
      <c r="GD28" s="5"/>
      <c r="GE28" s="5"/>
      <c r="GF28" s="5"/>
      <c r="GG28" s="5"/>
      <c r="GH28" s="5"/>
      <c r="GI28" s="5"/>
      <c r="GJ28" s="5"/>
      <c r="GK28" s="5"/>
      <c r="GL28" s="5"/>
      <c r="GM28" s="5"/>
      <c r="GN28" s="5"/>
      <c r="GO28" s="5"/>
      <c r="GP28" s="5"/>
      <c r="GQ28" s="5"/>
      <c r="GR28" s="5"/>
      <c r="GS28" s="5"/>
      <c r="GT28" s="5"/>
      <c r="GU28" s="5"/>
      <c r="GV28" s="5"/>
      <c r="GW28" s="5"/>
      <c r="GX28" s="5"/>
      <c r="GY28" s="5"/>
      <c r="GZ28" s="5"/>
      <c r="HA28" s="5"/>
      <c r="HB28" s="5"/>
      <c r="HC28" s="5"/>
      <c r="HD28" s="5"/>
      <c r="HE28" s="5"/>
      <c r="HF28" s="5"/>
      <c r="HG28" s="5"/>
      <c r="HH28" s="5"/>
      <c r="HI28" s="5"/>
      <c r="HJ28" s="5"/>
      <c r="HK28" s="5"/>
      <c r="HL28" s="5"/>
      <c r="HM28" s="5"/>
      <c r="HN28" s="5"/>
      <c r="HO28" s="5"/>
      <c r="HP28" s="5"/>
      <c r="HQ28" s="5"/>
      <c r="HR28" s="5"/>
      <c r="HS28" s="5"/>
      <c r="HT28" s="5"/>
      <c r="HU28" s="5"/>
      <c r="HV28" s="5"/>
      <c r="HW28" s="5"/>
      <c r="HX28" s="5"/>
      <c r="HY28" s="5"/>
      <c r="HZ28" s="5"/>
      <c r="IA28" s="5"/>
      <c r="IB28" s="5"/>
      <c r="IC28" s="5"/>
      <c r="ID28" s="5"/>
      <c r="IE28" s="5"/>
      <c r="IF28" s="5"/>
      <c r="IG28" s="5"/>
      <c r="IH28" s="5"/>
      <c r="II28" s="5"/>
      <c r="IJ28" s="5"/>
      <c r="IK28" s="5"/>
      <c r="IL28" s="5"/>
      <c r="IM28" s="5"/>
      <c r="IN28" s="5"/>
      <c r="IO28" s="5"/>
      <c r="IP28" s="5"/>
      <c r="IQ28" s="5"/>
      <c r="IR28" s="5"/>
      <c r="IS28" s="5"/>
    </row>
    <row r="29" spans="1:253" ht="13.5" thickBot="1" x14ac:dyDescent="0.4">
      <c r="A29" s="177" t="s">
        <v>55</v>
      </c>
      <c r="B29" s="178" t="s">
        <v>72</v>
      </c>
      <c r="C29" s="178"/>
      <c r="D29" s="178"/>
      <c r="E29" s="1194"/>
      <c r="F29" s="1195"/>
      <c r="G29" s="1196"/>
      <c r="H29" s="179"/>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row>
    <row r="30" spans="1:253" s="18" customFormat="1" ht="13.5" thickBot="1" x14ac:dyDescent="0.4">
      <c r="A30" s="218" t="str">
        <f>A26</f>
        <v>Outcome</v>
      </c>
      <c r="B30" s="219">
        <f>'c. Results Framework'!G7</f>
        <v>4</v>
      </c>
      <c r="C30" s="219">
        <f>'b. Problems to Objectives'!B14</f>
        <v>0</v>
      </c>
      <c r="D30" s="219">
        <f>'b. Problems to Objectives'!C14</f>
        <v>0</v>
      </c>
      <c r="E30" s="220">
        <f>'c. Results Framework'!G8</f>
        <v>0</v>
      </c>
      <c r="F30" s="221"/>
      <c r="G30" s="221"/>
      <c r="H30" s="222"/>
    </row>
    <row r="31" spans="1:253" x14ac:dyDescent="0.35">
      <c r="A31" s="202" t="str">
        <f>'c. Results Framework'!H9</f>
        <v>Output</v>
      </c>
      <c r="B31" s="189">
        <f>'c. Results Framework'!H10</f>
        <v>4.0999999999999996</v>
      </c>
      <c r="C31" s="189">
        <f>'b. Problems to Objectives'!B15</f>
        <v>0</v>
      </c>
      <c r="D31" s="189">
        <f>'b. Problems to Objectives'!C15</f>
        <v>0</v>
      </c>
      <c r="E31" s="203">
        <f>'c. Results Framework'!H11</f>
        <v>0</v>
      </c>
      <c r="F31" s="204"/>
      <c r="G31" s="204"/>
      <c r="H31" s="205"/>
    </row>
    <row r="32" spans="1:253" x14ac:dyDescent="0.35">
      <c r="A32" s="177" t="s">
        <v>55</v>
      </c>
      <c r="B32" s="178" t="s">
        <v>73</v>
      </c>
      <c r="C32" s="178"/>
      <c r="D32" s="178"/>
      <c r="E32" s="1194"/>
      <c r="F32" s="1195"/>
      <c r="G32" s="1196"/>
      <c r="H32" s="179"/>
    </row>
    <row r="33" spans="1:8" ht="13.5" thickBot="1" x14ac:dyDescent="0.4">
      <c r="A33" s="177" t="s">
        <v>55</v>
      </c>
      <c r="B33" s="178" t="s">
        <v>74</v>
      </c>
      <c r="C33" s="178"/>
      <c r="D33" s="178"/>
      <c r="E33" s="1194"/>
      <c r="F33" s="1195"/>
      <c r="G33" s="1196"/>
      <c r="H33" s="179"/>
    </row>
    <row r="34" spans="1:8" s="18" customFormat="1" ht="13.5" thickBot="1" x14ac:dyDescent="0.4">
      <c r="A34" s="213" t="str">
        <f>A30</f>
        <v>Outcome</v>
      </c>
      <c r="B34" s="214">
        <f>'c. Results Framework'!I7</f>
        <v>5</v>
      </c>
      <c r="C34" s="214">
        <f>'b. Problems to Objectives'!B16</f>
        <v>0</v>
      </c>
      <c r="D34" s="214">
        <f>'b. Problems to Objectives'!C16</f>
        <v>0</v>
      </c>
      <c r="E34" s="215">
        <f>'c. Results Framework'!I8</f>
        <v>0</v>
      </c>
      <c r="F34" s="216"/>
      <c r="G34" s="216"/>
      <c r="H34" s="217"/>
    </row>
    <row r="35" spans="1:8" x14ac:dyDescent="0.35">
      <c r="A35" s="197" t="str">
        <f>'c. Results Framework'!J9</f>
        <v>Output</v>
      </c>
      <c r="B35" s="198">
        <f>'c. Results Framework'!J10</f>
        <v>5.0999999999999996</v>
      </c>
      <c r="C35" s="198">
        <f>'b. Problems to Objectives'!B17</f>
        <v>0</v>
      </c>
      <c r="D35" s="198">
        <f>'b. Problems to Objectives'!C17</f>
        <v>0</v>
      </c>
      <c r="E35" s="199">
        <f>'c. Results Framework'!J11</f>
        <v>0</v>
      </c>
      <c r="F35" s="200"/>
      <c r="G35" s="200"/>
      <c r="H35" s="201"/>
    </row>
    <row r="36" spans="1:8" x14ac:dyDescent="0.35">
      <c r="A36" s="177" t="s">
        <v>55</v>
      </c>
      <c r="B36" s="178" t="s">
        <v>75</v>
      </c>
      <c r="C36" s="178"/>
      <c r="D36" s="178"/>
      <c r="E36" s="1194"/>
      <c r="F36" s="1195"/>
      <c r="G36" s="1196"/>
      <c r="H36" s="179"/>
    </row>
    <row r="37" spans="1:8" x14ac:dyDescent="0.35">
      <c r="A37" s="177" t="s">
        <v>55</v>
      </c>
      <c r="B37" s="178" t="s">
        <v>76</v>
      </c>
      <c r="C37" s="178"/>
      <c r="D37" s="178"/>
      <c r="E37" s="1194"/>
      <c r="F37" s="1195"/>
      <c r="G37" s="1196"/>
      <c r="H37" s="179"/>
    </row>
    <row r="38" spans="1:8" x14ac:dyDescent="0.35">
      <c r="A38" s="14"/>
      <c r="B38" s="15"/>
      <c r="C38" s="157"/>
      <c r="D38" s="157"/>
      <c r="E38" s="9"/>
    </row>
    <row r="39" spans="1:8" x14ac:dyDescent="0.35">
      <c r="A39" s="14"/>
      <c r="B39" s="15"/>
      <c r="C39" s="157"/>
      <c r="D39" s="157"/>
      <c r="E39" s="9"/>
    </row>
    <row r="40" spans="1:8" x14ac:dyDescent="0.35">
      <c r="A40" s="14"/>
      <c r="B40" s="15"/>
      <c r="C40" s="157"/>
      <c r="D40" s="157"/>
      <c r="E40" s="9"/>
    </row>
    <row r="41" spans="1:8" x14ac:dyDescent="0.35">
      <c r="A41" s="14"/>
      <c r="B41" s="15"/>
      <c r="C41" s="157"/>
      <c r="D41" s="157"/>
      <c r="E41" s="9"/>
    </row>
    <row r="42" spans="1:8" x14ac:dyDescent="0.35">
      <c r="A42" s="14"/>
      <c r="B42" s="15"/>
      <c r="C42" s="157"/>
      <c r="D42" s="157"/>
      <c r="E42" s="9"/>
    </row>
    <row r="43" spans="1:8" x14ac:dyDescent="0.35">
      <c r="A43" s="14"/>
      <c r="B43" s="15"/>
      <c r="C43" s="157"/>
      <c r="D43" s="157"/>
      <c r="E43" s="9"/>
    </row>
    <row r="44" spans="1:8" x14ac:dyDescent="0.35">
      <c r="A44" s="14"/>
      <c r="B44" s="15"/>
      <c r="C44" s="157"/>
      <c r="D44" s="157"/>
      <c r="E44" s="9"/>
    </row>
    <row r="45" spans="1:8" x14ac:dyDescent="0.35">
      <c r="A45" s="14"/>
      <c r="B45" s="15"/>
      <c r="C45" s="157"/>
      <c r="D45" s="157"/>
      <c r="E45" s="9"/>
    </row>
    <row r="46" spans="1:8" x14ac:dyDescent="0.35">
      <c r="A46" s="14"/>
      <c r="B46" s="15"/>
      <c r="C46" s="157"/>
      <c r="D46" s="157"/>
      <c r="E46" s="9"/>
    </row>
    <row r="47" spans="1:8" x14ac:dyDescent="0.35">
      <c r="A47" s="14"/>
      <c r="B47" s="15"/>
      <c r="C47" s="157"/>
      <c r="D47" s="157"/>
      <c r="E47" s="9"/>
    </row>
    <row r="48" spans="1:8" x14ac:dyDescent="0.35">
      <c r="A48" s="14"/>
      <c r="B48" s="15"/>
      <c r="C48" s="157"/>
      <c r="D48" s="157"/>
      <c r="E48" s="9"/>
    </row>
    <row r="49" spans="1:5" x14ac:dyDescent="0.35">
      <c r="A49" s="14"/>
      <c r="B49" s="15"/>
      <c r="C49" s="157"/>
      <c r="D49" s="157"/>
      <c r="E49" s="9"/>
    </row>
    <row r="50" spans="1:5" x14ac:dyDescent="0.35">
      <c r="A50" s="14"/>
      <c r="B50" s="15"/>
      <c r="C50" s="157"/>
      <c r="D50" s="157"/>
      <c r="E50" s="9"/>
    </row>
    <row r="51" spans="1:5" x14ac:dyDescent="0.35">
      <c r="A51" s="14"/>
      <c r="B51" s="15"/>
      <c r="C51" s="157"/>
      <c r="D51" s="157"/>
      <c r="E51" s="9"/>
    </row>
    <row r="52" spans="1:5" x14ac:dyDescent="0.35">
      <c r="A52" s="14"/>
      <c r="B52" s="15"/>
      <c r="C52" s="157"/>
      <c r="D52" s="157"/>
      <c r="E52" s="9"/>
    </row>
    <row r="53" spans="1:5" x14ac:dyDescent="0.35">
      <c r="A53" s="14"/>
      <c r="B53" s="15"/>
      <c r="C53" s="157"/>
      <c r="D53" s="157"/>
      <c r="E53" s="9"/>
    </row>
    <row r="54" spans="1:5" x14ac:dyDescent="0.35">
      <c r="A54" s="14"/>
      <c r="B54" s="15"/>
      <c r="C54" s="157"/>
      <c r="D54" s="157"/>
      <c r="E54" s="9"/>
    </row>
    <row r="55" spans="1:5" x14ac:dyDescent="0.35">
      <c r="A55" s="14"/>
      <c r="B55" s="15"/>
      <c r="C55" s="157"/>
      <c r="D55" s="157"/>
      <c r="E55" s="9"/>
    </row>
    <row r="56" spans="1:5" x14ac:dyDescent="0.35">
      <c r="A56" s="14"/>
      <c r="B56" s="15"/>
      <c r="C56" s="157"/>
      <c r="D56" s="157"/>
      <c r="E56" s="9"/>
    </row>
    <row r="57" spans="1:5" x14ac:dyDescent="0.35">
      <c r="A57" s="14"/>
      <c r="B57" s="15"/>
      <c r="C57" s="157"/>
      <c r="D57" s="157"/>
      <c r="E57" s="9"/>
    </row>
    <row r="58" spans="1:5" x14ac:dyDescent="0.35">
      <c r="A58" s="14"/>
      <c r="B58" s="15"/>
      <c r="C58" s="157"/>
      <c r="D58" s="157"/>
      <c r="E58" s="9"/>
    </row>
    <row r="59" spans="1:5" x14ac:dyDescent="0.35">
      <c r="A59" s="14"/>
      <c r="B59" s="15"/>
      <c r="C59" s="157"/>
      <c r="D59" s="157"/>
      <c r="E59" s="9"/>
    </row>
    <row r="60" spans="1:5" x14ac:dyDescent="0.35">
      <c r="A60" s="14"/>
      <c r="B60" s="15"/>
      <c r="C60" s="157"/>
      <c r="D60" s="157"/>
      <c r="E60" s="9"/>
    </row>
    <row r="61" spans="1:5" x14ac:dyDescent="0.35">
      <c r="A61" s="14"/>
      <c r="B61" s="15"/>
      <c r="C61" s="157"/>
      <c r="D61" s="157"/>
      <c r="E61" s="9"/>
    </row>
    <row r="62" spans="1:5" x14ac:dyDescent="0.35">
      <c r="A62" s="14"/>
      <c r="B62" s="15"/>
      <c r="C62" s="157"/>
      <c r="D62" s="157"/>
      <c r="E62" s="9"/>
    </row>
    <row r="63" spans="1:5" x14ac:dyDescent="0.35">
      <c r="A63" s="14"/>
      <c r="B63" s="15"/>
      <c r="C63" s="157"/>
      <c r="D63" s="157"/>
      <c r="E63" s="9"/>
    </row>
    <row r="64" spans="1:5" x14ac:dyDescent="0.35">
      <c r="A64" s="14"/>
      <c r="B64" s="15"/>
      <c r="C64" s="157"/>
      <c r="D64" s="157"/>
      <c r="E64" s="9"/>
    </row>
    <row r="65" spans="1:5" x14ac:dyDescent="0.35">
      <c r="A65" s="14"/>
      <c r="B65" s="15"/>
      <c r="C65" s="157"/>
      <c r="D65" s="157"/>
      <c r="E65" s="9"/>
    </row>
    <row r="66" spans="1:5" x14ac:dyDescent="0.35">
      <c r="A66" s="14"/>
      <c r="B66" s="15"/>
      <c r="C66" s="157"/>
      <c r="D66" s="157"/>
      <c r="E66" s="9"/>
    </row>
    <row r="67" spans="1:5" x14ac:dyDescent="0.35">
      <c r="A67" s="14"/>
      <c r="B67" s="15"/>
      <c r="C67" s="157"/>
      <c r="D67" s="157"/>
      <c r="E67" s="9"/>
    </row>
    <row r="68" spans="1:5" x14ac:dyDescent="0.35">
      <c r="A68" s="14"/>
      <c r="B68" s="15"/>
      <c r="C68" s="157"/>
      <c r="D68" s="157"/>
      <c r="E68" s="9"/>
    </row>
    <row r="69" spans="1:5" x14ac:dyDescent="0.35">
      <c r="A69" s="14"/>
      <c r="B69" s="15"/>
      <c r="C69" s="157"/>
      <c r="D69" s="157"/>
      <c r="E69" s="9"/>
    </row>
    <row r="70" spans="1:5" x14ac:dyDescent="0.35">
      <c r="A70" s="14"/>
      <c r="B70" s="15"/>
      <c r="C70" s="157"/>
      <c r="D70" s="157"/>
      <c r="E70" s="9"/>
    </row>
    <row r="71" spans="1:5" x14ac:dyDescent="0.35">
      <c r="A71" s="14"/>
      <c r="B71" s="15"/>
      <c r="C71" s="157"/>
      <c r="D71" s="157"/>
      <c r="E71" s="9"/>
    </row>
    <row r="72" spans="1:5" x14ac:dyDescent="0.35">
      <c r="A72" s="14"/>
      <c r="B72" s="15"/>
      <c r="C72" s="157"/>
      <c r="D72" s="157"/>
      <c r="E72" s="9"/>
    </row>
    <row r="73" spans="1:5" x14ac:dyDescent="0.35">
      <c r="A73" s="14"/>
      <c r="B73" s="15"/>
      <c r="C73" s="157"/>
      <c r="D73" s="157"/>
      <c r="E73" s="9"/>
    </row>
    <row r="74" spans="1:5" x14ac:dyDescent="0.35">
      <c r="A74" s="14"/>
      <c r="B74" s="15"/>
      <c r="C74" s="157"/>
      <c r="D74" s="157"/>
      <c r="E74" s="9"/>
    </row>
    <row r="75" spans="1:5" x14ac:dyDescent="0.35">
      <c r="A75" s="14"/>
      <c r="B75" s="15"/>
      <c r="C75" s="157"/>
      <c r="D75" s="157"/>
      <c r="E75" s="9"/>
    </row>
    <row r="76" spans="1:5" x14ac:dyDescent="0.35">
      <c r="A76" s="14"/>
      <c r="B76" s="15"/>
      <c r="C76" s="157"/>
      <c r="D76" s="157"/>
      <c r="E76" s="9"/>
    </row>
    <row r="77" spans="1:5" x14ac:dyDescent="0.35">
      <c r="A77" s="14"/>
      <c r="B77" s="15"/>
      <c r="C77" s="157"/>
      <c r="D77" s="157"/>
      <c r="E77" s="9"/>
    </row>
    <row r="78" spans="1:5" x14ac:dyDescent="0.35">
      <c r="A78" s="14"/>
      <c r="B78" s="15"/>
      <c r="C78" s="157"/>
      <c r="D78" s="157"/>
      <c r="E78" s="9"/>
    </row>
    <row r="79" spans="1:5" x14ac:dyDescent="0.35">
      <c r="A79" s="14"/>
      <c r="B79" s="15"/>
      <c r="C79" s="157"/>
      <c r="D79" s="157"/>
      <c r="E79" s="9"/>
    </row>
    <row r="80" spans="1:5" x14ac:dyDescent="0.35">
      <c r="A80" s="14"/>
      <c r="B80" s="15"/>
      <c r="C80" s="157"/>
      <c r="D80" s="157"/>
      <c r="E80" s="9"/>
    </row>
    <row r="81" spans="1:5" x14ac:dyDescent="0.35">
      <c r="A81" s="14"/>
      <c r="B81" s="15"/>
      <c r="C81" s="157"/>
      <c r="D81" s="157"/>
      <c r="E81" s="9"/>
    </row>
    <row r="82" spans="1:5" x14ac:dyDescent="0.35">
      <c r="A82" s="14"/>
      <c r="B82" s="15"/>
      <c r="C82" s="157"/>
      <c r="D82" s="157"/>
      <c r="E82" s="9"/>
    </row>
    <row r="83" spans="1:5" x14ac:dyDescent="0.35">
      <c r="A83" s="14"/>
      <c r="B83" s="15"/>
      <c r="C83" s="157"/>
      <c r="D83" s="157"/>
      <c r="E83" s="9"/>
    </row>
    <row r="84" spans="1:5" x14ac:dyDescent="0.35">
      <c r="A84" s="14"/>
      <c r="B84" s="15"/>
      <c r="C84" s="157"/>
      <c r="D84" s="157"/>
      <c r="E84" s="9"/>
    </row>
    <row r="85" spans="1:5" x14ac:dyDescent="0.35">
      <c r="A85" s="14"/>
      <c r="B85" s="15"/>
      <c r="C85" s="157"/>
      <c r="D85" s="157"/>
      <c r="E85" s="9"/>
    </row>
    <row r="86" spans="1:5" x14ac:dyDescent="0.35">
      <c r="A86" s="14"/>
      <c r="B86" s="15"/>
      <c r="C86" s="157"/>
      <c r="D86" s="157"/>
      <c r="E86" s="9"/>
    </row>
    <row r="87" spans="1:5" x14ac:dyDescent="0.35">
      <c r="A87" s="14"/>
      <c r="B87" s="15"/>
      <c r="C87" s="157"/>
      <c r="D87" s="157"/>
      <c r="E87" s="9"/>
    </row>
    <row r="88" spans="1:5" x14ac:dyDescent="0.35">
      <c r="A88" s="14"/>
      <c r="B88" s="15"/>
      <c r="C88" s="157"/>
      <c r="D88" s="157"/>
      <c r="E88" s="9"/>
    </row>
    <row r="89" spans="1:5" x14ac:dyDescent="0.35">
      <c r="A89" s="14"/>
      <c r="B89" s="15"/>
      <c r="C89" s="157"/>
      <c r="D89" s="157"/>
      <c r="E89" s="9"/>
    </row>
    <row r="90" spans="1:5" x14ac:dyDescent="0.35">
      <c r="A90" s="14"/>
      <c r="B90" s="15"/>
      <c r="C90" s="157"/>
      <c r="D90" s="157"/>
      <c r="E90" s="9"/>
    </row>
    <row r="91" spans="1:5" x14ac:dyDescent="0.35">
      <c r="A91" s="14"/>
      <c r="B91" s="15"/>
      <c r="C91" s="157"/>
      <c r="D91" s="157"/>
      <c r="E91" s="9"/>
    </row>
    <row r="92" spans="1:5" x14ac:dyDescent="0.35">
      <c r="A92" s="14"/>
      <c r="B92" s="15"/>
      <c r="C92" s="157"/>
      <c r="D92" s="157"/>
      <c r="E92" s="9"/>
    </row>
    <row r="93" spans="1:5" x14ac:dyDescent="0.35">
      <c r="A93" s="14"/>
      <c r="B93" s="15"/>
      <c r="C93" s="157"/>
      <c r="D93" s="157"/>
      <c r="E93" s="9"/>
    </row>
    <row r="94" spans="1:5" x14ac:dyDescent="0.35">
      <c r="A94" s="14"/>
      <c r="B94" s="15"/>
      <c r="C94" s="157"/>
      <c r="D94" s="157"/>
      <c r="E94" s="9"/>
    </row>
    <row r="95" spans="1:5" x14ac:dyDescent="0.35">
      <c r="A95" s="14"/>
      <c r="B95" s="15"/>
      <c r="C95" s="157"/>
      <c r="D95" s="157"/>
      <c r="E95" s="9"/>
    </row>
    <row r="96" spans="1:5" x14ac:dyDescent="0.35">
      <c r="A96" s="14"/>
      <c r="B96" s="15"/>
      <c r="C96" s="157"/>
      <c r="D96" s="157"/>
      <c r="E96" s="9"/>
    </row>
    <row r="97" spans="1:5" x14ac:dyDescent="0.35">
      <c r="A97" s="14"/>
      <c r="B97" s="15"/>
      <c r="C97" s="157"/>
      <c r="D97" s="157"/>
      <c r="E97" s="9"/>
    </row>
    <row r="98" spans="1:5" x14ac:dyDescent="0.35">
      <c r="A98" s="14"/>
      <c r="B98" s="15"/>
      <c r="C98" s="157"/>
      <c r="D98" s="157"/>
      <c r="E98" s="9"/>
    </row>
    <row r="99" spans="1:5" x14ac:dyDescent="0.35">
      <c r="A99" s="14"/>
      <c r="B99" s="15"/>
      <c r="C99" s="157"/>
      <c r="D99" s="157"/>
      <c r="E99" s="9"/>
    </row>
    <row r="100" spans="1:5" x14ac:dyDescent="0.35">
      <c r="A100" s="14"/>
      <c r="B100" s="15"/>
      <c r="C100" s="157"/>
      <c r="D100" s="157"/>
      <c r="E100" s="9"/>
    </row>
    <row r="101" spans="1:5" x14ac:dyDescent="0.35">
      <c r="A101" s="14"/>
      <c r="B101" s="15"/>
      <c r="C101" s="157"/>
      <c r="D101" s="157"/>
      <c r="E101" s="9"/>
    </row>
    <row r="102" spans="1:5" x14ac:dyDescent="0.35">
      <c r="A102" s="14"/>
      <c r="B102" s="15"/>
      <c r="C102" s="157"/>
      <c r="D102" s="157"/>
      <c r="E102" s="9"/>
    </row>
    <row r="103" spans="1:5" x14ac:dyDescent="0.35">
      <c r="A103" s="14"/>
      <c r="B103" s="15"/>
      <c r="C103" s="157"/>
      <c r="D103" s="157"/>
      <c r="E103" s="9"/>
    </row>
    <row r="104" spans="1:5" x14ac:dyDescent="0.35">
      <c r="A104" s="14"/>
      <c r="B104" s="15"/>
      <c r="C104" s="157"/>
      <c r="D104" s="157"/>
      <c r="E104" s="9"/>
    </row>
    <row r="105" spans="1:5" x14ac:dyDescent="0.35">
      <c r="A105" s="14"/>
      <c r="B105" s="15"/>
      <c r="C105" s="157"/>
      <c r="D105" s="157"/>
      <c r="E105" s="9"/>
    </row>
    <row r="106" spans="1:5" x14ac:dyDescent="0.35">
      <c r="A106" s="14"/>
      <c r="B106" s="15"/>
      <c r="C106" s="157"/>
      <c r="D106" s="157"/>
      <c r="E106" s="9"/>
    </row>
    <row r="107" spans="1:5" x14ac:dyDescent="0.35">
      <c r="A107" s="14"/>
      <c r="B107" s="15"/>
      <c r="C107" s="157"/>
      <c r="D107" s="157"/>
      <c r="E107" s="9"/>
    </row>
    <row r="108" spans="1:5" x14ac:dyDescent="0.35">
      <c r="A108" s="14"/>
      <c r="B108" s="15"/>
      <c r="C108" s="157"/>
      <c r="D108" s="157"/>
      <c r="E108" s="9"/>
    </row>
    <row r="109" spans="1:5" x14ac:dyDescent="0.35">
      <c r="A109" s="14"/>
      <c r="B109" s="15"/>
      <c r="C109" s="157"/>
      <c r="D109" s="157"/>
      <c r="E109" s="9"/>
    </row>
    <row r="110" spans="1:5" x14ac:dyDescent="0.35">
      <c r="A110" s="14"/>
      <c r="B110" s="15"/>
      <c r="C110" s="157"/>
      <c r="D110" s="157"/>
      <c r="E110" s="9"/>
    </row>
    <row r="111" spans="1:5" x14ac:dyDescent="0.35">
      <c r="A111" s="14"/>
      <c r="B111" s="15"/>
      <c r="C111" s="157"/>
      <c r="D111" s="157"/>
      <c r="E111" s="9"/>
    </row>
    <row r="112" spans="1:5" x14ac:dyDescent="0.35">
      <c r="A112" s="14"/>
      <c r="B112" s="15"/>
      <c r="C112" s="157"/>
      <c r="D112" s="157"/>
      <c r="E112" s="9"/>
    </row>
    <row r="113" spans="1:5" x14ac:dyDescent="0.35">
      <c r="A113" s="14"/>
      <c r="B113" s="15"/>
      <c r="C113" s="157"/>
      <c r="D113" s="157"/>
      <c r="E113" s="9"/>
    </row>
    <row r="114" spans="1:5" x14ac:dyDescent="0.35">
      <c r="A114" s="14"/>
      <c r="B114" s="15"/>
      <c r="C114" s="157"/>
      <c r="D114" s="157"/>
      <c r="E114" s="9"/>
    </row>
    <row r="115" spans="1:5" x14ac:dyDescent="0.35">
      <c r="A115" s="14"/>
      <c r="B115" s="15"/>
      <c r="C115" s="157"/>
      <c r="D115" s="157"/>
      <c r="E115" s="9"/>
    </row>
    <row r="116" spans="1:5" x14ac:dyDescent="0.35">
      <c r="A116" s="14"/>
      <c r="B116" s="15"/>
      <c r="C116" s="157"/>
      <c r="D116" s="157"/>
      <c r="E116" s="9"/>
    </row>
    <row r="117" spans="1:5" x14ac:dyDescent="0.35">
      <c r="A117" s="14"/>
      <c r="B117" s="15"/>
      <c r="C117" s="157"/>
      <c r="D117" s="157"/>
      <c r="E117" s="9"/>
    </row>
    <row r="118" spans="1:5" x14ac:dyDescent="0.35">
      <c r="A118" s="14"/>
      <c r="B118" s="15"/>
      <c r="C118" s="157"/>
      <c r="D118" s="157"/>
      <c r="E118" s="9"/>
    </row>
    <row r="119" spans="1:5" x14ac:dyDescent="0.35">
      <c r="A119" s="14"/>
      <c r="B119" s="15"/>
      <c r="C119" s="157"/>
      <c r="D119" s="157"/>
      <c r="E119" s="9"/>
    </row>
    <row r="120" spans="1:5" x14ac:dyDescent="0.35">
      <c r="A120" s="14"/>
      <c r="B120" s="15"/>
      <c r="C120" s="157"/>
      <c r="D120" s="157"/>
      <c r="E120" s="9"/>
    </row>
    <row r="121" spans="1:5" x14ac:dyDescent="0.35">
      <c r="A121" s="14"/>
      <c r="B121" s="15"/>
      <c r="C121" s="157"/>
      <c r="D121" s="157"/>
      <c r="E121" s="9"/>
    </row>
    <row r="122" spans="1:5" x14ac:dyDescent="0.35">
      <c r="A122" s="14"/>
      <c r="B122" s="15"/>
      <c r="C122" s="157"/>
      <c r="D122" s="157"/>
      <c r="E122" s="9"/>
    </row>
    <row r="123" spans="1:5" x14ac:dyDescent="0.35">
      <c r="A123" s="14"/>
      <c r="B123" s="15"/>
      <c r="C123" s="157"/>
      <c r="D123" s="157"/>
      <c r="E123" s="9"/>
    </row>
    <row r="124" spans="1:5" x14ac:dyDescent="0.35">
      <c r="A124" s="14"/>
      <c r="B124" s="15"/>
      <c r="C124" s="157"/>
      <c r="D124" s="157"/>
      <c r="E124" s="9"/>
    </row>
    <row r="125" spans="1:5" x14ac:dyDescent="0.35">
      <c r="A125" s="14"/>
      <c r="B125" s="15"/>
      <c r="C125" s="157"/>
      <c r="D125" s="157"/>
      <c r="E125" s="9"/>
    </row>
    <row r="126" spans="1:5" x14ac:dyDescent="0.35">
      <c r="A126" s="14"/>
      <c r="B126" s="15"/>
      <c r="C126" s="157"/>
      <c r="D126" s="157"/>
      <c r="E126" s="9"/>
    </row>
    <row r="127" spans="1:5" x14ac:dyDescent="0.35">
      <c r="A127" s="14"/>
      <c r="B127" s="15"/>
      <c r="C127" s="157"/>
      <c r="D127" s="157"/>
      <c r="E127" s="9"/>
    </row>
    <row r="128" spans="1:5" x14ac:dyDescent="0.35">
      <c r="A128" s="14"/>
      <c r="B128" s="15"/>
      <c r="C128" s="157"/>
      <c r="D128" s="157"/>
      <c r="E128" s="9"/>
    </row>
    <row r="129" spans="1:5" x14ac:dyDescent="0.35">
      <c r="A129" s="14"/>
      <c r="B129" s="15"/>
      <c r="C129" s="157"/>
      <c r="D129" s="157"/>
      <c r="E129" s="9"/>
    </row>
    <row r="130" spans="1:5" x14ac:dyDescent="0.35">
      <c r="A130" s="14"/>
      <c r="B130" s="15"/>
      <c r="C130" s="157"/>
      <c r="D130" s="157"/>
      <c r="E130" s="9"/>
    </row>
    <row r="131" spans="1:5" x14ac:dyDescent="0.35">
      <c r="A131" s="14"/>
      <c r="B131" s="15"/>
      <c r="C131" s="157"/>
      <c r="D131" s="157"/>
      <c r="E131" s="9"/>
    </row>
    <row r="132" spans="1:5" x14ac:dyDescent="0.35">
      <c r="A132" s="14"/>
      <c r="B132" s="15"/>
      <c r="C132" s="157"/>
      <c r="D132" s="157"/>
      <c r="E132" s="9"/>
    </row>
    <row r="133" spans="1:5" x14ac:dyDescent="0.35">
      <c r="A133" s="14"/>
      <c r="B133" s="15"/>
      <c r="C133" s="157"/>
      <c r="D133" s="157"/>
      <c r="E133" s="9"/>
    </row>
    <row r="134" spans="1:5" x14ac:dyDescent="0.35">
      <c r="A134" s="14"/>
      <c r="B134" s="15"/>
      <c r="C134" s="157"/>
      <c r="D134" s="157"/>
      <c r="E134" s="9"/>
    </row>
    <row r="135" spans="1:5" x14ac:dyDescent="0.35">
      <c r="A135" s="14"/>
      <c r="B135" s="15"/>
      <c r="C135" s="157"/>
      <c r="D135" s="157"/>
      <c r="E135" s="9"/>
    </row>
    <row r="136" spans="1:5" x14ac:dyDescent="0.35">
      <c r="A136" s="14"/>
      <c r="B136" s="15"/>
      <c r="C136" s="157"/>
      <c r="D136" s="157"/>
      <c r="E136" s="9"/>
    </row>
    <row r="137" spans="1:5" x14ac:dyDescent="0.35">
      <c r="A137" s="14"/>
      <c r="B137" s="15"/>
      <c r="C137" s="157"/>
      <c r="D137" s="157"/>
      <c r="E137" s="9"/>
    </row>
    <row r="138" spans="1:5" x14ac:dyDescent="0.35">
      <c r="A138" s="14"/>
      <c r="B138" s="15"/>
      <c r="C138" s="157"/>
      <c r="D138" s="157"/>
      <c r="E138" s="9"/>
    </row>
    <row r="139" spans="1:5" x14ac:dyDescent="0.35">
      <c r="A139" s="14"/>
      <c r="B139" s="15"/>
      <c r="C139" s="157"/>
      <c r="D139" s="157"/>
      <c r="E139" s="9"/>
    </row>
    <row r="140" spans="1:5" x14ac:dyDescent="0.35">
      <c r="A140" s="14"/>
      <c r="B140" s="15"/>
      <c r="C140" s="157"/>
      <c r="D140" s="157"/>
      <c r="E140" s="9"/>
    </row>
    <row r="141" spans="1:5" x14ac:dyDescent="0.35">
      <c r="A141" s="14"/>
      <c r="B141" s="15"/>
      <c r="C141" s="157"/>
      <c r="D141" s="157"/>
      <c r="E141" s="9"/>
    </row>
    <row r="142" spans="1:5" x14ac:dyDescent="0.35">
      <c r="A142" s="14"/>
      <c r="B142" s="15"/>
      <c r="C142" s="157"/>
      <c r="D142" s="157"/>
      <c r="E142" s="9"/>
    </row>
    <row r="143" spans="1:5" x14ac:dyDescent="0.35">
      <c r="A143" s="14"/>
      <c r="B143" s="15"/>
      <c r="C143" s="157"/>
      <c r="D143" s="157"/>
      <c r="E143" s="9"/>
    </row>
    <row r="144" spans="1:5" x14ac:dyDescent="0.35">
      <c r="A144" s="14"/>
      <c r="B144" s="15"/>
      <c r="C144" s="157"/>
      <c r="D144" s="157"/>
      <c r="E144" s="9"/>
    </row>
    <row r="145" spans="1:5" x14ac:dyDescent="0.35">
      <c r="A145" s="14"/>
      <c r="B145" s="15"/>
      <c r="C145" s="157"/>
      <c r="D145" s="157"/>
      <c r="E145" s="9"/>
    </row>
    <row r="146" spans="1:5" x14ac:dyDescent="0.35">
      <c r="A146" s="14"/>
      <c r="B146" s="15"/>
      <c r="C146" s="157"/>
      <c r="D146" s="157"/>
      <c r="E146" s="9"/>
    </row>
    <row r="147" spans="1:5" x14ac:dyDescent="0.35">
      <c r="A147" s="14"/>
      <c r="B147" s="15"/>
      <c r="C147" s="157"/>
      <c r="D147" s="157"/>
      <c r="E147" s="9"/>
    </row>
    <row r="148" spans="1:5" x14ac:dyDescent="0.35">
      <c r="A148" s="14"/>
      <c r="B148" s="15"/>
      <c r="C148" s="157"/>
      <c r="D148" s="157"/>
      <c r="E148" s="9"/>
    </row>
    <row r="149" spans="1:5" x14ac:dyDescent="0.35">
      <c r="A149" s="14"/>
      <c r="B149" s="15"/>
      <c r="C149" s="157"/>
      <c r="D149" s="157"/>
      <c r="E149" s="9"/>
    </row>
    <row r="150" spans="1:5" x14ac:dyDescent="0.35">
      <c r="A150" s="14"/>
      <c r="B150" s="15"/>
      <c r="C150" s="157"/>
      <c r="D150" s="157"/>
      <c r="E150" s="9"/>
    </row>
    <row r="151" spans="1:5" x14ac:dyDescent="0.35">
      <c r="A151" s="14"/>
      <c r="B151" s="15"/>
      <c r="C151" s="157"/>
      <c r="D151" s="157"/>
      <c r="E151" s="9"/>
    </row>
    <row r="152" spans="1:5" x14ac:dyDescent="0.35">
      <c r="A152" s="14"/>
      <c r="B152" s="15"/>
      <c r="C152" s="157"/>
      <c r="D152" s="157"/>
      <c r="E152" s="9"/>
    </row>
    <row r="153" spans="1:5" x14ac:dyDescent="0.35">
      <c r="A153" s="14"/>
      <c r="B153" s="15"/>
      <c r="C153" s="157"/>
      <c r="D153" s="157"/>
      <c r="E153" s="9"/>
    </row>
    <row r="154" spans="1:5" x14ac:dyDescent="0.35">
      <c r="A154" s="14"/>
      <c r="B154" s="15"/>
      <c r="C154" s="157"/>
      <c r="D154" s="157"/>
      <c r="E154" s="9"/>
    </row>
    <row r="155" spans="1:5" x14ac:dyDescent="0.35">
      <c r="A155" s="14"/>
      <c r="B155" s="15"/>
      <c r="C155" s="157"/>
      <c r="D155" s="157"/>
      <c r="E155" s="9"/>
    </row>
    <row r="156" spans="1:5" x14ac:dyDescent="0.35">
      <c r="A156" s="14"/>
      <c r="B156" s="15"/>
      <c r="C156" s="157"/>
      <c r="D156" s="157"/>
      <c r="E156" s="9"/>
    </row>
    <row r="157" spans="1:5" x14ac:dyDescent="0.35">
      <c r="A157" s="14"/>
      <c r="B157" s="15"/>
      <c r="C157" s="157"/>
      <c r="D157" s="157"/>
      <c r="E157" s="9"/>
    </row>
    <row r="158" spans="1:5" x14ac:dyDescent="0.35">
      <c r="A158" s="14"/>
      <c r="B158" s="15"/>
      <c r="C158" s="157"/>
      <c r="D158" s="157"/>
      <c r="E158" s="9"/>
    </row>
    <row r="159" spans="1:5" x14ac:dyDescent="0.35">
      <c r="A159" s="14"/>
      <c r="B159" s="15"/>
      <c r="C159" s="157"/>
      <c r="D159" s="157"/>
      <c r="E159" s="9"/>
    </row>
    <row r="160" spans="1:5" x14ac:dyDescent="0.35">
      <c r="A160" s="14"/>
      <c r="B160" s="15"/>
      <c r="C160" s="157"/>
      <c r="D160" s="157"/>
      <c r="E160" s="9"/>
    </row>
    <row r="161" spans="1:5" x14ac:dyDescent="0.35">
      <c r="A161" s="14"/>
      <c r="B161" s="15"/>
      <c r="C161" s="157"/>
      <c r="D161" s="157"/>
      <c r="E161" s="9"/>
    </row>
    <row r="162" spans="1:5" x14ac:dyDescent="0.35">
      <c r="A162" s="14"/>
      <c r="B162" s="15"/>
      <c r="C162" s="157"/>
      <c r="D162" s="157"/>
      <c r="E162" s="9"/>
    </row>
    <row r="163" spans="1:5" x14ac:dyDescent="0.35">
      <c r="A163" s="14"/>
      <c r="B163" s="15"/>
      <c r="C163" s="157"/>
      <c r="D163" s="157"/>
      <c r="E163" s="9"/>
    </row>
    <row r="164" spans="1:5" x14ac:dyDescent="0.35">
      <c r="A164" s="14"/>
      <c r="B164" s="15"/>
      <c r="C164" s="157"/>
      <c r="D164" s="157"/>
      <c r="E164" s="9"/>
    </row>
    <row r="165" spans="1:5" x14ac:dyDescent="0.35">
      <c r="A165" s="14"/>
      <c r="B165" s="15"/>
      <c r="C165" s="157"/>
      <c r="D165" s="157"/>
      <c r="E165" s="9"/>
    </row>
    <row r="166" spans="1:5" x14ac:dyDescent="0.35">
      <c r="A166" s="14"/>
      <c r="B166" s="15"/>
      <c r="C166" s="157"/>
      <c r="D166" s="157"/>
      <c r="E166" s="9"/>
    </row>
    <row r="167" spans="1:5" x14ac:dyDescent="0.35">
      <c r="A167" s="14"/>
      <c r="B167" s="15"/>
      <c r="C167" s="157"/>
      <c r="D167" s="157"/>
      <c r="E167" s="9"/>
    </row>
    <row r="168" spans="1:5" x14ac:dyDescent="0.35">
      <c r="A168" s="14"/>
      <c r="B168" s="15"/>
      <c r="C168" s="157"/>
      <c r="D168" s="157"/>
      <c r="E168" s="9"/>
    </row>
    <row r="169" spans="1:5" x14ac:dyDescent="0.35">
      <c r="A169" s="14"/>
      <c r="B169" s="15"/>
      <c r="C169" s="157"/>
      <c r="D169" s="157"/>
      <c r="E169" s="9"/>
    </row>
    <row r="170" spans="1:5" x14ac:dyDescent="0.35">
      <c r="A170" s="14"/>
      <c r="B170" s="15"/>
      <c r="C170" s="157"/>
      <c r="D170" s="157"/>
      <c r="E170" s="9"/>
    </row>
    <row r="171" spans="1:5" x14ac:dyDescent="0.35">
      <c r="A171" s="14"/>
      <c r="B171" s="15"/>
      <c r="C171" s="157"/>
      <c r="D171" s="157"/>
      <c r="E171" s="9"/>
    </row>
    <row r="172" spans="1:5" x14ac:dyDescent="0.35">
      <c r="A172" s="14"/>
      <c r="B172" s="15"/>
      <c r="C172" s="157"/>
      <c r="D172" s="157"/>
      <c r="E172" s="9"/>
    </row>
    <row r="173" spans="1:5" x14ac:dyDescent="0.35">
      <c r="A173" s="14"/>
      <c r="B173" s="15"/>
      <c r="C173" s="157"/>
      <c r="D173" s="157"/>
      <c r="E173" s="9"/>
    </row>
    <row r="174" spans="1:5" x14ac:dyDescent="0.35">
      <c r="A174" s="14"/>
      <c r="B174" s="15"/>
      <c r="C174" s="157"/>
      <c r="D174" s="157"/>
      <c r="E174" s="9"/>
    </row>
    <row r="175" spans="1:5" x14ac:dyDescent="0.35">
      <c r="A175" s="14"/>
      <c r="B175" s="15"/>
      <c r="C175" s="157"/>
      <c r="D175" s="157"/>
      <c r="E175" s="9"/>
    </row>
    <row r="176" spans="1:5" x14ac:dyDescent="0.35">
      <c r="A176" s="14"/>
      <c r="B176" s="15"/>
      <c r="C176" s="157"/>
      <c r="D176" s="157"/>
      <c r="E176" s="9"/>
    </row>
    <row r="177" spans="1:5" x14ac:dyDescent="0.35">
      <c r="A177" s="14"/>
      <c r="B177" s="15"/>
      <c r="C177" s="157"/>
      <c r="D177" s="157"/>
      <c r="E177" s="9"/>
    </row>
    <row r="178" spans="1:5" x14ac:dyDescent="0.35">
      <c r="A178" s="14"/>
      <c r="B178" s="15"/>
      <c r="C178" s="157"/>
      <c r="D178" s="157"/>
      <c r="E178" s="9"/>
    </row>
    <row r="179" spans="1:5" x14ac:dyDescent="0.35">
      <c r="A179" s="14"/>
      <c r="B179" s="15"/>
      <c r="C179" s="157"/>
      <c r="D179" s="157"/>
      <c r="E179" s="9"/>
    </row>
    <row r="180" spans="1:5" x14ac:dyDescent="0.35">
      <c r="A180" s="14"/>
      <c r="B180" s="15"/>
      <c r="C180" s="157"/>
      <c r="D180" s="157"/>
      <c r="E180" s="9"/>
    </row>
    <row r="181" spans="1:5" x14ac:dyDescent="0.35">
      <c r="A181" s="14"/>
      <c r="B181" s="15"/>
      <c r="C181" s="157"/>
      <c r="D181" s="157"/>
      <c r="E181" s="9"/>
    </row>
    <row r="182" spans="1:5" x14ac:dyDescent="0.35">
      <c r="A182" s="14"/>
      <c r="B182" s="15"/>
      <c r="C182" s="157"/>
      <c r="D182" s="157"/>
      <c r="E182" s="9"/>
    </row>
    <row r="183" spans="1:5" x14ac:dyDescent="0.35">
      <c r="A183" s="14"/>
      <c r="B183" s="15"/>
      <c r="C183" s="157"/>
      <c r="D183" s="157"/>
      <c r="E183" s="9"/>
    </row>
    <row r="184" spans="1:5" x14ac:dyDescent="0.35">
      <c r="A184" s="14"/>
      <c r="B184" s="15"/>
      <c r="C184" s="157"/>
      <c r="D184" s="157"/>
      <c r="E184" s="9"/>
    </row>
    <row r="185" spans="1:5" x14ac:dyDescent="0.35">
      <c r="A185" s="14"/>
      <c r="B185" s="15"/>
      <c r="C185" s="157"/>
      <c r="D185" s="157"/>
      <c r="E185" s="9"/>
    </row>
    <row r="186" spans="1:5" x14ac:dyDescent="0.35">
      <c r="A186" s="14"/>
      <c r="B186" s="15"/>
      <c r="C186" s="157"/>
      <c r="D186" s="157"/>
      <c r="E186" s="9"/>
    </row>
    <row r="187" spans="1:5" x14ac:dyDescent="0.35">
      <c r="A187" s="14"/>
      <c r="B187" s="15"/>
      <c r="C187" s="157"/>
      <c r="D187" s="157"/>
      <c r="E187" s="9"/>
    </row>
    <row r="188" spans="1:5" x14ac:dyDescent="0.35">
      <c r="A188" s="14"/>
      <c r="B188" s="15"/>
      <c r="C188" s="157"/>
      <c r="D188" s="157"/>
      <c r="E188" s="9"/>
    </row>
    <row r="189" spans="1:5" x14ac:dyDescent="0.35">
      <c r="A189" s="14"/>
      <c r="B189" s="15"/>
      <c r="C189" s="157"/>
      <c r="D189" s="157"/>
      <c r="E189" s="9"/>
    </row>
    <row r="190" spans="1:5" x14ac:dyDescent="0.35">
      <c r="A190" s="14"/>
      <c r="B190" s="15"/>
      <c r="C190" s="157"/>
      <c r="D190" s="157"/>
      <c r="E190" s="9"/>
    </row>
    <row r="191" spans="1:5" x14ac:dyDescent="0.35">
      <c r="A191" s="14"/>
      <c r="B191" s="15"/>
      <c r="C191" s="157"/>
      <c r="D191" s="157"/>
      <c r="E191" s="9"/>
    </row>
    <row r="192" spans="1:5" x14ac:dyDescent="0.35">
      <c r="A192" s="14"/>
      <c r="B192" s="15"/>
      <c r="C192" s="157"/>
      <c r="D192" s="157"/>
      <c r="E192" s="9"/>
    </row>
    <row r="193" spans="1:5" x14ac:dyDescent="0.35">
      <c r="A193" s="14"/>
      <c r="B193" s="15"/>
      <c r="C193" s="157"/>
      <c r="D193" s="157"/>
      <c r="E193" s="9"/>
    </row>
    <row r="194" spans="1:5" x14ac:dyDescent="0.35">
      <c r="A194" s="14"/>
      <c r="B194" s="15"/>
      <c r="C194" s="157"/>
      <c r="D194" s="157"/>
      <c r="E194" s="9"/>
    </row>
    <row r="195" spans="1:5" x14ac:dyDescent="0.35">
      <c r="A195" s="14"/>
      <c r="B195" s="15"/>
      <c r="C195" s="157"/>
      <c r="D195" s="157"/>
      <c r="E195" s="9"/>
    </row>
    <row r="196" spans="1:5" x14ac:dyDescent="0.35">
      <c r="A196" s="14"/>
      <c r="B196" s="15"/>
      <c r="C196" s="157"/>
      <c r="D196" s="157"/>
      <c r="E196" s="9"/>
    </row>
    <row r="197" spans="1:5" x14ac:dyDescent="0.35">
      <c r="A197" s="14"/>
      <c r="B197" s="15"/>
      <c r="C197" s="157"/>
      <c r="D197" s="157"/>
      <c r="E197" s="9"/>
    </row>
    <row r="198" spans="1:5" x14ac:dyDescent="0.35">
      <c r="A198" s="14"/>
      <c r="B198" s="15"/>
      <c r="C198" s="157"/>
      <c r="D198" s="157"/>
      <c r="E198" s="9"/>
    </row>
    <row r="199" spans="1:5" x14ac:dyDescent="0.35">
      <c r="A199" s="14"/>
      <c r="B199" s="15"/>
      <c r="C199" s="157"/>
      <c r="D199" s="157"/>
      <c r="E199" s="9"/>
    </row>
    <row r="200" spans="1:5" x14ac:dyDescent="0.35">
      <c r="A200" s="14"/>
      <c r="B200" s="15"/>
      <c r="C200" s="157"/>
      <c r="D200" s="157"/>
      <c r="E200" s="9"/>
    </row>
    <row r="201" spans="1:5" x14ac:dyDescent="0.35">
      <c r="A201" s="14"/>
      <c r="B201" s="15"/>
      <c r="C201" s="157"/>
      <c r="D201" s="157"/>
      <c r="E201" s="9"/>
    </row>
    <row r="202" spans="1:5" x14ac:dyDescent="0.35">
      <c r="A202" s="14"/>
      <c r="B202" s="15"/>
      <c r="C202" s="157"/>
      <c r="D202" s="157"/>
      <c r="E202" s="9"/>
    </row>
    <row r="203" spans="1:5" x14ac:dyDescent="0.35">
      <c r="A203" s="14"/>
      <c r="B203" s="15"/>
      <c r="C203" s="157"/>
      <c r="D203" s="157"/>
      <c r="E203" s="9"/>
    </row>
    <row r="204" spans="1:5" x14ac:dyDescent="0.35">
      <c r="A204" s="14"/>
      <c r="B204" s="15"/>
      <c r="C204" s="157"/>
      <c r="D204" s="157"/>
      <c r="E204" s="9"/>
    </row>
    <row r="205" spans="1:5" x14ac:dyDescent="0.35">
      <c r="A205" s="14"/>
      <c r="B205" s="15"/>
      <c r="C205" s="157"/>
      <c r="D205" s="157"/>
      <c r="E205" s="9"/>
    </row>
    <row r="206" spans="1:5" x14ac:dyDescent="0.35">
      <c r="A206" s="14"/>
      <c r="B206" s="15"/>
      <c r="C206" s="157"/>
      <c r="D206" s="157"/>
      <c r="E206" s="9"/>
    </row>
    <row r="207" spans="1:5" x14ac:dyDescent="0.35">
      <c r="A207" s="14"/>
      <c r="B207" s="15"/>
      <c r="C207" s="157"/>
      <c r="D207" s="157"/>
      <c r="E207" s="9"/>
    </row>
    <row r="208" spans="1:5" x14ac:dyDescent="0.35">
      <c r="A208" s="14"/>
      <c r="B208" s="15"/>
      <c r="C208" s="157"/>
      <c r="D208" s="157"/>
      <c r="E208" s="9"/>
    </row>
    <row r="209" spans="1:5" x14ac:dyDescent="0.35">
      <c r="A209" s="14"/>
      <c r="B209" s="15"/>
      <c r="C209" s="157"/>
      <c r="D209" s="157"/>
      <c r="E209" s="9"/>
    </row>
    <row r="210" spans="1:5" x14ac:dyDescent="0.35">
      <c r="A210" s="14"/>
      <c r="B210" s="15"/>
      <c r="C210" s="157"/>
      <c r="D210" s="157"/>
      <c r="E210" s="9"/>
    </row>
    <row r="211" spans="1:5" x14ac:dyDescent="0.35">
      <c r="A211" s="14"/>
      <c r="B211" s="15"/>
      <c r="C211" s="157"/>
      <c r="D211" s="157"/>
      <c r="E211" s="9"/>
    </row>
    <row r="212" spans="1:5" x14ac:dyDescent="0.35">
      <c r="A212" s="14"/>
      <c r="B212" s="15"/>
      <c r="C212" s="157"/>
      <c r="D212" s="157"/>
      <c r="E212" s="9"/>
    </row>
    <row r="213" spans="1:5" x14ac:dyDescent="0.35">
      <c r="A213" s="14"/>
      <c r="B213" s="15"/>
      <c r="C213" s="157"/>
      <c r="D213" s="157"/>
      <c r="E213" s="9"/>
    </row>
    <row r="214" spans="1:5" x14ac:dyDescent="0.35">
      <c r="A214" s="14"/>
      <c r="B214" s="15"/>
      <c r="C214" s="157"/>
      <c r="D214" s="157"/>
      <c r="E214" s="9"/>
    </row>
    <row r="215" spans="1:5" x14ac:dyDescent="0.35">
      <c r="A215" s="14"/>
      <c r="B215" s="15"/>
      <c r="C215" s="157"/>
      <c r="D215" s="157"/>
      <c r="E215" s="9"/>
    </row>
    <row r="216" spans="1:5" x14ac:dyDescent="0.35">
      <c r="A216" s="14"/>
      <c r="B216" s="15"/>
      <c r="C216" s="157"/>
      <c r="D216" s="157"/>
      <c r="E216" s="9"/>
    </row>
    <row r="217" spans="1:5" x14ac:dyDescent="0.35">
      <c r="A217" s="14"/>
      <c r="B217" s="15"/>
      <c r="C217" s="157"/>
      <c r="D217" s="157"/>
      <c r="E217" s="9"/>
    </row>
    <row r="218" spans="1:5" x14ac:dyDescent="0.35">
      <c r="A218" s="14"/>
      <c r="B218" s="15"/>
      <c r="C218" s="157"/>
      <c r="D218" s="157"/>
      <c r="E218" s="9"/>
    </row>
    <row r="219" spans="1:5" x14ac:dyDescent="0.35">
      <c r="A219" s="14"/>
      <c r="B219" s="15"/>
      <c r="C219" s="157"/>
      <c r="D219" s="157"/>
      <c r="E219" s="9"/>
    </row>
    <row r="220" spans="1:5" x14ac:dyDescent="0.35">
      <c r="A220" s="14"/>
      <c r="B220" s="15"/>
      <c r="C220" s="157"/>
      <c r="D220" s="157"/>
      <c r="E220" s="9"/>
    </row>
    <row r="221" spans="1:5" x14ac:dyDescent="0.35">
      <c r="A221" s="14"/>
      <c r="B221" s="15"/>
      <c r="C221" s="157"/>
      <c r="D221" s="157"/>
      <c r="E221" s="9"/>
    </row>
    <row r="222" spans="1:5" x14ac:dyDescent="0.35">
      <c r="A222" s="14"/>
      <c r="B222" s="15"/>
      <c r="C222" s="157"/>
      <c r="D222" s="157"/>
      <c r="E222" s="9"/>
    </row>
    <row r="223" spans="1:5" x14ac:dyDescent="0.35">
      <c r="A223" s="14"/>
      <c r="B223" s="15"/>
      <c r="C223" s="157"/>
      <c r="D223" s="157"/>
      <c r="E223" s="9"/>
    </row>
    <row r="224" spans="1:5" x14ac:dyDescent="0.35">
      <c r="A224" s="14"/>
      <c r="B224" s="15"/>
      <c r="C224" s="157"/>
      <c r="D224" s="157"/>
      <c r="E224" s="9"/>
    </row>
    <row r="225" spans="1:5" x14ac:dyDescent="0.35">
      <c r="A225" s="14"/>
      <c r="B225" s="15"/>
      <c r="C225" s="157"/>
      <c r="D225" s="157"/>
      <c r="E225" s="9"/>
    </row>
    <row r="226" spans="1:5" x14ac:dyDescent="0.35">
      <c r="A226" s="14"/>
      <c r="B226" s="15"/>
      <c r="C226" s="157"/>
      <c r="D226" s="157"/>
      <c r="E226" s="9"/>
    </row>
    <row r="227" spans="1:5" x14ac:dyDescent="0.35">
      <c r="A227" s="14"/>
      <c r="B227" s="15"/>
      <c r="C227" s="157"/>
      <c r="D227" s="157"/>
      <c r="E227" s="9"/>
    </row>
    <row r="228" spans="1:5" x14ac:dyDescent="0.35">
      <c r="A228" s="14"/>
      <c r="B228" s="15"/>
      <c r="C228" s="157"/>
      <c r="D228" s="157"/>
      <c r="E228" s="9"/>
    </row>
    <row r="229" spans="1:5" x14ac:dyDescent="0.35">
      <c r="A229" s="14"/>
      <c r="B229" s="15"/>
      <c r="C229" s="157"/>
      <c r="D229" s="157"/>
      <c r="E229" s="9"/>
    </row>
    <row r="230" spans="1:5" x14ac:dyDescent="0.35">
      <c r="A230" s="14"/>
      <c r="B230" s="15"/>
      <c r="C230" s="157"/>
      <c r="D230" s="157"/>
      <c r="E230" s="9"/>
    </row>
    <row r="231" spans="1:5" x14ac:dyDescent="0.35">
      <c r="A231" s="14"/>
      <c r="B231" s="15"/>
      <c r="C231" s="157"/>
      <c r="D231" s="157"/>
      <c r="E231" s="9"/>
    </row>
    <row r="232" spans="1:5" x14ac:dyDescent="0.35">
      <c r="A232" s="14"/>
      <c r="B232" s="15"/>
      <c r="C232" s="157"/>
      <c r="D232" s="157"/>
      <c r="E232" s="9"/>
    </row>
    <row r="233" spans="1:5" x14ac:dyDescent="0.35">
      <c r="A233" s="14"/>
      <c r="B233" s="15"/>
      <c r="C233" s="157"/>
      <c r="D233" s="157"/>
      <c r="E233" s="9"/>
    </row>
    <row r="234" spans="1:5" x14ac:dyDescent="0.35">
      <c r="A234" s="14"/>
      <c r="B234" s="15"/>
      <c r="C234" s="157"/>
      <c r="D234" s="157"/>
      <c r="E234" s="9"/>
    </row>
    <row r="235" spans="1:5" x14ac:dyDescent="0.35">
      <c r="A235" s="14"/>
      <c r="B235" s="15"/>
      <c r="C235" s="157"/>
      <c r="D235" s="157"/>
      <c r="E235" s="9"/>
    </row>
    <row r="236" spans="1:5" x14ac:dyDescent="0.35">
      <c r="A236" s="14"/>
      <c r="B236" s="15"/>
      <c r="C236" s="157"/>
      <c r="D236" s="157"/>
      <c r="E236" s="9"/>
    </row>
    <row r="237" spans="1:5" x14ac:dyDescent="0.35">
      <c r="A237" s="14"/>
      <c r="B237" s="15"/>
      <c r="C237" s="157"/>
      <c r="D237" s="157"/>
      <c r="E237" s="9"/>
    </row>
    <row r="238" spans="1:5" x14ac:dyDescent="0.35">
      <c r="A238" s="14"/>
      <c r="B238" s="15"/>
      <c r="C238" s="157"/>
      <c r="D238" s="157"/>
      <c r="E238" s="9"/>
    </row>
    <row r="239" spans="1:5" x14ac:dyDescent="0.35">
      <c r="A239" s="14"/>
      <c r="B239" s="15"/>
      <c r="C239" s="157"/>
      <c r="D239" s="157"/>
      <c r="E239" s="9"/>
    </row>
    <row r="240" spans="1:5" x14ac:dyDescent="0.35">
      <c r="A240" s="14"/>
      <c r="B240" s="15"/>
      <c r="C240" s="157"/>
      <c r="D240" s="157"/>
      <c r="E240" s="9"/>
    </row>
    <row r="241" spans="1:5" x14ac:dyDescent="0.35">
      <c r="A241" s="14"/>
      <c r="B241" s="15"/>
      <c r="C241" s="157"/>
      <c r="D241" s="157"/>
      <c r="E241" s="9"/>
    </row>
    <row r="242" spans="1:5" x14ac:dyDescent="0.35">
      <c r="A242" s="14"/>
      <c r="B242" s="15"/>
      <c r="C242" s="157"/>
      <c r="D242" s="157"/>
      <c r="E242" s="9"/>
    </row>
    <row r="243" spans="1:5" x14ac:dyDescent="0.35">
      <c r="A243" s="14"/>
      <c r="B243" s="15"/>
      <c r="C243" s="157"/>
      <c r="D243" s="157"/>
      <c r="E243" s="9"/>
    </row>
    <row r="244" spans="1:5" x14ac:dyDescent="0.35">
      <c r="A244" s="14"/>
      <c r="B244" s="15"/>
      <c r="C244" s="157"/>
      <c r="D244" s="157"/>
      <c r="E244" s="9"/>
    </row>
    <row r="245" spans="1:5" x14ac:dyDescent="0.35">
      <c r="A245" s="14"/>
      <c r="B245" s="15"/>
      <c r="C245" s="157"/>
      <c r="D245" s="157"/>
      <c r="E245" s="9"/>
    </row>
    <row r="246" spans="1:5" x14ac:dyDescent="0.35">
      <c r="A246" s="14"/>
      <c r="B246" s="15"/>
      <c r="C246" s="157"/>
      <c r="D246" s="157"/>
      <c r="E246" s="9"/>
    </row>
    <row r="247" spans="1:5" x14ac:dyDescent="0.35">
      <c r="A247" s="14"/>
      <c r="B247" s="15"/>
      <c r="C247" s="157"/>
      <c r="D247" s="157"/>
      <c r="E247" s="9"/>
    </row>
    <row r="248" spans="1:5" x14ac:dyDescent="0.35">
      <c r="A248" s="14"/>
      <c r="B248" s="15"/>
      <c r="C248" s="157"/>
      <c r="D248" s="157"/>
      <c r="E248" s="9"/>
    </row>
    <row r="249" spans="1:5" x14ac:dyDescent="0.35">
      <c r="A249" s="14"/>
      <c r="B249" s="15"/>
      <c r="C249" s="157"/>
      <c r="D249" s="157"/>
      <c r="E249" s="9"/>
    </row>
    <row r="250" spans="1:5" x14ac:dyDescent="0.35">
      <c r="A250" s="14"/>
      <c r="B250" s="15"/>
      <c r="C250" s="157"/>
      <c r="D250" s="157"/>
      <c r="E250" s="9"/>
    </row>
    <row r="251" spans="1:5" x14ac:dyDescent="0.35">
      <c r="A251" s="14"/>
      <c r="B251" s="15"/>
      <c r="C251" s="157"/>
      <c r="D251" s="157"/>
      <c r="E251" s="9"/>
    </row>
    <row r="252" spans="1:5" x14ac:dyDescent="0.35">
      <c r="A252" s="14"/>
      <c r="B252" s="15"/>
      <c r="C252" s="157"/>
      <c r="D252" s="157"/>
      <c r="E252" s="9"/>
    </row>
    <row r="253" spans="1:5" x14ac:dyDescent="0.35">
      <c r="A253" s="14"/>
      <c r="B253" s="15"/>
      <c r="C253" s="157"/>
      <c r="D253" s="157"/>
      <c r="E253" s="9"/>
    </row>
    <row r="254" spans="1:5" x14ac:dyDescent="0.35">
      <c r="A254" s="14"/>
      <c r="B254" s="15"/>
      <c r="C254" s="157"/>
      <c r="D254" s="157"/>
      <c r="E254" s="9"/>
    </row>
    <row r="255" spans="1:5" x14ac:dyDescent="0.35">
      <c r="A255" s="14"/>
      <c r="B255" s="15"/>
      <c r="C255" s="157"/>
      <c r="D255" s="157"/>
      <c r="E255" s="9"/>
    </row>
    <row r="256" spans="1:5" x14ac:dyDescent="0.35">
      <c r="A256" s="14"/>
      <c r="B256" s="15"/>
      <c r="C256" s="157"/>
      <c r="D256" s="157"/>
      <c r="E256" s="9"/>
    </row>
    <row r="257" spans="1:5" x14ac:dyDescent="0.35">
      <c r="A257" s="14"/>
      <c r="B257" s="15"/>
      <c r="C257" s="157"/>
      <c r="D257" s="157"/>
      <c r="E257" s="9"/>
    </row>
    <row r="258" spans="1:5" x14ac:dyDescent="0.35">
      <c r="A258" s="14"/>
      <c r="B258" s="15"/>
      <c r="C258" s="157"/>
      <c r="D258" s="157"/>
      <c r="E258" s="9"/>
    </row>
    <row r="259" spans="1:5" x14ac:dyDescent="0.35">
      <c r="A259" s="14"/>
      <c r="B259" s="15"/>
      <c r="C259" s="157"/>
      <c r="D259" s="157"/>
      <c r="E259" s="9"/>
    </row>
    <row r="260" spans="1:5" x14ac:dyDescent="0.35">
      <c r="A260" s="14"/>
      <c r="B260" s="15"/>
      <c r="C260" s="157"/>
      <c r="D260" s="157"/>
      <c r="E260" s="9"/>
    </row>
    <row r="261" spans="1:5" x14ac:dyDescent="0.35">
      <c r="A261" s="14"/>
      <c r="B261" s="15"/>
      <c r="C261" s="157"/>
      <c r="D261" s="157"/>
      <c r="E261" s="9"/>
    </row>
    <row r="262" spans="1:5" x14ac:dyDescent="0.35">
      <c r="A262" s="14"/>
      <c r="B262" s="15"/>
      <c r="C262" s="157"/>
      <c r="D262" s="157"/>
      <c r="E262" s="9"/>
    </row>
    <row r="263" spans="1:5" x14ac:dyDescent="0.35">
      <c r="A263" s="14"/>
      <c r="B263" s="15"/>
      <c r="C263" s="157"/>
      <c r="D263" s="157"/>
      <c r="E263" s="9"/>
    </row>
    <row r="264" spans="1:5" x14ac:dyDescent="0.35">
      <c r="A264" s="14"/>
      <c r="B264" s="15"/>
      <c r="C264" s="157"/>
      <c r="D264" s="157"/>
      <c r="E264" s="9"/>
    </row>
    <row r="265" spans="1:5" x14ac:dyDescent="0.35">
      <c r="A265" s="14"/>
      <c r="B265" s="15"/>
      <c r="C265" s="157"/>
      <c r="D265" s="157"/>
      <c r="E265" s="9"/>
    </row>
    <row r="266" spans="1:5" x14ac:dyDescent="0.35">
      <c r="A266" s="14"/>
      <c r="B266" s="15"/>
      <c r="C266" s="157"/>
      <c r="D266" s="157"/>
      <c r="E266" s="9"/>
    </row>
    <row r="267" spans="1:5" x14ac:dyDescent="0.35">
      <c r="A267" s="14"/>
      <c r="B267" s="15"/>
      <c r="C267" s="157"/>
      <c r="D267" s="157"/>
      <c r="E267" s="9"/>
    </row>
    <row r="268" spans="1:5" x14ac:dyDescent="0.35">
      <c r="A268" s="14"/>
      <c r="B268" s="15"/>
      <c r="C268" s="157"/>
      <c r="D268" s="157"/>
      <c r="E268" s="9"/>
    </row>
    <row r="269" spans="1:5" x14ac:dyDescent="0.35">
      <c r="A269" s="14"/>
      <c r="B269" s="15"/>
      <c r="C269" s="157"/>
      <c r="D269" s="157"/>
      <c r="E269" s="9"/>
    </row>
    <row r="270" spans="1:5" x14ac:dyDescent="0.35">
      <c r="A270" s="14"/>
      <c r="B270" s="15"/>
      <c r="C270" s="157"/>
      <c r="D270" s="157"/>
      <c r="E270" s="9"/>
    </row>
    <row r="271" spans="1:5" x14ac:dyDescent="0.35">
      <c r="A271" s="14"/>
      <c r="B271" s="15"/>
      <c r="C271" s="157"/>
      <c r="D271" s="157"/>
      <c r="E271" s="9"/>
    </row>
    <row r="272" spans="1:5" x14ac:dyDescent="0.35">
      <c r="A272" s="14"/>
      <c r="B272" s="15"/>
      <c r="C272" s="157"/>
      <c r="D272" s="157"/>
      <c r="E272" s="9"/>
    </row>
    <row r="273" spans="1:5" x14ac:dyDescent="0.35">
      <c r="A273" s="14"/>
      <c r="B273" s="15"/>
      <c r="C273" s="157"/>
      <c r="D273" s="157"/>
      <c r="E273" s="9"/>
    </row>
    <row r="274" spans="1:5" x14ac:dyDescent="0.35">
      <c r="A274" s="14"/>
      <c r="B274" s="15"/>
      <c r="C274" s="157"/>
      <c r="D274" s="157"/>
      <c r="E274" s="9"/>
    </row>
    <row r="275" spans="1:5" x14ac:dyDescent="0.35">
      <c r="A275" s="14"/>
      <c r="B275" s="15"/>
      <c r="C275" s="157"/>
      <c r="D275" s="157"/>
      <c r="E275" s="9"/>
    </row>
    <row r="276" spans="1:5" x14ac:dyDescent="0.35">
      <c r="A276" s="14"/>
      <c r="B276" s="15"/>
      <c r="C276" s="157"/>
      <c r="D276" s="157"/>
      <c r="E276" s="9"/>
    </row>
    <row r="277" spans="1:5" x14ac:dyDescent="0.35">
      <c r="A277" s="14"/>
      <c r="B277" s="15"/>
      <c r="C277" s="157"/>
      <c r="D277" s="157"/>
      <c r="E277" s="9"/>
    </row>
    <row r="278" spans="1:5" x14ac:dyDescent="0.35">
      <c r="A278" s="14"/>
      <c r="B278" s="15"/>
      <c r="C278" s="157"/>
      <c r="D278" s="157"/>
      <c r="E278" s="9"/>
    </row>
    <row r="279" spans="1:5" x14ac:dyDescent="0.35">
      <c r="A279" s="14"/>
      <c r="B279" s="15"/>
      <c r="C279" s="157"/>
      <c r="D279" s="157"/>
      <c r="E279" s="9"/>
    </row>
    <row r="280" spans="1:5" x14ac:dyDescent="0.35">
      <c r="A280" s="14"/>
      <c r="B280" s="15"/>
      <c r="C280" s="157"/>
      <c r="D280" s="157"/>
      <c r="E280" s="9"/>
    </row>
    <row r="281" spans="1:5" x14ac:dyDescent="0.35">
      <c r="A281" s="14"/>
      <c r="B281" s="15"/>
      <c r="C281" s="157"/>
      <c r="D281" s="157"/>
      <c r="E281" s="9"/>
    </row>
    <row r="282" spans="1:5" x14ac:dyDescent="0.35">
      <c r="A282" s="14"/>
      <c r="B282" s="15"/>
      <c r="C282" s="157"/>
      <c r="D282" s="157"/>
      <c r="E282" s="9"/>
    </row>
    <row r="283" spans="1:5" x14ac:dyDescent="0.35">
      <c r="A283" s="14"/>
      <c r="B283" s="15"/>
      <c r="C283" s="157"/>
      <c r="D283" s="157"/>
      <c r="E283" s="9"/>
    </row>
    <row r="284" spans="1:5" x14ac:dyDescent="0.35">
      <c r="A284" s="14"/>
      <c r="B284" s="15"/>
      <c r="C284" s="157"/>
      <c r="D284" s="157"/>
      <c r="E284" s="9"/>
    </row>
    <row r="285" spans="1:5" x14ac:dyDescent="0.35">
      <c r="A285" s="14"/>
      <c r="B285" s="15"/>
      <c r="C285" s="157"/>
      <c r="D285" s="157"/>
      <c r="E285" s="9"/>
    </row>
    <row r="286" spans="1:5" x14ac:dyDescent="0.35">
      <c r="A286" s="14"/>
      <c r="B286" s="15"/>
      <c r="C286" s="157"/>
      <c r="D286" s="157"/>
      <c r="E286" s="9"/>
    </row>
    <row r="287" spans="1:5" x14ac:dyDescent="0.35">
      <c r="A287" s="14"/>
      <c r="B287" s="15"/>
      <c r="C287" s="157"/>
      <c r="D287" s="157"/>
      <c r="E287" s="9"/>
    </row>
    <row r="288" spans="1:5" x14ac:dyDescent="0.35">
      <c r="A288" s="14"/>
      <c r="B288" s="15"/>
      <c r="C288" s="157"/>
      <c r="D288" s="157"/>
      <c r="E288" s="9"/>
    </row>
    <row r="289" spans="1:5" x14ac:dyDescent="0.35">
      <c r="A289" s="14"/>
      <c r="B289" s="15"/>
      <c r="C289" s="157"/>
      <c r="D289" s="157"/>
      <c r="E289" s="9"/>
    </row>
    <row r="290" spans="1:5" x14ac:dyDescent="0.35">
      <c r="A290" s="14"/>
      <c r="B290" s="15"/>
      <c r="C290" s="157"/>
      <c r="D290" s="157"/>
      <c r="E290" s="9"/>
    </row>
    <row r="291" spans="1:5" x14ac:dyDescent="0.35">
      <c r="A291" s="14"/>
      <c r="B291" s="15"/>
      <c r="C291" s="157"/>
      <c r="D291" s="157"/>
      <c r="E291" s="9"/>
    </row>
    <row r="292" spans="1:5" x14ac:dyDescent="0.35">
      <c r="A292" s="14"/>
      <c r="B292" s="15"/>
      <c r="C292" s="157"/>
      <c r="D292" s="157"/>
      <c r="E292" s="9"/>
    </row>
    <row r="293" spans="1:5" x14ac:dyDescent="0.35">
      <c r="A293" s="14"/>
      <c r="B293" s="15"/>
      <c r="C293" s="157"/>
      <c r="D293" s="157"/>
      <c r="E293" s="9"/>
    </row>
    <row r="294" spans="1:5" x14ac:dyDescent="0.35">
      <c r="A294" s="14"/>
      <c r="B294" s="15"/>
      <c r="C294" s="157"/>
      <c r="D294" s="157"/>
      <c r="E294" s="9"/>
    </row>
    <row r="295" spans="1:5" x14ac:dyDescent="0.35">
      <c r="A295" s="14"/>
      <c r="B295" s="15"/>
      <c r="C295" s="157"/>
      <c r="D295" s="157"/>
      <c r="E295" s="9"/>
    </row>
    <row r="296" spans="1:5" x14ac:dyDescent="0.35">
      <c r="A296" s="14"/>
      <c r="B296" s="15"/>
      <c r="C296" s="157"/>
      <c r="D296" s="157"/>
      <c r="E296" s="9"/>
    </row>
    <row r="297" spans="1:5" x14ac:dyDescent="0.35">
      <c r="A297" s="14"/>
      <c r="B297" s="15"/>
      <c r="C297" s="157"/>
      <c r="D297" s="157"/>
      <c r="E297" s="9"/>
    </row>
    <row r="298" spans="1:5" x14ac:dyDescent="0.35">
      <c r="A298" s="14"/>
      <c r="B298" s="15"/>
      <c r="C298" s="157"/>
      <c r="D298" s="157"/>
      <c r="E298" s="9"/>
    </row>
    <row r="299" spans="1:5" x14ac:dyDescent="0.35">
      <c r="A299" s="14"/>
      <c r="B299" s="15"/>
      <c r="C299" s="157"/>
      <c r="D299" s="157"/>
      <c r="E299" s="9"/>
    </row>
    <row r="300" spans="1:5" x14ac:dyDescent="0.35">
      <c r="A300" s="14"/>
      <c r="B300" s="15"/>
      <c r="C300" s="157"/>
      <c r="D300" s="157"/>
      <c r="E300" s="9"/>
    </row>
    <row r="301" spans="1:5" x14ac:dyDescent="0.35">
      <c r="A301" s="14"/>
      <c r="B301" s="15"/>
      <c r="C301" s="157"/>
      <c r="D301" s="157"/>
      <c r="E301" s="9"/>
    </row>
    <row r="302" spans="1:5" x14ac:dyDescent="0.35">
      <c r="A302" s="14"/>
      <c r="B302" s="15"/>
      <c r="C302" s="157"/>
      <c r="D302" s="157"/>
      <c r="E302" s="9"/>
    </row>
    <row r="303" spans="1:5" x14ac:dyDescent="0.35">
      <c r="A303" s="14"/>
      <c r="B303" s="15"/>
      <c r="C303" s="157"/>
      <c r="D303" s="157"/>
      <c r="E303" s="9"/>
    </row>
    <row r="304" spans="1:5" x14ac:dyDescent="0.35">
      <c r="A304" s="14"/>
      <c r="B304" s="15"/>
      <c r="C304" s="157"/>
      <c r="D304" s="157"/>
      <c r="E304" s="9"/>
    </row>
    <row r="305" spans="1:5" x14ac:dyDescent="0.35">
      <c r="A305" s="14"/>
      <c r="B305" s="15"/>
      <c r="C305" s="157"/>
      <c r="D305" s="157"/>
      <c r="E305" s="9"/>
    </row>
    <row r="306" spans="1:5" x14ac:dyDescent="0.35">
      <c r="A306" s="14"/>
      <c r="B306" s="15"/>
      <c r="C306" s="157"/>
      <c r="D306" s="157"/>
      <c r="E306" s="9"/>
    </row>
    <row r="307" spans="1:5" x14ac:dyDescent="0.35">
      <c r="A307" s="14"/>
      <c r="B307" s="15"/>
      <c r="C307" s="157"/>
      <c r="D307" s="157"/>
      <c r="E307" s="9"/>
    </row>
    <row r="308" spans="1:5" x14ac:dyDescent="0.35">
      <c r="A308" s="14"/>
      <c r="B308" s="15"/>
      <c r="C308" s="157"/>
      <c r="D308" s="157"/>
      <c r="E308" s="9"/>
    </row>
    <row r="309" spans="1:5" x14ac:dyDescent="0.35">
      <c r="A309" s="14"/>
      <c r="B309" s="15"/>
      <c r="C309" s="157"/>
      <c r="D309" s="157"/>
      <c r="E309" s="9"/>
    </row>
    <row r="310" spans="1:5" x14ac:dyDescent="0.35">
      <c r="A310" s="14"/>
      <c r="B310" s="15"/>
      <c r="C310" s="157"/>
      <c r="D310" s="157"/>
      <c r="E310" s="9"/>
    </row>
    <row r="311" spans="1:5" x14ac:dyDescent="0.35">
      <c r="A311" s="14"/>
      <c r="B311" s="15"/>
      <c r="C311" s="157"/>
      <c r="D311" s="157"/>
      <c r="E311" s="9"/>
    </row>
    <row r="312" spans="1:5" x14ac:dyDescent="0.35">
      <c r="A312" s="14"/>
      <c r="B312" s="15"/>
      <c r="C312" s="157"/>
      <c r="D312" s="157"/>
      <c r="E312" s="9"/>
    </row>
    <row r="313" spans="1:5" x14ac:dyDescent="0.35">
      <c r="A313" s="14"/>
      <c r="B313" s="15"/>
      <c r="C313" s="157"/>
      <c r="D313" s="157"/>
      <c r="E313" s="9"/>
    </row>
    <row r="314" spans="1:5" x14ac:dyDescent="0.35">
      <c r="A314" s="14"/>
      <c r="B314" s="15"/>
      <c r="C314" s="157"/>
      <c r="D314" s="157"/>
      <c r="E314" s="9"/>
    </row>
    <row r="315" spans="1:5" x14ac:dyDescent="0.35">
      <c r="A315" s="14"/>
      <c r="B315" s="15"/>
      <c r="C315" s="157"/>
      <c r="D315" s="157"/>
      <c r="E315" s="9"/>
    </row>
    <row r="316" spans="1:5" x14ac:dyDescent="0.35">
      <c r="A316" s="14"/>
      <c r="B316" s="15"/>
      <c r="C316" s="157"/>
      <c r="D316" s="157"/>
      <c r="E316" s="9"/>
    </row>
    <row r="317" spans="1:5" x14ac:dyDescent="0.35">
      <c r="A317" s="14"/>
      <c r="B317" s="15"/>
      <c r="C317" s="157"/>
      <c r="D317" s="157"/>
      <c r="E317" s="9"/>
    </row>
    <row r="318" spans="1:5" x14ac:dyDescent="0.35">
      <c r="A318" s="14"/>
      <c r="B318" s="15"/>
      <c r="C318" s="157"/>
      <c r="D318" s="157"/>
      <c r="E318" s="9"/>
    </row>
    <row r="319" spans="1:5" x14ac:dyDescent="0.35">
      <c r="A319" s="14"/>
      <c r="B319" s="15"/>
      <c r="C319" s="157"/>
      <c r="D319" s="157"/>
      <c r="E319" s="9"/>
    </row>
    <row r="320" spans="1:5" x14ac:dyDescent="0.35">
      <c r="A320" s="14"/>
      <c r="B320" s="15"/>
      <c r="C320" s="157"/>
      <c r="D320" s="157"/>
      <c r="E320" s="9"/>
    </row>
    <row r="321" spans="1:5" x14ac:dyDescent="0.35">
      <c r="A321" s="14"/>
      <c r="B321" s="15"/>
      <c r="C321" s="157"/>
      <c r="D321" s="157"/>
      <c r="E321" s="9"/>
    </row>
    <row r="322" spans="1:5" x14ac:dyDescent="0.35">
      <c r="A322" s="14"/>
      <c r="B322" s="15"/>
      <c r="C322" s="157"/>
      <c r="D322" s="157"/>
      <c r="E322" s="9"/>
    </row>
    <row r="323" spans="1:5" x14ac:dyDescent="0.35">
      <c r="A323" s="14"/>
      <c r="B323" s="15"/>
      <c r="C323" s="157"/>
      <c r="D323" s="157"/>
      <c r="E323" s="9"/>
    </row>
    <row r="324" spans="1:5" x14ac:dyDescent="0.35">
      <c r="A324" s="14"/>
      <c r="B324" s="15"/>
      <c r="C324" s="157"/>
      <c r="D324" s="157"/>
      <c r="E324" s="9"/>
    </row>
    <row r="325" spans="1:5" x14ac:dyDescent="0.35">
      <c r="A325" s="14"/>
      <c r="B325" s="15"/>
      <c r="C325" s="157"/>
      <c r="D325" s="157"/>
      <c r="E325" s="9"/>
    </row>
    <row r="326" spans="1:5" x14ac:dyDescent="0.35">
      <c r="A326" s="14"/>
      <c r="B326" s="15"/>
      <c r="C326" s="157"/>
      <c r="D326" s="157"/>
      <c r="E326" s="9"/>
    </row>
    <row r="327" spans="1:5" x14ac:dyDescent="0.35">
      <c r="A327" s="14"/>
      <c r="B327" s="15"/>
      <c r="C327" s="157"/>
      <c r="D327" s="157"/>
      <c r="E327" s="9"/>
    </row>
    <row r="328" spans="1:5" x14ac:dyDescent="0.35">
      <c r="A328" s="14"/>
      <c r="B328" s="15"/>
      <c r="C328" s="157"/>
      <c r="D328" s="157"/>
      <c r="E328" s="9"/>
    </row>
    <row r="329" spans="1:5" x14ac:dyDescent="0.35">
      <c r="A329" s="14"/>
      <c r="B329" s="15"/>
      <c r="C329" s="157"/>
      <c r="D329" s="157"/>
      <c r="E329" s="9"/>
    </row>
    <row r="330" spans="1:5" x14ac:dyDescent="0.35">
      <c r="A330" s="14"/>
      <c r="B330" s="15"/>
      <c r="C330" s="157"/>
      <c r="D330" s="157"/>
      <c r="E330" s="9"/>
    </row>
    <row r="331" spans="1:5" x14ac:dyDescent="0.35">
      <c r="A331" s="14"/>
      <c r="B331" s="15"/>
      <c r="C331" s="157"/>
      <c r="D331" s="157"/>
      <c r="E331" s="9"/>
    </row>
    <row r="332" spans="1:5" x14ac:dyDescent="0.35">
      <c r="A332" s="14"/>
      <c r="B332" s="15"/>
      <c r="C332" s="157"/>
      <c r="D332" s="157"/>
      <c r="E332" s="9"/>
    </row>
    <row r="333" spans="1:5" x14ac:dyDescent="0.35">
      <c r="A333" s="14"/>
      <c r="B333" s="15"/>
      <c r="C333" s="157"/>
      <c r="D333" s="157"/>
      <c r="E333" s="9"/>
    </row>
    <row r="334" spans="1:5" x14ac:dyDescent="0.35">
      <c r="A334" s="14"/>
      <c r="B334" s="15"/>
      <c r="C334" s="157"/>
      <c r="D334" s="157"/>
      <c r="E334" s="9"/>
    </row>
    <row r="335" spans="1:5" x14ac:dyDescent="0.35">
      <c r="A335" s="14"/>
      <c r="B335" s="15"/>
      <c r="C335" s="157"/>
      <c r="D335" s="157"/>
      <c r="E335" s="9"/>
    </row>
    <row r="336" spans="1:5" x14ac:dyDescent="0.35">
      <c r="A336" s="14"/>
      <c r="B336" s="15"/>
      <c r="C336" s="157"/>
      <c r="D336" s="157"/>
      <c r="E336" s="9"/>
    </row>
    <row r="337" spans="1:5" x14ac:dyDescent="0.35">
      <c r="A337" s="14"/>
      <c r="B337" s="15"/>
      <c r="C337" s="157"/>
      <c r="D337" s="157"/>
      <c r="E337" s="9"/>
    </row>
    <row r="338" spans="1:5" x14ac:dyDescent="0.35">
      <c r="A338" s="14"/>
      <c r="B338" s="15"/>
      <c r="C338" s="157"/>
      <c r="D338" s="157"/>
      <c r="E338" s="9"/>
    </row>
    <row r="339" spans="1:5" x14ac:dyDescent="0.35">
      <c r="A339" s="14"/>
      <c r="B339" s="15"/>
      <c r="C339" s="157"/>
      <c r="D339" s="157"/>
      <c r="E339" s="9"/>
    </row>
    <row r="340" spans="1:5" x14ac:dyDescent="0.35">
      <c r="A340" s="14"/>
      <c r="B340" s="15"/>
      <c r="C340" s="157"/>
      <c r="D340" s="157"/>
      <c r="E340" s="9"/>
    </row>
    <row r="341" spans="1:5" x14ac:dyDescent="0.35">
      <c r="A341" s="14"/>
      <c r="B341" s="15"/>
      <c r="C341" s="157"/>
      <c r="D341" s="157"/>
      <c r="E341" s="9"/>
    </row>
    <row r="342" spans="1:5" x14ac:dyDescent="0.35">
      <c r="A342" s="14"/>
      <c r="B342" s="15"/>
      <c r="C342" s="157"/>
      <c r="D342" s="157"/>
      <c r="E342" s="9"/>
    </row>
    <row r="343" spans="1:5" x14ac:dyDescent="0.35">
      <c r="A343" s="14"/>
      <c r="B343" s="15"/>
      <c r="C343" s="157"/>
      <c r="D343" s="157"/>
      <c r="E343" s="9"/>
    </row>
    <row r="344" spans="1:5" x14ac:dyDescent="0.35">
      <c r="A344" s="14"/>
      <c r="B344" s="15"/>
      <c r="C344" s="157"/>
      <c r="D344" s="157"/>
      <c r="E344" s="9"/>
    </row>
    <row r="345" spans="1:5" x14ac:dyDescent="0.35">
      <c r="A345" s="14"/>
      <c r="B345" s="15"/>
      <c r="C345" s="157"/>
      <c r="D345" s="157"/>
      <c r="E345" s="9"/>
    </row>
    <row r="346" spans="1:5" x14ac:dyDescent="0.35">
      <c r="A346" s="14"/>
      <c r="B346" s="15"/>
      <c r="C346" s="157"/>
      <c r="D346" s="157"/>
      <c r="E346" s="9"/>
    </row>
    <row r="347" spans="1:5" x14ac:dyDescent="0.35">
      <c r="A347" s="14"/>
      <c r="B347" s="15"/>
      <c r="C347" s="157"/>
      <c r="D347" s="157"/>
      <c r="E347" s="9"/>
    </row>
    <row r="348" spans="1:5" x14ac:dyDescent="0.35">
      <c r="A348" s="14"/>
      <c r="B348" s="15"/>
      <c r="C348" s="157"/>
      <c r="D348" s="157"/>
      <c r="E348" s="9"/>
    </row>
    <row r="349" spans="1:5" x14ac:dyDescent="0.35">
      <c r="A349" s="14"/>
      <c r="B349" s="15"/>
      <c r="C349" s="157"/>
      <c r="D349" s="157"/>
      <c r="E349" s="9"/>
    </row>
    <row r="350" spans="1:5" x14ac:dyDescent="0.35">
      <c r="A350" s="14"/>
      <c r="B350" s="15"/>
      <c r="C350" s="157"/>
      <c r="D350" s="157"/>
      <c r="E350" s="9"/>
    </row>
    <row r="351" spans="1:5" x14ac:dyDescent="0.35">
      <c r="A351" s="14"/>
      <c r="B351" s="15"/>
      <c r="C351" s="157"/>
      <c r="D351" s="157"/>
      <c r="E351" s="9"/>
    </row>
    <row r="352" spans="1:5" x14ac:dyDescent="0.35">
      <c r="A352" s="14"/>
      <c r="B352" s="15"/>
      <c r="C352" s="157"/>
      <c r="D352" s="157"/>
      <c r="E352" s="9"/>
    </row>
    <row r="353" spans="1:5" x14ac:dyDescent="0.35">
      <c r="A353" s="14"/>
      <c r="B353" s="15"/>
      <c r="C353" s="157"/>
      <c r="D353" s="157"/>
      <c r="E353" s="9"/>
    </row>
    <row r="354" spans="1:5" x14ac:dyDescent="0.35">
      <c r="A354" s="14"/>
      <c r="B354" s="15"/>
      <c r="C354" s="157"/>
      <c r="D354" s="157"/>
      <c r="E354" s="9"/>
    </row>
    <row r="355" spans="1:5" x14ac:dyDescent="0.35">
      <c r="A355" s="14"/>
      <c r="B355" s="15"/>
      <c r="C355" s="157"/>
      <c r="D355" s="157"/>
      <c r="E355" s="9"/>
    </row>
    <row r="356" spans="1:5" x14ac:dyDescent="0.35">
      <c r="A356" s="14"/>
      <c r="B356" s="15"/>
      <c r="C356" s="157"/>
      <c r="D356" s="157"/>
      <c r="E356" s="9"/>
    </row>
    <row r="357" spans="1:5" x14ac:dyDescent="0.35">
      <c r="A357" s="14"/>
      <c r="B357" s="15"/>
      <c r="C357" s="157"/>
      <c r="D357" s="157"/>
      <c r="E357" s="9"/>
    </row>
    <row r="358" spans="1:5" x14ac:dyDescent="0.35">
      <c r="A358" s="14"/>
      <c r="B358" s="15"/>
      <c r="C358" s="157"/>
      <c r="D358" s="157"/>
      <c r="E358" s="9"/>
    </row>
    <row r="359" spans="1:5" x14ac:dyDescent="0.35">
      <c r="A359" s="14"/>
      <c r="B359" s="15"/>
      <c r="C359" s="157"/>
      <c r="D359" s="157"/>
      <c r="E359" s="9"/>
    </row>
    <row r="360" spans="1:5" x14ac:dyDescent="0.35">
      <c r="A360" s="14"/>
      <c r="B360" s="15"/>
      <c r="C360" s="157"/>
      <c r="D360" s="157"/>
      <c r="E360" s="9"/>
    </row>
    <row r="361" spans="1:5" x14ac:dyDescent="0.35">
      <c r="A361" s="14"/>
      <c r="B361" s="15"/>
      <c r="C361" s="157"/>
      <c r="D361" s="157"/>
      <c r="E361" s="9"/>
    </row>
    <row r="362" spans="1:5" x14ac:dyDescent="0.35">
      <c r="A362" s="14"/>
      <c r="B362" s="15"/>
      <c r="C362" s="157"/>
      <c r="D362" s="157"/>
      <c r="E362" s="9"/>
    </row>
    <row r="363" spans="1:5" x14ac:dyDescent="0.35">
      <c r="A363" s="14"/>
      <c r="B363" s="15"/>
      <c r="C363" s="157"/>
      <c r="D363" s="157"/>
      <c r="E363" s="9"/>
    </row>
    <row r="364" spans="1:5" x14ac:dyDescent="0.35">
      <c r="A364" s="14"/>
      <c r="B364" s="15"/>
      <c r="C364" s="157"/>
      <c r="D364" s="157"/>
      <c r="E364" s="9"/>
    </row>
    <row r="365" spans="1:5" x14ac:dyDescent="0.35">
      <c r="A365" s="14"/>
      <c r="B365" s="15"/>
      <c r="C365" s="157"/>
      <c r="D365" s="157"/>
      <c r="E365" s="9"/>
    </row>
    <row r="366" spans="1:5" x14ac:dyDescent="0.35">
      <c r="A366" s="14"/>
      <c r="B366" s="15"/>
      <c r="C366" s="157"/>
      <c r="D366" s="157"/>
      <c r="E366" s="9"/>
    </row>
    <row r="367" spans="1:5" x14ac:dyDescent="0.35">
      <c r="A367" s="14"/>
      <c r="B367" s="15"/>
      <c r="C367" s="157"/>
      <c r="D367" s="157"/>
      <c r="E367" s="9"/>
    </row>
    <row r="368" spans="1:5" x14ac:dyDescent="0.35">
      <c r="A368" s="14"/>
      <c r="B368" s="15"/>
      <c r="C368" s="157"/>
      <c r="D368" s="157"/>
      <c r="E368" s="9"/>
    </row>
    <row r="369" spans="1:5" x14ac:dyDescent="0.35">
      <c r="A369" s="14"/>
      <c r="B369" s="15"/>
      <c r="C369" s="157"/>
      <c r="D369" s="157"/>
      <c r="E369" s="9"/>
    </row>
    <row r="370" spans="1:5" x14ac:dyDescent="0.35">
      <c r="A370" s="14"/>
      <c r="B370" s="15"/>
      <c r="C370" s="157"/>
      <c r="D370" s="157"/>
      <c r="E370" s="9"/>
    </row>
    <row r="371" spans="1:5" x14ac:dyDescent="0.35">
      <c r="A371" s="14"/>
      <c r="B371" s="15"/>
      <c r="C371" s="157"/>
      <c r="D371" s="157"/>
      <c r="E371" s="9"/>
    </row>
    <row r="372" spans="1:5" x14ac:dyDescent="0.35">
      <c r="A372" s="14"/>
      <c r="B372" s="15"/>
      <c r="C372" s="157"/>
      <c r="D372" s="157"/>
      <c r="E372" s="9"/>
    </row>
    <row r="373" spans="1:5" x14ac:dyDescent="0.35">
      <c r="A373" s="14"/>
      <c r="B373" s="15"/>
      <c r="C373" s="157"/>
      <c r="D373" s="157"/>
      <c r="E373" s="9"/>
    </row>
    <row r="374" spans="1:5" x14ac:dyDescent="0.35">
      <c r="A374" s="14"/>
      <c r="B374" s="15"/>
      <c r="C374" s="157"/>
      <c r="D374" s="157"/>
      <c r="E374" s="9"/>
    </row>
    <row r="375" spans="1:5" x14ac:dyDescent="0.35">
      <c r="A375" s="14"/>
      <c r="B375" s="15"/>
      <c r="C375" s="157"/>
      <c r="D375" s="157"/>
      <c r="E375" s="9"/>
    </row>
    <row r="376" spans="1:5" x14ac:dyDescent="0.35">
      <c r="A376" s="14"/>
      <c r="B376" s="15"/>
      <c r="C376" s="157"/>
      <c r="D376" s="157"/>
      <c r="E376" s="9"/>
    </row>
    <row r="377" spans="1:5" x14ac:dyDescent="0.35">
      <c r="A377" s="14"/>
      <c r="B377" s="15"/>
      <c r="C377" s="157"/>
      <c r="D377" s="157"/>
      <c r="E377" s="9"/>
    </row>
    <row r="378" spans="1:5" x14ac:dyDescent="0.35">
      <c r="A378" s="14"/>
      <c r="B378" s="15"/>
      <c r="C378" s="157"/>
      <c r="D378" s="157"/>
      <c r="E378" s="9"/>
    </row>
    <row r="379" spans="1:5" x14ac:dyDescent="0.35">
      <c r="A379" s="14"/>
      <c r="B379" s="15"/>
      <c r="C379" s="157"/>
      <c r="D379" s="157"/>
      <c r="E379" s="9"/>
    </row>
    <row r="380" spans="1:5" x14ac:dyDescent="0.35">
      <c r="A380" s="14"/>
      <c r="B380" s="15"/>
      <c r="C380" s="157"/>
      <c r="D380" s="157"/>
      <c r="E380" s="9"/>
    </row>
    <row r="381" spans="1:5" x14ac:dyDescent="0.35">
      <c r="A381" s="14"/>
      <c r="B381" s="15"/>
      <c r="C381" s="157"/>
      <c r="D381" s="157"/>
      <c r="E381" s="9"/>
    </row>
    <row r="382" spans="1:5" x14ac:dyDescent="0.35">
      <c r="A382" s="14"/>
      <c r="B382" s="15"/>
      <c r="C382" s="157"/>
      <c r="D382" s="157"/>
      <c r="E382" s="9"/>
    </row>
    <row r="383" spans="1:5" x14ac:dyDescent="0.35">
      <c r="A383" s="14"/>
      <c r="B383" s="15"/>
      <c r="C383" s="157"/>
      <c r="D383" s="157"/>
      <c r="E383" s="9"/>
    </row>
    <row r="384" spans="1:5" x14ac:dyDescent="0.35">
      <c r="A384" s="14"/>
      <c r="B384" s="15"/>
      <c r="C384" s="157"/>
      <c r="D384" s="157"/>
      <c r="E384" s="9"/>
    </row>
    <row r="385" spans="1:5" x14ac:dyDescent="0.35">
      <c r="A385" s="14"/>
      <c r="B385" s="15"/>
      <c r="C385" s="157"/>
      <c r="D385" s="157"/>
      <c r="E385" s="9"/>
    </row>
    <row r="386" spans="1:5" x14ac:dyDescent="0.35">
      <c r="A386" s="14"/>
      <c r="B386" s="15"/>
      <c r="C386" s="157"/>
      <c r="D386" s="157"/>
      <c r="E386" s="9"/>
    </row>
    <row r="387" spans="1:5" x14ac:dyDescent="0.35">
      <c r="A387" s="14"/>
      <c r="B387" s="15"/>
      <c r="C387" s="157"/>
      <c r="D387" s="157"/>
      <c r="E387" s="9"/>
    </row>
    <row r="388" spans="1:5" x14ac:dyDescent="0.35">
      <c r="A388" s="14"/>
      <c r="B388" s="15"/>
      <c r="C388" s="157"/>
      <c r="D388" s="157"/>
      <c r="E388" s="9"/>
    </row>
    <row r="389" spans="1:5" x14ac:dyDescent="0.35">
      <c r="A389" s="14"/>
      <c r="B389" s="15"/>
      <c r="C389" s="157"/>
      <c r="D389" s="157"/>
      <c r="E389" s="9"/>
    </row>
    <row r="390" spans="1:5" x14ac:dyDescent="0.35">
      <c r="A390" s="14"/>
      <c r="B390" s="15"/>
      <c r="C390" s="157"/>
      <c r="D390" s="157"/>
      <c r="E390" s="9"/>
    </row>
    <row r="391" spans="1:5" x14ac:dyDescent="0.35">
      <c r="A391" s="14"/>
      <c r="B391" s="15"/>
      <c r="C391" s="157"/>
      <c r="D391" s="157"/>
      <c r="E391" s="9"/>
    </row>
    <row r="392" spans="1:5" x14ac:dyDescent="0.35">
      <c r="A392" s="14"/>
      <c r="B392" s="15"/>
      <c r="C392" s="157"/>
      <c r="D392" s="157"/>
      <c r="E392" s="9"/>
    </row>
    <row r="393" spans="1:5" x14ac:dyDescent="0.35">
      <c r="A393" s="14"/>
      <c r="B393" s="15"/>
      <c r="C393" s="157"/>
      <c r="D393" s="157"/>
      <c r="E393" s="9"/>
    </row>
    <row r="394" spans="1:5" x14ac:dyDescent="0.35">
      <c r="A394" s="14"/>
      <c r="B394" s="15"/>
      <c r="C394" s="157"/>
      <c r="D394" s="157"/>
      <c r="E394" s="9"/>
    </row>
    <row r="395" spans="1:5" x14ac:dyDescent="0.35">
      <c r="A395" s="14"/>
      <c r="B395" s="15"/>
      <c r="C395" s="157"/>
      <c r="D395" s="157"/>
      <c r="E395" s="9"/>
    </row>
    <row r="396" spans="1:5" x14ac:dyDescent="0.35">
      <c r="A396" s="14"/>
      <c r="B396" s="15"/>
      <c r="C396" s="157"/>
      <c r="D396" s="157"/>
      <c r="E396" s="9"/>
    </row>
    <row r="397" spans="1:5" x14ac:dyDescent="0.35">
      <c r="A397" s="14"/>
      <c r="B397" s="15"/>
      <c r="C397" s="157"/>
      <c r="D397" s="157"/>
      <c r="E397" s="9"/>
    </row>
    <row r="398" spans="1:5" x14ac:dyDescent="0.35">
      <c r="A398" s="14"/>
      <c r="B398" s="15"/>
      <c r="C398" s="157"/>
      <c r="D398" s="157"/>
      <c r="E398" s="9"/>
    </row>
    <row r="399" spans="1:5" x14ac:dyDescent="0.35">
      <c r="A399" s="14"/>
      <c r="B399" s="15"/>
      <c r="C399" s="157"/>
      <c r="D399" s="157"/>
      <c r="E399" s="9"/>
    </row>
    <row r="400" spans="1:5" x14ac:dyDescent="0.35">
      <c r="A400" s="14"/>
      <c r="B400" s="15"/>
      <c r="C400" s="157"/>
      <c r="D400" s="157"/>
      <c r="E400" s="9"/>
    </row>
    <row r="401" spans="1:5" x14ac:dyDescent="0.35">
      <c r="A401" s="14"/>
      <c r="B401" s="15"/>
      <c r="C401" s="157"/>
      <c r="D401" s="157"/>
      <c r="E401" s="9"/>
    </row>
    <row r="402" spans="1:5" x14ac:dyDescent="0.35">
      <c r="A402" s="14"/>
      <c r="B402" s="15"/>
      <c r="C402" s="157"/>
      <c r="D402" s="157"/>
      <c r="E402" s="9"/>
    </row>
    <row r="403" spans="1:5" x14ac:dyDescent="0.35">
      <c r="A403" s="14"/>
      <c r="B403" s="15"/>
      <c r="C403" s="157"/>
      <c r="D403" s="157"/>
      <c r="E403" s="9"/>
    </row>
    <row r="404" spans="1:5" x14ac:dyDescent="0.35">
      <c r="A404" s="14"/>
      <c r="B404" s="15"/>
      <c r="C404" s="157"/>
      <c r="D404" s="157"/>
      <c r="E404" s="9"/>
    </row>
    <row r="405" spans="1:5" x14ac:dyDescent="0.35">
      <c r="A405" s="14"/>
      <c r="B405" s="15"/>
      <c r="C405" s="157"/>
      <c r="D405" s="157"/>
      <c r="E405" s="9"/>
    </row>
    <row r="406" spans="1:5" x14ac:dyDescent="0.35">
      <c r="A406" s="14"/>
      <c r="B406" s="15"/>
      <c r="C406" s="157"/>
      <c r="D406" s="157"/>
      <c r="E406" s="9"/>
    </row>
    <row r="407" spans="1:5" x14ac:dyDescent="0.35">
      <c r="A407" s="14"/>
      <c r="B407" s="15"/>
      <c r="C407" s="157"/>
      <c r="D407" s="157"/>
      <c r="E407" s="9"/>
    </row>
    <row r="408" spans="1:5" x14ac:dyDescent="0.35">
      <c r="A408" s="14"/>
      <c r="B408" s="15"/>
      <c r="C408" s="157"/>
      <c r="D408" s="157"/>
      <c r="E408" s="9"/>
    </row>
    <row r="409" spans="1:5" x14ac:dyDescent="0.35">
      <c r="A409" s="14"/>
      <c r="B409" s="15"/>
      <c r="C409" s="157"/>
      <c r="D409" s="157"/>
      <c r="E409" s="9"/>
    </row>
    <row r="410" spans="1:5" x14ac:dyDescent="0.35">
      <c r="A410" s="14"/>
      <c r="B410" s="15"/>
      <c r="C410" s="157"/>
      <c r="D410" s="157"/>
      <c r="E410" s="9"/>
    </row>
    <row r="411" spans="1:5" x14ac:dyDescent="0.35">
      <c r="A411" s="14"/>
      <c r="B411" s="15"/>
      <c r="C411" s="157"/>
      <c r="D411" s="157"/>
      <c r="E411" s="9"/>
    </row>
    <row r="412" spans="1:5" x14ac:dyDescent="0.35">
      <c r="A412" s="14"/>
      <c r="B412" s="15"/>
      <c r="C412" s="157"/>
      <c r="D412" s="157"/>
      <c r="E412" s="9"/>
    </row>
    <row r="413" spans="1:5" x14ac:dyDescent="0.35">
      <c r="A413" s="14"/>
      <c r="B413" s="15"/>
      <c r="C413" s="157"/>
      <c r="D413" s="157"/>
      <c r="E413" s="9"/>
    </row>
    <row r="414" spans="1:5" x14ac:dyDescent="0.35">
      <c r="A414" s="14"/>
      <c r="B414" s="15"/>
      <c r="C414" s="157"/>
      <c r="D414" s="157"/>
      <c r="E414" s="9"/>
    </row>
    <row r="415" spans="1:5" x14ac:dyDescent="0.35">
      <c r="A415" s="14"/>
      <c r="B415" s="15"/>
      <c r="C415" s="157"/>
      <c r="D415" s="157"/>
      <c r="E415" s="9"/>
    </row>
    <row r="416" spans="1:5" x14ac:dyDescent="0.35">
      <c r="A416" s="14"/>
      <c r="B416" s="15"/>
      <c r="C416" s="157"/>
      <c r="D416" s="157"/>
      <c r="E416" s="9"/>
    </row>
    <row r="417" spans="1:5" x14ac:dyDescent="0.35">
      <c r="A417" s="14"/>
      <c r="B417" s="15"/>
      <c r="C417" s="157"/>
      <c r="D417" s="157"/>
      <c r="E417" s="9"/>
    </row>
    <row r="418" spans="1:5" x14ac:dyDescent="0.35">
      <c r="A418" s="14"/>
      <c r="B418" s="15"/>
      <c r="C418" s="157"/>
      <c r="D418" s="157"/>
      <c r="E418" s="9"/>
    </row>
    <row r="419" spans="1:5" x14ac:dyDescent="0.35">
      <c r="A419" s="14"/>
      <c r="B419" s="15"/>
      <c r="C419" s="157"/>
      <c r="D419" s="157"/>
      <c r="E419" s="9"/>
    </row>
    <row r="420" spans="1:5" x14ac:dyDescent="0.35">
      <c r="A420" s="14"/>
      <c r="B420" s="15"/>
      <c r="C420" s="157"/>
      <c r="D420" s="157"/>
      <c r="E420" s="9"/>
    </row>
    <row r="421" spans="1:5" x14ac:dyDescent="0.35">
      <c r="A421" s="14"/>
      <c r="B421" s="15"/>
      <c r="C421" s="157"/>
      <c r="D421" s="157"/>
      <c r="E421" s="9"/>
    </row>
    <row r="422" spans="1:5" x14ac:dyDescent="0.35">
      <c r="A422" s="14"/>
      <c r="B422" s="15"/>
      <c r="C422" s="157"/>
      <c r="D422" s="157"/>
      <c r="E422" s="9"/>
    </row>
    <row r="423" spans="1:5" x14ac:dyDescent="0.35">
      <c r="A423" s="14"/>
      <c r="B423" s="15"/>
      <c r="C423" s="157"/>
      <c r="D423" s="157"/>
      <c r="E423" s="9"/>
    </row>
    <row r="424" spans="1:5" x14ac:dyDescent="0.35">
      <c r="A424" s="14"/>
      <c r="B424" s="15"/>
      <c r="C424" s="157"/>
      <c r="D424" s="157"/>
      <c r="E424" s="9"/>
    </row>
    <row r="425" spans="1:5" x14ac:dyDescent="0.35">
      <c r="A425" s="14"/>
      <c r="B425" s="15"/>
      <c r="C425" s="157"/>
      <c r="D425" s="157"/>
      <c r="E425" s="9"/>
    </row>
    <row r="426" spans="1:5" x14ac:dyDescent="0.35">
      <c r="A426" s="14"/>
      <c r="B426" s="15"/>
      <c r="C426" s="157"/>
      <c r="D426" s="157"/>
      <c r="E426" s="9"/>
    </row>
    <row r="427" spans="1:5" x14ac:dyDescent="0.35">
      <c r="A427" s="14"/>
      <c r="B427" s="15"/>
      <c r="C427" s="157"/>
      <c r="D427" s="157"/>
      <c r="E427" s="9"/>
    </row>
    <row r="428" spans="1:5" x14ac:dyDescent="0.35">
      <c r="A428" s="14"/>
      <c r="B428" s="15"/>
      <c r="C428" s="157"/>
      <c r="D428" s="157"/>
      <c r="E428" s="9"/>
    </row>
    <row r="429" spans="1:5" x14ac:dyDescent="0.35">
      <c r="A429" s="14"/>
      <c r="B429" s="15"/>
      <c r="C429" s="157"/>
      <c r="D429" s="157"/>
      <c r="E429" s="9"/>
    </row>
    <row r="430" spans="1:5" x14ac:dyDescent="0.35">
      <c r="A430" s="14"/>
      <c r="B430" s="15"/>
      <c r="C430" s="157"/>
      <c r="D430" s="157"/>
      <c r="E430" s="9"/>
    </row>
    <row r="431" spans="1:5" x14ac:dyDescent="0.35">
      <c r="A431" s="14"/>
      <c r="B431" s="15"/>
      <c r="C431" s="157"/>
      <c r="D431" s="157"/>
      <c r="E431" s="9"/>
    </row>
    <row r="432" spans="1:5" x14ac:dyDescent="0.35">
      <c r="A432" s="14"/>
      <c r="B432" s="15"/>
      <c r="C432" s="157"/>
      <c r="D432" s="157"/>
      <c r="E432" s="9"/>
    </row>
    <row r="433" spans="1:5" x14ac:dyDescent="0.35">
      <c r="A433" s="14"/>
      <c r="B433" s="15"/>
      <c r="C433" s="157"/>
      <c r="D433" s="157"/>
      <c r="E433" s="9"/>
    </row>
    <row r="434" spans="1:5" x14ac:dyDescent="0.35">
      <c r="A434" s="14"/>
      <c r="B434" s="15"/>
      <c r="C434" s="157"/>
      <c r="D434" s="157"/>
      <c r="E434" s="9"/>
    </row>
    <row r="435" spans="1:5" x14ac:dyDescent="0.35">
      <c r="A435" s="14"/>
      <c r="B435" s="15"/>
      <c r="C435" s="157"/>
      <c r="D435" s="157"/>
      <c r="E435" s="9"/>
    </row>
    <row r="436" spans="1:5" x14ac:dyDescent="0.35">
      <c r="A436" s="14"/>
      <c r="B436" s="15"/>
      <c r="C436" s="157"/>
      <c r="D436" s="157"/>
      <c r="E436" s="9"/>
    </row>
    <row r="437" spans="1:5" x14ac:dyDescent="0.35">
      <c r="A437" s="14"/>
      <c r="B437" s="15"/>
      <c r="C437" s="157"/>
      <c r="D437" s="157"/>
      <c r="E437" s="9"/>
    </row>
    <row r="438" spans="1:5" x14ac:dyDescent="0.35">
      <c r="A438" s="14"/>
      <c r="B438" s="15"/>
      <c r="C438" s="157"/>
      <c r="D438" s="157"/>
      <c r="E438" s="9"/>
    </row>
    <row r="439" spans="1:5" x14ac:dyDescent="0.35">
      <c r="A439" s="14"/>
      <c r="B439" s="15"/>
      <c r="C439" s="157"/>
      <c r="D439" s="157"/>
      <c r="E439" s="9"/>
    </row>
    <row r="440" spans="1:5" x14ac:dyDescent="0.35">
      <c r="A440" s="14"/>
      <c r="B440" s="15"/>
      <c r="C440" s="157"/>
      <c r="D440" s="157"/>
      <c r="E440" s="9"/>
    </row>
    <row r="441" spans="1:5" x14ac:dyDescent="0.35">
      <c r="A441" s="14"/>
      <c r="B441" s="15"/>
      <c r="C441" s="157"/>
      <c r="D441" s="157"/>
      <c r="E441" s="9"/>
    </row>
    <row r="442" spans="1:5" x14ac:dyDescent="0.35">
      <c r="A442" s="14"/>
      <c r="B442" s="15"/>
      <c r="C442" s="157"/>
      <c r="D442" s="157"/>
      <c r="E442" s="9"/>
    </row>
    <row r="443" spans="1:5" x14ac:dyDescent="0.35">
      <c r="A443" s="14"/>
      <c r="B443" s="15"/>
      <c r="C443" s="157"/>
      <c r="D443" s="157"/>
      <c r="E443" s="9"/>
    </row>
    <row r="444" spans="1:5" x14ac:dyDescent="0.35">
      <c r="A444" s="14"/>
      <c r="B444" s="15"/>
      <c r="C444" s="157"/>
      <c r="D444" s="157"/>
      <c r="E444" s="9"/>
    </row>
    <row r="445" spans="1:5" x14ac:dyDescent="0.35">
      <c r="A445" s="14"/>
      <c r="B445" s="15"/>
      <c r="C445" s="157"/>
      <c r="D445" s="157"/>
      <c r="E445" s="9"/>
    </row>
    <row r="446" spans="1:5" x14ac:dyDescent="0.35">
      <c r="A446" s="14"/>
      <c r="B446" s="15"/>
      <c r="C446" s="157"/>
      <c r="D446" s="157"/>
      <c r="E446" s="9"/>
    </row>
    <row r="447" spans="1:5" x14ac:dyDescent="0.35">
      <c r="A447" s="14"/>
      <c r="B447" s="15"/>
      <c r="C447" s="157"/>
      <c r="D447" s="157"/>
      <c r="E447" s="9"/>
    </row>
    <row r="448" spans="1:5" x14ac:dyDescent="0.35">
      <c r="A448" s="14"/>
      <c r="B448" s="15"/>
      <c r="C448" s="157"/>
      <c r="D448" s="157"/>
      <c r="E448" s="9"/>
    </row>
    <row r="449" spans="1:5" x14ac:dyDescent="0.35">
      <c r="A449" s="14"/>
      <c r="B449" s="15"/>
      <c r="C449" s="157"/>
      <c r="D449" s="157"/>
      <c r="E449" s="9"/>
    </row>
    <row r="450" spans="1:5" x14ac:dyDescent="0.35">
      <c r="A450" s="14"/>
      <c r="B450" s="15"/>
      <c r="C450" s="157"/>
      <c r="D450" s="157"/>
      <c r="E450" s="9"/>
    </row>
    <row r="451" spans="1:5" x14ac:dyDescent="0.35">
      <c r="A451" s="14"/>
      <c r="B451" s="15"/>
      <c r="C451" s="157"/>
      <c r="D451" s="157"/>
      <c r="E451" s="9"/>
    </row>
    <row r="452" spans="1:5" x14ac:dyDescent="0.35">
      <c r="A452" s="14"/>
      <c r="B452" s="15"/>
      <c r="C452" s="157"/>
      <c r="D452" s="157"/>
      <c r="E452" s="9"/>
    </row>
    <row r="453" spans="1:5" x14ac:dyDescent="0.35">
      <c r="A453" s="14"/>
      <c r="B453" s="15"/>
      <c r="C453" s="157"/>
      <c r="D453" s="157"/>
      <c r="E453" s="9"/>
    </row>
    <row r="454" spans="1:5" x14ac:dyDescent="0.35">
      <c r="A454" s="14"/>
      <c r="B454" s="15"/>
      <c r="C454" s="157"/>
      <c r="D454" s="157"/>
      <c r="E454" s="9"/>
    </row>
    <row r="455" spans="1:5" x14ac:dyDescent="0.35">
      <c r="A455" s="14"/>
      <c r="B455" s="15"/>
      <c r="C455" s="157"/>
      <c r="D455" s="157"/>
      <c r="E455" s="9"/>
    </row>
    <row r="456" spans="1:5" x14ac:dyDescent="0.35">
      <c r="A456" s="14"/>
      <c r="B456" s="15"/>
      <c r="C456" s="157"/>
      <c r="D456" s="157"/>
      <c r="E456" s="9"/>
    </row>
    <row r="457" spans="1:5" x14ac:dyDescent="0.35">
      <c r="A457" s="14"/>
      <c r="B457" s="15"/>
      <c r="C457" s="157"/>
      <c r="D457" s="157"/>
      <c r="E457" s="9"/>
    </row>
    <row r="458" spans="1:5" x14ac:dyDescent="0.35">
      <c r="A458" s="14"/>
      <c r="B458" s="15"/>
      <c r="C458" s="157"/>
      <c r="D458" s="157"/>
      <c r="E458" s="9"/>
    </row>
    <row r="459" spans="1:5" x14ac:dyDescent="0.35">
      <c r="A459" s="14"/>
      <c r="B459" s="15"/>
      <c r="C459" s="157"/>
      <c r="D459" s="157"/>
      <c r="E459" s="9"/>
    </row>
    <row r="460" spans="1:5" x14ac:dyDescent="0.35">
      <c r="A460" s="14"/>
      <c r="B460" s="15"/>
      <c r="C460" s="157"/>
      <c r="D460" s="157"/>
      <c r="E460" s="9"/>
    </row>
    <row r="461" spans="1:5" x14ac:dyDescent="0.35">
      <c r="A461" s="14"/>
      <c r="B461" s="15"/>
      <c r="C461" s="157"/>
      <c r="D461" s="157"/>
      <c r="E461" s="9"/>
    </row>
    <row r="462" spans="1:5" x14ac:dyDescent="0.35">
      <c r="A462" s="14"/>
      <c r="B462" s="15"/>
      <c r="C462" s="157"/>
      <c r="D462" s="157"/>
      <c r="E462" s="9"/>
    </row>
    <row r="463" spans="1:5" x14ac:dyDescent="0.35">
      <c r="A463" s="14"/>
      <c r="B463" s="15"/>
      <c r="C463" s="157"/>
      <c r="D463" s="157"/>
      <c r="E463" s="9"/>
    </row>
    <row r="464" spans="1:5" x14ac:dyDescent="0.35">
      <c r="A464" s="14"/>
      <c r="B464" s="15"/>
      <c r="C464" s="157"/>
      <c r="D464" s="157"/>
      <c r="E464" s="9"/>
    </row>
    <row r="465" spans="1:5" x14ac:dyDescent="0.35">
      <c r="A465" s="14"/>
      <c r="B465" s="15"/>
      <c r="C465" s="157"/>
      <c r="D465" s="157"/>
      <c r="E465" s="9"/>
    </row>
    <row r="466" spans="1:5" x14ac:dyDescent="0.35">
      <c r="A466" s="14"/>
      <c r="B466" s="15"/>
      <c r="C466" s="157"/>
      <c r="D466" s="157"/>
      <c r="E466" s="9"/>
    </row>
    <row r="467" spans="1:5" x14ac:dyDescent="0.35">
      <c r="A467" s="14"/>
      <c r="B467" s="15"/>
      <c r="C467" s="157"/>
      <c r="D467" s="157"/>
      <c r="E467" s="9"/>
    </row>
    <row r="468" spans="1:5" x14ac:dyDescent="0.35">
      <c r="A468" s="14"/>
      <c r="B468" s="15"/>
      <c r="C468" s="157"/>
      <c r="D468" s="157"/>
      <c r="E468" s="9"/>
    </row>
    <row r="469" spans="1:5" x14ac:dyDescent="0.35">
      <c r="A469" s="14"/>
      <c r="B469" s="15"/>
      <c r="C469" s="157"/>
      <c r="D469" s="157"/>
      <c r="E469" s="9"/>
    </row>
    <row r="470" spans="1:5" x14ac:dyDescent="0.35">
      <c r="A470" s="14"/>
      <c r="B470" s="15"/>
      <c r="C470" s="157"/>
      <c r="D470" s="157"/>
      <c r="E470" s="9"/>
    </row>
    <row r="471" spans="1:5" x14ac:dyDescent="0.35">
      <c r="A471" s="14"/>
      <c r="B471" s="15"/>
      <c r="C471" s="157"/>
      <c r="D471" s="157"/>
      <c r="E471" s="9"/>
    </row>
    <row r="472" spans="1:5" x14ac:dyDescent="0.35">
      <c r="A472" s="14"/>
      <c r="B472" s="15"/>
      <c r="C472" s="157"/>
      <c r="D472" s="157"/>
      <c r="E472" s="9"/>
    </row>
    <row r="473" spans="1:5" x14ac:dyDescent="0.35">
      <c r="A473" s="14"/>
      <c r="B473" s="15"/>
      <c r="C473" s="157"/>
      <c r="D473" s="157"/>
      <c r="E473" s="9"/>
    </row>
    <row r="474" spans="1:5" x14ac:dyDescent="0.35">
      <c r="A474" s="14"/>
      <c r="B474" s="15"/>
      <c r="C474" s="157"/>
      <c r="D474" s="157"/>
      <c r="E474" s="9"/>
    </row>
    <row r="475" spans="1:5" x14ac:dyDescent="0.35">
      <c r="A475" s="14"/>
      <c r="B475" s="15"/>
      <c r="C475" s="157"/>
      <c r="D475" s="157"/>
      <c r="E475" s="9"/>
    </row>
    <row r="476" spans="1:5" x14ac:dyDescent="0.35">
      <c r="A476" s="14"/>
      <c r="B476" s="15"/>
      <c r="C476" s="157"/>
      <c r="D476" s="157"/>
      <c r="E476" s="9"/>
    </row>
    <row r="477" spans="1:5" x14ac:dyDescent="0.35">
      <c r="A477" s="14"/>
      <c r="B477" s="15"/>
      <c r="C477" s="157"/>
      <c r="D477" s="157"/>
      <c r="E477" s="9"/>
    </row>
    <row r="478" spans="1:5" x14ac:dyDescent="0.35">
      <c r="A478" s="14"/>
      <c r="B478" s="15"/>
      <c r="C478" s="157"/>
      <c r="D478" s="157"/>
      <c r="E478" s="9"/>
    </row>
    <row r="479" spans="1:5" x14ac:dyDescent="0.35">
      <c r="A479" s="14"/>
      <c r="B479" s="15"/>
      <c r="C479" s="157"/>
      <c r="D479" s="157"/>
      <c r="E479" s="9"/>
    </row>
    <row r="480" spans="1:5" x14ac:dyDescent="0.35">
      <c r="A480" s="14"/>
      <c r="B480" s="15"/>
      <c r="C480" s="157"/>
      <c r="D480" s="157"/>
      <c r="E480" s="9"/>
    </row>
    <row r="481" spans="1:5" x14ac:dyDescent="0.35">
      <c r="A481" s="14"/>
      <c r="B481" s="15"/>
      <c r="C481" s="157"/>
      <c r="D481" s="157"/>
      <c r="E481" s="9"/>
    </row>
    <row r="482" spans="1:5" x14ac:dyDescent="0.35">
      <c r="A482" s="14"/>
      <c r="B482" s="15"/>
      <c r="C482" s="157"/>
      <c r="D482" s="157"/>
      <c r="E482" s="9"/>
    </row>
    <row r="483" spans="1:5" x14ac:dyDescent="0.35">
      <c r="A483" s="14"/>
      <c r="B483" s="15"/>
      <c r="C483" s="157"/>
      <c r="D483" s="157"/>
      <c r="E483" s="9"/>
    </row>
    <row r="484" spans="1:5" x14ac:dyDescent="0.35">
      <c r="A484" s="14"/>
      <c r="B484" s="15"/>
      <c r="C484" s="157"/>
      <c r="D484" s="157"/>
      <c r="E484" s="9"/>
    </row>
    <row r="485" spans="1:5" x14ac:dyDescent="0.35">
      <c r="A485" s="14"/>
      <c r="B485" s="15"/>
      <c r="C485" s="157"/>
      <c r="D485" s="157"/>
      <c r="E485" s="9"/>
    </row>
    <row r="486" spans="1:5" x14ac:dyDescent="0.35">
      <c r="A486" s="14"/>
      <c r="B486" s="15"/>
      <c r="C486" s="157"/>
      <c r="D486" s="157"/>
      <c r="E486" s="9"/>
    </row>
    <row r="487" spans="1:5" x14ac:dyDescent="0.35">
      <c r="A487" s="14"/>
      <c r="B487" s="15"/>
      <c r="C487" s="157"/>
      <c r="D487" s="157"/>
      <c r="E487" s="9"/>
    </row>
    <row r="488" spans="1:5" x14ac:dyDescent="0.35">
      <c r="A488" s="14"/>
      <c r="B488" s="15"/>
      <c r="C488" s="157"/>
      <c r="D488" s="157"/>
      <c r="E488" s="9"/>
    </row>
    <row r="489" spans="1:5" x14ac:dyDescent="0.35">
      <c r="A489" s="14"/>
      <c r="B489" s="15"/>
      <c r="C489" s="157"/>
      <c r="D489" s="157"/>
      <c r="E489" s="9"/>
    </row>
    <row r="490" spans="1:5" x14ac:dyDescent="0.35">
      <c r="A490" s="14"/>
      <c r="B490" s="15"/>
      <c r="C490" s="157"/>
      <c r="D490" s="157"/>
      <c r="E490" s="9"/>
    </row>
    <row r="491" spans="1:5" x14ac:dyDescent="0.35">
      <c r="A491" s="14"/>
      <c r="B491" s="15"/>
      <c r="C491" s="157"/>
      <c r="D491" s="157"/>
      <c r="E491" s="9"/>
    </row>
    <row r="492" spans="1:5" x14ac:dyDescent="0.35">
      <c r="A492" s="14"/>
      <c r="B492" s="15"/>
      <c r="C492" s="157"/>
      <c r="D492" s="157"/>
      <c r="E492" s="9"/>
    </row>
    <row r="493" spans="1:5" x14ac:dyDescent="0.35">
      <c r="A493" s="14"/>
      <c r="B493" s="15"/>
      <c r="C493" s="157"/>
      <c r="D493" s="157"/>
      <c r="E493" s="9"/>
    </row>
    <row r="494" spans="1:5" x14ac:dyDescent="0.35">
      <c r="A494" s="14"/>
      <c r="B494" s="15"/>
      <c r="C494" s="157"/>
      <c r="D494" s="157"/>
      <c r="E494" s="9"/>
    </row>
    <row r="495" spans="1:5" x14ac:dyDescent="0.35">
      <c r="A495" s="14"/>
      <c r="B495" s="15"/>
      <c r="C495" s="157"/>
      <c r="D495" s="157"/>
      <c r="E495" s="9"/>
    </row>
    <row r="496" spans="1:5" x14ac:dyDescent="0.35">
      <c r="A496" s="14"/>
      <c r="B496" s="15"/>
      <c r="C496" s="157"/>
      <c r="D496" s="157"/>
      <c r="E496" s="9"/>
    </row>
    <row r="497" spans="1:5" x14ac:dyDescent="0.35">
      <c r="A497" s="14"/>
      <c r="B497" s="15"/>
      <c r="C497" s="157"/>
      <c r="D497" s="157"/>
      <c r="E497" s="9"/>
    </row>
    <row r="498" spans="1:5" x14ac:dyDescent="0.35">
      <c r="A498" s="14"/>
      <c r="B498" s="15"/>
      <c r="C498" s="157"/>
      <c r="D498" s="157"/>
      <c r="E498" s="9"/>
    </row>
    <row r="499" spans="1:5" x14ac:dyDescent="0.35">
      <c r="A499" s="14"/>
      <c r="B499" s="15"/>
      <c r="C499" s="157"/>
      <c r="D499" s="157"/>
      <c r="E499" s="9"/>
    </row>
    <row r="500" spans="1:5" x14ac:dyDescent="0.35">
      <c r="A500" s="14"/>
      <c r="B500" s="15"/>
      <c r="C500" s="157"/>
      <c r="D500" s="157"/>
      <c r="E500" s="9"/>
    </row>
    <row r="501" spans="1:5" x14ac:dyDescent="0.35">
      <c r="A501" s="14"/>
      <c r="B501" s="15"/>
      <c r="C501" s="157"/>
      <c r="D501" s="157"/>
      <c r="E501" s="9"/>
    </row>
    <row r="502" spans="1:5" x14ac:dyDescent="0.35">
      <c r="A502" s="14"/>
      <c r="B502" s="15"/>
      <c r="C502" s="157"/>
      <c r="D502" s="157"/>
      <c r="E502" s="9"/>
    </row>
    <row r="503" spans="1:5" x14ac:dyDescent="0.35">
      <c r="A503" s="14"/>
      <c r="B503" s="15"/>
      <c r="C503" s="157"/>
      <c r="D503" s="157"/>
      <c r="E503" s="9"/>
    </row>
    <row r="504" spans="1:5" x14ac:dyDescent="0.35">
      <c r="A504" s="14"/>
      <c r="B504" s="15"/>
      <c r="C504" s="157"/>
      <c r="D504" s="157"/>
      <c r="E504" s="9"/>
    </row>
    <row r="505" spans="1:5" x14ac:dyDescent="0.35">
      <c r="A505" s="14"/>
      <c r="B505" s="15"/>
      <c r="C505" s="157"/>
      <c r="D505" s="157"/>
      <c r="E505" s="9"/>
    </row>
    <row r="506" spans="1:5" x14ac:dyDescent="0.35">
      <c r="A506" s="14"/>
      <c r="B506" s="15"/>
      <c r="C506" s="157"/>
      <c r="D506" s="157"/>
      <c r="E506" s="9"/>
    </row>
    <row r="507" spans="1:5" x14ac:dyDescent="0.35">
      <c r="A507" s="14"/>
      <c r="B507" s="15"/>
      <c r="C507" s="157"/>
      <c r="D507" s="157"/>
      <c r="E507" s="9"/>
    </row>
    <row r="508" spans="1:5" x14ac:dyDescent="0.35">
      <c r="A508" s="14"/>
      <c r="B508" s="15"/>
      <c r="C508" s="157"/>
      <c r="D508" s="157"/>
      <c r="E508" s="9"/>
    </row>
    <row r="509" spans="1:5" x14ac:dyDescent="0.35">
      <c r="A509" s="14"/>
      <c r="B509" s="15"/>
      <c r="C509" s="157"/>
      <c r="D509" s="157"/>
      <c r="E509" s="9"/>
    </row>
    <row r="510" spans="1:5" x14ac:dyDescent="0.35">
      <c r="A510" s="14"/>
      <c r="B510" s="15"/>
      <c r="C510" s="157"/>
      <c r="D510" s="157"/>
      <c r="E510" s="9"/>
    </row>
    <row r="511" spans="1:5" x14ac:dyDescent="0.35">
      <c r="A511" s="14"/>
      <c r="B511" s="15"/>
      <c r="C511" s="157"/>
      <c r="D511" s="157"/>
      <c r="E511" s="9"/>
    </row>
    <row r="512" spans="1:5" x14ac:dyDescent="0.35">
      <c r="A512" s="14"/>
      <c r="B512" s="15"/>
      <c r="C512" s="157"/>
      <c r="D512" s="157"/>
      <c r="E512" s="9"/>
    </row>
    <row r="513" spans="1:5" x14ac:dyDescent="0.35">
      <c r="A513" s="14"/>
      <c r="B513" s="15"/>
      <c r="C513" s="157"/>
      <c r="D513" s="157"/>
      <c r="E513" s="9"/>
    </row>
    <row r="514" spans="1:5" x14ac:dyDescent="0.35">
      <c r="A514" s="14"/>
      <c r="B514" s="15"/>
      <c r="C514" s="157"/>
      <c r="D514" s="157"/>
      <c r="E514" s="9"/>
    </row>
    <row r="515" spans="1:5" x14ac:dyDescent="0.35">
      <c r="A515" s="14"/>
      <c r="B515" s="15"/>
      <c r="C515" s="157"/>
      <c r="D515" s="157"/>
      <c r="E515" s="9"/>
    </row>
    <row r="516" spans="1:5" x14ac:dyDescent="0.35">
      <c r="A516" s="14"/>
      <c r="B516" s="15"/>
      <c r="C516" s="157"/>
      <c r="D516" s="157"/>
      <c r="E516" s="9"/>
    </row>
    <row r="517" spans="1:5" x14ac:dyDescent="0.35">
      <c r="A517" s="14"/>
      <c r="B517" s="15"/>
      <c r="C517" s="157"/>
      <c r="D517" s="157"/>
      <c r="E517" s="9"/>
    </row>
    <row r="518" spans="1:5" x14ac:dyDescent="0.35">
      <c r="A518" s="14"/>
      <c r="B518" s="15"/>
      <c r="C518" s="157"/>
      <c r="D518" s="157"/>
      <c r="E518" s="9"/>
    </row>
    <row r="519" spans="1:5" x14ac:dyDescent="0.35">
      <c r="A519" s="14"/>
      <c r="B519" s="15"/>
      <c r="C519" s="157"/>
      <c r="D519" s="157"/>
      <c r="E519" s="9"/>
    </row>
    <row r="520" spans="1:5" x14ac:dyDescent="0.35">
      <c r="A520" s="14"/>
      <c r="B520" s="15"/>
      <c r="C520" s="157"/>
      <c r="D520" s="157"/>
      <c r="E520" s="9"/>
    </row>
    <row r="521" spans="1:5" x14ac:dyDescent="0.35">
      <c r="A521" s="14"/>
      <c r="B521" s="15"/>
      <c r="C521" s="157"/>
      <c r="D521" s="157"/>
      <c r="E521" s="9"/>
    </row>
    <row r="522" spans="1:5" x14ac:dyDescent="0.35">
      <c r="A522" s="14"/>
      <c r="B522" s="15"/>
      <c r="C522" s="157"/>
      <c r="D522" s="157"/>
      <c r="E522" s="9"/>
    </row>
    <row r="523" spans="1:5" x14ac:dyDescent="0.35">
      <c r="A523" s="14"/>
      <c r="B523" s="15"/>
      <c r="C523" s="157"/>
      <c r="D523" s="157"/>
      <c r="E523" s="9"/>
    </row>
    <row r="524" spans="1:5" x14ac:dyDescent="0.35">
      <c r="A524" s="14"/>
      <c r="B524" s="15"/>
      <c r="C524" s="157"/>
      <c r="D524" s="157"/>
      <c r="E524" s="9"/>
    </row>
    <row r="525" spans="1:5" x14ac:dyDescent="0.35">
      <c r="A525" s="14"/>
      <c r="B525" s="15"/>
      <c r="C525" s="157"/>
      <c r="D525" s="157"/>
      <c r="E525" s="9"/>
    </row>
    <row r="526" spans="1:5" x14ac:dyDescent="0.35">
      <c r="A526" s="14"/>
      <c r="B526" s="15"/>
      <c r="C526" s="157"/>
      <c r="D526" s="157"/>
      <c r="E526" s="9"/>
    </row>
    <row r="527" spans="1:5" x14ac:dyDescent="0.35">
      <c r="A527" s="14"/>
      <c r="B527" s="15"/>
      <c r="C527" s="157"/>
      <c r="D527" s="157"/>
      <c r="E527" s="9"/>
    </row>
    <row r="528" spans="1:5" x14ac:dyDescent="0.35">
      <c r="A528" s="14"/>
      <c r="B528" s="15"/>
      <c r="C528" s="157"/>
      <c r="D528" s="157"/>
      <c r="E528" s="9"/>
    </row>
    <row r="529" spans="1:5" x14ac:dyDescent="0.35">
      <c r="A529" s="14"/>
      <c r="B529" s="15"/>
      <c r="C529" s="157"/>
      <c r="D529" s="157"/>
      <c r="E529" s="9"/>
    </row>
    <row r="530" spans="1:5" x14ac:dyDescent="0.35">
      <c r="A530" s="14"/>
      <c r="B530" s="15"/>
      <c r="C530" s="157"/>
      <c r="D530" s="157"/>
      <c r="E530" s="9"/>
    </row>
    <row r="531" spans="1:5" x14ac:dyDescent="0.35">
      <c r="A531" s="14"/>
      <c r="B531" s="15"/>
      <c r="C531" s="157"/>
      <c r="D531" s="157"/>
      <c r="E531" s="9"/>
    </row>
    <row r="532" spans="1:5" x14ac:dyDescent="0.35">
      <c r="A532" s="14"/>
      <c r="B532" s="15"/>
      <c r="C532" s="157"/>
      <c r="D532" s="157"/>
      <c r="E532" s="9"/>
    </row>
    <row r="533" spans="1:5" x14ac:dyDescent="0.35">
      <c r="A533" s="14"/>
      <c r="B533" s="15"/>
      <c r="C533" s="157"/>
      <c r="D533" s="157"/>
      <c r="E533" s="9"/>
    </row>
    <row r="534" spans="1:5" x14ac:dyDescent="0.35">
      <c r="A534" s="14"/>
      <c r="B534" s="15"/>
      <c r="C534" s="157"/>
      <c r="D534" s="157"/>
      <c r="E534" s="9"/>
    </row>
    <row r="535" spans="1:5" x14ac:dyDescent="0.35">
      <c r="A535" s="14"/>
      <c r="B535" s="15"/>
      <c r="C535" s="157"/>
      <c r="D535" s="157"/>
      <c r="E535" s="9"/>
    </row>
    <row r="536" spans="1:5" x14ac:dyDescent="0.35">
      <c r="A536" s="14"/>
      <c r="B536" s="15"/>
      <c r="C536" s="157"/>
      <c r="D536" s="157"/>
      <c r="E536" s="9"/>
    </row>
    <row r="537" spans="1:5" x14ac:dyDescent="0.35">
      <c r="A537" s="14"/>
      <c r="B537" s="15"/>
      <c r="C537" s="157"/>
      <c r="D537" s="157"/>
      <c r="E537" s="9"/>
    </row>
    <row r="538" spans="1:5" x14ac:dyDescent="0.35">
      <c r="A538" s="14"/>
      <c r="B538" s="15"/>
      <c r="C538" s="157"/>
      <c r="D538" s="157"/>
      <c r="E538" s="9"/>
    </row>
    <row r="539" spans="1:5" x14ac:dyDescent="0.35">
      <c r="A539" s="14"/>
      <c r="B539" s="15"/>
      <c r="C539" s="157"/>
      <c r="D539" s="157"/>
      <c r="E539" s="9"/>
    </row>
    <row r="540" spans="1:5" x14ac:dyDescent="0.35">
      <c r="A540" s="14"/>
      <c r="B540" s="15"/>
      <c r="C540" s="157"/>
      <c r="D540" s="157"/>
      <c r="E540" s="9"/>
    </row>
    <row r="541" spans="1:5" x14ac:dyDescent="0.35">
      <c r="A541" s="14"/>
      <c r="B541" s="15"/>
      <c r="C541" s="157"/>
      <c r="D541" s="157"/>
      <c r="E541" s="9"/>
    </row>
    <row r="542" spans="1:5" x14ac:dyDescent="0.35">
      <c r="A542" s="14"/>
      <c r="B542" s="15"/>
      <c r="C542" s="157"/>
      <c r="D542" s="157"/>
      <c r="E542" s="9"/>
    </row>
    <row r="543" spans="1:5" x14ac:dyDescent="0.35">
      <c r="A543" s="14"/>
      <c r="B543" s="15"/>
      <c r="C543" s="157"/>
      <c r="D543" s="157"/>
      <c r="E543" s="9"/>
    </row>
    <row r="544" spans="1:5" x14ac:dyDescent="0.35">
      <c r="A544" s="14"/>
      <c r="B544" s="15"/>
      <c r="C544" s="157"/>
      <c r="D544" s="157"/>
      <c r="E544" s="9"/>
    </row>
    <row r="545" spans="1:5" x14ac:dyDescent="0.35">
      <c r="A545" s="14"/>
      <c r="B545" s="15"/>
      <c r="C545" s="157"/>
      <c r="D545" s="157"/>
      <c r="E545" s="9"/>
    </row>
    <row r="546" spans="1:5" x14ac:dyDescent="0.35">
      <c r="A546" s="14"/>
      <c r="B546" s="15"/>
      <c r="C546" s="157"/>
      <c r="D546" s="157"/>
      <c r="E546" s="9"/>
    </row>
    <row r="547" spans="1:5" x14ac:dyDescent="0.35">
      <c r="A547" s="14"/>
      <c r="B547" s="15"/>
      <c r="C547" s="157"/>
      <c r="D547" s="157"/>
      <c r="E547" s="9"/>
    </row>
    <row r="548" spans="1:5" x14ac:dyDescent="0.35">
      <c r="A548" s="14"/>
      <c r="B548" s="15"/>
      <c r="C548" s="157"/>
      <c r="D548" s="157"/>
      <c r="E548" s="9"/>
    </row>
    <row r="549" spans="1:5" x14ac:dyDescent="0.35">
      <c r="A549" s="14"/>
      <c r="B549" s="15"/>
      <c r="C549" s="157"/>
      <c r="D549" s="157"/>
      <c r="E549" s="9"/>
    </row>
    <row r="550" spans="1:5" x14ac:dyDescent="0.35">
      <c r="A550" s="14"/>
      <c r="B550" s="15"/>
      <c r="C550" s="157"/>
      <c r="D550" s="157"/>
      <c r="E550" s="9"/>
    </row>
    <row r="551" spans="1:5" x14ac:dyDescent="0.35">
      <c r="A551" s="14"/>
      <c r="B551" s="15"/>
      <c r="C551" s="157"/>
      <c r="D551" s="157"/>
      <c r="E551" s="9"/>
    </row>
    <row r="552" spans="1:5" x14ac:dyDescent="0.35">
      <c r="A552" s="14"/>
      <c r="B552" s="15"/>
      <c r="C552" s="157"/>
      <c r="D552" s="157"/>
      <c r="E552" s="9"/>
    </row>
    <row r="553" spans="1:5" x14ac:dyDescent="0.35">
      <c r="A553" s="14"/>
      <c r="B553" s="15"/>
      <c r="C553" s="157"/>
      <c r="D553" s="157"/>
      <c r="E553" s="9"/>
    </row>
    <row r="554" spans="1:5" x14ac:dyDescent="0.35">
      <c r="A554" s="14"/>
      <c r="B554" s="15"/>
      <c r="C554" s="157"/>
      <c r="D554" s="157"/>
      <c r="E554" s="9"/>
    </row>
    <row r="555" spans="1:5" x14ac:dyDescent="0.35">
      <c r="A555" s="14"/>
      <c r="B555" s="15"/>
      <c r="C555" s="157"/>
      <c r="D555" s="157"/>
      <c r="E555" s="9"/>
    </row>
    <row r="556" spans="1:5" x14ac:dyDescent="0.35">
      <c r="A556" s="14"/>
      <c r="B556" s="15"/>
      <c r="C556" s="157"/>
      <c r="D556" s="157"/>
      <c r="E556" s="9"/>
    </row>
    <row r="557" spans="1:5" x14ac:dyDescent="0.35">
      <c r="A557" s="14"/>
      <c r="B557" s="15"/>
      <c r="C557" s="157"/>
      <c r="D557" s="157"/>
      <c r="E557" s="9"/>
    </row>
    <row r="558" spans="1:5" x14ac:dyDescent="0.35">
      <c r="A558" s="14"/>
      <c r="B558" s="15"/>
      <c r="C558" s="157"/>
      <c r="D558" s="157"/>
      <c r="E558" s="9"/>
    </row>
    <row r="559" spans="1:5" x14ac:dyDescent="0.35">
      <c r="A559" s="14"/>
      <c r="B559" s="15"/>
      <c r="C559" s="157"/>
      <c r="D559" s="157"/>
      <c r="E559" s="9"/>
    </row>
    <row r="560" spans="1:5" x14ac:dyDescent="0.35">
      <c r="A560" s="14"/>
      <c r="B560" s="15"/>
      <c r="C560" s="157"/>
      <c r="D560" s="157"/>
      <c r="E560" s="9"/>
    </row>
    <row r="561" spans="1:5" x14ac:dyDescent="0.35">
      <c r="A561" s="14"/>
      <c r="B561" s="15"/>
      <c r="C561" s="157"/>
      <c r="D561" s="157"/>
      <c r="E561" s="9"/>
    </row>
    <row r="562" spans="1:5" x14ac:dyDescent="0.35">
      <c r="A562" s="14"/>
      <c r="B562" s="15"/>
      <c r="C562" s="157"/>
      <c r="D562" s="157"/>
      <c r="E562" s="9"/>
    </row>
    <row r="563" spans="1:5" x14ac:dyDescent="0.35">
      <c r="A563" s="14"/>
      <c r="B563" s="15"/>
      <c r="C563" s="157"/>
      <c r="D563" s="157"/>
      <c r="E563" s="9"/>
    </row>
    <row r="564" spans="1:5" x14ac:dyDescent="0.35">
      <c r="A564" s="14"/>
      <c r="B564" s="15"/>
      <c r="C564" s="157"/>
      <c r="D564" s="157"/>
      <c r="E564" s="9"/>
    </row>
    <row r="565" spans="1:5" x14ac:dyDescent="0.35">
      <c r="A565" s="14"/>
      <c r="B565" s="15"/>
      <c r="C565" s="157"/>
      <c r="D565" s="157"/>
      <c r="E565" s="9"/>
    </row>
    <row r="566" spans="1:5" x14ac:dyDescent="0.35">
      <c r="A566" s="14"/>
      <c r="B566" s="15"/>
      <c r="C566" s="157"/>
      <c r="D566" s="157"/>
      <c r="E566" s="9"/>
    </row>
    <row r="567" spans="1:5" x14ac:dyDescent="0.35">
      <c r="A567" s="14"/>
      <c r="B567" s="15"/>
      <c r="C567" s="157"/>
      <c r="D567" s="157"/>
      <c r="E567" s="9"/>
    </row>
    <row r="568" spans="1:5" x14ac:dyDescent="0.35">
      <c r="A568" s="14"/>
      <c r="B568" s="15"/>
      <c r="C568" s="157"/>
      <c r="D568" s="157"/>
      <c r="E568" s="9"/>
    </row>
    <row r="569" spans="1:5" x14ac:dyDescent="0.35">
      <c r="A569" s="14"/>
      <c r="B569" s="15"/>
      <c r="C569" s="157"/>
      <c r="D569" s="157"/>
      <c r="E569" s="9"/>
    </row>
    <row r="570" spans="1:5" x14ac:dyDescent="0.35">
      <c r="A570" s="14"/>
      <c r="B570" s="15"/>
      <c r="C570" s="157"/>
      <c r="D570" s="157"/>
      <c r="E570" s="9"/>
    </row>
    <row r="571" spans="1:5" x14ac:dyDescent="0.35">
      <c r="A571" s="14"/>
      <c r="B571" s="15"/>
      <c r="C571" s="157"/>
      <c r="D571" s="157"/>
      <c r="E571" s="9"/>
    </row>
    <row r="572" spans="1:5" x14ac:dyDescent="0.35">
      <c r="A572" s="14"/>
      <c r="B572" s="15"/>
      <c r="C572" s="157"/>
      <c r="D572" s="157"/>
      <c r="E572" s="9"/>
    </row>
    <row r="573" spans="1:5" x14ac:dyDescent="0.35">
      <c r="A573" s="14"/>
      <c r="B573" s="15"/>
      <c r="C573" s="157"/>
      <c r="D573" s="157"/>
      <c r="E573" s="9"/>
    </row>
    <row r="574" spans="1:5" x14ac:dyDescent="0.35">
      <c r="A574" s="14"/>
      <c r="B574" s="15"/>
      <c r="C574" s="157"/>
      <c r="D574" s="157"/>
      <c r="E574" s="9"/>
    </row>
    <row r="575" spans="1:5" x14ac:dyDescent="0.35">
      <c r="A575" s="14"/>
      <c r="B575" s="15"/>
      <c r="C575" s="157"/>
      <c r="D575" s="157"/>
      <c r="E575" s="9"/>
    </row>
    <row r="576" spans="1:5" x14ac:dyDescent="0.35">
      <c r="A576" s="14"/>
      <c r="B576" s="15"/>
      <c r="C576" s="157"/>
      <c r="D576" s="157"/>
      <c r="E576" s="9"/>
    </row>
    <row r="577" spans="1:5" x14ac:dyDescent="0.35">
      <c r="A577" s="14"/>
      <c r="B577" s="15"/>
      <c r="C577" s="157"/>
      <c r="D577" s="157"/>
      <c r="E577" s="9"/>
    </row>
    <row r="578" spans="1:5" x14ac:dyDescent="0.35">
      <c r="A578" s="14"/>
      <c r="B578" s="15"/>
      <c r="C578" s="157"/>
      <c r="D578" s="157"/>
      <c r="E578" s="9"/>
    </row>
    <row r="579" spans="1:5" x14ac:dyDescent="0.35">
      <c r="A579" s="14"/>
      <c r="B579" s="15"/>
      <c r="C579" s="157"/>
      <c r="D579" s="157"/>
      <c r="E579" s="9"/>
    </row>
    <row r="580" spans="1:5" x14ac:dyDescent="0.35">
      <c r="A580" s="14"/>
      <c r="B580" s="15"/>
      <c r="C580" s="157"/>
      <c r="D580" s="157"/>
      <c r="E580" s="9"/>
    </row>
    <row r="581" spans="1:5" x14ac:dyDescent="0.35">
      <c r="A581" s="14"/>
      <c r="B581" s="15"/>
      <c r="C581" s="157"/>
      <c r="D581" s="157"/>
      <c r="E581" s="9"/>
    </row>
    <row r="582" spans="1:5" x14ac:dyDescent="0.35">
      <c r="A582" s="14"/>
      <c r="B582" s="15"/>
      <c r="C582" s="157"/>
      <c r="D582" s="157"/>
      <c r="E582" s="9"/>
    </row>
    <row r="583" spans="1:5" x14ac:dyDescent="0.35">
      <c r="A583" s="14"/>
      <c r="B583" s="15"/>
      <c r="C583" s="157"/>
      <c r="D583" s="157"/>
      <c r="E583" s="9"/>
    </row>
    <row r="584" spans="1:5" x14ac:dyDescent="0.35">
      <c r="A584" s="14"/>
      <c r="B584" s="15"/>
      <c r="C584" s="157"/>
      <c r="D584" s="157"/>
      <c r="E584" s="9"/>
    </row>
    <row r="585" spans="1:5" x14ac:dyDescent="0.35">
      <c r="A585" s="14"/>
      <c r="B585" s="15"/>
      <c r="C585" s="157"/>
      <c r="D585" s="157"/>
      <c r="E585" s="9"/>
    </row>
    <row r="586" spans="1:5" x14ac:dyDescent="0.35">
      <c r="A586" s="14"/>
      <c r="B586" s="15"/>
      <c r="C586" s="157"/>
      <c r="D586" s="157"/>
      <c r="E586" s="9"/>
    </row>
    <row r="587" spans="1:5" x14ac:dyDescent="0.35">
      <c r="A587" s="14"/>
      <c r="B587" s="15"/>
      <c r="C587" s="157"/>
      <c r="D587" s="157"/>
      <c r="E587" s="9"/>
    </row>
    <row r="588" spans="1:5" x14ac:dyDescent="0.35">
      <c r="A588" s="14"/>
      <c r="B588" s="15"/>
      <c r="C588" s="157"/>
      <c r="D588" s="157"/>
      <c r="E588" s="9"/>
    </row>
    <row r="589" spans="1:5" x14ac:dyDescent="0.35">
      <c r="A589" s="14"/>
      <c r="B589" s="15"/>
      <c r="C589" s="157"/>
      <c r="D589" s="157"/>
      <c r="E589" s="9"/>
    </row>
    <row r="590" spans="1:5" x14ac:dyDescent="0.35">
      <c r="A590" s="14"/>
      <c r="B590" s="15"/>
      <c r="C590" s="157"/>
      <c r="D590" s="157"/>
      <c r="E590" s="9"/>
    </row>
    <row r="591" spans="1:5" x14ac:dyDescent="0.35">
      <c r="A591" s="14"/>
      <c r="B591" s="15"/>
      <c r="C591" s="157"/>
      <c r="D591" s="157"/>
      <c r="E591" s="9"/>
    </row>
    <row r="592" spans="1:5" x14ac:dyDescent="0.35">
      <c r="A592" s="14"/>
      <c r="B592" s="15"/>
      <c r="C592" s="157"/>
      <c r="D592" s="157"/>
      <c r="E592" s="9"/>
    </row>
    <row r="593" spans="1:5" x14ac:dyDescent="0.35">
      <c r="A593" s="14"/>
      <c r="B593" s="15"/>
      <c r="C593" s="157"/>
      <c r="D593" s="157"/>
      <c r="E593" s="9"/>
    </row>
    <row r="594" spans="1:5" x14ac:dyDescent="0.35">
      <c r="A594" s="14"/>
      <c r="B594" s="15"/>
      <c r="C594" s="157"/>
      <c r="D594" s="157"/>
      <c r="E594" s="9"/>
    </row>
    <row r="595" spans="1:5" x14ac:dyDescent="0.35">
      <c r="A595" s="14"/>
      <c r="B595" s="15"/>
      <c r="C595" s="157"/>
      <c r="D595" s="157"/>
      <c r="E595" s="9"/>
    </row>
    <row r="596" spans="1:5" x14ac:dyDescent="0.35">
      <c r="A596" s="14"/>
      <c r="B596" s="15"/>
      <c r="C596" s="157"/>
      <c r="D596" s="157"/>
      <c r="E596" s="9"/>
    </row>
    <row r="597" spans="1:5" x14ac:dyDescent="0.35">
      <c r="A597" s="14"/>
      <c r="B597" s="15"/>
      <c r="C597" s="157"/>
      <c r="D597" s="157"/>
      <c r="E597" s="9"/>
    </row>
    <row r="598" spans="1:5" x14ac:dyDescent="0.35">
      <c r="A598" s="14"/>
      <c r="B598" s="15"/>
      <c r="C598" s="157"/>
      <c r="D598" s="157"/>
      <c r="E598" s="9"/>
    </row>
    <row r="599" spans="1:5" x14ac:dyDescent="0.35">
      <c r="A599" s="14"/>
      <c r="B599" s="15"/>
      <c r="C599" s="157"/>
      <c r="D599" s="157"/>
      <c r="E599" s="9"/>
    </row>
    <row r="600" spans="1:5" x14ac:dyDescent="0.35">
      <c r="A600" s="14"/>
      <c r="B600" s="15"/>
      <c r="C600" s="157"/>
      <c r="D600" s="157"/>
      <c r="E600" s="9"/>
    </row>
    <row r="601" spans="1:5" x14ac:dyDescent="0.35">
      <c r="A601" s="14"/>
      <c r="B601" s="15"/>
      <c r="C601" s="157"/>
      <c r="D601" s="157"/>
      <c r="E601" s="9"/>
    </row>
    <row r="602" spans="1:5" x14ac:dyDescent="0.35">
      <c r="A602" s="14"/>
      <c r="B602" s="15"/>
      <c r="C602" s="157"/>
      <c r="D602" s="157"/>
      <c r="E602" s="9"/>
    </row>
    <row r="603" spans="1:5" x14ac:dyDescent="0.35">
      <c r="A603" s="14"/>
      <c r="B603" s="15"/>
      <c r="C603" s="157"/>
      <c r="D603" s="157"/>
      <c r="E603" s="9"/>
    </row>
    <row r="604" spans="1:5" x14ac:dyDescent="0.35">
      <c r="A604" s="14"/>
      <c r="B604" s="15"/>
      <c r="C604" s="157"/>
      <c r="D604" s="157"/>
      <c r="E604" s="9"/>
    </row>
    <row r="605" spans="1:5" x14ac:dyDescent="0.35">
      <c r="A605" s="14"/>
      <c r="B605" s="15"/>
      <c r="C605" s="157"/>
      <c r="D605" s="157"/>
      <c r="E605" s="9"/>
    </row>
    <row r="606" spans="1:5" x14ac:dyDescent="0.35">
      <c r="A606" s="14"/>
      <c r="B606" s="15"/>
      <c r="C606" s="157"/>
      <c r="D606" s="157"/>
      <c r="E606" s="9"/>
    </row>
    <row r="607" spans="1:5" x14ac:dyDescent="0.35">
      <c r="A607" s="14"/>
      <c r="B607" s="15"/>
      <c r="C607" s="157"/>
      <c r="D607" s="157"/>
      <c r="E607" s="9"/>
    </row>
    <row r="608" spans="1:5" x14ac:dyDescent="0.35">
      <c r="A608" s="14"/>
      <c r="B608" s="15"/>
      <c r="C608" s="157"/>
      <c r="D608" s="157"/>
      <c r="E608" s="9"/>
    </row>
    <row r="609" spans="1:5" x14ac:dyDescent="0.35">
      <c r="A609" s="14"/>
      <c r="B609" s="15"/>
      <c r="C609" s="157"/>
      <c r="D609" s="157"/>
      <c r="E609" s="9"/>
    </row>
    <row r="610" spans="1:5" x14ac:dyDescent="0.35">
      <c r="A610" s="14"/>
      <c r="B610" s="15"/>
      <c r="C610" s="157"/>
      <c r="D610" s="157"/>
      <c r="E610" s="9"/>
    </row>
    <row r="611" spans="1:5" x14ac:dyDescent="0.35">
      <c r="A611" s="14"/>
      <c r="B611" s="15"/>
      <c r="C611" s="157"/>
      <c r="D611" s="157"/>
      <c r="E611" s="9"/>
    </row>
    <row r="612" spans="1:5" x14ac:dyDescent="0.35">
      <c r="A612" s="14"/>
      <c r="B612" s="15"/>
      <c r="C612" s="157"/>
      <c r="D612" s="157"/>
      <c r="E612" s="9"/>
    </row>
    <row r="613" spans="1:5" x14ac:dyDescent="0.35">
      <c r="A613" s="14"/>
      <c r="B613" s="15"/>
      <c r="C613" s="157"/>
      <c r="D613" s="157"/>
      <c r="E613" s="9"/>
    </row>
    <row r="614" spans="1:5" x14ac:dyDescent="0.35">
      <c r="A614" s="14"/>
      <c r="B614" s="15"/>
      <c r="C614" s="157"/>
      <c r="D614" s="157"/>
      <c r="E614" s="9"/>
    </row>
    <row r="615" spans="1:5" x14ac:dyDescent="0.35">
      <c r="A615" s="14"/>
      <c r="B615" s="15"/>
      <c r="C615" s="157"/>
      <c r="D615" s="157"/>
      <c r="E615" s="9"/>
    </row>
    <row r="616" spans="1:5" x14ac:dyDescent="0.35">
      <c r="A616" s="14"/>
      <c r="B616" s="15"/>
      <c r="C616" s="157"/>
      <c r="D616" s="157"/>
      <c r="E616" s="9"/>
    </row>
    <row r="617" spans="1:5" x14ac:dyDescent="0.35">
      <c r="A617" s="14"/>
      <c r="B617" s="15"/>
      <c r="C617" s="157"/>
      <c r="D617" s="157"/>
      <c r="E617" s="9"/>
    </row>
    <row r="618" spans="1:5" x14ac:dyDescent="0.35">
      <c r="A618" s="14"/>
      <c r="B618" s="15"/>
      <c r="C618" s="157"/>
      <c r="D618" s="157"/>
      <c r="E618" s="9"/>
    </row>
    <row r="619" spans="1:5" x14ac:dyDescent="0.35">
      <c r="A619" s="14"/>
      <c r="B619" s="15"/>
      <c r="C619" s="157"/>
      <c r="D619" s="157"/>
      <c r="E619" s="9"/>
    </row>
    <row r="620" spans="1:5" x14ac:dyDescent="0.35">
      <c r="A620" s="14"/>
      <c r="B620" s="15"/>
      <c r="C620" s="157"/>
      <c r="D620" s="157"/>
      <c r="E620" s="9"/>
    </row>
    <row r="621" spans="1:5" x14ac:dyDescent="0.35">
      <c r="A621" s="14"/>
      <c r="B621" s="15"/>
      <c r="C621" s="157"/>
      <c r="D621" s="157"/>
      <c r="E621" s="9"/>
    </row>
    <row r="622" spans="1:5" x14ac:dyDescent="0.35">
      <c r="A622" s="14"/>
      <c r="B622" s="15"/>
      <c r="C622" s="157"/>
      <c r="D622" s="157"/>
      <c r="E622" s="9"/>
    </row>
    <row r="623" spans="1:5" x14ac:dyDescent="0.35">
      <c r="A623" s="14"/>
      <c r="B623" s="15"/>
      <c r="C623" s="157"/>
      <c r="D623" s="157"/>
      <c r="E623" s="9"/>
    </row>
    <row r="624" spans="1:5" x14ac:dyDescent="0.35">
      <c r="A624" s="14"/>
      <c r="B624" s="15"/>
      <c r="C624" s="157"/>
      <c r="D624" s="157"/>
      <c r="E624" s="9"/>
    </row>
    <row r="625" spans="1:5" x14ac:dyDescent="0.35">
      <c r="A625" s="14"/>
      <c r="B625" s="15"/>
      <c r="C625" s="157"/>
      <c r="D625" s="157"/>
      <c r="E625" s="9"/>
    </row>
    <row r="626" spans="1:5" x14ac:dyDescent="0.35">
      <c r="A626" s="14"/>
      <c r="B626" s="15"/>
      <c r="C626" s="157"/>
      <c r="D626" s="157"/>
      <c r="E626" s="9"/>
    </row>
    <row r="627" spans="1:5" x14ac:dyDescent="0.35">
      <c r="A627" s="14"/>
      <c r="B627" s="15"/>
      <c r="C627" s="157"/>
      <c r="D627" s="157"/>
      <c r="E627" s="9"/>
    </row>
    <row r="628" spans="1:5" x14ac:dyDescent="0.35">
      <c r="A628" s="14"/>
      <c r="B628" s="15"/>
      <c r="C628" s="157"/>
      <c r="D628" s="157"/>
      <c r="E628" s="9"/>
    </row>
    <row r="629" spans="1:5" x14ac:dyDescent="0.35">
      <c r="A629" s="14"/>
      <c r="B629" s="15"/>
      <c r="C629" s="157"/>
      <c r="D629" s="157"/>
      <c r="E629" s="9"/>
    </row>
    <row r="630" spans="1:5" x14ac:dyDescent="0.35">
      <c r="A630" s="14"/>
      <c r="B630" s="15"/>
      <c r="C630" s="157"/>
      <c r="D630" s="157"/>
      <c r="E630" s="9"/>
    </row>
    <row r="631" spans="1:5" x14ac:dyDescent="0.35">
      <c r="A631" s="14"/>
      <c r="B631" s="15"/>
      <c r="C631" s="157"/>
      <c r="D631" s="157"/>
      <c r="E631" s="9"/>
    </row>
    <row r="632" spans="1:5" x14ac:dyDescent="0.35">
      <c r="A632" s="14"/>
      <c r="B632" s="15"/>
      <c r="C632" s="157"/>
      <c r="D632" s="157"/>
      <c r="E632" s="9"/>
    </row>
    <row r="633" spans="1:5" x14ac:dyDescent="0.35">
      <c r="A633" s="14"/>
      <c r="B633" s="15"/>
      <c r="C633" s="157"/>
      <c r="D633" s="157"/>
      <c r="E633" s="9"/>
    </row>
    <row r="634" spans="1:5" x14ac:dyDescent="0.35">
      <c r="A634" s="14"/>
      <c r="B634" s="15"/>
      <c r="C634" s="157"/>
      <c r="D634" s="157"/>
      <c r="E634" s="9"/>
    </row>
    <row r="635" spans="1:5" x14ac:dyDescent="0.35">
      <c r="A635" s="14"/>
      <c r="B635" s="15"/>
      <c r="C635" s="157"/>
      <c r="D635" s="157"/>
      <c r="E635" s="9"/>
    </row>
    <row r="636" spans="1:5" x14ac:dyDescent="0.35">
      <c r="A636" s="14"/>
      <c r="B636" s="15"/>
      <c r="C636" s="157"/>
      <c r="D636" s="157"/>
      <c r="E636" s="9"/>
    </row>
    <row r="637" spans="1:5" x14ac:dyDescent="0.35">
      <c r="A637" s="14"/>
      <c r="B637" s="15"/>
      <c r="C637" s="157"/>
      <c r="D637" s="157"/>
      <c r="E637" s="9"/>
    </row>
    <row r="638" spans="1:5" x14ac:dyDescent="0.35">
      <c r="A638" s="14"/>
      <c r="B638" s="15"/>
      <c r="C638" s="157"/>
      <c r="D638" s="157"/>
      <c r="E638" s="9"/>
    </row>
    <row r="639" spans="1:5" x14ac:dyDescent="0.35">
      <c r="A639" s="14"/>
      <c r="B639" s="15"/>
      <c r="C639" s="157"/>
      <c r="D639" s="157"/>
      <c r="E639" s="9"/>
    </row>
    <row r="640" spans="1:5" x14ac:dyDescent="0.35">
      <c r="A640" s="14"/>
      <c r="B640" s="15"/>
      <c r="C640" s="157"/>
      <c r="D640" s="157"/>
      <c r="E640" s="9"/>
    </row>
    <row r="641" spans="1:5" x14ac:dyDescent="0.35">
      <c r="A641" s="14"/>
      <c r="B641" s="15"/>
      <c r="C641" s="157"/>
      <c r="D641" s="157"/>
      <c r="E641" s="9"/>
    </row>
    <row r="642" spans="1:5" x14ac:dyDescent="0.35">
      <c r="A642" s="14"/>
      <c r="B642" s="15"/>
      <c r="C642" s="157"/>
      <c r="D642" s="157"/>
      <c r="E642" s="9"/>
    </row>
    <row r="643" spans="1:5" x14ac:dyDescent="0.35">
      <c r="A643" s="14"/>
      <c r="B643" s="15"/>
      <c r="C643" s="157"/>
      <c r="D643" s="157"/>
      <c r="E643" s="9"/>
    </row>
    <row r="644" spans="1:5" x14ac:dyDescent="0.35">
      <c r="A644" s="14"/>
      <c r="B644" s="15"/>
      <c r="C644" s="157"/>
      <c r="D644" s="157"/>
      <c r="E644" s="9"/>
    </row>
    <row r="645" spans="1:5" x14ac:dyDescent="0.35">
      <c r="A645" s="14"/>
      <c r="B645" s="15"/>
      <c r="C645" s="157"/>
      <c r="D645" s="157"/>
      <c r="E645" s="9"/>
    </row>
    <row r="646" spans="1:5" x14ac:dyDescent="0.35">
      <c r="A646" s="14"/>
      <c r="B646" s="15"/>
      <c r="C646" s="157"/>
      <c r="D646" s="157"/>
      <c r="E646" s="9"/>
    </row>
    <row r="647" spans="1:5" x14ac:dyDescent="0.35">
      <c r="A647" s="14"/>
      <c r="B647" s="15"/>
      <c r="C647" s="157"/>
      <c r="D647" s="157"/>
      <c r="E647" s="9"/>
    </row>
    <row r="648" spans="1:5" x14ac:dyDescent="0.35">
      <c r="A648" s="14"/>
      <c r="B648" s="15"/>
      <c r="C648" s="157"/>
      <c r="D648" s="157"/>
      <c r="E648" s="9"/>
    </row>
    <row r="649" spans="1:5" x14ac:dyDescent="0.35">
      <c r="A649" s="14"/>
      <c r="B649" s="15"/>
      <c r="C649" s="157"/>
      <c r="D649" s="157"/>
      <c r="E649" s="9"/>
    </row>
    <row r="650" spans="1:5" x14ac:dyDescent="0.35">
      <c r="A650" s="14"/>
      <c r="B650" s="15"/>
      <c r="C650" s="157"/>
      <c r="D650" s="157"/>
      <c r="E650" s="9"/>
    </row>
    <row r="651" spans="1:5" x14ac:dyDescent="0.35">
      <c r="A651" s="14"/>
      <c r="B651" s="15"/>
      <c r="C651" s="157"/>
      <c r="D651" s="157"/>
      <c r="E651" s="9"/>
    </row>
    <row r="652" spans="1:5" x14ac:dyDescent="0.35">
      <c r="A652" s="14"/>
      <c r="B652" s="15"/>
      <c r="C652" s="157"/>
      <c r="D652" s="157"/>
      <c r="E652" s="9"/>
    </row>
    <row r="653" spans="1:5" x14ac:dyDescent="0.35">
      <c r="A653" s="14"/>
      <c r="B653" s="15"/>
      <c r="C653" s="157"/>
      <c r="D653" s="157"/>
      <c r="E653" s="9"/>
    </row>
    <row r="654" spans="1:5" x14ac:dyDescent="0.35">
      <c r="A654" s="14"/>
      <c r="B654" s="15"/>
      <c r="C654" s="157"/>
      <c r="D654" s="157"/>
      <c r="E654" s="9"/>
    </row>
    <row r="655" spans="1:5" x14ac:dyDescent="0.35">
      <c r="A655" s="14"/>
      <c r="B655" s="15"/>
      <c r="C655" s="157"/>
      <c r="D655" s="157"/>
      <c r="E655" s="9"/>
    </row>
    <row r="656" spans="1:5" x14ac:dyDescent="0.35">
      <c r="A656" s="14"/>
      <c r="B656" s="15"/>
      <c r="C656" s="157"/>
      <c r="D656" s="157"/>
      <c r="E656" s="9"/>
    </row>
    <row r="657" spans="1:5" x14ac:dyDescent="0.35">
      <c r="A657" s="14"/>
      <c r="B657" s="15"/>
      <c r="C657" s="157"/>
      <c r="D657" s="157"/>
      <c r="E657" s="9"/>
    </row>
    <row r="658" spans="1:5" x14ac:dyDescent="0.35">
      <c r="A658" s="14"/>
      <c r="B658" s="15"/>
      <c r="C658" s="157"/>
      <c r="D658" s="157"/>
      <c r="E658" s="9"/>
    </row>
    <row r="659" spans="1:5" x14ac:dyDescent="0.35">
      <c r="A659" s="14"/>
      <c r="B659" s="15"/>
      <c r="C659" s="157"/>
      <c r="D659" s="157"/>
      <c r="E659" s="9"/>
    </row>
    <row r="660" spans="1:5" x14ac:dyDescent="0.35">
      <c r="A660" s="14"/>
      <c r="B660" s="15"/>
      <c r="C660" s="157"/>
      <c r="D660" s="157"/>
      <c r="E660" s="9"/>
    </row>
    <row r="661" spans="1:5" x14ac:dyDescent="0.35">
      <c r="A661" s="14"/>
      <c r="B661" s="15"/>
      <c r="C661" s="157"/>
      <c r="D661" s="157"/>
      <c r="E661" s="9"/>
    </row>
    <row r="662" spans="1:5" x14ac:dyDescent="0.35">
      <c r="A662" s="14"/>
      <c r="B662" s="15"/>
      <c r="C662" s="157"/>
      <c r="D662" s="157"/>
      <c r="E662" s="9"/>
    </row>
    <row r="663" spans="1:5" x14ac:dyDescent="0.35">
      <c r="A663" s="14"/>
      <c r="B663" s="15"/>
      <c r="C663" s="157"/>
      <c r="D663" s="157"/>
      <c r="E663" s="9"/>
    </row>
    <row r="664" spans="1:5" x14ac:dyDescent="0.35">
      <c r="A664" s="14"/>
      <c r="B664" s="15"/>
      <c r="C664" s="157"/>
      <c r="D664" s="157"/>
      <c r="E664" s="9"/>
    </row>
    <row r="665" spans="1:5" x14ac:dyDescent="0.35">
      <c r="A665" s="14"/>
      <c r="B665" s="15"/>
      <c r="C665" s="157"/>
      <c r="D665" s="157"/>
      <c r="E665" s="9"/>
    </row>
    <row r="666" spans="1:5" x14ac:dyDescent="0.35">
      <c r="A666" s="14"/>
      <c r="B666" s="15"/>
      <c r="C666" s="157"/>
      <c r="D666" s="157"/>
      <c r="E666" s="9"/>
    </row>
    <row r="667" spans="1:5" x14ac:dyDescent="0.35">
      <c r="A667" s="14"/>
      <c r="B667" s="15"/>
      <c r="C667" s="157"/>
      <c r="D667" s="157"/>
      <c r="E667" s="9"/>
    </row>
    <row r="668" spans="1:5" x14ac:dyDescent="0.35">
      <c r="A668" s="14"/>
      <c r="B668" s="15"/>
      <c r="C668" s="157"/>
      <c r="D668" s="157"/>
      <c r="E668" s="9"/>
    </row>
    <row r="669" spans="1:5" x14ac:dyDescent="0.35">
      <c r="A669" s="14"/>
      <c r="B669" s="15"/>
      <c r="C669" s="157"/>
      <c r="D669" s="157"/>
      <c r="E669" s="9"/>
    </row>
    <row r="670" spans="1:5" x14ac:dyDescent="0.35">
      <c r="A670" s="14"/>
      <c r="B670" s="15"/>
      <c r="C670" s="157"/>
      <c r="D670" s="157"/>
      <c r="E670" s="9"/>
    </row>
    <row r="671" spans="1:5" x14ac:dyDescent="0.35">
      <c r="A671" s="14"/>
      <c r="B671" s="15"/>
      <c r="C671" s="157"/>
      <c r="D671" s="157"/>
      <c r="E671" s="9"/>
    </row>
    <row r="672" spans="1:5" x14ac:dyDescent="0.35">
      <c r="A672" s="14"/>
      <c r="B672" s="15"/>
      <c r="C672" s="157"/>
      <c r="D672" s="157"/>
      <c r="E672" s="9"/>
    </row>
    <row r="673" spans="1:5" x14ac:dyDescent="0.35">
      <c r="A673" s="14"/>
      <c r="B673" s="15"/>
      <c r="C673" s="157"/>
      <c r="D673" s="157"/>
      <c r="E673" s="9"/>
    </row>
    <row r="674" spans="1:5" x14ac:dyDescent="0.35">
      <c r="A674" s="14"/>
      <c r="B674" s="15"/>
      <c r="C674" s="157"/>
      <c r="D674" s="157"/>
      <c r="E674" s="9"/>
    </row>
    <row r="675" spans="1:5" x14ac:dyDescent="0.35">
      <c r="A675" s="14"/>
      <c r="B675" s="15"/>
      <c r="C675" s="157"/>
      <c r="D675" s="157"/>
      <c r="E675" s="9"/>
    </row>
    <row r="676" spans="1:5" x14ac:dyDescent="0.35">
      <c r="A676" s="14"/>
      <c r="B676" s="15"/>
      <c r="C676" s="157"/>
      <c r="D676" s="157"/>
      <c r="E676" s="9"/>
    </row>
    <row r="677" spans="1:5" x14ac:dyDescent="0.35">
      <c r="A677" s="14"/>
      <c r="B677" s="15"/>
      <c r="C677" s="157"/>
      <c r="D677" s="157"/>
      <c r="E677" s="9"/>
    </row>
    <row r="678" spans="1:5" x14ac:dyDescent="0.35">
      <c r="A678" s="14"/>
      <c r="B678" s="15"/>
      <c r="C678" s="157"/>
      <c r="D678" s="157"/>
      <c r="E678" s="9"/>
    </row>
    <row r="679" spans="1:5" x14ac:dyDescent="0.35">
      <c r="A679" s="14"/>
      <c r="B679" s="15"/>
      <c r="C679" s="157"/>
      <c r="D679" s="157"/>
      <c r="E679" s="9"/>
    </row>
    <row r="680" spans="1:5" x14ac:dyDescent="0.35">
      <c r="A680" s="14"/>
      <c r="B680" s="15"/>
      <c r="C680" s="157"/>
      <c r="D680" s="157"/>
      <c r="E680" s="9"/>
    </row>
    <row r="681" spans="1:5" x14ac:dyDescent="0.35">
      <c r="A681" s="14"/>
      <c r="B681" s="15"/>
      <c r="C681" s="157"/>
      <c r="D681" s="157"/>
      <c r="E681" s="9"/>
    </row>
    <row r="682" spans="1:5" x14ac:dyDescent="0.35">
      <c r="A682" s="14"/>
      <c r="B682" s="15"/>
      <c r="C682" s="157"/>
      <c r="D682" s="157"/>
      <c r="E682" s="9"/>
    </row>
    <row r="683" spans="1:5" x14ac:dyDescent="0.35">
      <c r="A683" s="14"/>
      <c r="B683" s="15"/>
      <c r="C683" s="157"/>
      <c r="D683" s="157"/>
      <c r="E683" s="9"/>
    </row>
    <row r="684" spans="1:5" x14ac:dyDescent="0.35">
      <c r="A684" s="14"/>
      <c r="B684" s="15"/>
      <c r="C684" s="157"/>
      <c r="D684" s="157"/>
      <c r="E684" s="9"/>
    </row>
    <row r="685" spans="1:5" x14ac:dyDescent="0.35">
      <c r="A685" s="14"/>
      <c r="B685" s="15"/>
      <c r="C685" s="157"/>
      <c r="D685" s="157"/>
      <c r="E685" s="9"/>
    </row>
    <row r="686" spans="1:5" x14ac:dyDescent="0.35">
      <c r="A686" s="14"/>
      <c r="B686" s="15"/>
      <c r="C686" s="157"/>
      <c r="D686" s="157"/>
      <c r="E686" s="9"/>
    </row>
    <row r="687" spans="1:5" x14ac:dyDescent="0.35">
      <c r="A687" s="14"/>
      <c r="B687" s="15"/>
      <c r="C687" s="157"/>
      <c r="D687" s="157"/>
      <c r="E687" s="9"/>
    </row>
    <row r="688" spans="1:5" x14ac:dyDescent="0.35">
      <c r="A688" s="14"/>
      <c r="B688" s="15"/>
      <c r="C688" s="157"/>
      <c r="D688" s="157"/>
      <c r="E688" s="9"/>
    </row>
    <row r="689" spans="1:5" x14ac:dyDescent="0.35">
      <c r="A689" s="14"/>
      <c r="B689" s="15"/>
      <c r="C689" s="157"/>
      <c r="D689" s="157"/>
      <c r="E689" s="9"/>
    </row>
    <row r="690" spans="1:5" x14ac:dyDescent="0.35">
      <c r="A690" s="14"/>
      <c r="B690" s="15"/>
      <c r="C690" s="157"/>
      <c r="D690" s="157"/>
      <c r="E690" s="9"/>
    </row>
    <row r="691" spans="1:5" x14ac:dyDescent="0.35">
      <c r="A691" s="14"/>
      <c r="B691" s="15"/>
      <c r="C691" s="157"/>
      <c r="D691" s="157"/>
      <c r="E691" s="9"/>
    </row>
    <row r="692" spans="1:5" x14ac:dyDescent="0.35">
      <c r="A692" s="14"/>
      <c r="B692" s="15"/>
      <c r="C692" s="157"/>
      <c r="D692" s="157"/>
      <c r="E692" s="9"/>
    </row>
    <row r="693" spans="1:5" x14ac:dyDescent="0.35">
      <c r="A693" s="14"/>
      <c r="B693" s="15"/>
      <c r="C693" s="157"/>
      <c r="D693" s="157"/>
      <c r="E693" s="9"/>
    </row>
    <row r="694" spans="1:5" x14ac:dyDescent="0.35">
      <c r="A694" s="14"/>
      <c r="B694" s="15"/>
      <c r="C694" s="157"/>
      <c r="D694" s="157"/>
      <c r="E694" s="9"/>
    </row>
    <row r="695" spans="1:5" x14ac:dyDescent="0.35">
      <c r="A695" s="14"/>
      <c r="B695" s="15"/>
      <c r="C695" s="157"/>
      <c r="D695" s="157"/>
      <c r="E695" s="9"/>
    </row>
    <row r="696" spans="1:5" x14ac:dyDescent="0.35">
      <c r="A696" s="14"/>
      <c r="B696" s="15"/>
      <c r="C696" s="157"/>
      <c r="D696" s="157"/>
      <c r="E696" s="9"/>
    </row>
    <row r="697" spans="1:5" x14ac:dyDescent="0.35">
      <c r="A697" s="14"/>
      <c r="B697" s="15"/>
      <c r="C697" s="157"/>
      <c r="D697" s="157"/>
      <c r="E697" s="9"/>
    </row>
    <row r="698" spans="1:5" x14ac:dyDescent="0.35">
      <c r="A698" s="14"/>
      <c r="B698" s="15"/>
      <c r="C698" s="157"/>
      <c r="D698" s="157"/>
      <c r="E698" s="9"/>
    </row>
    <row r="699" spans="1:5" x14ac:dyDescent="0.35">
      <c r="A699" s="14"/>
      <c r="B699" s="15"/>
      <c r="C699" s="157"/>
      <c r="D699" s="157"/>
      <c r="E699" s="9"/>
    </row>
    <row r="700" spans="1:5" x14ac:dyDescent="0.35">
      <c r="A700" s="14"/>
      <c r="B700" s="15"/>
      <c r="C700" s="157"/>
      <c r="D700" s="157"/>
      <c r="E700" s="9"/>
    </row>
    <row r="701" spans="1:5" x14ac:dyDescent="0.35">
      <c r="A701" s="14"/>
      <c r="B701" s="15"/>
      <c r="C701" s="157"/>
      <c r="D701" s="157"/>
      <c r="E701" s="9"/>
    </row>
    <row r="702" spans="1:5" x14ac:dyDescent="0.35">
      <c r="A702" s="14"/>
      <c r="B702" s="15"/>
      <c r="C702" s="157"/>
      <c r="D702" s="157"/>
      <c r="E702" s="9"/>
    </row>
    <row r="703" spans="1:5" x14ac:dyDescent="0.35">
      <c r="A703" s="14"/>
      <c r="B703" s="15"/>
      <c r="C703" s="157"/>
      <c r="D703" s="157"/>
      <c r="E703" s="9"/>
    </row>
    <row r="704" spans="1:5" x14ac:dyDescent="0.35">
      <c r="A704" s="14"/>
      <c r="B704" s="15"/>
      <c r="C704" s="157"/>
      <c r="D704" s="157"/>
      <c r="E704" s="9"/>
    </row>
    <row r="705" spans="1:5" x14ac:dyDescent="0.35">
      <c r="A705" s="14"/>
      <c r="B705" s="15"/>
      <c r="C705" s="157"/>
      <c r="D705" s="157"/>
      <c r="E705" s="9"/>
    </row>
    <row r="706" spans="1:5" x14ac:dyDescent="0.35">
      <c r="A706" s="14"/>
      <c r="B706" s="15"/>
      <c r="C706" s="157"/>
      <c r="D706" s="157"/>
      <c r="E706" s="9"/>
    </row>
    <row r="707" spans="1:5" x14ac:dyDescent="0.35">
      <c r="A707" s="14"/>
      <c r="B707" s="15"/>
      <c r="C707" s="157"/>
      <c r="D707" s="157"/>
      <c r="E707" s="9"/>
    </row>
    <row r="708" spans="1:5" x14ac:dyDescent="0.35">
      <c r="A708" s="14"/>
      <c r="B708" s="15"/>
      <c r="C708" s="157"/>
      <c r="D708" s="157"/>
      <c r="E708" s="9"/>
    </row>
    <row r="709" spans="1:5" x14ac:dyDescent="0.35">
      <c r="A709" s="14"/>
      <c r="B709" s="15"/>
      <c r="C709" s="157"/>
      <c r="D709" s="157"/>
      <c r="E709" s="9"/>
    </row>
    <row r="710" spans="1:5" x14ac:dyDescent="0.35">
      <c r="A710" s="14"/>
      <c r="B710" s="15"/>
      <c r="C710" s="157"/>
      <c r="D710" s="157"/>
      <c r="E710" s="9"/>
    </row>
    <row r="711" spans="1:5" x14ac:dyDescent="0.35">
      <c r="A711" s="14"/>
      <c r="B711" s="15"/>
      <c r="C711" s="157"/>
      <c r="D711" s="157"/>
      <c r="E711" s="9"/>
    </row>
    <row r="712" spans="1:5" x14ac:dyDescent="0.35">
      <c r="A712" s="14"/>
      <c r="B712" s="15"/>
      <c r="C712" s="157"/>
      <c r="D712" s="157"/>
      <c r="E712" s="9"/>
    </row>
    <row r="713" spans="1:5" x14ac:dyDescent="0.35">
      <c r="A713" s="14"/>
      <c r="B713" s="15"/>
      <c r="C713" s="157"/>
      <c r="D713" s="157"/>
      <c r="E713" s="9"/>
    </row>
    <row r="714" spans="1:5" x14ac:dyDescent="0.35">
      <c r="A714" s="14"/>
      <c r="B714" s="15"/>
      <c r="C714" s="157"/>
      <c r="D714" s="157"/>
      <c r="E714" s="9"/>
    </row>
    <row r="715" spans="1:5" x14ac:dyDescent="0.35">
      <c r="A715" s="14"/>
      <c r="B715" s="15"/>
      <c r="C715" s="157"/>
      <c r="D715" s="157"/>
      <c r="E715" s="9"/>
    </row>
    <row r="716" spans="1:5" x14ac:dyDescent="0.35">
      <c r="A716" s="14"/>
      <c r="B716" s="15"/>
      <c r="C716" s="157"/>
      <c r="D716" s="157"/>
      <c r="E716" s="9"/>
    </row>
    <row r="717" spans="1:5" x14ac:dyDescent="0.35">
      <c r="A717" s="14"/>
      <c r="B717" s="15"/>
      <c r="C717" s="157"/>
      <c r="D717" s="157"/>
      <c r="E717" s="9"/>
    </row>
    <row r="718" spans="1:5" x14ac:dyDescent="0.35">
      <c r="A718" s="14"/>
      <c r="B718" s="15"/>
      <c r="C718" s="157"/>
      <c r="D718" s="157"/>
      <c r="E718" s="9"/>
    </row>
    <row r="719" spans="1:5" x14ac:dyDescent="0.35">
      <c r="A719" s="14"/>
      <c r="B719" s="15"/>
      <c r="C719" s="157"/>
      <c r="D719" s="157"/>
      <c r="E719" s="9"/>
    </row>
    <row r="720" spans="1:5" x14ac:dyDescent="0.35">
      <c r="A720" s="14"/>
      <c r="B720" s="15"/>
      <c r="C720" s="157"/>
      <c r="D720" s="157"/>
      <c r="E720" s="9"/>
    </row>
    <row r="721" spans="1:5" x14ac:dyDescent="0.35">
      <c r="A721" s="14"/>
      <c r="B721" s="15"/>
      <c r="C721" s="157"/>
      <c r="D721" s="157"/>
      <c r="E721" s="9"/>
    </row>
    <row r="722" spans="1:5" x14ac:dyDescent="0.35">
      <c r="A722" s="14"/>
      <c r="B722" s="15"/>
      <c r="C722" s="157"/>
      <c r="D722" s="157"/>
      <c r="E722" s="9"/>
    </row>
    <row r="723" spans="1:5" x14ac:dyDescent="0.35">
      <c r="A723" s="14"/>
      <c r="B723" s="15"/>
      <c r="C723" s="157"/>
      <c r="D723" s="157"/>
      <c r="E723" s="9"/>
    </row>
    <row r="724" spans="1:5" x14ac:dyDescent="0.35">
      <c r="A724" s="14"/>
      <c r="B724" s="15"/>
      <c r="C724" s="157"/>
      <c r="D724" s="157"/>
      <c r="E724" s="9"/>
    </row>
    <row r="725" spans="1:5" x14ac:dyDescent="0.35">
      <c r="A725" s="14"/>
      <c r="B725" s="15"/>
      <c r="C725" s="157"/>
      <c r="D725" s="157"/>
      <c r="E725" s="9"/>
    </row>
    <row r="726" spans="1:5" x14ac:dyDescent="0.35">
      <c r="A726" s="14"/>
      <c r="B726" s="15"/>
      <c r="C726" s="157"/>
      <c r="D726" s="157"/>
      <c r="E726" s="9"/>
    </row>
    <row r="727" spans="1:5" x14ac:dyDescent="0.35">
      <c r="A727" s="14"/>
      <c r="B727" s="15"/>
      <c r="C727" s="157"/>
      <c r="D727" s="157"/>
      <c r="E727" s="9"/>
    </row>
    <row r="728" spans="1:5" x14ac:dyDescent="0.35">
      <c r="A728" s="14"/>
      <c r="B728" s="15"/>
      <c r="C728" s="157"/>
      <c r="D728" s="157"/>
      <c r="E728" s="9"/>
    </row>
    <row r="729" spans="1:5" x14ac:dyDescent="0.35">
      <c r="A729" s="14"/>
      <c r="B729" s="15"/>
      <c r="C729" s="157"/>
      <c r="D729" s="157"/>
      <c r="E729" s="9"/>
    </row>
    <row r="730" spans="1:5" x14ac:dyDescent="0.35">
      <c r="A730" s="14"/>
      <c r="B730" s="15"/>
      <c r="C730" s="157"/>
      <c r="D730" s="157"/>
      <c r="E730" s="9"/>
    </row>
    <row r="731" spans="1:5" x14ac:dyDescent="0.35">
      <c r="A731" s="14"/>
      <c r="B731" s="15"/>
      <c r="C731" s="157"/>
      <c r="D731" s="157"/>
      <c r="E731" s="9"/>
    </row>
    <row r="732" spans="1:5" x14ac:dyDescent="0.35">
      <c r="A732" s="14"/>
      <c r="B732" s="15"/>
      <c r="C732" s="157"/>
      <c r="D732" s="157"/>
      <c r="E732" s="9"/>
    </row>
    <row r="733" spans="1:5" x14ac:dyDescent="0.35">
      <c r="A733" s="14"/>
      <c r="B733" s="15"/>
      <c r="C733" s="157"/>
      <c r="D733" s="157"/>
      <c r="E733" s="9"/>
    </row>
    <row r="734" spans="1:5" x14ac:dyDescent="0.35">
      <c r="A734" s="14"/>
      <c r="B734" s="15"/>
      <c r="C734" s="157"/>
      <c r="D734" s="157"/>
      <c r="E734" s="9"/>
    </row>
    <row r="735" spans="1:5" x14ac:dyDescent="0.35">
      <c r="A735" s="14"/>
      <c r="B735" s="15"/>
      <c r="C735" s="157"/>
      <c r="D735" s="157"/>
      <c r="E735" s="9"/>
    </row>
    <row r="736" spans="1:5" x14ac:dyDescent="0.35">
      <c r="A736" s="14"/>
      <c r="B736" s="15"/>
      <c r="C736" s="157"/>
      <c r="D736" s="157"/>
      <c r="E736" s="9"/>
    </row>
    <row r="737" spans="1:5" x14ac:dyDescent="0.35">
      <c r="A737" s="14"/>
      <c r="B737" s="15"/>
      <c r="C737" s="157"/>
      <c r="D737" s="157"/>
      <c r="E737" s="9"/>
    </row>
    <row r="738" spans="1:5" x14ac:dyDescent="0.35">
      <c r="A738" s="14"/>
      <c r="B738" s="15"/>
      <c r="C738" s="157"/>
      <c r="D738" s="157"/>
      <c r="E738" s="9"/>
    </row>
    <row r="739" spans="1:5" x14ac:dyDescent="0.35">
      <c r="A739" s="14"/>
      <c r="B739" s="15"/>
      <c r="C739" s="157"/>
      <c r="D739" s="157"/>
      <c r="E739" s="9"/>
    </row>
    <row r="740" spans="1:5" x14ac:dyDescent="0.35">
      <c r="A740" s="14"/>
      <c r="B740" s="15"/>
      <c r="C740" s="157"/>
      <c r="D740" s="157"/>
      <c r="E740" s="9"/>
    </row>
    <row r="741" spans="1:5" x14ac:dyDescent="0.35">
      <c r="A741" s="14"/>
      <c r="B741" s="15"/>
      <c r="C741" s="157"/>
      <c r="D741" s="157"/>
      <c r="E741" s="9"/>
    </row>
    <row r="742" spans="1:5" x14ac:dyDescent="0.35">
      <c r="A742" s="14"/>
      <c r="B742" s="15"/>
      <c r="C742" s="157"/>
      <c r="D742" s="157"/>
      <c r="E742" s="9"/>
    </row>
    <row r="743" spans="1:5" x14ac:dyDescent="0.35">
      <c r="A743" s="14"/>
      <c r="B743" s="15"/>
      <c r="C743" s="157"/>
      <c r="D743" s="157"/>
      <c r="E743" s="9"/>
    </row>
    <row r="744" spans="1:5" x14ac:dyDescent="0.35">
      <c r="A744" s="14"/>
      <c r="B744" s="15"/>
      <c r="C744" s="157"/>
      <c r="D744" s="157"/>
      <c r="E744" s="9"/>
    </row>
    <row r="745" spans="1:5" x14ac:dyDescent="0.35">
      <c r="A745" s="14"/>
      <c r="B745" s="15"/>
      <c r="C745" s="157"/>
      <c r="D745" s="157"/>
      <c r="E745" s="9"/>
    </row>
    <row r="746" spans="1:5" x14ac:dyDescent="0.35">
      <c r="A746" s="14"/>
      <c r="B746" s="15"/>
      <c r="C746" s="157"/>
      <c r="D746" s="157"/>
      <c r="E746" s="9"/>
    </row>
    <row r="747" spans="1:5" x14ac:dyDescent="0.35">
      <c r="A747" s="14"/>
      <c r="B747" s="15"/>
      <c r="C747" s="157"/>
      <c r="D747" s="157"/>
      <c r="E747" s="9"/>
    </row>
    <row r="748" spans="1:5" x14ac:dyDescent="0.35">
      <c r="A748" s="14"/>
      <c r="B748" s="15"/>
      <c r="C748" s="157"/>
      <c r="D748" s="157"/>
      <c r="E748" s="9"/>
    </row>
    <row r="749" spans="1:5" x14ac:dyDescent="0.35">
      <c r="A749" s="14"/>
      <c r="B749" s="15"/>
      <c r="C749" s="157"/>
      <c r="D749" s="157"/>
      <c r="E749" s="9"/>
    </row>
    <row r="750" spans="1:5" x14ac:dyDescent="0.35">
      <c r="A750" s="14"/>
      <c r="B750" s="15"/>
      <c r="C750" s="157"/>
      <c r="D750" s="157"/>
      <c r="E750" s="9"/>
    </row>
    <row r="751" spans="1:5" x14ac:dyDescent="0.35">
      <c r="A751" s="14"/>
      <c r="B751" s="15"/>
      <c r="C751" s="157"/>
      <c r="D751" s="157"/>
      <c r="E751" s="9"/>
    </row>
    <row r="752" spans="1:5" x14ac:dyDescent="0.35">
      <c r="A752" s="14"/>
      <c r="B752" s="15"/>
      <c r="C752" s="157"/>
      <c r="D752" s="157"/>
      <c r="E752" s="9"/>
    </row>
    <row r="753" spans="1:5" x14ac:dyDescent="0.35">
      <c r="A753" s="14"/>
      <c r="B753" s="15"/>
      <c r="C753" s="157"/>
      <c r="D753" s="157"/>
      <c r="E753" s="9"/>
    </row>
    <row r="754" spans="1:5" x14ac:dyDescent="0.35">
      <c r="A754" s="14"/>
      <c r="B754" s="15"/>
      <c r="C754" s="157"/>
      <c r="D754" s="157"/>
      <c r="E754" s="9"/>
    </row>
    <row r="755" spans="1:5" x14ac:dyDescent="0.35">
      <c r="A755" s="14"/>
      <c r="B755" s="15"/>
      <c r="C755" s="157"/>
      <c r="D755" s="157"/>
      <c r="E755" s="9"/>
    </row>
    <row r="756" spans="1:5" x14ac:dyDescent="0.35">
      <c r="A756" s="14"/>
      <c r="B756" s="15"/>
      <c r="C756" s="157"/>
      <c r="D756" s="157"/>
      <c r="E756" s="9"/>
    </row>
    <row r="757" spans="1:5" x14ac:dyDescent="0.35">
      <c r="A757" s="14"/>
      <c r="B757" s="15"/>
      <c r="C757" s="157"/>
      <c r="D757" s="157"/>
      <c r="E757" s="9"/>
    </row>
    <row r="758" spans="1:5" x14ac:dyDescent="0.35">
      <c r="A758" s="14"/>
      <c r="B758" s="15"/>
      <c r="C758" s="157"/>
      <c r="D758" s="157"/>
      <c r="E758" s="9"/>
    </row>
    <row r="759" spans="1:5" x14ac:dyDescent="0.35">
      <c r="A759" s="14"/>
      <c r="B759" s="15"/>
      <c r="C759" s="157"/>
      <c r="D759" s="157"/>
      <c r="E759" s="9"/>
    </row>
    <row r="760" spans="1:5" x14ac:dyDescent="0.35">
      <c r="A760" s="14"/>
      <c r="B760" s="15"/>
      <c r="C760" s="157"/>
      <c r="D760" s="157"/>
      <c r="E760" s="9"/>
    </row>
    <row r="761" spans="1:5" x14ac:dyDescent="0.35">
      <c r="A761" s="14"/>
      <c r="B761" s="15"/>
      <c r="C761" s="157"/>
      <c r="D761" s="157"/>
      <c r="E761" s="9"/>
    </row>
    <row r="762" spans="1:5" x14ac:dyDescent="0.35">
      <c r="A762" s="14"/>
      <c r="B762" s="15"/>
      <c r="C762" s="157"/>
      <c r="D762" s="157"/>
      <c r="E762" s="9"/>
    </row>
    <row r="763" spans="1:5" x14ac:dyDescent="0.35">
      <c r="A763" s="14"/>
      <c r="B763" s="15"/>
      <c r="C763" s="157"/>
      <c r="D763" s="157"/>
      <c r="E763" s="9"/>
    </row>
    <row r="764" spans="1:5" x14ac:dyDescent="0.35">
      <c r="A764" s="14"/>
      <c r="B764" s="15"/>
      <c r="C764" s="157"/>
      <c r="D764" s="157"/>
      <c r="E764" s="9"/>
    </row>
    <row r="765" spans="1:5" x14ac:dyDescent="0.35">
      <c r="A765" s="14"/>
      <c r="B765" s="15"/>
      <c r="C765" s="157"/>
      <c r="D765" s="157"/>
      <c r="E765" s="9"/>
    </row>
    <row r="766" spans="1:5" x14ac:dyDescent="0.35">
      <c r="A766" s="14"/>
      <c r="B766" s="15"/>
      <c r="C766" s="157"/>
      <c r="D766" s="157"/>
      <c r="E766" s="9"/>
    </row>
    <row r="767" spans="1:5" x14ac:dyDescent="0.35">
      <c r="A767" s="14"/>
      <c r="B767" s="15"/>
      <c r="C767" s="157"/>
      <c r="D767" s="157"/>
      <c r="E767" s="9"/>
    </row>
    <row r="768" spans="1:5" x14ac:dyDescent="0.35">
      <c r="A768" s="14"/>
      <c r="B768" s="15"/>
      <c r="C768" s="157"/>
      <c r="D768" s="157"/>
      <c r="E768" s="9"/>
    </row>
    <row r="769" spans="1:5" x14ac:dyDescent="0.35">
      <c r="A769" s="14"/>
      <c r="B769" s="15"/>
      <c r="C769" s="157"/>
      <c r="D769" s="157"/>
      <c r="E769" s="9"/>
    </row>
    <row r="770" spans="1:5" x14ac:dyDescent="0.35">
      <c r="A770" s="14"/>
      <c r="B770" s="15"/>
      <c r="C770" s="157"/>
      <c r="D770" s="157"/>
      <c r="E770" s="9"/>
    </row>
    <row r="771" spans="1:5" x14ac:dyDescent="0.35">
      <c r="A771" s="14"/>
      <c r="B771" s="15"/>
      <c r="C771" s="157"/>
      <c r="D771" s="157"/>
      <c r="E771" s="9"/>
    </row>
    <row r="772" spans="1:5" x14ac:dyDescent="0.35">
      <c r="A772" s="14"/>
      <c r="B772" s="15"/>
      <c r="C772" s="157"/>
      <c r="D772" s="157"/>
      <c r="E772" s="9"/>
    </row>
    <row r="773" spans="1:5" x14ac:dyDescent="0.35">
      <c r="A773" s="14"/>
      <c r="B773" s="15"/>
      <c r="C773" s="157"/>
      <c r="D773" s="157"/>
      <c r="E773" s="9"/>
    </row>
    <row r="774" spans="1:5" x14ac:dyDescent="0.35">
      <c r="A774" s="14"/>
      <c r="B774" s="15"/>
      <c r="C774" s="157"/>
      <c r="D774" s="157"/>
      <c r="E774" s="9"/>
    </row>
    <row r="775" spans="1:5" x14ac:dyDescent="0.35">
      <c r="A775" s="14"/>
      <c r="B775" s="15"/>
      <c r="C775" s="157"/>
      <c r="D775" s="157"/>
      <c r="E775" s="9"/>
    </row>
    <row r="776" spans="1:5" x14ac:dyDescent="0.35">
      <c r="A776" s="14"/>
      <c r="B776" s="15"/>
      <c r="C776" s="157"/>
      <c r="D776" s="157"/>
      <c r="E776" s="9"/>
    </row>
    <row r="777" spans="1:5" x14ac:dyDescent="0.35">
      <c r="A777" s="14"/>
      <c r="B777" s="15"/>
      <c r="C777" s="157"/>
      <c r="D777" s="157"/>
      <c r="E777" s="9"/>
    </row>
    <row r="778" spans="1:5" x14ac:dyDescent="0.35">
      <c r="A778" s="14"/>
      <c r="B778" s="15"/>
      <c r="C778" s="157"/>
      <c r="D778" s="157"/>
      <c r="E778" s="9"/>
    </row>
    <row r="779" spans="1:5" x14ac:dyDescent="0.35">
      <c r="A779" s="14"/>
      <c r="B779" s="15"/>
      <c r="C779" s="157"/>
      <c r="D779" s="157"/>
      <c r="E779" s="9"/>
    </row>
    <row r="780" spans="1:5" x14ac:dyDescent="0.35">
      <c r="A780" s="14"/>
      <c r="B780" s="15"/>
      <c r="C780" s="157"/>
      <c r="D780" s="157"/>
      <c r="E780" s="9"/>
    </row>
    <row r="781" spans="1:5" x14ac:dyDescent="0.35">
      <c r="A781" s="14"/>
      <c r="B781" s="15"/>
      <c r="C781" s="157"/>
      <c r="D781" s="157"/>
      <c r="E781" s="9"/>
    </row>
    <row r="782" spans="1:5" x14ac:dyDescent="0.35">
      <c r="A782" s="14"/>
      <c r="B782" s="15"/>
      <c r="C782" s="157"/>
      <c r="D782" s="157"/>
      <c r="E782" s="9"/>
    </row>
    <row r="783" spans="1:5" x14ac:dyDescent="0.35">
      <c r="A783" s="14"/>
      <c r="B783" s="15"/>
      <c r="C783" s="157"/>
      <c r="D783" s="157"/>
      <c r="E783" s="9"/>
    </row>
    <row r="784" spans="1:5" x14ac:dyDescent="0.35">
      <c r="A784" s="14"/>
      <c r="B784" s="15"/>
      <c r="C784" s="157"/>
      <c r="D784" s="157"/>
      <c r="E784" s="9"/>
    </row>
    <row r="785" spans="1:5" x14ac:dyDescent="0.35">
      <c r="A785" s="14"/>
      <c r="B785" s="15"/>
      <c r="C785" s="157"/>
      <c r="D785" s="157"/>
      <c r="E785" s="9"/>
    </row>
    <row r="786" spans="1:5" x14ac:dyDescent="0.35">
      <c r="A786" s="14"/>
      <c r="B786" s="15"/>
      <c r="C786" s="157"/>
      <c r="D786" s="157"/>
      <c r="E786" s="9"/>
    </row>
    <row r="787" spans="1:5" x14ac:dyDescent="0.35">
      <c r="A787" s="14"/>
      <c r="B787" s="15"/>
      <c r="C787" s="157"/>
      <c r="D787" s="157"/>
      <c r="E787" s="9"/>
    </row>
    <row r="788" spans="1:5" x14ac:dyDescent="0.35">
      <c r="A788" s="14"/>
      <c r="B788" s="15"/>
      <c r="C788" s="157"/>
      <c r="D788" s="157"/>
      <c r="E788" s="9"/>
    </row>
    <row r="789" spans="1:5" x14ac:dyDescent="0.35">
      <c r="A789" s="14"/>
      <c r="B789" s="15"/>
      <c r="C789" s="157"/>
      <c r="D789" s="157"/>
      <c r="E789" s="9"/>
    </row>
    <row r="790" spans="1:5" x14ac:dyDescent="0.35">
      <c r="A790" s="14"/>
      <c r="B790" s="15"/>
      <c r="C790" s="157"/>
      <c r="D790" s="157"/>
      <c r="E790" s="9"/>
    </row>
    <row r="791" spans="1:5" x14ac:dyDescent="0.35">
      <c r="A791" s="14"/>
      <c r="B791" s="15"/>
      <c r="C791" s="157"/>
      <c r="D791" s="157"/>
      <c r="E791" s="9"/>
    </row>
    <row r="792" spans="1:5" x14ac:dyDescent="0.35">
      <c r="A792" s="14"/>
      <c r="B792" s="15"/>
      <c r="C792" s="157"/>
      <c r="D792" s="157"/>
      <c r="E792" s="9"/>
    </row>
    <row r="793" spans="1:5" x14ac:dyDescent="0.35">
      <c r="A793" s="14"/>
      <c r="B793" s="15"/>
      <c r="C793" s="157"/>
      <c r="D793" s="157"/>
      <c r="E793" s="9"/>
    </row>
    <row r="794" spans="1:5" x14ac:dyDescent="0.35">
      <c r="A794" s="14"/>
      <c r="B794" s="15"/>
      <c r="C794" s="157"/>
      <c r="D794" s="157"/>
      <c r="E794" s="9"/>
    </row>
    <row r="795" spans="1:5" x14ac:dyDescent="0.35">
      <c r="A795" s="14"/>
      <c r="B795" s="15"/>
      <c r="C795" s="157"/>
      <c r="D795" s="157"/>
      <c r="E795" s="9"/>
    </row>
    <row r="796" spans="1:5" x14ac:dyDescent="0.35">
      <c r="A796" s="14"/>
      <c r="B796" s="15"/>
      <c r="C796" s="157"/>
      <c r="D796" s="157"/>
      <c r="E796" s="9"/>
    </row>
    <row r="797" spans="1:5" x14ac:dyDescent="0.35">
      <c r="A797" s="14"/>
      <c r="B797" s="15"/>
      <c r="C797" s="157"/>
      <c r="D797" s="157"/>
      <c r="E797" s="9"/>
    </row>
    <row r="798" spans="1:5" x14ac:dyDescent="0.35">
      <c r="A798" s="14"/>
      <c r="B798" s="15"/>
      <c r="C798" s="157"/>
      <c r="D798" s="157"/>
      <c r="E798" s="9"/>
    </row>
    <row r="799" spans="1:5" x14ac:dyDescent="0.35">
      <c r="A799" s="14"/>
      <c r="B799" s="15"/>
      <c r="C799" s="157"/>
      <c r="D799" s="157"/>
      <c r="E799" s="9"/>
    </row>
    <row r="800" spans="1:5" x14ac:dyDescent="0.35">
      <c r="A800" s="14"/>
      <c r="B800" s="15"/>
      <c r="C800" s="157"/>
      <c r="D800" s="157"/>
      <c r="E800" s="9"/>
    </row>
    <row r="801" spans="1:5" x14ac:dyDescent="0.35">
      <c r="A801" s="14"/>
      <c r="B801" s="15"/>
      <c r="C801" s="157"/>
      <c r="D801" s="157"/>
      <c r="E801" s="9"/>
    </row>
    <row r="802" spans="1:5" x14ac:dyDescent="0.35">
      <c r="A802" s="14"/>
      <c r="B802" s="15"/>
      <c r="C802" s="157"/>
      <c r="D802" s="157"/>
      <c r="E802" s="9"/>
    </row>
    <row r="803" spans="1:5" x14ac:dyDescent="0.35">
      <c r="A803" s="14"/>
      <c r="B803" s="15"/>
      <c r="C803" s="157"/>
      <c r="D803" s="157"/>
      <c r="E803" s="9"/>
    </row>
    <row r="804" spans="1:5" x14ac:dyDescent="0.35">
      <c r="A804" s="14"/>
      <c r="B804" s="15"/>
      <c r="C804" s="157"/>
      <c r="D804" s="157"/>
      <c r="E804" s="9"/>
    </row>
    <row r="805" spans="1:5" x14ac:dyDescent="0.35">
      <c r="A805" s="14"/>
      <c r="B805" s="15"/>
      <c r="C805" s="157"/>
      <c r="D805" s="157"/>
      <c r="E805" s="9"/>
    </row>
    <row r="806" spans="1:5" x14ac:dyDescent="0.35">
      <c r="A806" s="14"/>
      <c r="B806" s="15"/>
      <c r="C806" s="157"/>
      <c r="D806" s="157"/>
      <c r="E806" s="9"/>
    </row>
    <row r="807" spans="1:5" x14ac:dyDescent="0.35">
      <c r="A807" s="14"/>
      <c r="B807" s="15"/>
      <c r="C807" s="157"/>
      <c r="D807" s="157"/>
      <c r="E807" s="9"/>
    </row>
    <row r="808" spans="1:5" x14ac:dyDescent="0.35">
      <c r="A808" s="14"/>
      <c r="B808" s="15"/>
      <c r="C808" s="157"/>
      <c r="D808" s="157"/>
      <c r="E808" s="9"/>
    </row>
    <row r="809" spans="1:5" x14ac:dyDescent="0.35">
      <c r="A809" s="14"/>
      <c r="B809" s="15"/>
      <c r="C809" s="157"/>
      <c r="D809" s="157"/>
      <c r="E809" s="9"/>
    </row>
    <row r="810" spans="1:5" x14ac:dyDescent="0.35">
      <c r="A810" s="14"/>
      <c r="B810" s="15"/>
      <c r="C810" s="157"/>
      <c r="D810" s="157"/>
      <c r="E810" s="9"/>
    </row>
    <row r="811" spans="1:5" x14ac:dyDescent="0.35">
      <c r="A811" s="14"/>
      <c r="B811" s="15"/>
      <c r="C811" s="157"/>
      <c r="D811" s="157"/>
      <c r="E811" s="9"/>
    </row>
    <row r="812" spans="1:5" x14ac:dyDescent="0.35">
      <c r="A812" s="14"/>
      <c r="B812" s="15"/>
      <c r="C812" s="157"/>
      <c r="D812" s="157"/>
      <c r="E812" s="9"/>
    </row>
    <row r="813" spans="1:5" x14ac:dyDescent="0.35">
      <c r="A813" s="14"/>
      <c r="B813" s="15"/>
      <c r="C813" s="157"/>
      <c r="D813" s="157"/>
      <c r="E813" s="9"/>
    </row>
    <row r="814" spans="1:5" x14ac:dyDescent="0.35">
      <c r="A814" s="14"/>
      <c r="B814" s="15"/>
      <c r="C814" s="157"/>
      <c r="D814" s="157"/>
      <c r="E814" s="9"/>
    </row>
    <row r="815" spans="1:5" x14ac:dyDescent="0.35">
      <c r="A815" s="14"/>
      <c r="B815" s="15"/>
      <c r="C815" s="157"/>
      <c r="D815" s="157"/>
      <c r="E815" s="9"/>
    </row>
    <row r="816" spans="1:5" x14ac:dyDescent="0.35">
      <c r="A816" s="14"/>
      <c r="B816" s="15"/>
      <c r="C816" s="157"/>
      <c r="D816" s="157"/>
      <c r="E816" s="9"/>
    </row>
    <row r="817" spans="1:5" x14ac:dyDescent="0.35">
      <c r="A817" s="14"/>
      <c r="B817" s="15"/>
      <c r="C817" s="157"/>
      <c r="D817" s="157"/>
      <c r="E817" s="9"/>
    </row>
    <row r="818" spans="1:5" x14ac:dyDescent="0.35">
      <c r="A818" s="14"/>
      <c r="B818" s="15"/>
      <c r="C818" s="157"/>
      <c r="D818" s="157"/>
      <c r="E818" s="9"/>
    </row>
    <row r="819" spans="1:5" x14ac:dyDescent="0.35">
      <c r="A819" s="14"/>
      <c r="B819" s="15"/>
      <c r="C819" s="157"/>
      <c r="D819" s="157"/>
      <c r="E819" s="9"/>
    </row>
    <row r="820" spans="1:5" x14ac:dyDescent="0.35">
      <c r="A820" s="14"/>
      <c r="B820" s="15"/>
      <c r="C820" s="157"/>
      <c r="D820" s="157"/>
      <c r="E820" s="9"/>
    </row>
    <row r="821" spans="1:5" x14ac:dyDescent="0.35">
      <c r="A821" s="14"/>
      <c r="B821" s="15"/>
      <c r="C821" s="157"/>
      <c r="D821" s="157"/>
      <c r="E821" s="9"/>
    </row>
    <row r="822" spans="1:5" x14ac:dyDescent="0.35">
      <c r="A822" s="14"/>
      <c r="B822" s="15"/>
      <c r="C822" s="157"/>
      <c r="D822" s="157"/>
      <c r="E822" s="9"/>
    </row>
    <row r="823" spans="1:5" x14ac:dyDescent="0.35">
      <c r="A823" s="14"/>
      <c r="B823" s="15"/>
      <c r="C823" s="157"/>
      <c r="D823" s="157"/>
      <c r="E823" s="9"/>
    </row>
    <row r="824" spans="1:5" x14ac:dyDescent="0.35">
      <c r="A824" s="14"/>
      <c r="B824" s="15"/>
      <c r="C824" s="157"/>
      <c r="D824" s="157"/>
      <c r="E824" s="9"/>
    </row>
    <row r="825" spans="1:5" x14ac:dyDescent="0.35">
      <c r="A825" s="14"/>
      <c r="B825" s="15"/>
      <c r="C825" s="157"/>
      <c r="D825" s="157"/>
      <c r="E825" s="9"/>
    </row>
    <row r="826" spans="1:5" x14ac:dyDescent="0.35">
      <c r="A826" s="14"/>
      <c r="B826" s="15"/>
      <c r="C826" s="157"/>
      <c r="D826" s="157"/>
      <c r="E826" s="9"/>
    </row>
    <row r="827" spans="1:5" x14ac:dyDescent="0.35">
      <c r="A827" s="14"/>
      <c r="B827" s="15"/>
      <c r="C827" s="157"/>
      <c r="D827" s="157"/>
      <c r="E827" s="9"/>
    </row>
    <row r="828" spans="1:5" x14ac:dyDescent="0.35">
      <c r="A828" s="14"/>
      <c r="B828" s="15"/>
      <c r="C828" s="157"/>
      <c r="D828" s="157"/>
      <c r="E828" s="9"/>
    </row>
    <row r="829" spans="1:5" x14ac:dyDescent="0.35">
      <c r="A829" s="14"/>
      <c r="B829" s="15"/>
      <c r="C829" s="157"/>
      <c r="D829" s="157"/>
      <c r="E829" s="9"/>
    </row>
    <row r="830" spans="1:5" x14ac:dyDescent="0.35">
      <c r="A830" s="14"/>
      <c r="B830" s="15"/>
      <c r="C830" s="157"/>
      <c r="D830" s="157"/>
      <c r="E830" s="9"/>
    </row>
    <row r="831" spans="1:5" x14ac:dyDescent="0.35">
      <c r="A831" s="14"/>
      <c r="B831" s="15"/>
      <c r="C831" s="157"/>
      <c r="D831" s="157"/>
      <c r="E831" s="9"/>
    </row>
    <row r="832" spans="1:5" x14ac:dyDescent="0.35">
      <c r="A832" s="14"/>
      <c r="B832" s="15"/>
      <c r="C832" s="157"/>
      <c r="D832" s="157"/>
      <c r="E832" s="9"/>
    </row>
    <row r="833" spans="1:5" x14ac:dyDescent="0.35">
      <c r="A833" s="14"/>
      <c r="B833" s="15"/>
      <c r="C833" s="157"/>
      <c r="D833" s="157"/>
      <c r="E833" s="9"/>
    </row>
    <row r="834" spans="1:5" x14ac:dyDescent="0.35">
      <c r="A834" s="14"/>
      <c r="B834" s="15"/>
      <c r="C834" s="157"/>
      <c r="D834" s="157"/>
      <c r="E834" s="9"/>
    </row>
    <row r="835" spans="1:5" x14ac:dyDescent="0.35">
      <c r="A835" s="14"/>
      <c r="B835" s="15"/>
      <c r="C835" s="157"/>
      <c r="D835" s="157"/>
      <c r="E835" s="9"/>
    </row>
    <row r="836" spans="1:5" x14ac:dyDescent="0.35">
      <c r="A836" s="14"/>
      <c r="B836" s="15"/>
      <c r="C836" s="157"/>
      <c r="D836" s="157"/>
      <c r="E836" s="9"/>
    </row>
    <row r="837" spans="1:5" x14ac:dyDescent="0.35">
      <c r="A837" s="14"/>
      <c r="B837" s="15"/>
      <c r="C837" s="157"/>
      <c r="D837" s="157"/>
      <c r="E837" s="9"/>
    </row>
    <row r="838" spans="1:5" x14ac:dyDescent="0.35">
      <c r="A838" s="14"/>
      <c r="B838" s="15"/>
      <c r="C838" s="157"/>
      <c r="D838" s="157"/>
      <c r="E838" s="9"/>
    </row>
    <row r="839" spans="1:5" x14ac:dyDescent="0.35">
      <c r="A839" s="14"/>
      <c r="B839" s="15"/>
      <c r="C839" s="157"/>
      <c r="D839" s="157"/>
      <c r="E839" s="9"/>
    </row>
    <row r="840" spans="1:5" x14ac:dyDescent="0.35">
      <c r="A840" s="14"/>
      <c r="B840" s="15"/>
      <c r="C840" s="157"/>
      <c r="D840" s="157"/>
      <c r="E840" s="9"/>
    </row>
    <row r="841" spans="1:5" x14ac:dyDescent="0.35">
      <c r="A841" s="14"/>
      <c r="B841" s="15"/>
      <c r="C841" s="157"/>
      <c r="D841" s="157"/>
      <c r="E841" s="9"/>
    </row>
    <row r="842" spans="1:5" x14ac:dyDescent="0.35">
      <c r="A842" s="14"/>
      <c r="B842" s="15"/>
      <c r="C842" s="157"/>
      <c r="D842" s="157"/>
      <c r="E842" s="9"/>
    </row>
    <row r="843" spans="1:5" x14ac:dyDescent="0.35">
      <c r="A843" s="14"/>
      <c r="B843" s="15"/>
      <c r="C843" s="157"/>
      <c r="D843" s="157"/>
      <c r="E843" s="9"/>
    </row>
    <row r="844" spans="1:5" x14ac:dyDescent="0.35">
      <c r="A844" s="14"/>
      <c r="B844" s="15"/>
      <c r="C844" s="157"/>
      <c r="D844" s="157"/>
      <c r="E844" s="9"/>
    </row>
    <row r="845" spans="1:5" x14ac:dyDescent="0.35">
      <c r="A845" s="14"/>
      <c r="B845" s="15"/>
      <c r="C845" s="157"/>
      <c r="D845" s="157"/>
      <c r="E845" s="9"/>
    </row>
    <row r="846" spans="1:5" x14ac:dyDescent="0.35">
      <c r="A846" s="14"/>
      <c r="B846" s="15"/>
      <c r="C846" s="157"/>
      <c r="D846" s="157"/>
      <c r="E846" s="9"/>
    </row>
    <row r="847" spans="1:5" x14ac:dyDescent="0.35">
      <c r="A847" s="14"/>
      <c r="B847" s="15"/>
      <c r="C847" s="157"/>
      <c r="D847" s="157"/>
      <c r="E847" s="9"/>
    </row>
    <row r="848" spans="1:5" x14ac:dyDescent="0.35">
      <c r="A848" s="14"/>
      <c r="B848" s="15"/>
      <c r="C848" s="157"/>
      <c r="D848" s="157"/>
      <c r="E848" s="9"/>
    </row>
    <row r="849" spans="1:5" x14ac:dyDescent="0.35">
      <c r="A849" s="14"/>
      <c r="B849" s="15"/>
      <c r="C849" s="157"/>
      <c r="D849" s="157"/>
      <c r="E849" s="9"/>
    </row>
    <row r="850" spans="1:5" x14ac:dyDescent="0.35">
      <c r="A850" s="14"/>
      <c r="B850" s="15"/>
      <c r="C850" s="157"/>
      <c r="D850" s="157"/>
      <c r="E850" s="9"/>
    </row>
    <row r="851" spans="1:5" x14ac:dyDescent="0.35">
      <c r="A851" s="14"/>
      <c r="B851" s="15"/>
      <c r="C851" s="157"/>
      <c r="D851" s="157"/>
      <c r="E851" s="9"/>
    </row>
    <row r="852" spans="1:5" x14ac:dyDescent="0.35">
      <c r="A852" s="14"/>
      <c r="B852" s="15"/>
      <c r="C852" s="157"/>
      <c r="D852" s="157"/>
      <c r="E852" s="9"/>
    </row>
    <row r="853" spans="1:5" x14ac:dyDescent="0.35">
      <c r="A853" s="14"/>
      <c r="B853" s="15"/>
      <c r="C853" s="157"/>
      <c r="D853" s="157"/>
      <c r="E853" s="9"/>
    </row>
    <row r="854" spans="1:5" x14ac:dyDescent="0.35">
      <c r="A854" s="14"/>
      <c r="B854" s="15"/>
      <c r="C854" s="157"/>
      <c r="D854" s="157"/>
      <c r="E854" s="9"/>
    </row>
    <row r="855" spans="1:5" x14ac:dyDescent="0.35">
      <c r="A855" s="14"/>
      <c r="B855" s="15"/>
      <c r="C855" s="157"/>
      <c r="D855" s="157"/>
      <c r="E855" s="9"/>
    </row>
    <row r="856" spans="1:5" x14ac:dyDescent="0.35">
      <c r="A856" s="14"/>
      <c r="B856" s="15"/>
      <c r="C856" s="157"/>
      <c r="D856" s="157"/>
      <c r="E856" s="9"/>
    </row>
    <row r="857" spans="1:5" x14ac:dyDescent="0.35">
      <c r="A857" s="14"/>
      <c r="B857" s="15"/>
      <c r="C857" s="157"/>
      <c r="D857" s="157"/>
      <c r="E857" s="9"/>
    </row>
    <row r="858" spans="1:5" x14ac:dyDescent="0.35">
      <c r="A858" s="14"/>
      <c r="B858" s="15"/>
      <c r="C858" s="157"/>
      <c r="D858" s="157"/>
      <c r="E858" s="9"/>
    </row>
    <row r="859" spans="1:5" x14ac:dyDescent="0.35">
      <c r="A859" s="14"/>
      <c r="B859" s="15"/>
      <c r="C859" s="157"/>
      <c r="D859" s="157"/>
      <c r="E859" s="9"/>
    </row>
    <row r="860" spans="1:5" x14ac:dyDescent="0.35">
      <c r="A860" s="14"/>
      <c r="B860" s="15"/>
      <c r="C860" s="157"/>
      <c r="D860" s="157"/>
      <c r="E860" s="9"/>
    </row>
    <row r="861" spans="1:5" x14ac:dyDescent="0.35">
      <c r="A861" s="14"/>
      <c r="B861" s="15"/>
      <c r="C861" s="157"/>
      <c r="D861" s="157"/>
      <c r="E861" s="9"/>
    </row>
    <row r="862" spans="1:5" x14ac:dyDescent="0.35">
      <c r="A862" s="14"/>
      <c r="B862" s="15"/>
      <c r="C862" s="157"/>
      <c r="D862" s="157"/>
      <c r="E862" s="9"/>
    </row>
    <row r="863" spans="1:5" x14ac:dyDescent="0.35">
      <c r="A863" s="14"/>
      <c r="B863" s="15"/>
      <c r="C863" s="157"/>
      <c r="D863" s="157"/>
      <c r="E863" s="9"/>
    </row>
    <row r="864" spans="1:5" x14ac:dyDescent="0.35">
      <c r="A864" s="14"/>
      <c r="B864" s="15"/>
      <c r="C864" s="157"/>
      <c r="D864" s="157"/>
      <c r="E864" s="9"/>
    </row>
    <row r="865" spans="1:5" x14ac:dyDescent="0.35">
      <c r="A865" s="14"/>
      <c r="B865" s="15"/>
      <c r="C865" s="157"/>
      <c r="D865" s="157"/>
      <c r="E865" s="9"/>
    </row>
    <row r="866" spans="1:5" x14ac:dyDescent="0.35">
      <c r="A866" s="14"/>
      <c r="B866" s="15"/>
      <c r="C866" s="157"/>
      <c r="D866" s="157"/>
      <c r="E866" s="9"/>
    </row>
    <row r="867" spans="1:5" x14ac:dyDescent="0.35">
      <c r="A867" s="14"/>
      <c r="B867" s="15"/>
      <c r="C867" s="157"/>
      <c r="D867" s="157"/>
      <c r="E867" s="9"/>
    </row>
    <row r="868" spans="1:5" x14ac:dyDescent="0.35">
      <c r="A868" s="14"/>
      <c r="B868" s="15"/>
      <c r="C868" s="157"/>
      <c r="D868" s="157"/>
      <c r="E868" s="9"/>
    </row>
    <row r="869" spans="1:5" x14ac:dyDescent="0.35">
      <c r="A869" s="14"/>
      <c r="B869" s="15"/>
      <c r="C869" s="157"/>
      <c r="D869" s="157"/>
      <c r="E869" s="9"/>
    </row>
    <row r="870" spans="1:5" x14ac:dyDescent="0.35">
      <c r="A870" s="14"/>
      <c r="B870" s="15"/>
      <c r="C870" s="157"/>
      <c r="D870" s="157"/>
      <c r="E870" s="9"/>
    </row>
    <row r="871" spans="1:5" x14ac:dyDescent="0.35">
      <c r="A871" s="14"/>
      <c r="B871" s="15"/>
      <c r="C871" s="157"/>
      <c r="D871" s="157"/>
      <c r="E871" s="9"/>
    </row>
    <row r="872" spans="1:5" x14ac:dyDescent="0.35">
      <c r="A872" s="14"/>
      <c r="B872" s="15"/>
      <c r="C872" s="157"/>
      <c r="D872" s="157"/>
      <c r="E872" s="9"/>
    </row>
    <row r="873" spans="1:5" x14ac:dyDescent="0.35">
      <c r="A873" s="14"/>
      <c r="B873" s="15"/>
      <c r="C873" s="157"/>
      <c r="D873" s="157"/>
      <c r="E873" s="9"/>
    </row>
    <row r="874" spans="1:5" x14ac:dyDescent="0.35">
      <c r="A874" s="14"/>
      <c r="B874" s="15"/>
      <c r="C874" s="157"/>
      <c r="D874" s="157"/>
      <c r="E874" s="9"/>
    </row>
    <row r="875" spans="1:5" x14ac:dyDescent="0.35">
      <c r="A875" s="14"/>
      <c r="B875" s="15"/>
      <c r="C875" s="157"/>
      <c r="D875" s="157"/>
      <c r="E875" s="9"/>
    </row>
    <row r="876" spans="1:5" x14ac:dyDescent="0.35">
      <c r="A876" s="14"/>
      <c r="B876" s="15"/>
      <c r="C876" s="157"/>
      <c r="D876" s="157"/>
      <c r="E876" s="9"/>
    </row>
    <row r="877" spans="1:5" x14ac:dyDescent="0.35">
      <c r="A877" s="14"/>
      <c r="B877" s="15"/>
      <c r="C877" s="157"/>
      <c r="D877" s="157"/>
      <c r="E877" s="9"/>
    </row>
    <row r="878" spans="1:5" x14ac:dyDescent="0.35">
      <c r="A878" s="14"/>
      <c r="B878" s="15"/>
      <c r="C878" s="157"/>
      <c r="D878" s="157"/>
      <c r="E878" s="9"/>
    </row>
    <row r="879" spans="1:5" x14ac:dyDescent="0.35">
      <c r="A879" s="14"/>
      <c r="B879" s="15"/>
      <c r="C879" s="157"/>
      <c r="D879" s="157"/>
      <c r="E879" s="9"/>
    </row>
    <row r="880" spans="1:5" x14ac:dyDescent="0.35">
      <c r="A880" s="14"/>
      <c r="B880" s="15"/>
      <c r="C880" s="157"/>
      <c r="D880" s="157"/>
      <c r="E880" s="9"/>
    </row>
    <row r="881" spans="1:5" x14ac:dyDescent="0.35">
      <c r="A881" s="14"/>
      <c r="B881" s="15"/>
      <c r="C881" s="157"/>
      <c r="D881" s="157"/>
      <c r="E881" s="9"/>
    </row>
    <row r="882" spans="1:5" x14ac:dyDescent="0.35">
      <c r="A882" s="14"/>
      <c r="B882" s="15"/>
      <c r="C882" s="157"/>
      <c r="D882" s="157"/>
      <c r="E882" s="9"/>
    </row>
    <row r="883" spans="1:5" x14ac:dyDescent="0.35">
      <c r="A883" s="14"/>
      <c r="B883" s="15"/>
      <c r="C883" s="157"/>
      <c r="D883" s="157"/>
      <c r="E883" s="9"/>
    </row>
    <row r="884" spans="1:5" x14ac:dyDescent="0.35">
      <c r="A884" s="14"/>
      <c r="B884" s="15"/>
      <c r="C884" s="157"/>
      <c r="D884" s="157"/>
      <c r="E884" s="9"/>
    </row>
    <row r="885" spans="1:5" x14ac:dyDescent="0.35">
      <c r="A885" s="14"/>
      <c r="B885" s="15"/>
      <c r="C885" s="157"/>
      <c r="D885" s="157"/>
      <c r="E885" s="9"/>
    </row>
    <row r="886" spans="1:5" x14ac:dyDescent="0.35">
      <c r="A886" s="14"/>
      <c r="B886" s="15"/>
      <c r="C886" s="157"/>
      <c r="D886" s="157"/>
      <c r="E886" s="9"/>
    </row>
    <row r="887" spans="1:5" x14ac:dyDescent="0.35">
      <c r="A887" s="14"/>
      <c r="B887" s="15"/>
      <c r="C887" s="157"/>
      <c r="D887" s="157"/>
      <c r="E887" s="9"/>
    </row>
    <row r="888" spans="1:5" x14ac:dyDescent="0.35">
      <c r="A888" s="14"/>
      <c r="B888" s="15"/>
      <c r="C888" s="157"/>
      <c r="D888" s="157"/>
      <c r="E888" s="9"/>
    </row>
    <row r="889" spans="1:5" x14ac:dyDescent="0.35">
      <c r="A889" s="14"/>
      <c r="B889" s="15"/>
      <c r="C889" s="157"/>
      <c r="D889" s="157"/>
      <c r="E889" s="9"/>
    </row>
    <row r="890" spans="1:5" x14ac:dyDescent="0.35">
      <c r="A890" s="14"/>
      <c r="B890" s="15"/>
      <c r="C890" s="157"/>
      <c r="D890" s="157"/>
      <c r="E890" s="9"/>
    </row>
    <row r="891" spans="1:5" x14ac:dyDescent="0.35">
      <c r="A891" s="14"/>
      <c r="B891" s="15"/>
      <c r="C891" s="157"/>
      <c r="D891" s="157"/>
      <c r="E891" s="9"/>
    </row>
    <row r="892" spans="1:5" x14ac:dyDescent="0.35">
      <c r="A892" s="14"/>
      <c r="B892" s="15"/>
      <c r="C892" s="157"/>
      <c r="D892" s="157"/>
      <c r="E892" s="9"/>
    </row>
    <row r="893" spans="1:5" x14ac:dyDescent="0.35">
      <c r="A893" s="14"/>
      <c r="B893" s="15"/>
      <c r="C893" s="157"/>
      <c r="D893" s="157"/>
      <c r="E893" s="9"/>
    </row>
    <row r="894" spans="1:5" x14ac:dyDescent="0.35">
      <c r="A894" s="14"/>
      <c r="B894" s="15"/>
      <c r="C894" s="157"/>
      <c r="D894" s="157"/>
      <c r="E894" s="9"/>
    </row>
    <row r="895" spans="1:5" x14ac:dyDescent="0.35">
      <c r="A895" s="14"/>
      <c r="B895" s="15"/>
      <c r="C895" s="157"/>
      <c r="D895" s="157"/>
      <c r="E895" s="9"/>
    </row>
    <row r="896" spans="1:5" x14ac:dyDescent="0.35">
      <c r="A896" s="14"/>
      <c r="B896" s="15"/>
      <c r="C896" s="157"/>
      <c r="D896" s="157"/>
      <c r="E896" s="9"/>
    </row>
    <row r="897" spans="1:5" x14ac:dyDescent="0.35">
      <c r="A897" s="14"/>
      <c r="B897" s="15"/>
      <c r="C897" s="157"/>
      <c r="D897" s="157"/>
      <c r="E897" s="9"/>
    </row>
    <row r="898" spans="1:5" x14ac:dyDescent="0.35">
      <c r="A898" s="14"/>
      <c r="B898" s="15"/>
      <c r="C898" s="157"/>
      <c r="D898" s="157"/>
      <c r="E898" s="9"/>
    </row>
    <row r="899" spans="1:5" x14ac:dyDescent="0.35">
      <c r="A899" s="14"/>
      <c r="B899" s="15"/>
      <c r="C899" s="157"/>
      <c r="D899" s="157"/>
      <c r="E899" s="9"/>
    </row>
    <row r="900" spans="1:5" x14ac:dyDescent="0.35">
      <c r="A900" s="14"/>
      <c r="B900" s="15"/>
      <c r="C900" s="157"/>
      <c r="D900" s="157"/>
      <c r="E900" s="9"/>
    </row>
    <row r="901" spans="1:5" x14ac:dyDescent="0.35">
      <c r="A901" s="14"/>
      <c r="B901" s="15"/>
      <c r="C901" s="157"/>
      <c r="D901" s="157"/>
      <c r="E901" s="9"/>
    </row>
    <row r="902" spans="1:5" x14ac:dyDescent="0.35">
      <c r="A902" s="14"/>
      <c r="B902" s="15"/>
      <c r="C902" s="157"/>
      <c r="D902" s="157"/>
      <c r="E902" s="9"/>
    </row>
    <row r="903" spans="1:5" x14ac:dyDescent="0.35">
      <c r="A903" s="14"/>
      <c r="B903" s="15"/>
      <c r="C903" s="157"/>
      <c r="D903" s="157"/>
      <c r="E903" s="9"/>
    </row>
    <row r="904" spans="1:5" x14ac:dyDescent="0.35">
      <c r="A904" s="14"/>
      <c r="B904" s="15"/>
      <c r="C904" s="157"/>
      <c r="D904" s="157"/>
      <c r="E904" s="9"/>
    </row>
    <row r="905" spans="1:5" x14ac:dyDescent="0.35">
      <c r="A905" s="14"/>
      <c r="B905" s="15"/>
      <c r="C905" s="157"/>
      <c r="D905" s="157"/>
      <c r="E905" s="9"/>
    </row>
    <row r="906" spans="1:5" x14ac:dyDescent="0.35">
      <c r="A906" s="14"/>
      <c r="B906" s="15"/>
      <c r="C906" s="157"/>
      <c r="D906" s="157"/>
      <c r="E906" s="9"/>
    </row>
    <row r="907" spans="1:5" x14ac:dyDescent="0.35">
      <c r="A907" s="14"/>
      <c r="B907" s="15"/>
      <c r="C907" s="157"/>
      <c r="D907" s="157"/>
      <c r="E907" s="9"/>
    </row>
    <row r="908" spans="1:5" x14ac:dyDescent="0.35">
      <c r="A908" s="14"/>
      <c r="B908" s="15"/>
      <c r="C908" s="157"/>
      <c r="D908" s="157"/>
      <c r="E908" s="9"/>
    </row>
    <row r="909" spans="1:5" x14ac:dyDescent="0.35">
      <c r="A909" s="14"/>
      <c r="B909" s="15"/>
      <c r="C909" s="157"/>
      <c r="D909" s="157"/>
      <c r="E909" s="9"/>
    </row>
    <row r="910" spans="1:5" x14ac:dyDescent="0.35">
      <c r="A910" s="14"/>
      <c r="B910" s="15"/>
      <c r="C910" s="157"/>
      <c r="D910" s="157"/>
      <c r="E910" s="9"/>
    </row>
    <row r="911" spans="1:5" x14ac:dyDescent="0.35">
      <c r="A911" s="14"/>
      <c r="B911" s="15"/>
      <c r="C911" s="157"/>
      <c r="D911" s="157"/>
      <c r="E911" s="9"/>
    </row>
    <row r="912" spans="1:5" x14ac:dyDescent="0.35">
      <c r="A912" s="14"/>
      <c r="B912" s="15"/>
      <c r="C912" s="157"/>
      <c r="D912" s="157"/>
      <c r="E912" s="9"/>
    </row>
    <row r="913" spans="1:5" x14ac:dyDescent="0.35">
      <c r="A913" s="14"/>
      <c r="B913" s="15"/>
      <c r="C913" s="157"/>
      <c r="D913" s="157"/>
      <c r="E913" s="9"/>
    </row>
    <row r="914" spans="1:5" x14ac:dyDescent="0.35">
      <c r="A914" s="14"/>
      <c r="B914" s="15"/>
      <c r="C914" s="157"/>
      <c r="D914" s="157"/>
      <c r="E914" s="9"/>
    </row>
    <row r="915" spans="1:5" x14ac:dyDescent="0.35">
      <c r="A915" s="14"/>
      <c r="B915" s="15"/>
      <c r="C915" s="157"/>
      <c r="D915" s="157"/>
      <c r="E915" s="9"/>
    </row>
    <row r="916" spans="1:5" x14ac:dyDescent="0.35">
      <c r="A916" s="14"/>
      <c r="B916" s="15"/>
      <c r="C916" s="157"/>
      <c r="D916" s="157"/>
      <c r="E916" s="9"/>
    </row>
    <row r="917" spans="1:5" x14ac:dyDescent="0.35">
      <c r="A917" s="14"/>
      <c r="B917" s="15"/>
      <c r="C917" s="157"/>
      <c r="D917" s="157"/>
      <c r="E917" s="9"/>
    </row>
    <row r="918" spans="1:5" x14ac:dyDescent="0.35">
      <c r="A918" s="14"/>
      <c r="B918" s="15"/>
      <c r="C918" s="157"/>
      <c r="D918" s="157"/>
      <c r="E918" s="9"/>
    </row>
    <row r="919" spans="1:5" x14ac:dyDescent="0.35">
      <c r="A919" s="14"/>
      <c r="B919" s="15"/>
      <c r="C919" s="157"/>
      <c r="D919" s="157"/>
      <c r="E919" s="9"/>
    </row>
    <row r="920" spans="1:5" x14ac:dyDescent="0.35">
      <c r="A920" s="14"/>
      <c r="B920" s="15"/>
      <c r="C920" s="157"/>
      <c r="D920" s="157"/>
      <c r="E920" s="9"/>
    </row>
    <row r="921" spans="1:5" x14ac:dyDescent="0.35">
      <c r="A921" s="14"/>
      <c r="B921" s="15"/>
      <c r="C921" s="157"/>
      <c r="D921" s="157"/>
      <c r="E921" s="9"/>
    </row>
    <row r="922" spans="1:5" x14ac:dyDescent="0.35">
      <c r="A922" s="14"/>
      <c r="B922" s="15"/>
      <c r="C922" s="157"/>
      <c r="D922" s="157"/>
      <c r="E922" s="9"/>
    </row>
    <row r="923" spans="1:5" x14ac:dyDescent="0.35">
      <c r="A923" s="14"/>
      <c r="B923" s="15"/>
      <c r="C923" s="157"/>
      <c r="D923" s="157"/>
      <c r="E923" s="9"/>
    </row>
    <row r="924" spans="1:5" x14ac:dyDescent="0.35">
      <c r="A924" s="14"/>
      <c r="B924" s="15"/>
      <c r="C924" s="157"/>
      <c r="D924" s="157"/>
      <c r="E924" s="9"/>
    </row>
    <row r="925" spans="1:5" x14ac:dyDescent="0.35">
      <c r="A925" s="14"/>
      <c r="B925" s="15"/>
      <c r="C925" s="157"/>
      <c r="D925" s="157"/>
      <c r="E925" s="9"/>
    </row>
    <row r="926" spans="1:5" x14ac:dyDescent="0.35">
      <c r="A926" s="14"/>
      <c r="B926" s="15"/>
      <c r="C926" s="157"/>
      <c r="D926" s="157"/>
      <c r="E926" s="9"/>
    </row>
    <row r="927" spans="1:5" x14ac:dyDescent="0.35">
      <c r="A927" s="14"/>
      <c r="B927" s="15"/>
      <c r="C927" s="157"/>
      <c r="D927" s="157"/>
      <c r="E927" s="9"/>
    </row>
    <row r="928" spans="1:5" x14ac:dyDescent="0.35">
      <c r="A928" s="14"/>
      <c r="B928" s="15"/>
      <c r="C928" s="157"/>
      <c r="D928" s="157"/>
      <c r="E928" s="9"/>
    </row>
    <row r="929" spans="1:5" x14ac:dyDescent="0.35">
      <c r="A929" s="14"/>
      <c r="B929" s="15"/>
      <c r="C929" s="157"/>
      <c r="D929" s="157"/>
      <c r="E929" s="9"/>
    </row>
    <row r="930" spans="1:5" x14ac:dyDescent="0.35">
      <c r="A930" s="14"/>
      <c r="B930" s="15"/>
      <c r="C930" s="157"/>
      <c r="D930" s="157"/>
      <c r="E930" s="9"/>
    </row>
    <row r="931" spans="1:5" x14ac:dyDescent="0.35">
      <c r="A931" s="14"/>
      <c r="B931" s="15"/>
      <c r="C931" s="157"/>
      <c r="D931" s="157"/>
      <c r="E931" s="9"/>
    </row>
    <row r="932" spans="1:5" x14ac:dyDescent="0.35">
      <c r="A932" s="14"/>
      <c r="B932" s="15"/>
      <c r="C932" s="157"/>
      <c r="D932" s="157"/>
      <c r="E932" s="9"/>
    </row>
    <row r="933" spans="1:5" x14ac:dyDescent="0.35">
      <c r="A933" s="14"/>
      <c r="B933" s="15"/>
      <c r="C933" s="157"/>
      <c r="D933" s="157"/>
      <c r="E933" s="9"/>
    </row>
    <row r="934" spans="1:5" x14ac:dyDescent="0.35">
      <c r="A934" s="14"/>
      <c r="B934" s="15"/>
      <c r="C934" s="157"/>
      <c r="D934" s="157"/>
      <c r="E934" s="9"/>
    </row>
    <row r="935" spans="1:5" x14ac:dyDescent="0.35">
      <c r="A935" s="14"/>
      <c r="B935" s="15"/>
      <c r="C935" s="157"/>
      <c r="D935" s="157"/>
      <c r="E935" s="9"/>
    </row>
    <row r="936" spans="1:5" x14ac:dyDescent="0.35">
      <c r="A936" s="14"/>
      <c r="B936" s="15"/>
      <c r="C936" s="157"/>
      <c r="D936" s="157"/>
      <c r="E936" s="9"/>
    </row>
    <row r="937" spans="1:5" x14ac:dyDescent="0.35">
      <c r="A937" s="14"/>
      <c r="B937" s="15"/>
      <c r="C937" s="157"/>
      <c r="D937" s="157"/>
      <c r="E937" s="9"/>
    </row>
    <row r="938" spans="1:5" x14ac:dyDescent="0.35">
      <c r="A938" s="14"/>
      <c r="B938" s="15"/>
      <c r="C938" s="157"/>
      <c r="D938" s="157"/>
      <c r="E938" s="9"/>
    </row>
    <row r="939" spans="1:5" x14ac:dyDescent="0.35">
      <c r="A939" s="14"/>
      <c r="B939" s="15"/>
      <c r="C939" s="157"/>
      <c r="D939" s="157"/>
      <c r="E939" s="9"/>
    </row>
    <row r="940" spans="1:5" x14ac:dyDescent="0.35">
      <c r="A940" s="14"/>
      <c r="B940" s="15"/>
      <c r="C940" s="157"/>
      <c r="D940" s="157"/>
      <c r="E940" s="9"/>
    </row>
    <row r="941" spans="1:5" x14ac:dyDescent="0.35">
      <c r="A941" s="14"/>
      <c r="B941" s="15"/>
      <c r="C941" s="157"/>
      <c r="D941" s="157"/>
      <c r="E941" s="9"/>
    </row>
    <row r="942" spans="1:5" x14ac:dyDescent="0.35">
      <c r="A942" s="14"/>
      <c r="B942" s="15"/>
      <c r="C942" s="157"/>
      <c r="D942" s="157"/>
      <c r="E942" s="9"/>
    </row>
    <row r="943" spans="1:5" x14ac:dyDescent="0.35">
      <c r="A943" s="14"/>
      <c r="B943" s="15"/>
      <c r="C943" s="157"/>
      <c r="D943" s="157"/>
      <c r="E943" s="9"/>
    </row>
    <row r="944" spans="1:5" x14ac:dyDescent="0.35">
      <c r="A944" s="14"/>
      <c r="B944" s="15"/>
      <c r="C944" s="157"/>
      <c r="D944" s="157"/>
      <c r="E944" s="9"/>
    </row>
    <row r="945" spans="1:5" x14ac:dyDescent="0.35">
      <c r="A945" s="14"/>
      <c r="B945" s="15"/>
      <c r="C945" s="157"/>
      <c r="D945" s="157"/>
      <c r="E945" s="9"/>
    </row>
    <row r="946" spans="1:5" x14ac:dyDescent="0.35">
      <c r="A946" s="14"/>
      <c r="B946" s="15"/>
      <c r="C946" s="157"/>
      <c r="D946" s="157"/>
      <c r="E946" s="9"/>
    </row>
    <row r="947" spans="1:5" x14ac:dyDescent="0.35">
      <c r="A947" s="14"/>
      <c r="B947" s="15"/>
      <c r="C947" s="157"/>
      <c r="D947" s="157"/>
      <c r="E947" s="9"/>
    </row>
    <row r="948" spans="1:5" x14ac:dyDescent="0.35">
      <c r="A948" s="14"/>
      <c r="B948" s="15"/>
      <c r="C948" s="157"/>
      <c r="D948" s="157"/>
      <c r="E948" s="9"/>
    </row>
    <row r="949" spans="1:5" x14ac:dyDescent="0.35">
      <c r="A949" s="14"/>
      <c r="B949" s="15"/>
      <c r="C949" s="157"/>
      <c r="D949" s="157"/>
      <c r="E949" s="9"/>
    </row>
    <row r="950" spans="1:5" x14ac:dyDescent="0.35">
      <c r="A950" s="14"/>
      <c r="B950" s="15"/>
      <c r="C950" s="157"/>
      <c r="D950" s="157"/>
      <c r="E950" s="9"/>
    </row>
    <row r="951" spans="1:5" x14ac:dyDescent="0.35">
      <c r="A951" s="14"/>
      <c r="B951" s="15"/>
      <c r="C951" s="157"/>
      <c r="D951" s="157"/>
      <c r="E951" s="9"/>
    </row>
    <row r="952" spans="1:5" x14ac:dyDescent="0.35">
      <c r="A952" s="14"/>
      <c r="B952" s="15"/>
      <c r="C952" s="157"/>
      <c r="D952" s="157"/>
      <c r="E952" s="9"/>
    </row>
    <row r="953" spans="1:5" x14ac:dyDescent="0.35">
      <c r="A953" s="14"/>
      <c r="B953" s="15"/>
      <c r="C953" s="157"/>
      <c r="D953" s="157"/>
      <c r="E953" s="9"/>
    </row>
    <row r="954" spans="1:5" x14ac:dyDescent="0.35">
      <c r="A954" s="14"/>
      <c r="B954" s="15"/>
      <c r="C954" s="157"/>
      <c r="D954" s="157"/>
      <c r="E954" s="9"/>
    </row>
    <row r="955" spans="1:5" x14ac:dyDescent="0.35">
      <c r="A955" s="14"/>
      <c r="B955" s="15"/>
      <c r="C955" s="157"/>
      <c r="D955" s="157"/>
      <c r="E955" s="9"/>
    </row>
    <row r="956" spans="1:5" x14ac:dyDescent="0.35">
      <c r="A956" s="14"/>
      <c r="B956" s="15"/>
      <c r="C956" s="157"/>
      <c r="D956" s="157"/>
      <c r="E956" s="9"/>
    </row>
    <row r="957" spans="1:5" x14ac:dyDescent="0.35">
      <c r="A957" s="14"/>
      <c r="B957" s="15"/>
      <c r="C957" s="157"/>
      <c r="D957" s="157"/>
      <c r="E957" s="9"/>
    </row>
    <row r="958" spans="1:5" x14ac:dyDescent="0.35">
      <c r="A958" s="14"/>
      <c r="B958" s="15"/>
      <c r="C958" s="157"/>
      <c r="D958" s="157"/>
      <c r="E958" s="9"/>
    </row>
    <row r="959" spans="1:5" x14ac:dyDescent="0.35">
      <c r="A959" s="14"/>
      <c r="B959" s="15"/>
      <c r="C959" s="157"/>
      <c r="D959" s="157"/>
      <c r="E959" s="9"/>
    </row>
    <row r="960" spans="1:5" x14ac:dyDescent="0.35">
      <c r="A960" s="14"/>
      <c r="B960" s="15"/>
      <c r="C960" s="157"/>
      <c r="D960" s="157"/>
      <c r="E960" s="9"/>
    </row>
    <row r="961" spans="1:5" x14ac:dyDescent="0.35">
      <c r="A961" s="14"/>
      <c r="B961" s="15"/>
      <c r="C961" s="157"/>
      <c r="D961" s="157"/>
      <c r="E961" s="9"/>
    </row>
    <row r="962" spans="1:5" x14ac:dyDescent="0.35">
      <c r="A962" s="14"/>
      <c r="B962" s="15"/>
      <c r="C962" s="157"/>
      <c r="D962" s="157"/>
      <c r="E962" s="9"/>
    </row>
    <row r="963" spans="1:5" x14ac:dyDescent="0.35">
      <c r="A963" s="14"/>
      <c r="B963" s="15"/>
      <c r="C963" s="157"/>
      <c r="D963" s="157"/>
      <c r="E963" s="9"/>
    </row>
    <row r="964" spans="1:5" x14ac:dyDescent="0.35">
      <c r="A964" s="14"/>
      <c r="B964" s="15"/>
      <c r="C964" s="157"/>
      <c r="D964" s="157"/>
      <c r="E964" s="9"/>
    </row>
    <row r="965" spans="1:5" x14ac:dyDescent="0.35">
      <c r="A965" s="14"/>
      <c r="B965" s="15"/>
      <c r="C965" s="157"/>
      <c r="D965" s="157"/>
      <c r="E965" s="9"/>
    </row>
    <row r="966" spans="1:5" x14ac:dyDescent="0.35">
      <c r="A966" s="14"/>
      <c r="B966" s="15"/>
      <c r="C966" s="157"/>
      <c r="D966" s="157"/>
      <c r="E966" s="9"/>
    </row>
    <row r="967" spans="1:5" x14ac:dyDescent="0.35">
      <c r="A967" s="14"/>
      <c r="B967" s="15"/>
      <c r="C967" s="157"/>
      <c r="D967" s="157"/>
      <c r="E967" s="9"/>
    </row>
    <row r="968" spans="1:5" x14ac:dyDescent="0.35">
      <c r="A968" s="14"/>
      <c r="B968" s="15"/>
      <c r="C968" s="157"/>
      <c r="D968" s="157"/>
      <c r="E968" s="9"/>
    </row>
    <row r="969" spans="1:5" x14ac:dyDescent="0.35">
      <c r="A969" s="14"/>
      <c r="B969" s="15"/>
      <c r="C969" s="157"/>
      <c r="D969" s="157"/>
      <c r="E969" s="9"/>
    </row>
    <row r="970" spans="1:5" x14ac:dyDescent="0.35">
      <c r="A970" s="14"/>
      <c r="B970" s="15"/>
      <c r="C970" s="157"/>
      <c r="D970" s="157"/>
      <c r="E970" s="9"/>
    </row>
    <row r="971" spans="1:5" x14ac:dyDescent="0.35">
      <c r="A971" s="14"/>
      <c r="B971" s="15"/>
      <c r="C971" s="157"/>
      <c r="D971" s="157"/>
      <c r="E971" s="9"/>
    </row>
    <row r="972" spans="1:5" x14ac:dyDescent="0.35">
      <c r="A972" s="14"/>
      <c r="B972" s="15"/>
      <c r="C972" s="157"/>
      <c r="D972" s="157"/>
      <c r="E972" s="9"/>
    </row>
    <row r="973" spans="1:5" x14ac:dyDescent="0.35">
      <c r="A973" s="14"/>
      <c r="B973" s="15"/>
      <c r="C973" s="157"/>
      <c r="D973" s="157"/>
      <c r="E973" s="9"/>
    </row>
    <row r="974" spans="1:5" x14ac:dyDescent="0.35">
      <c r="A974" s="14"/>
      <c r="B974" s="15"/>
      <c r="C974" s="157"/>
      <c r="D974" s="157"/>
      <c r="E974" s="9"/>
    </row>
    <row r="975" spans="1:5" x14ac:dyDescent="0.35">
      <c r="A975" s="14"/>
      <c r="B975" s="15"/>
      <c r="C975" s="157"/>
      <c r="D975" s="157"/>
      <c r="E975" s="9"/>
    </row>
    <row r="976" spans="1:5" x14ac:dyDescent="0.35">
      <c r="A976" s="14"/>
      <c r="B976" s="15"/>
      <c r="C976" s="157"/>
      <c r="D976" s="157"/>
      <c r="E976" s="9"/>
    </row>
    <row r="977" spans="1:5" x14ac:dyDescent="0.35">
      <c r="A977" s="14"/>
      <c r="B977" s="15"/>
      <c r="C977" s="157"/>
      <c r="D977" s="157"/>
      <c r="E977" s="9"/>
    </row>
    <row r="978" spans="1:5" x14ac:dyDescent="0.35">
      <c r="A978" s="14"/>
      <c r="B978" s="15"/>
      <c r="C978" s="157"/>
      <c r="D978" s="157"/>
      <c r="E978" s="9"/>
    </row>
    <row r="979" spans="1:5" x14ac:dyDescent="0.35">
      <c r="A979" s="14"/>
      <c r="B979" s="15"/>
      <c r="C979" s="157"/>
      <c r="D979" s="157"/>
      <c r="E979" s="9"/>
    </row>
    <row r="980" spans="1:5" x14ac:dyDescent="0.35">
      <c r="A980" s="14"/>
      <c r="B980" s="15"/>
      <c r="C980" s="157"/>
      <c r="D980" s="157"/>
      <c r="E980" s="9"/>
    </row>
    <row r="981" spans="1:5" x14ac:dyDescent="0.35">
      <c r="A981" s="14"/>
      <c r="B981" s="15"/>
      <c r="C981" s="157"/>
      <c r="D981" s="157"/>
      <c r="E981" s="9"/>
    </row>
    <row r="982" spans="1:5" x14ac:dyDescent="0.35">
      <c r="A982" s="14"/>
      <c r="B982" s="15"/>
      <c r="C982" s="157"/>
      <c r="D982" s="157"/>
      <c r="E982" s="9"/>
    </row>
    <row r="983" spans="1:5" x14ac:dyDescent="0.35">
      <c r="A983" s="14"/>
      <c r="B983" s="15"/>
      <c r="C983" s="157"/>
      <c r="D983" s="157"/>
      <c r="E983" s="9"/>
    </row>
    <row r="984" spans="1:5" x14ac:dyDescent="0.35">
      <c r="A984" s="14"/>
      <c r="B984" s="15"/>
      <c r="C984" s="157"/>
      <c r="D984" s="157"/>
      <c r="E984" s="9"/>
    </row>
    <row r="985" spans="1:5" x14ac:dyDescent="0.35">
      <c r="A985" s="14"/>
      <c r="B985" s="15"/>
      <c r="C985" s="157"/>
      <c r="D985" s="157"/>
      <c r="E985" s="9"/>
    </row>
    <row r="986" spans="1:5" x14ac:dyDescent="0.35">
      <c r="A986" s="14"/>
      <c r="B986" s="15"/>
      <c r="C986" s="157"/>
      <c r="D986" s="157"/>
      <c r="E986" s="9"/>
    </row>
    <row r="987" spans="1:5" x14ac:dyDescent="0.35">
      <c r="A987" s="14"/>
      <c r="B987" s="15"/>
      <c r="C987" s="157"/>
      <c r="D987" s="157"/>
      <c r="E987" s="9"/>
    </row>
    <row r="988" spans="1:5" x14ac:dyDescent="0.35">
      <c r="A988" s="14"/>
      <c r="B988" s="15"/>
      <c r="C988" s="157"/>
      <c r="D988" s="157"/>
      <c r="E988" s="9"/>
    </row>
    <row r="989" spans="1:5" x14ac:dyDescent="0.35">
      <c r="A989" s="14"/>
      <c r="B989" s="15"/>
      <c r="C989" s="157"/>
      <c r="D989" s="157"/>
      <c r="E989" s="9"/>
    </row>
    <row r="990" spans="1:5" x14ac:dyDescent="0.35">
      <c r="A990" s="14"/>
      <c r="B990" s="15"/>
      <c r="C990" s="157"/>
      <c r="D990" s="157"/>
      <c r="E990" s="9"/>
    </row>
    <row r="991" spans="1:5" x14ac:dyDescent="0.35">
      <c r="A991" s="14"/>
      <c r="B991" s="15"/>
      <c r="C991" s="157"/>
      <c r="D991" s="157"/>
      <c r="E991" s="9"/>
    </row>
    <row r="992" spans="1:5" x14ac:dyDescent="0.35">
      <c r="A992" s="14"/>
      <c r="B992" s="15"/>
      <c r="C992" s="157"/>
      <c r="D992" s="157"/>
      <c r="E992" s="9"/>
    </row>
    <row r="993" spans="1:5" x14ac:dyDescent="0.35">
      <c r="A993" s="14"/>
      <c r="B993" s="15"/>
      <c r="C993" s="157"/>
      <c r="D993" s="157"/>
      <c r="E993" s="9"/>
    </row>
    <row r="994" spans="1:5" x14ac:dyDescent="0.35">
      <c r="A994" s="14"/>
      <c r="B994" s="15"/>
      <c r="C994" s="157"/>
      <c r="D994" s="157"/>
      <c r="E994" s="9"/>
    </row>
    <row r="995" spans="1:5" x14ac:dyDescent="0.35">
      <c r="A995" s="14"/>
      <c r="B995" s="15"/>
      <c r="C995" s="157"/>
      <c r="D995" s="157"/>
      <c r="E995" s="9"/>
    </row>
    <row r="996" spans="1:5" x14ac:dyDescent="0.35">
      <c r="A996" s="14"/>
      <c r="B996" s="15"/>
      <c r="C996" s="157"/>
      <c r="D996" s="157"/>
      <c r="E996" s="9"/>
    </row>
    <row r="997" spans="1:5" x14ac:dyDescent="0.35">
      <c r="A997" s="14"/>
      <c r="B997" s="15"/>
      <c r="C997" s="157"/>
      <c r="D997" s="157"/>
      <c r="E997" s="9"/>
    </row>
    <row r="998" spans="1:5" x14ac:dyDescent="0.35">
      <c r="A998" s="14"/>
      <c r="B998" s="15"/>
      <c r="C998" s="157"/>
      <c r="D998" s="157"/>
      <c r="E998" s="9"/>
    </row>
    <row r="999" spans="1:5" x14ac:dyDescent="0.35">
      <c r="A999" s="14"/>
      <c r="B999" s="15"/>
      <c r="C999" s="157"/>
      <c r="D999" s="157"/>
      <c r="E999" s="9"/>
    </row>
    <row r="1000" spans="1:5" x14ac:dyDescent="0.35">
      <c r="A1000" s="14"/>
      <c r="B1000" s="15"/>
      <c r="C1000" s="157"/>
      <c r="D1000" s="157"/>
      <c r="E1000" s="9"/>
    </row>
    <row r="1001" spans="1:5" x14ac:dyDescent="0.35">
      <c r="A1001" s="14"/>
      <c r="B1001" s="15"/>
      <c r="C1001" s="157"/>
      <c r="D1001" s="157"/>
      <c r="E1001" s="9"/>
    </row>
    <row r="1002" spans="1:5" x14ac:dyDescent="0.35">
      <c r="A1002" s="14"/>
      <c r="B1002" s="15"/>
      <c r="C1002" s="157"/>
      <c r="D1002" s="157"/>
      <c r="E1002" s="9"/>
    </row>
    <row r="1003" spans="1:5" x14ac:dyDescent="0.35">
      <c r="A1003" s="14"/>
      <c r="B1003" s="15"/>
      <c r="C1003" s="157"/>
      <c r="D1003" s="157"/>
      <c r="E1003" s="9"/>
    </row>
    <row r="1004" spans="1:5" x14ac:dyDescent="0.35">
      <c r="A1004" s="14"/>
      <c r="B1004" s="15"/>
      <c r="C1004" s="157"/>
      <c r="D1004" s="157"/>
      <c r="E1004" s="9"/>
    </row>
    <row r="1005" spans="1:5" x14ac:dyDescent="0.35">
      <c r="A1005" s="14"/>
      <c r="B1005" s="15"/>
      <c r="C1005" s="157"/>
      <c r="D1005" s="157"/>
      <c r="E1005" s="9"/>
    </row>
    <row r="1006" spans="1:5" x14ac:dyDescent="0.35">
      <c r="A1006" s="14"/>
      <c r="B1006" s="15"/>
      <c r="C1006" s="157"/>
      <c r="D1006" s="157"/>
      <c r="E1006" s="9"/>
    </row>
    <row r="1007" spans="1:5" x14ac:dyDescent="0.35">
      <c r="A1007" s="14"/>
      <c r="B1007" s="15"/>
      <c r="C1007" s="157"/>
      <c r="D1007" s="157"/>
      <c r="E1007" s="9"/>
    </row>
    <row r="1008" spans="1:5" x14ac:dyDescent="0.35">
      <c r="A1008" s="14"/>
      <c r="B1008" s="15"/>
      <c r="C1008" s="157"/>
      <c r="D1008" s="157"/>
      <c r="E1008" s="9"/>
    </row>
    <row r="1009" spans="1:5" x14ac:dyDescent="0.35">
      <c r="A1009" s="14"/>
      <c r="B1009" s="15"/>
      <c r="C1009" s="157"/>
      <c r="D1009" s="157"/>
      <c r="E1009" s="9"/>
    </row>
    <row r="1010" spans="1:5" x14ac:dyDescent="0.35">
      <c r="A1010" s="14"/>
      <c r="B1010" s="15"/>
      <c r="C1010" s="157"/>
      <c r="D1010" s="157"/>
      <c r="E1010" s="9"/>
    </row>
    <row r="1011" spans="1:5" x14ac:dyDescent="0.35">
      <c r="A1011" s="14"/>
      <c r="B1011" s="15"/>
      <c r="C1011" s="157"/>
      <c r="D1011" s="157"/>
      <c r="E1011" s="9"/>
    </row>
    <row r="1012" spans="1:5" x14ac:dyDescent="0.35">
      <c r="A1012" s="14"/>
      <c r="B1012" s="15"/>
      <c r="C1012" s="157"/>
      <c r="D1012" s="157"/>
      <c r="E1012" s="9"/>
    </row>
    <row r="1013" spans="1:5" x14ac:dyDescent="0.35">
      <c r="A1013" s="14"/>
      <c r="B1013" s="15"/>
      <c r="C1013" s="157"/>
      <c r="D1013" s="157"/>
      <c r="E1013" s="9"/>
    </row>
    <row r="1014" spans="1:5" x14ac:dyDescent="0.35">
      <c r="A1014" s="14"/>
      <c r="B1014" s="15"/>
      <c r="C1014" s="157"/>
      <c r="D1014" s="157"/>
      <c r="E1014" s="9"/>
    </row>
    <row r="1015" spans="1:5" x14ac:dyDescent="0.35">
      <c r="A1015" s="14"/>
      <c r="B1015" s="15"/>
      <c r="C1015" s="157"/>
      <c r="D1015" s="157"/>
      <c r="E1015" s="9"/>
    </row>
    <row r="1016" spans="1:5" x14ac:dyDescent="0.35">
      <c r="A1016" s="14"/>
      <c r="B1016" s="15"/>
      <c r="C1016" s="157"/>
      <c r="D1016" s="157"/>
      <c r="E1016" s="9"/>
    </row>
    <row r="1017" spans="1:5" x14ac:dyDescent="0.35">
      <c r="A1017" s="14"/>
      <c r="B1017" s="15"/>
      <c r="C1017" s="157"/>
      <c r="D1017" s="157"/>
      <c r="E1017" s="9"/>
    </row>
    <row r="1018" spans="1:5" x14ac:dyDescent="0.35">
      <c r="A1018" s="14"/>
      <c r="B1018" s="15"/>
      <c r="C1018" s="157"/>
      <c r="D1018" s="157"/>
      <c r="E1018" s="9"/>
    </row>
    <row r="1019" spans="1:5" x14ac:dyDescent="0.35">
      <c r="A1019" s="14"/>
      <c r="B1019" s="15"/>
      <c r="C1019" s="157"/>
      <c r="D1019" s="157"/>
      <c r="E1019" s="9"/>
    </row>
    <row r="1020" spans="1:5" x14ac:dyDescent="0.35">
      <c r="A1020" s="14"/>
      <c r="B1020" s="15"/>
      <c r="C1020" s="157"/>
      <c r="D1020" s="157"/>
      <c r="E1020" s="9"/>
    </row>
    <row r="1021" spans="1:5" x14ac:dyDescent="0.35">
      <c r="A1021" s="14"/>
      <c r="B1021" s="15"/>
      <c r="C1021" s="157"/>
      <c r="D1021" s="157"/>
      <c r="E1021" s="9"/>
    </row>
    <row r="1022" spans="1:5" x14ac:dyDescent="0.35">
      <c r="A1022" s="14"/>
      <c r="B1022" s="15"/>
      <c r="C1022" s="157"/>
      <c r="D1022" s="157"/>
      <c r="E1022" s="9"/>
    </row>
    <row r="1023" spans="1:5" x14ac:dyDescent="0.35">
      <c r="A1023" s="14"/>
      <c r="B1023" s="15"/>
      <c r="C1023" s="157"/>
      <c r="D1023" s="157"/>
      <c r="E1023" s="9"/>
    </row>
    <row r="1024" spans="1:5" x14ac:dyDescent="0.35">
      <c r="A1024" s="14"/>
      <c r="B1024" s="15"/>
      <c r="C1024" s="157"/>
      <c r="D1024" s="157"/>
      <c r="E1024" s="9"/>
    </row>
    <row r="1025" spans="1:5" x14ac:dyDescent="0.35">
      <c r="A1025" s="14"/>
      <c r="B1025" s="15"/>
      <c r="C1025" s="157"/>
      <c r="D1025" s="157"/>
      <c r="E1025" s="9"/>
    </row>
    <row r="1026" spans="1:5" x14ac:dyDescent="0.35">
      <c r="A1026" s="14"/>
      <c r="B1026" s="15"/>
      <c r="C1026" s="157"/>
      <c r="D1026" s="157"/>
      <c r="E1026" s="9"/>
    </row>
    <row r="1027" spans="1:5" x14ac:dyDescent="0.35">
      <c r="A1027" s="14"/>
      <c r="B1027" s="15"/>
      <c r="C1027" s="157"/>
      <c r="D1027" s="157"/>
      <c r="E1027" s="9"/>
    </row>
    <row r="1028" spans="1:5" x14ac:dyDescent="0.35">
      <c r="A1028" s="14"/>
      <c r="B1028" s="15"/>
      <c r="C1028" s="157"/>
      <c r="D1028" s="157"/>
      <c r="E1028" s="9"/>
    </row>
    <row r="1029" spans="1:5" x14ac:dyDescent="0.35">
      <c r="A1029" s="14"/>
      <c r="B1029" s="15"/>
      <c r="C1029" s="157"/>
      <c r="D1029" s="157"/>
      <c r="E1029" s="9"/>
    </row>
    <row r="1030" spans="1:5" x14ac:dyDescent="0.35">
      <c r="A1030" s="14"/>
      <c r="B1030" s="15"/>
      <c r="C1030" s="157"/>
      <c r="D1030" s="157"/>
      <c r="E1030" s="9"/>
    </row>
    <row r="1031" spans="1:5" x14ac:dyDescent="0.35">
      <c r="A1031" s="14"/>
      <c r="B1031" s="15"/>
      <c r="C1031" s="157"/>
      <c r="D1031" s="157"/>
      <c r="E1031" s="9"/>
    </row>
    <row r="1032" spans="1:5" x14ac:dyDescent="0.35">
      <c r="A1032" s="14"/>
      <c r="B1032" s="15"/>
      <c r="C1032" s="157"/>
      <c r="D1032" s="157"/>
      <c r="E1032" s="9"/>
    </row>
    <row r="1033" spans="1:5" x14ac:dyDescent="0.35">
      <c r="A1033" s="14"/>
      <c r="B1033" s="15"/>
      <c r="C1033" s="157"/>
      <c r="D1033" s="157"/>
      <c r="E1033" s="9"/>
    </row>
    <row r="1034" spans="1:5" x14ac:dyDescent="0.35">
      <c r="A1034" s="14"/>
      <c r="B1034" s="15"/>
      <c r="C1034" s="157"/>
      <c r="D1034" s="157"/>
      <c r="E1034" s="9"/>
    </row>
    <row r="1035" spans="1:5" x14ac:dyDescent="0.35">
      <c r="A1035" s="14"/>
      <c r="B1035" s="15"/>
      <c r="C1035" s="157"/>
      <c r="D1035" s="157"/>
      <c r="E1035" s="9"/>
    </row>
    <row r="1036" spans="1:5" x14ac:dyDescent="0.35">
      <c r="A1036" s="14"/>
      <c r="B1036" s="15"/>
      <c r="C1036" s="157"/>
      <c r="D1036" s="157"/>
      <c r="E1036" s="9"/>
    </row>
    <row r="1037" spans="1:5" x14ac:dyDescent="0.35">
      <c r="A1037" s="14"/>
      <c r="B1037" s="15"/>
      <c r="C1037" s="157"/>
      <c r="D1037" s="157"/>
      <c r="E1037" s="9"/>
    </row>
    <row r="1038" spans="1:5" x14ac:dyDescent="0.35">
      <c r="A1038" s="14"/>
      <c r="B1038" s="15"/>
      <c r="C1038" s="157"/>
      <c r="D1038" s="157"/>
      <c r="E1038" s="9"/>
    </row>
    <row r="1039" spans="1:5" x14ac:dyDescent="0.35">
      <c r="A1039" s="14"/>
      <c r="B1039" s="15"/>
      <c r="C1039" s="157"/>
      <c r="D1039" s="157"/>
      <c r="E1039" s="9"/>
    </row>
    <row r="1040" spans="1:5" x14ac:dyDescent="0.35">
      <c r="A1040" s="14"/>
      <c r="B1040" s="15"/>
      <c r="C1040" s="157"/>
      <c r="D1040" s="157"/>
      <c r="E1040" s="9"/>
    </row>
    <row r="1041" spans="1:5" x14ac:dyDescent="0.35">
      <c r="A1041" s="14"/>
      <c r="B1041" s="15"/>
      <c r="C1041" s="157"/>
      <c r="D1041" s="157"/>
      <c r="E1041" s="9"/>
    </row>
    <row r="1042" spans="1:5" x14ac:dyDescent="0.35">
      <c r="A1042" s="14"/>
      <c r="B1042" s="15"/>
      <c r="C1042" s="157"/>
      <c r="D1042" s="157"/>
      <c r="E1042" s="9"/>
    </row>
    <row r="1043" spans="1:5" x14ac:dyDescent="0.35">
      <c r="A1043" s="14"/>
      <c r="B1043" s="15"/>
      <c r="C1043" s="157"/>
      <c r="D1043" s="157"/>
      <c r="E1043" s="9"/>
    </row>
    <row r="1044" spans="1:5" x14ac:dyDescent="0.35">
      <c r="A1044" s="14"/>
      <c r="B1044" s="15"/>
      <c r="C1044" s="157"/>
      <c r="D1044" s="157"/>
      <c r="E1044" s="9"/>
    </row>
    <row r="1045" spans="1:5" x14ac:dyDescent="0.35">
      <c r="A1045" s="14"/>
      <c r="B1045" s="15"/>
      <c r="C1045" s="157"/>
      <c r="D1045" s="157"/>
      <c r="E1045" s="9"/>
    </row>
    <row r="1046" spans="1:5" x14ac:dyDescent="0.35">
      <c r="A1046" s="14"/>
      <c r="B1046" s="15"/>
      <c r="C1046" s="157"/>
      <c r="D1046" s="157"/>
      <c r="E1046" s="9"/>
    </row>
    <row r="1047" spans="1:5" x14ac:dyDescent="0.35">
      <c r="A1047" s="14"/>
      <c r="B1047" s="15"/>
      <c r="C1047" s="157"/>
      <c r="D1047" s="157"/>
      <c r="E1047" s="9"/>
    </row>
    <row r="1048" spans="1:5" x14ac:dyDescent="0.35">
      <c r="A1048" s="14"/>
      <c r="B1048" s="15"/>
      <c r="C1048" s="157"/>
      <c r="D1048" s="157"/>
      <c r="E1048" s="9"/>
    </row>
    <row r="1049" spans="1:5" x14ac:dyDescent="0.35">
      <c r="A1049" s="14"/>
      <c r="B1049" s="15"/>
      <c r="C1049" s="157"/>
      <c r="D1049" s="157"/>
      <c r="E1049" s="9"/>
    </row>
    <row r="1050" spans="1:5" x14ac:dyDescent="0.35">
      <c r="A1050" s="14"/>
      <c r="B1050" s="15"/>
      <c r="C1050" s="157"/>
      <c r="D1050" s="157"/>
      <c r="E1050" s="9"/>
    </row>
    <row r="1051" spans="1:5" x14ac:dyDescent="0.35">
      <c r="A1051" s="14"/>
      <c r="B1051" s="15"/>
      <c r="C1051" s="157"/>
      <c r="D1051" s="157"/>
      <c r="E1051" s="9"/>
    </row>
    <row r="1052" spans="1:5" x14ac:dyDescent="0.35">
      <c r="A1052" s="14"/>
      <c r="B1052" s="15"/>
      <c r="C1052" s="157"/>
      <c r="D1052" s="157"/>
      <c r="E1052" s="9"/>
    </row>
    <row r="1053" spans="1:5" x14ac:dyDescent="0.35">
      <c r="A1053" s="14"/>
      <c r="B1053" s="15"/>
      <c r="C1053" s="157"/>
      <c r="D1053" s="157"/>
      <c r="E1053" s="9"/>
    </row>
    <row r="1054" spans="1:5" x14ac:dyDescent="0.35">
      <c r="A1054" s="14"/>
      <c r="B1054" s="15"/>
      <c r="C1054" s="157"/>
      <c r="D1054" s="157"/>
      <c r="E1054" s="9"/>
    </row>
    <row r="1055" spans="1:5" x14ac:dyDescent="0.35">
      <c r="A1055" s="14"/>
      <c r="B1055" s="15"/>
      <c r="C1055" s="157"/>
      <c r="D1055" s="157"/>
      <c r="E1055" s="9"/>
    </row>
    <row r="1056" spans="1:5" x14ac:dyDescent="0.35">
      <c r="A1056" s="14"/>
      <c r="B1056" s="15"/>
      <c r="C1056" s="157"/>
      <c r="D1056" s="157"/>
      <c r="E1056" s="9"/>
    </row>
    <row r="1057" spans="1:5" x14ac:dyDescent="0.35">
      <c r="A1057" s="14"/>
      <c r="B1057" s="15"/>
      <c r="C1057" s="157"/>
      <c r="D1057" s="157"/>
      <c r="E1057" s="9"/>
    </row>
    <row r="1058" spans="1:5" x14ac:dyDescent="0.35">
      <c r="A1058" s="14"/>
      <c r="B1058" s="15"/>
      <c r="C1058" s="157"/>
      <c r="D1058" s="157"/>
      <c r="E1058" s="9"/>
    </row>
    <row r="1059" spans="1:5" x14ac:dyDescent="0.35">
      <c r="A1059" s="14"/>
      <c r="B1059" s="15"/>
      <c r="C1059" s="157"/>
      <c r="D1059" s="157"/>
      <c r="E1059" s="9"/>
    </row>
    <row r="1060" spans="1:5" x14ac:dyDescent="0.35">
      <c r="A1060" s="14"/>
      <c r="B1060" s="15"/>
      <c r="C1060" s="157"/>
      <c r="D1060" s="157"/>
      <c r="E1060" s="9"/>
    </row>
    <row r="1061" spans="1:5" x14ac:dyDescent="0.35">
      <c r="A1061" s="14"/>
      <c r="B1061" s="15"/>
      <c r="C1061" s="157"/>
      <c r="D1061" s="157"/>
      <c r="E1061" s="9"/>
    </row>
    <row r="1062" spans="1:5" x14ac:dyDescent="0.35">
      <c r="A1062" s="14"/>
      <c r="B1062" s="15"/>
      <c r="C1062" s="157"/>
      <c r="D1062" s="157"/>
      <c r="E1062" s="9"/>
    </row>
    <row r="1063" spans="1:5" x14ac:dyDescent="0.35">
      <c r="A1063" s="14"/>
      <c r="B1063" s="15"/>
      <c r="C1063" s="157"/>
      <c r="D1063" s="157"/>
      <c r="E1063" s="9"/>
    </row>
    <row r="1064" spans="1:5" x14ac:dyDescent="0.35">
      <c r="A1064" s="14"/>
      <c r="B1064" s="15"/>
      <c r="C1064" s="157"/>
      <c r="D1064" s="157"/>
      <c r="E1064" s="9"/>
    </row>
    <row r="1065" spans="1:5" x14ac:dyDescent="0.35">
      <c r="A1065" s="14"/>
      <c r="B1065" s="15"/>
      <c r="C1065" s="157"/>
      <c r="D1065" s="157"/>
      <c r="E1065" s="9"/>
    </row>
    <row r="1066" spans="1:5" x14ac:dyDescent="0.35">
      <c r="A1066" s="14"/>
      <c r="B1066" s="15"/>
      <c r="C1066" s="157"/>
      <c r="D1066" s="157"/>
      <c r="E1066" s="9"/>
    </row>
    <row r="1067" spans="1:5" x14ac:dyDescent="0.35">
      <c r="A1067" s="14"/>
      <c r="B1067" s="15"/>
      <c r="C1067" s="157"/>
      <c r="D1067" s="157"/>
      <c r="E1067" s="9"/>
    </row>
    <row r="1068" spans="1:5" x14ac:dyDescent="0.35">
      <c r="A1068" s="14"/>
      <c r="B1068" s="15"/>
      <c r="C1068" s="157"/>
      <c r="D1068" s="157"/>
      <c r="E1068" s="9"/>
    </row>
    <row r="1069" spans="1:5" x14ac:dyDescent="0.35">
      <c r="A1069" s="14"/>
      <c r="B1069" s="15"/>
      <c r="C1069" s="157"/>
      <c r="D1069" s="157"/>
      <c r="E1069" s="9"/>
    </row>
    <row r="1070" spans="1:5" x14ac:dyDescent="0.35">
      <c r="A1070" s="14"/>
      <c r="B1070" s="15"/>
      <c r="C1070" s="157"/>
      <c r="D1070" s="157"/>
      <c r="E1070" s="9"/>
    </row>
    <row r="1071" spans="1:5" x14ac:dyDescent="0.35">
      <c r="A1071" s="14"/>
      <c r="B1071" s="15"/>
      <c r="C1071" s="157"/>
      <c r="D1071" s="157"/>
      <c r="E1071" s="9"/>
    </row>
    <row r="1072" spans="1:5" x14ac:dyDescent="0.35">
      <c r="A1072" s="14"/>
      <c r="B1072" s="15"/>
      <c r="C1072" s="157"/>
      <c r="D1072" s="157"/>
      <c r="E1072" s="9"/>
    </row>
    <row r="1073" spans="1:5" x14ac:dyDescent="0.35">
      <c r="A1073" s="14"/>
      <c r="B1073" s="15"/>
      <c r="C1073" s="157"/>
      <c r="D1073" s="157"/>
      <c r="E1073" s="9"/>
    </row>
    <row r="1074" spans="1:5" x14ac:dyDescent="0.35">
      <c r="A1074" s="14"/>
      <c r="B1074" s="15"/>
      <c r="C1074" s="157"/>
      <c r="D1074" s="157"/>
      <c r="E1074" s="9"/>
    </row>
    <row r="1075" spans="1:5" x14ac:dyDescent="0.35">
      <c r="A1075" s="14"/>
      <c r="B1075" s="15"/>
      <c r="C1075" s="157"/>
      <c r="D1075" s="157"/>
      <c r="E1075" s="9"/>
    </row>
    <row r="1076" spans="1:5" x14ac:dyDescent="0.35">
      <c r="A1076" s="14"/>
      <c r="B1076" s="15"/>
      <c r="C1076" s="157"/>
      <c r="D1076" s="157"/>
      <c r="E1076" s="9"/>
    </row>
    <row r="1077" spans="1:5" x14ac:dyDescent="0.35">
      <c r="A1077" s="14"/>
      <c r="B1077" s="15"/>
      <c r="C1077" s="157"/>
      <c r="D1077" s="157"/>
      <c r="E1077" s="9"/>
    </row>
    <row r="1078" spans="1:5" x14ac:dyDescent="0.35">
      <c r="A1078" s="14"/>
      <c r="B1078" s="15"/>
      <c r="C1078" s="157"/>
      <c r="D1078" s="157"/>
      <c r="E1078" s="9"/>
    </row>
    <row r="1079" spans="1:5" x14ac:dyDescent="0.35">
      <c r="A1079" s="14"/>
      <c r="B1079" s="15"/>
      <c r="C1079" s="157"/>
      <c r="D1079" s="157"/>
      <c r="E1079" s="9"/>
    </row>
    <row r="1080" spans="1:5" x14ac:dyDescent="0.35">
      <c r="A1080" s="14"/>
      <c r="B1080" s="15"/>
      <c r="C1080" s="157"/>
      <c r="D1080" s="157"/>
      <c r="E1080" s="9"/>
    </row>
    <row r="1081" spans="1:5" x14ac:dyDescent="0.35">
      <c r="A1081" s="14"/>
      <c r="B1081" s="15"/>
      <c r="C1081" s="157"/>
      <c r="D1081" s="157"/>
      <c r="E1081" s="9"/>
    </row>
    <row r="1082" spans="1:5" x14ac:dyDescent="0.35">
      <c r="A1082" s="14"/>
      <c r="B1082" s="15"/>
      <c r="C1082" s="157"/>
      <c r="D1082" s="157"/>
      <c r="E1082" s="9"/>
    </row>
    <row r="1083" spans="1:5" x14ac:dyDescent="0.35">
      <c r="A1083" s="14"/>
      <c r="B1083" s="15"/>
      <c r="C1083" s="157"/>
      <c r="D1083" s="157"/>
      <c r="E1083" s="9"/>
    </row>
    <row r="1084" spans="1:5" x14ac:dyDescent="0.35">
      <c r="A1084" s="14"/>
      <c r="B1084" s="15"/>
      <c r="C1084" s="157"/>
      <c r="D1084" s="157"/>
      <c r="E1084" s="9"/>
    </row>
    <row r="1085" spans="1:5" x14ac:dyDescent="0.35">
      <c r="A1085" s="14"/>
      <c r="B1085" s="15"/>
      <c r="C1085" s="157"/>
      <c r="D1085" s="157"/>
      <c r="E1085" s="9"/>
    </row>
    <row r="1086" spans="1:5" x14ac:dyDescent="0.35">
      <c r="A1086" s="14"/>
      <c r="B1086" s="15"/>
      <c r="C1086" s="157"/>
      <c r="D1086" s="157"/>
      <c r="E1086" s="9"/>
    </row>
    <row r="1087" spans="1:5" x14ac:dyDescent="0.35">
      <c r="A1087" s="14"/>
      <c r="B1087" s="15"/>
      <c r="C1087" s="157"/>
      <c r="D1087" s="157"/>
      <c r="E1087" s="9"/>
    </row>
    <row r="1088" spans="1:5" x14ac:dyDescent="0.35">
      <c r="A1088" s="14"/>
      <c r="B1088" s="15"/>
      <c r="C1088" s="157"/>
      <c r="D1088" s="157"/>
      <c r="E1088" s="9"/>
    </row>
    <row r="1089" spans="1:5" x14ac:dyDescent="0.35">
      <c r="A1089" s="14"/>
      <c r="B1089" s="15"/>
      <c r="C1089" s="157"/>
      <c r="D1089" s="157"/>
      <c r="E1089" s="9"/>
    </row>
    <row r="1090" spans="1:5" x14ac:dyDescent="0.35">
      <c r="A1090" s="14"/>
      <c r="B1090" s="15"/>
      <c r="C1090" s="157"/>
      <c r="D1090" s="157"/>
      <c r="E1090" s="9"/>
    </row>
    <row r="1091" spans="1:5" x14ac:dyDescent="0.35">
      <c r="A1091" s="14"/>
      <c r="B1091" s="15"/>
      <c r="C1091" s="157"/>
      <c r="D1091" s="157"/>
      <c r="E1091" s="9"/>
    </row>
    <row r="1092" spans="1:5" x14ac:dyDescent="0.35">
      <c r="A1092" s="14"/>
      <c r="B1092" s="15"/>
      <c r="C1092" s="157"/>
      <c r="D1092" s="157"/>
      <c r="E1092" s="9"/>
    </row>
    <row r="1093" spans="1:5" x14ac:dyDescent="0.35">
      <c r="A1093" s="14"/>
      <c r="B1093" s="15"/>
      <c r="C1093" s="157"/>
      <c r="D1093" s="157"/>
      <c r="E1093" s="9"/>
    </row>
    <row r="1094" spans="1:5" x14ac:dyDescent="0.35">
      <c r="A1094" s="14"/>
      <c r="B1094" s="15"/>
      <c r="C1094" s="157"/>
      <c r="D1094" s="157"/>
      <c r="E1094" s="9"/>
    </row>
    <row r="1095" spans="1:5" x14ac:dyDescent="0.35">
      <c r="A1095" s="14"/>
      <c r="B1095" s="15"/>
      <c r="C1095" s="157"/>
      <c r="D1095" s="157"/>
      <c r="E1095" s="9"/>
    </row>
    <row r="1096" spans="1:5" x14ac:dyDescent="0.35">
      <c r="A1096" s="14"/>
      <c r="B1096" s="15"/>
      <c r="C1096" s="157"/>
      <c r="D1096" s="157"/>
      <c r="E1096" s="9"/>
    </row>
    <row r="1097" spans="1:5" x14ac:dyDescent="0.35">
      <c r="A1097" s="14"/>
      <c r="B1097" s="15"/>
      <c r="C1097" s="157"/>
      <c r="D1097" s="157"/>
      <c r="E1097" s="9"/>
    </row>
    <row r="1098" spans="1:5" x14ac:dyDescent="0.35">
      <c r="A1098" s="14"/>
      <c r="B1098" s="15"/>
      <c r="C1098" s="157"/>
      <c r="D1098" s="157"/>
      <c r="E1098" s="9"/>
    </row>
    <row r="1099" spans="1:5" x14ac:dyDescent="0.35">
      <c r="A1099" s="14"/>
      <c r="B1099" s="15"/>
      <c r="C1099" s="157"/>
      <c r="D1099" s="157"/>
      <c r="E1099" s="9"/>
    </row>
    <row r="1100" spans="1:5" x14ac:dyDescent="0.35">
      <c r="A1100" s="14"/>
      <c r="B1100" s="15"/>
      <c r="C1100" s="157"/>
      <c r="D1100" s="157"/>
      <c r="E1100" s="9"/>
    </row>
    <row r="1101" spans="1:5" x14ac:dyDescent="0.35">
      <c r="A1101" s="14"/>
      <c r="B1101" s="15"/>
      <c r="C1101" s="157"/>
      <c r="D1101" s="157"/>
      <c r="E1101" s="9"/>
    </row>
    <row r="1102" spans="1:5" x14ac:dyDescent="0.35">
      <c r="A1102" s="14"/>
      <c r="B1102" s="15"/>
      <c r="C1102" s="157"/>
      <c r="D1102" s="157"/>
      <c r="E1102" s="9"/>
    </row>
    <row r="1103" spans="1:5" x14ac:dyDescent="0.35">
      <c r="A1103" s="14"/>
      <c r="B1103" s="15"/>
      <c r="C1103" s="157"/>
      <c r="D1103" s="157"/>
      <c r="E1103" s="9"/>
    </row>
    <row r="1104" spans="1:5" x14ac:dyDescent="0.35">
      <c r="A1104" s="14"/>
      <c r="B1104" s="15"/>
      <c r="C1104" s="157"/>
      <c r="D1104" s="157"/>
      <c r="E1104" s="9"/>
    </row>
    <row r="1105" spans="1:5" x14ac:dyDescent="0.35">
      <c r="A1105" s="14"/>
      <c r="B1105" s="15"/>
      <c r="C1105" s="157"/>
      <c r="D1105" s="157"/>
      <c r="E1105" s="9"/>
    </row>
    <row r="1106" spans="1:5" x14ac:dyDescent="0.35">
      <c r="A1106" s="14"/>
      <c r="B1106" s="15"/>
      <c r="C1106" s="157"/>
      <c r="D1106" s="157"/>
      <c r="E1106" s="9"/>
    </row>
    <row r="1107" spans="1:5" x14ac:dyDescent="0.35">
      <c r="A1107" s="14"/>
      <c r="B1107" s="15"/>
      <c r="C1107" s="157"/>
      <c r="D1107" s="157"/>
      <c r="E1107" s="9"/>
    </row>
    <row r="1108" spans="1:5" x14ac:dyDescent="0.35">
      <c r="A1108" s="14"/>
      <c r="B1108" s="15"/>
      <c r="C1108" s="157"/>
      <c r="D1108" s="157"/>
      <c r="E1108" s="9"/>
    </row>
    <row r="1109" spans="1:5" x14ac:dyDescent="0.35">
      <c r="A1109" s="14"/>
      <c r="B1109" s="15"/>
      <c r="C1109" s="157"/>
      <c r="D1109" s="157"/>
      <c r="E1109" s="9"/>
    </row>
    <row r="1110" spans="1:5" x14ac:dyDescent="0.35">
      <c r="A1110" s="14"/>
      <c r="B1110" s="15"/>
      <c r="C1110" s="157"/>
      <c r="D1110" s="157"/>
      <c r="E1110" s="9"/>
    </row>
    <row r="1111" spans="1:5" x14ac:dyDescent="0.35">
      <c r="A1111" s="14"/>
      <c r="B1111" s="15"/>
      <c r="C1111" s="157"/>
      <c r="D1111" s="157"/>
      <c r="E1111" s="9"/>
    </row>
    <row r="1112" spans="1:5" x14ac:dyDescent="0.35">
      <c r="A1112" s="14"/>
      <c r="B1112" s="15"/>
      <c r="C1112" s="157"/>
      <c r="D1112" s="157"/>
      <c r="E1112" s="9"/>
    </row>
    <row r="1113" spans="1:5" x14ac:dyDescent="0.35">
      <c r="A1113" s="14"/>
      <c r="B1113" s="15"/>
      <c r="C1113" s="157"/>
      <c r="D1113" s="157"/>
      <c r="E1113" s="9"/>
    </row>
    <row r="1114" spans="1:5" x14ac:dyDescent="0.35">
      <c r="A1114" s="14"/>
      <c r="B1114" s="15"/>
      <c r="C1114" s="157"/>
      <c r="D1114" s="157"/>
      <c r="E1114" s="9"/>
    </row>
    <row r="1115" spans="1:5" x14ac:dyDescent="0.35">
      <c r="A1115" s="14"/>
      <c r="B1115" s="15"/>
      <c r="C1115" s="157"/>
      <c r="D1115" s="157"/>
      <c r="E1115" s="9"/>
    </row>
    <row r="1116" spans="1:5" x14ac:dyDescent="0.35">
      <c r="A1116" s="14"/>
      <c r="B1116" s="15"/>
      <c r="C1116" s="157"/>
      <c r="D1116" s="157"/>
      <c r="E1116" s="9"/>
    </row>
    <row r="1117" spans="1:5" x14ac:dyDescent="0.35">
      <c r="A1117" s="14"/>
      <c r="B1117" s="15"/>
      <c r="C1117" s="157"/>
      <c r="D1117" s="157"/>
      <c r="E1117" s="9"/>
    </row>
    <row r="1118" spans="1:5" x14ac:dyDescent="0.35">
      <c r="A1118" s="14"/>
      <c r="B1118" s="15"/>
      <c r="C1118" s="157"/>
      <c r="D1118" s="157"/>
      <c r="E1118" s="9"/>
    </row>
    <row r="1119" spans="1:5" x14ac:dyDescent="0.35">
      <c r="A1119" s="14"/>
      <c r="B1119" s="15"/>
      <c r="C1119" s="157"/>
      <c r="D1119" s="157"/>
      <c r="E1119" s="9"/>
    </row>
    <row r="1120" spans="1:5" x14ac:dyDescent="0.35">
      <c r="A1120" s="14"/>
      <c r="B1120" s="15"/>
      <c r="C1120" s="157"/>
      <c r="D1120" s="157"/>
      <c r="E1120" s="9"/>
    </row>
    <row r="1121" spans="1:5" x14ac:dyDescent="0.35">
      <c r="A1121" s="14"/>
      <c r="B1121" s="15"/>
      <c r="C1121" s="157"/>
      <c r="D1121" s="157"/>
      <c r="E1121" s="9"/>
    </row>
    <row r="1122" spans="1:5" x14ac:dyDescent="0.35">
      <c r="A1122" s="14"/>
      <c r="B1122" s="15"/>
      <c r="C1122" s="157"/>
      <c r="D1122" s="157"/>
      <c r="E1122" s="9"/>
    </row>
    <row r="1123" spans="1:5" x14ac:dyDescent="0.35">
      <c r="A1123" s="14"/>
      <c r="B1123" s="15"/>
      <c r="C1123" s="157"/>
      <c r="D1123" s="157"/>
      <c r="E1123" s="9"/>
    </row>
    <row r="1124" spans="1:5" x14ac:dyDescent="0.35">
      <c r="A1124" s="14"/>
      <c r="B1124" s="15"/>
      <c r="C1124" s="157"/>
      <c r="D1124" s="157"/>
      <c r="E1124" s="9"/>
    </row>
    <row r="1125" spans="1:5" x14ac:dyDescent="0.35">
      <c r="A1125" s="14"/>
      <c r="B1125" s="15"/>
      <c r="C1125" s="157"/>
      <c r="D1125" s="157"/>
      <c r="E1125" s="9"/>
    </row>
    <row r="1126" spans="1:5" x14ac:dyDescent="0.35">
      <c r="A1126" s="14"/>
      <c r="B1126" s="15"/>
      <c r="C1126" s="157"/>
      <c r="D1126" s="157"/>
      <c r="E1126" s="9"/>
    </row>
    <row r="1127" spans="1:5" x14ac:dyDescent="0.35">
      <c r="A1127" s="14"/>
      <c r="B1127" s="15"/>
      <c r="C1127" s="157"/>
      <c r="D1127" s="157"/>
      <c r="E1127" s="9"/>
    </row>
    <row r="1128" spans="1:5" x14ac:dyDescent="0.35">
      <c r="A1128" s="14"/>
      <c r="B1128" s="15"/>
      <c r="C1128" s="157"/>
      <c r="D1128" s="157"/>
      <c r="E1128" s="9"/>
    </row>
    <row r="1129" spans="1:5" x14ac:dyDescent="0.35">
      <c r="A1129" s="14"/>
      <c r="B1129" s="15"/>
      <c r="C1129" s="157"/>
      <c r="D1129" s="157"/>
      <c r="E1129" s="9"/>
    </row>
    <row r="1130" spans="1:5" x14ac:dyDescent="0.35">
      <c r="A1130" s="14"/>
      <c r="B1130" s="15"/>
      <c r="C1130" s="157"/>
      <c r="D1130" s="157"/>
      <c r="E1130" s="9"/>
    </row>
    <row r="1131" spans="1:5" x14ac:dyDescent="0.35">
      <c r="A1131" s="14"/>
      <c r="B1131" s="15"/>
      <c r="C1131" s="157"/>
      <c r="D1131" s="157"/>
      <c r="E1131" s="9"/>
    </row>
    <row r="1132" spans="1:5" x14ac:dyDescent="0.35">
      <c r="A1132" s="14"/>
      <c r="B1132" s="15"/>
      <c r="C1132" s="157"/>
      <c r="D1132" s="157"/>
      <c r="E1132" s="9"/>
    </row>
    <row r="1133" spans="1:5" x14ac:dyDescent="0.35">
      <c r="A1133" s="14"/>
      <c r="B1133" s="15"/>
      <c r="C1133" s="157"/>
      <c r="D1133" s="157"/>
      <c r="E1133" s="9"/>
    </row>
    <row r="1134" spans="1:5" x14ac:dyDescent="0.35">
      <c r="A1134" s="14"/>
      <c r="B1134" s="15"/>
      <c r="C1134" s="157"/>
      <c r="D1134" s="157"/>
      <c r="E1134" s="9"/>
    </row>
    <row r="1135" spans="1:5" x14ac:dyDescent="0.35">
      <c r="A1135" s="14"/>
      <c r="B1135" s="15"/>
      <c r="C1135" s="157"/>
      <c r="D1135" s="157"/>
      <c r="E1135" s="9"/>
    </row>
    <row r="1136" spans="1:5" x14ac:dyDescent="0.35">
      <c r="A1136" s="14"/>
      <c r="B1136" s="15"/>
      <c r="C1136" s="157"/>
      <c r="D1136" s="157"/>
      <c r="E1136" s="9"/>
    </row>
    <row r="1137" spans="1:5" x14ac:dyDescent="0.35">
      <c r="A1137" s="14"/>
      <c r="B1137" s="15"/>
      <c r="C1137" s="157"/>
      <c r="D1137" s="157"/>
      <c r="E1137" s="9"/>
    </row>
    <row r="1138" spans="1:5" x14ac:dyDescent="0.35">
      <c r="A1138" s="14"/>
      <c r="B1138" s="15"/>
      <c r="C1138" s="157"/>
      <c r="D1138" s="157"/>
      <c r="E1138" s="9"/>
    </row>
    <row r="1139" spans="1:5" x14ac:dyDescent="0.35">
      <c r="A1139" s="14"/>
      <c r="B1139" s="15"/>
      <c r="C1139" s="157"/>
      <c r="D1139" s="157"/>
      <c r="E1139" s="9"/>
    </row>
    <row r="1140" spans="1:5" x14ac:dyDescent="0.35">
      <c r="A1140" s="14"/>
      <c r="B1140" s="15"/>
      <c r="C1140" s="157"/>
      <c r="D1140" s="157"/>
      <c r="E1140" s="9"/>
    </row>
    <row r="1141" spans="1:5" x14ac:dyDescent="0.35">
      <c r="A1141" s="14"/>
      <c r="B1141" s="15"/>
      <c r="C1141" s="157"/>
      <c r="D1141" s="157"/>
      <c r="E1141" s="9"/>
    </row>
    <row r="1142" spans="1:5" x14ac:dyDescent="0.35">
      <c r="A1142" s="14"/>
      <c r="B1142" s="15"/>
      <c r="C1142" s="157"/>
      <c r="D1142" s="157"/>
      <c r="E1142" s="9"/>
    </row>
    <row r="1143" spans="1:5" x14ac:dyDescent="0.35">
      <c r="A1143" s="14"/>
      <c r="B1143" s="15"/>
      <c r="C1143" s="157"/>
      <c r="D1143" s="157"/>
      <c r="E1143" s="9"/>
    </row>
    <row r="1144" spans="1:5" x14ac:dyDescent="0.35">
      <c r="A1144" s="14"/>
      <c r="B1144" s="15"/>
      <c r="C1144" s="157"/>
      <c r="D1144" s="157"/>
      <c r="E1144" s="9"/>
    </row>
    <row r="1145" spans="1:5" x14ac:dyDescent="0.35">
      <c r="A1145" s="14"/>
      <c r="B1145" s="15"/>
      <c r="C1145" s="157"/>
      <c r="D1145" s="157"/>
      <c r="E1145" s="9"/>
    </row>
    <row r="1146" spans="1:5" x14ac:dyDescent="0.35">
      <c r="A1146" s="14"/>
      <c r="B1146" s="15"/>
      <c r="C1146" s="157"/>
      <c r="D1146" s="157"/>
      <c r="E1146" s="9"/>
    </row>
    <row r="1147" spans="1:5" x14ac:dyDescent="0.35">
      <c r="A1147" s="14"/>
      <c r="B1147" s="15"/>
      <c r="C1147" s="157"/>
      <c r="D1147" s="157"/>
      <c r="E1147" s="9"/>
    </row>
    <row r="1148" spans="1:5" x14ac:dyDescent="0.35">
      <c r="A1148" s="14"/>
      <c r="B1148" s="15"/>
      <c r="C1148" s="157"/>
      <c r="D1148" s="157"/>
      <c r="E1148" s="9"/>
    </row>
    <row r="1149" spans="1:5" x14ac:dyDescent="0.35">
      <c r="A1149" s="14"/>
      <c r="B1149" s="15"/>
      <c r="C1149" s="157"/>
      <c r="D1149" s="157"/>
      <c r="E1149" s="9"/>
    </row>
    <row r="1150" spans="1:5" x14ac:dyDescent="0.35">
      <c r="A1150" s="14"/>
      <c r="B1150" s="15"/>
      <c r="C1150" s="157"/>
      <c r="D1150" s="157"/>
      <c r="E1150" s="9"/>
    </row>
    <row r="1151" spans="1:5" x14ac:dyDescent="0.35">
      <c r="A1151" s="14"/>
      <c r="B1151" s="15"/>
      <c r="C1151" s="157"/>
      <c r="D1151" s="157"/>
      <c r="E1151" s="9"/>
    </row>
    <row r="1152" spans="1:5" x14ac:dyDescent="0.35">
      <c r="A1152" s="14"/>
      <c r="B1152" s="15"/>
      <c r="C1152" s="157"/>
      <c r="D1152" s="157"/>
      <c r="E1152" s="9"/>
    </row>
    <row r="1153" spans="1:5" x14ac:dyDescent="0.35">
      <c r="A1153" s="14"/>
      <c r="B1153" s="15"/>
      <c r="C1153" s="157"/>
      <c r="D1153" s="157"/>
      <c r="E1153" s="9"/>
    </row>
    <row r="1154" spans="1:5" x14ac:dyDescent="0.35">
      <c r="A1154" s="14"/>
      <c r="B1154" s="15"/>
      <c r="C1154" s="157"/>
      <c r="D1154" s="157"/>
      <c r="E1154" s="9"/>
    </row>
    <row r="1155" spans="1:5" x14ac:dyDescent="0.35">
      <c r="A1155" s="14"/>
      <c r="B1155" s="15"/>
      <c r="C1155" s="157"/>
      <c r="D1155" s="157"/>
      <c r="E1155" s="9"/>
    </row>
    <row r="1156" spans="1:5" x14ac:dyDescent="0.35">
      <c r="A1156" s="14"/>
      <c r="B1156" s="15"/>
      <c r="C1156" s="157"/>
      <c r="D1156" s="157"/>
      <c r="E1156" s="9"/>
    </row>
    <row r="1157" spans="1:5" x14ac:dyDescent="0.35">
      <c r="A1157" s="14"/>
      <c r="B1157" s="15"/>
      <c r="C1157" s="157"/>
      <c r="D1157" s="157"/>
      <c r="E1157" s="9"/>
    </row>
    <row r="1158" spans="1:5" x14ac:dyDescent="0.35">
      <c r="A1158" s="14"/>
      <c r="B1158" s="15"/>
      <c r="C1158" s="157"/>
      <c r="D1158" s="157"/>
      <c r="E1158" s="9"/>
    </row>
    <row r="1159" spans="1:5" x14ac:dyDescent="0.35">
      <c r="A1159" s="14"/>
      <c r="B1159" s="15"/>
      <c r="C1159" s="157"/>
      <c r="D1159" s="157"/>
      <c r="E1159" s="9"/>
    </row>
    <row r="1160" spans="1:5" x14ac:dyDescent="0.35">
      <c r="A1160" s="14"/>
      <c r="B1160" s="15"/>
      <c r="C1160" s="157"/>
      <c r="D1160" s="157"/>
      <c r="E1160" s="9"/>
    </row>
    <row r="1161" spans="1:5" x14ac:dyDescent="0.35">
      <c r="A1161" s="14"/>
      <c r="B1161" s="15"/>
      <c r="C1161" s="157"/>
      <c r="D1161" s="157"/>
      <c r="E1161" s="9"/>
    </row>
    <row r="1162" spans="1:5" x14ac:dyDescent="0.35">
      <c r="A1162" s="14"/>
      <c r="B1162" s="15"/>
      <c r="C1162" s="157"/>
      <c r="D1162" s="157"/>
      <c r="E1162" s="9"/>
    </row>
    <row r="1163" spans="1:5" x14ac:dyDescent="0.35">
      <c r="A1163" s="14"/>
      <c r="B1163" s="15"/>
      <c r="C1163" s="157"/>
      <c r="D1163" s="157"/>
      <c r="E1163" s="9"/>
    </row>
    <row r="1164" spans="1:5" x14ac:dyDescent="0.35">
      <c r="A1164" s="14"/>
      <c r="B1164" s="15"/>
      <c r="C1164" s="157"/>
      <c r="D1164" s="157"/>
      <c r="E1164" s="9"/>
    </row>
    <row r="1165" spans="1:5" x14ac:dyDescent="0.35">
      <c r="A1165" s="14"/>
      <c r="B1165" s="15"/>
      <c r="C1165" s="157"/>
      <c r="D1165" s="157"/>
      <c r="E1165" s="9"/>
    </row>
    <row r="1166" spans="1:5" x14ac:dyDescent="0.35">
      <c r="A1166" s="14"/>
      <c r="B1166" s="15"/>
      <c r="C1166" s="157"/>
      <c r="D1166" s="157"/>
      <c r="E1166" s="9"/>
    </row>
    <row r="1167" spans="1:5" x14ac:dyDescent="0.35">
      <c r="A1167" s="14"/>
      <c r="B1167" s="15"/>
      <c r="C1167" s="157"/>
      <c r="D1167" s="157"/>
      <c r="E1167" s="9"/>
    </row>
    <row r="1168" spans="1:5" x14ac:dyDescent="0.35">
      <c r="A1168" s="14"/>
      <c r="B1168" s="15"/>
      <c r="C1168" s="157"/>
      <c r="D1168" s="157"/>
      <c r="E1168" s="9"/>
    </row>
    <row r="1169" spans="1:5" x14ac:dyDescent="0.35">
      <c r="A1169" s="14"/>
      <c r="B1169" s="15"/>
      <c r="C1169" s="157"/>
      <c r="D1169" s="157"/>
      <c r="E1169" s="9"/>
    </row>
    <row r="1170" spans="1:5" x14ac:dyDescent="0.35">
      <c r="A1170" s="14"/>
      <c r="B1170" s="15"/>
      <c r="C1170" s="157"/>
      <c r="D1170" s="157"/>
      <c r="E1170" s="9"/>
    </row>
    <row r="1171" spans="1:5" x14ac:dyDescent="0.35">
      <c r="A1171" s="14"/>
      <c r="B1171" s="15"/>
      <c r="C1171" s="157"/>
      <c r="D1171" s="157"/>
      <c r="E1171" s="9"/>
    </row>
    <row r="1172" spans="1:5" x14ac:dyDescent="0.35">
      <c r="A1172" s="14"/>
      <c r="B1172" s="15"/>
      <c r="C1172" s="157"/>
      <c r="D1172" s="157"/>
      <c r="E1172" s="9"/>
    </row>
    <row r="1173" spans="1:5" x14ac:dyDescent="0.35">
      <c r="A1173" s="14"/>
      <c r="B1173" s="15"/>
      <c r="C1173" s="157"/>
      <c r="D1173" s="157"/>
      <c r="E1173" s="9"/>
    </row>
    <row r="1174" spans="1:5" x14ac:dyDescent="0.35">
      <c r="A1174" s="14"/>
      <c r="B1174" s="15"/>
      <c r="C1174" s="157"/>
      <c r="D1174" s="157"/>
      <c r="E1174" s="9"/>
    </row>
    <row r="1175" spans="1:5" x14ac:dyDescent="0.35">
      <c r="A1175" s="14"/>
      <c r="B1175" s="15"/>
      <c r="C1175" s="157"/>
      <c r="D1175" s="157"/>
      <c r="E1175" s="9"/>
    </row>
    <row r="1176" spans="1:5" x14ac:dyDescent="0.35">
      <c r="A1176" s="14"/>
      <c r="B1176" s="15"/>
      <c r="C1176" s="157"/>
      <c r="D1176" s="157"/>
      <c r="E1176" s="9"/>
    </row>
    <row r="1177" spans="1:5" x14ac:dyDescent="0.35">
      <c r="A1177" s="14"/>
      <c r="B1177" s="15"/>
      <c r="C1177" s="157"/>
      <c r="D1177" s="157"/>
      <c r="E1177" s="9"/>
    </row>
    <row r="1178" spans="1:5" x14ac:dyDescent="0.35">
      <c r="A1178" s="14"/>
      <c r="B1178" s="15"/>
      <c r="C1178" s="157"/>
      <c r="D1178" s="157"/>
      <c r="E1178" s="9"/>
    </row>
    <row r="1179" spans="1:5" x14ac:dyDescent="0.35">
      <c r="A1179" s="14"/>
      <c r="B1179" s="15"/>
      <c r="C1179" s="157"/>
      <c r="D1179" s="157"/>
      <c r="E1179" s="9"/>
    </row>
    <row r="1180" spans="1:5" x14ac:dyDescent="0.35">
      <c r="A1180" s="14"/>
      <c r="B1180" s="15"/>
      <c r="C1180" s="157"/>
      <c r="D1180" s="157"/>
      <c r="E1180" s="9"/>
    </row>
    <row r="1181" spans="1:5" x14ac:dyDescent="0.35">
      <c r="A1181" s="14"/>
      <c r="B1181" s="15"/>
      <c r="C1181" s="157"/>
      <c r="D1181" s="157"/>
      <c r="E1181" s="9"/>
    </row>
    <row r="1182" spans="1:5" x14ac:dyDescent="0.35">
      <c r="A1182" s="14"/>
      <c r="B1182" s="15"/>
      <c r="C1182" s="157"/>
      <c r="D1182" s="157"/>
      <c r="E1182" s="9"/>
    </row>
    <row r="1183" spans="1:5" x14ac:dyDescent="0.35">
      <c r="A1183" s="14"/>
      <c r="B1183" s="15"/>
      <c r="C1183" s="157"/>
      <c r="D1183" s="157"/>
      <c r="E1183" s="9"/>
    </row>
    <row r="1184" spans="1:5" x14ac:dyDescent="0.35">
      <c r="A1184" s="14"/>
      <c r="B1184" s="15"/>
      <c r="C1184" s="157"/>
      <c r="D1184" s="157"/>
      <c r="E1184" s="9"/>
    </row>
    <row r="1185" spans="1:5" x14ac:dyDescent="0.35">
      <c r="A1185" s="14"/>
      <c r="B1185" s="15"/>
      <c r="C1185" s="157"/>
      <c r="D1185" s="157"/>
      <c r="E1185" s="9"/>
    </row>
    <row r="1186" spans="1:5" x14ac:dyDescent="0.35">
      <c r="A1186" s="14"/>
      <c r="B1186" s="15"/>
      <c r="C1186" s="157"/>
      <c r="D1186" s="157"/>
      <c r="E1186" s="9"/>
    </row>
    <row r="1187" spans="1:5" x14ac:dyDescent="0.35">
      <c r="A1187" s="14"/>
      <c r="B1187" s="15"/>
      <c r="C1187" s="157"/>
      <c r="D1187" s="157"/>
      <c r="E1187" s="9"/>
    </row>
    <row r="1188" spans="1:5" x14ac:dyDescent="0.35">
      <c r="A1188" s="14"/>
      <c r="B1188" s="15"/>
      <c r="C1188" s="157"/>
      <c r="D1188" s="157"/>
      <c r="E1188" s="9"/>
    </row>
    <row r="1189" spans="1:5" x14ac:dyDescent="0.35">
      <c r="A1189" s="14"/>
      <c r="B1189" s="15"/>
      <c r="C1189" s="157"/>
      <c r="D1189" s="157"/>
      <c r="E1189" s="9"/>
    </row>
    <row r="1190" spans="1:5" x14ac:dyDescent="0.35">
      <c r="A1190" s="14"/>
      <c r="B1190" s="15"/>
      <c r="C1190" s="157"/>
      <c r="D1190" s="157"/>
      <c r="E1190" s="9"/>
    </row>
    <row r="1191" spans="1:5" x14ac:dyDescent="0.35">
      <c r="A1191" s="14"/>
      <c r="B1191" s="15"/>
      <c r="C1191" s="157"/>
      <c r="D1191" s="157"/>
      <c r="E1191" s="9"/>
    </row>
    <row r="1192" spans="1:5" x14ac:dyDescent="0.35">
      <c r="A1192" s="14"/>
      <c r="B1192" s="15"/>
      <c r="C1192" s="157"/>
      <c r="D1192" s="157"/>
      <c r="E1192" s="9"/>
    </row>
    <row r="1193" spans="1:5" x14ac:dyDescent="0.35">
      <c r="A1193" s="14"/>
      <c r="B1193" s="15"/>
      <c r="C1193" s="157"/>
      <c r="D1193" s="157"/>
      <c r="E1193" s="9"/>
    </row>
    <row r="1194" spans="1:5" x14ac:dyDescent="0.35">
      <c r="A1194" s="14"/>
      <c r="B1194" s="15"/>
      <c r="C1194" s="157"/>
      <c r="D1194" s="157"/>
      <c r="E1194" s="9"/>
    </row>
    <row r="1195" spans="1:5" x14ac:dyDescent="0.35">
      <c r="A1195" s="14"/>
      <c r="B1195" s="15"/>
      <c r="C1195" s="157"/>
      <c r="D1195" s="157"/>
      <c r="E1195" s="9"/>
    </row>
    <row r="1196" spans="1:5" x14ac:dyDescent="0.35">
      <c r="A1196" s="14"/>
      <c r="B1196" s="15"/>
      <c r="C1196" s="157"/>
      <c r="D1196" s="157"/>
      <c r="E1196" s="9"/>
    </row>
    <row r="1197" spans="1:5" x14ac:dyDescent="0.35">
      <c r="A1197" s="14"/>
      <c r="B1197" s="15"/>
      <c r="C1197" s="157"/>
      <c r="D1197" s="157"/>
      <c r="E1197" s="9"/>
    </row>
    <row r="1198" spans="1:5" x14ac:dyDescent="0.35">
      <c r="A1198" s="14"/>
      <c r="B1198" s="15"/>
      <c r="C1198" s="157"/>
      <c r="D1198" s="157"/>
      <c r="E1198" s="9"/>
    </row>
    <row r="1199" spans="1:5" x14ac:dyDescent="0.35">
      <c r="A1199" s="14"/>
      <c r="B1199" s="15"/>
      <c r="C1199" s="157"/>
      <c r="D1199" s="157"/>
      <c r="E1199" s="9"/>
    </row>
    <row r="1200" spans="1:5" x14ac:dyDescent="0.35">
      <c r="A1200" s="14"/>
      <c r="B1200" s="15"/>
      <c r="C1200" s="157"/>
      <c r="D1200" s="157"/>
      <c r="E1200" s="9"/>
    </row>
    <row r="1201" spans="1:5" x14ac:dyDescent="0.35">
      <c r="A1201" s="14"/>
      <c r="B1201" s="15"/>
      <c r="C1201" s="157"/>
      <c r="D1201" s="157"/>
      <c r="E1201" s="9"/>
    </row>
    <row r="1202" spans="1:5" x14ac:dyDescent="0.35">
      <c r="A1202" s="14"/>
      <c r="B1202" s="15"/>
      <c r="C1202" s="157"/>
      <c r="D1202" s="157"/>
      <c r="E1202" s="9"/>
    </row>
    <row r="1203" spans="1:5" x14ac:dyDescent="0.35">
      <c r="A1203" s="14"/>
      <c r="B1203" s="15"/>
      <c r="C1203" s="157"/>
      <c r="D1203" s="157"/>
      <c r="E1203" s="9"/>
    </row>
    <row r="1204" spans="1:5" x14ac:dyDescent="0.35">
      <c r="A1204" s="14"/>
      <c r="B1204" s="15"/>
      <c r="C1204" s="157"/>
      <c r="D1204" s="157"/>
      <c r="E1204" s="9"/>
    </row>
    <row r="1205" spans="1:5" x14ac:dyDescent="0.35">
      <c r="A1205" s="14"/>
      <c r="B1205" s="15"/>
      <c r="C1205" s="157"/>
      <c r="D1205" s="157"/>
      <c r="E1205" s="9"/>
    </row>
    <row r="1206" spans="1:5" x14ac:dyDescent="0.35">
      <c r="A1206" s="14"/>
      <c r="B1206" s="15"/>
      <c r="C1206" s="157"/>
      <c r="D1206" s="157"/>
      <c r="E1206" s="9"/>
    </row>
    <row r="1207" spans="1:5" x14ac:dyDescent="0.35">
      <c r="A1207" s="14"/>
      <c r="B1207" s="15"/>
      <c r="C1207" s="157"/>
      <c r="D1207" s="157"/>
      <c r="E1207" s="9"/>
    </row>
    <row r="1208" spans="1:5" x14ac:dyDescent="0.35">
      <c r="A1208" s="14"/>
      <c r="B1208" s="15"/>
      <c r="C1208" s="157"/>
      <c r="D1208" s="157"/>
      <c r="E1208" s="9"/>
    </row>
    <row r="1209" spans="1:5" x14ac:dyDescent="0.35">
      <c r="A1209" s="14"/>
      <c r="B1209" s="15"/>
      <c r="C1209" s="157"/>
      <c r="D1209" s="157"/>
      <c r="E1209" s="9"/>
    </row>
    <row r="1210" spans="1:5" x14ac:dyDescent="0.35">
      <c r="A1210" s="14"/>
      <c r="B1210" s="15"/>
      <c r="C1210" s="157"/>
      <c r="D1210" s="157"/>
      <c r="E1210" s="9"/>
    </row>
    <row r="1211" spans="1:5" x14ac:dyDescent="0.35">
      <c r="A1211" s="14"/>
      <c r="B1211" s="15"/>
      <c r="C1211" s="157"/>
      <c r="D1211" s="157"/>
      <c r="E1211" s="9"/>
    </row>
    <row r="1212" spans="1:5" x14ac:dyDescent="0.35">
      <c r="A1212" s="14"/>
      <c r="B1212" s="15"/>
      <c r="C1212" s="157"/>
      <c r="D1212" s="157"/>
      <c r="E1212" s="9"/>
    </row>
    <row r="1213" spans="1:5" x14ac:dyDescent="0.35">
      <c r="A1213" s="14"/>
      <c r="B1213" s="15"/>
      <c r="C1213" s="157"/>
      <c r="D1213" s="157"/>
      <c r="E1213" s="9"/>
    </row>
    <row r="1214" spans="1:5" x14ac:dyDescent="0.35">
      <c r="A1214" s="14"/>
      <c r="B1214" s="15"/>
      <c r="C1214" s="157"/>
      <c r="D1214" s="157"/>
      <c r="E1214" s="9"/>
    </row>
    <row r="1215" spans="1:5" x14ac:dyDescent="0.35">
      <c r="A1215" s="14"/>
      <c r="B1215" s="15"/>
      <c r="C1215" s="157"/>
      <c r="D1215" s="157"/>
      <c r="E1215" s="9"/>
    </row>
    <row r="1216" spans="1:5" x14ac:dyDescent="0.35">
      <c r="A1216" s="14"/>
      <c r="B1216" s="15"/>
      <c r="C1216" s="157"/>
      <c r="D1216" s="157"/>
      <c r="E1216" s="9"/>
    </row>
    <row r="1217" spans="1:5" x14ac:dyDescent="0.35">
      <c r="A1217" s="14"/>
      <c r="B1217" s="15"/>
      <c r="C1217" s="157"/>
      <c r="D1217" s="157"/>
      <c r="E1217" s="9"/>
    </row>
    <row r="1218" spans="1:5" x14ac:dyDescent="0.35">
      <c r="A1218" s="14"/>
      <c r="B1218" s="15"/>
      <c r="C1218" s="157"/>
      <c r="D1218" s="157"/>
      <c r="E1218" s="9"/>
    </row>
    <row r="1219" spans="1:5" x14ac:dyDescent="0.35">
      <c r="A1219" s="14"/>
      <c r="B1219" s="15"/>
      <c r="C1219" s="157"/>
      <c r="D1219" s="157"/>
      <c r="E1219" s="9"/>
    </row>
    <row r="1220" spans="1:5" x14ac:dyDescent="0.35">
      <c r="A1220" s="14"/>
      <c r="B1220" s="15"/>
      <c r="C1220" s="157"/>
      <c r="D1220" s="157"/>
      <c r="E1220" s="9"/>
    </row>
    <row r="1221" spans="1:5" x14ac:dyDescent="0.35">
      <c r="A1221" s="14"/>
      <c r="B1221" s="15"/>
      <c r="C1221" s="157"/>
      <c r="D1221" s="157"/>
      <c r="E1221" s="9"/>
    </row>
    <row r="1222" spans="1:5" x14ac:dyDescent="0.35">
      <c r="A1222" s="14"/>
      <c r="B1222" s="15"/>
      <c r="C1222" s="157"/>
      <c r="D1222" s="157"/>
      <c r="E1222" s="9"/>
    </row>
    <row r="1223" spans="1:5" x14ac:dyDescent="0.35">
      <c r="A1223" s="14"/>
      <c r="B1223" s="15"/>
      <c r="C1223" s="157"/>
      <c r="D1223" s="157"/>
      <c r="E1223" s="9"/>
    </row>
    <row r="1224" spans="1:5" x14ac:dyDescent="0.35">
      <c r="A1224" s="14"/>
      <c r="B1224" s="15"/>
      <c r="C1224" s="157"/>
      <c r="D1224" s="157"/>
      <c r="E1224" s="9"/>
    </row>
    <row r="1225" spans="1:5" x14ac:dyDescent="0.35">
      <c r="A1225" s="14"/>
      <c r="B1225" s="15"/>
      <c r="C1225" s="157"/>
      <c r="D1225" s="157"/>
      <c r="E1225" s="9"/>
    </row>
    <row r="1226" spans="1:5" x14ac:dyDescent="0.35">
      <c r="A1226" s="14"/>
      <c r="B1226" s="15"/>
      <c r="C1226" s="157"/>
      <c r="D1226" s="157"/>
      <c r="E1226" s="9"/>
    </row>
    <row r="1227" spans="1:5" x14ac:dyDescent="0.35">
      <c r="A1227" s="14"/>
      <c r="B1227" s="15"/>
      <c r="C1227" s="157"/>
      <c r="D1227" s="157"/>
      <c r="E1227" s="9"/>
    </row>
    <row r="1228" spans="1:5" x14ac:dyDescent="0.35">
      <c r="A1228" s="14"/>
      <c r="B1228" s="15"/>
      <c r="C1228" s="157"/>
      <c r="D1228" s="157"/>
      <c r="E1228" s="9"/>
    </row>
    <row r="1229" spans="1:5" x14ac:dyDescent="0.35">
      <c r="A1229" s="14"/>
      <c r="B1229" s="15"/>
      <c r="C1229" s="157"/>
      <c r="D1229" s="157"/>
      <c r="E1229" s="9"/>
    </row>
    <row r="1230" spans="1:5" x14ac:dyDescent="0.35">
      <c r="A1230" s="14"/>
      <c r="B1230" s="15"/>
      <c r="C1230" s="157"/>
      <c r="D1230" s="157"/>
      <c r="E1230" s="9"/>
    </row>
    <row r="1231" spans="1:5" x14ac:dyDescent="0.35">
      <c r="A1231" s="14"/>
      <c r="B1231" s="15"/>
      <c r="C1231" s="157"/>
      <c r="D1231" s="157"/>
      <c r="E1231" s="9"/>
    </row>
    <row r="1232" spans="1:5" x14ac:dyDescent="0.35">
      <c r="A1232" s="14"/>
      <c r="B1232" s="15"/>
      <c r="C1232" s="157"/>
      <c r="D1232" s="157"/>
      <c r="E1232" s="9"/>
    </row>
    <row r="1233" spans="1:5" x14ac:dyDescent="0.35">
      <c r="A1233" s="14"/>
      <c r="B1233" s="15"/>
      <c r="C1233" s="157"/>
      <c r="D1233" s="157"/>
      <c r="E1233" s="9"/>
    </row>
    <row r="1234" spans="1:5" x14ac:dyDescent="0.35">
      <c r="A1234" s="14"/>
      <c r="B1234" s="15"/>
      <c r="C1234" s="157"/>
      <c r="D1234" s="157"/>
      <c r="E1234" s="9"/>
    </row>
    <row r="1235" spans="1:5" x14ac:dyDescent="0.35">
      <c r="A1235" s="14"/>
      <c r="B1235" s="15"/>
      <c r="C1235" s="157"/>
      <c r="D1235" s="157"/>
      <c r="E1235" s="9"/>
    </row>
    <row r="1236" spans="1:5" x14ac:dyDescent="0.35">
      <c r="A1236" s="14"/>
      <c r="B1236" s="15"/>
      <c r="C1236" s="157"/>
      <c r="D1236" s="157"/>
      <c r="E1236" s="9"/>
    </row>
    <row r="1237" spans="1:5" x14ac:dyDescent="0.35">
      <c r="A1237" s="14"/>
      <c r="B1237" s="15"/>
      <c r="C1237" s="157"/>
      <c r="D1237" s="157"/>
      <c r="E1237" s="9"/>
    </row>
    <row r="1238" spans="1:5" x14ac:dyDescent="0.35">
      <c r="A1238" s="14"/>
      <c r="B1238" s="15"/>
      <c r="C1238" s="157"/>
      <c r="D1238" s="157"/>
      <c r="E1238" s="9"/>
    </row>
    <row r="1239" spans="1:5" x14ac:dyDescent="0.35">
      <c r="A1239" s="14"/>
      <c r="B1239" s="15"/>
      <c r="C1239" s="157"/>
      <c r="D1239" s="157"/>
      <c r="E1239" s="9"/>
    </row>
    <row r="1240" spans="1:5" x14ac:dyDescent="0.35">
      <c r="A1240" s="14"/>
      <c r="B1240" s="15"/>
      <c r="C1240" s="157"/>
      <c r="D1240" s="157"/>
      <c r="E1240" s="9"/>
    </row>
    <row r="1241" spans="1:5" x14ac:dyDescent="0.35">
      <c r="A1241" s="14"/>
      <c r="B1241" s="15"/>
      <c r="C1241" s="157"/>
      <c r="D1241" s="157"/>
      <c r="E1241" s="9"/>
    </row>
    <row r="1242" spans="1:5" x14ac:dyDescent="0.35">
      <c r="A1242" s="14"/>
      <c r="B1242" s="15"/>
      <c r="C1242" s="157"/>
      <c r="D1242" s="157"/>
      <c r="E1242" s="9"/>
    </row>
    <row r="1243" spans="1:5" x14ac:dyDescent="0.35">
      <c r="A1243" s="14"/>
      <c r="B1243" s="15"/>
      <c r="C1243" s="157"/>
      <c r="D1243" s="157"/>
      <c r="E1243" s="9"/>
    </row>
    <row r="1244" spans="1:5" x14ac:dyDescent="0.35">
      <c r="A1244" s="14"/>
      <c r="B1244" s="15"/>
      <c r="C1244" s="157"/>
      <c r="D1244" s="157"/>
      <c r="E1244" s="9"/>
    </row>
    <row r="1245" spans="1:5" x14ac:dyDescent="0.35">
      <c r="A1245" s="14"/>
      <c r="B1245" s="15"/>
      <c r="C1245" s="157"/>
      <c r="D1245" s="157"/>
      <c r="E1245" s="9"/>
    </row>
    <row r="1246" spans="1:5" x14ac:dyDescent="0.35">
      <c r="A1246" s="14"/>
      <c r="B1246" s="15"/>
      <c r="C1246" s="157"/>
      <c r="D1246" s="157"/>
      <c r="E1246" s="9"/>
    </row>
    <row r="1247" spans="1:5" x14ac:dyDescent="0.35">
      <c r="A1247" s="14"/>
      <c r="B1247" s="15"/>
      <c r="C1247" s="157"/>
      <c r="D1247" s="157"/>
      <c r="E1247" s="9"/>
    </row>
    <row r="1248" spans="1:5" x14ac:dyDescent="0.35">
      <c r="A1248" s="14"/>
      <c r="B1248" s="15"/>
      <c r="C1248" s="157"/>
      <c r="D1248" s="157"/>
      <c r="E1248" s="9"/>
    </row>
    <row r="1249" spans="1:5" x14ac:dyDescent="0.35">
      <c r="A1249" s="14"/>
      <c r="B1249" s="15"/>
      <c r="C1249" s="157"/>
      <c r="D1249" s="157"/>
      <c r="E1249" s="9"/>
    </row>
    <row r="1250" spans="1:5" x14ac:dyDescent="0.35">
      <c r="A1250" s="14"/>
      <c r="B1250" s="15"/>
      <c r="C1250" s="157"/>
      <c r="D1250" s="157"/>
      <c r="E1250" s="9"/>
    </row>
    <row r="1251" spans="1:5" x14ac:dyDescent="0.35">
      <c r="A1251" s="14"/>
      <c r="B1251" s="15"/>
      <c r="C1251" s="157"/>
      <c r="D1251" s="157"/>
      <c r="E1251" s="9"/>
    </row>
    <row r="1252" spans="1:5" x14ac:dyDescent="0.35">
      <c r="A1252" s="14"/>
      <c r="B1252" s="15"/>
      <c r="C1252" s="157"/>
      <c r="D1252" s="157"/>
      <c r="E1252" s="9"/>
    </row>
    <row r="1253" spans="1:5" x14ac:dyDescent="0.35">
      <c r="A1253" s="14"/>
      <c r="B1253" s="15"/>
      <c r="C1253" s="157"/>
      <c r="D1253" s="157"/>
      <c r="E1253" s="9"/>
    </row>
    <row r="1254" spans="1:5" x14ac:dyDescent="0.35">
      <c r="A1254" s="14"/>
      <c r="B1254" s="15"/>
      <c r="C1254" s="157"/>
      <c r="D1254" s="157"/>
      <c r="E1254" s="9"/>
    </row>
    <row r="1255" spans="1:5" x14ac:dyDescent="0.35">
      <c r="A1255" s="14"/>
      <c r="B1255" s="15"/>
      <c r="C1255" s="157"/>
      <c r="D1255" s="157"/>
      <c r="E1255" s="9"/>
    </row>
    <row r="1256" spans="1:5" x14ac:dyDescent="0.35">
      <c r="A1256" s="14"/>
      <c r="B1256" s="15"/>
      <c r="C1256" s="157"/>
      <c r="D1256" s="157"/>
      <c r="E1256" s="9"/>
    </row>
    <row r="1257" spans="1:5" x14ac:dyDescent="0.35">
      <c r="A1257" s="14"/>
      <c r="B1257" s="15"/>
      <c r="C1257" s="157"/>
      <c r="D1257" s="157"/>
      <c r="E1257" s="9"/>
    </row>
    <row r="1258" spans="1:5" x14ac:dyDescent="0.35">
      <c r="A1258" s="14"/>
      <c r="B1258" s="15"/>
      <c r="C1258" s="157"/>
      <c r="D1258" s="157"/>
      <c r="E1258" s="9"/>
    </row>
    <row r="1259" spans="1:5" x14ac:dyDescent="0.35">
      <c r="A1259" s="14"/>
      <c r="B1259" s="15"/>
      <c r="C1259" s="157"/>
      <c r="D1259" s="157"/>
      <c r="E1259" s="9"/>
    </row>
    <row r="1260" spans="1:5" x14ac:dyDescent="0.35">
      <c r="A1260" s="14"/>
      <c r="B1260" s="15"/>
      <c r="C1260" s="157"/>
      <c r="D1260" s="157"/>
      <c r="E1260" s="9"/>
    </row>
    <row r="1261" spans="1:5" x14ac:dyDescent="0.35">
      <c r="A1261" s="14"/>
      <c r="B1261" s="15"/>
      <c r="C1261" s="157"/>
      <c r="D1261" s="157"/>
      <c r="E1261" s="9"/>
    </row>
    <row r="1262" spans="1:5" x14ac:dyDescent="0.35">
      <c r="A1262" s="14"/>
      <c r="B1262" s="15"/>
      <c r="C1262" s="157"/>
      <c r="D1262" s="157"/>
      <c r="E1262" s="9"/>
    </row>
    <row r="1263" spans="1:5" x14ac:dyDescent="0.35">
      <c r="A1263" s="14"/>
      <c r="B1263" s="15"/>
      <c r="C1263" s="157"/>
      <c r="D1263" s="157"/>
      <c r="E1263" s="9"/>
    </row>
    <row r="1264" spans="1:5" x14ac:dyDescent="0.35">
      <c r="A1264" s="14"/>
      <c r="B1264" s="15"/>
      <c r="C1264" s="157"/>
      <c r="D1264" s="157"/>
      <c r="E1264" s="9"/>
    </row>
    <row r="1265" spans="1:5" x14ac:dyDescent="0.35">
      <c r="A1265" s="14"/>
      <c r="B1265" s="15"/>
      <c r="C1265" s="157"/>
      <c r="D1265" s="157"/>
      <c r="E1265" s="9"/>
    </row>
    <row r="1266" spans="1:5" x14ac:dyDescent="0.35">
      <c r="A1266" s="14"/>
      <c r="B1266" s="15"/>
      <c r="C1266" s="157"/>
      <c r="D1266" s="157"/>
      <c r="E1266" s="9"/>
    </row>
    <row r="1267" spans="1:5" x14ac:dyDescent="0.35">
      <c r="A1267" s="14"/>
      <c r="B1267" s="15"/>
      <c r="C1267" s="157"/>
      <c r="D1267" s="157"/>
      <c r="E1267" s="9"/>
    </row>
    <row r="1268" spans="1:5" x14ac:dyDescent="0.35">
      <c r="A1268" s="14"/>
      <c r="B1268" s="15"/>
      <c r="C1268" s="157"/>
      <c r="D1268" s="157"/>
      <c r="E1268" s="9"/>
    </row>
    <row r="1269" spans="1:5" x14ac:dyDescent="0.35">
      <c r="A1269" s="14"/>
      <c r="B1269" s="15"/>
      <c r="C1269" s="157"/>
      <c r="D1269" s="157"/>
      <c r="E1269" s="9"/>
    </row>
    <row r="1270" spans="1:5" x14ac:dyDescent="0.35">
      <c r="A1270" s="14"/>
      <c r="B1270" s="15"/>
      <c r="C1270" s="157"/>
      <c r="D1270" s="157"/>
      <c r="E1270" s="9"/>
    </row>
    <row r="1271" spans="1:5" x14ac:dyDescent="0.35">
      <c r="A1271" s="14"/>
      <c r="B1271" s="15"/>
      <c r="C1271" s="157"/>
      <c r="D1271" s="157"/>
      <c r="E1271" s="9"/>
    </row>
    <row r="1272" spans="1:5" x14ac:dyDescent="0.35">
      <c r="A1272" s="14"/>
      <c r="B1272" s="15"/>
      <c r="C1272" s="157"/>
      <c r="D1272" s="157"/>
      <c r="E1272" s="9"/>
    </row>
    <row r="1273" spans="1:5" x14ac:dyDescent="0.35">
      <c r="A1273" s="14"/>
      <c r="B1273" s="15"/>
      <c r="C1273" s="157"/>
      <c r="D1273" s="157"/>
      <c r="E1273" s="9"/>
    </row>
    <row r="1274" spans="1:5" x14ac:dyDescent="0.35">
      <c r="A1274" s="14"/>
      <c r="B1274" s="15"/>
      <c r="C1274" s="157"/>
      <c r="D1274" s="157"/>
      <c r="E1274" s="9"/>
    </row>
    <row r="1275" spans="1:5" x14ac:dyDescent="0.35">
      <c r="A1275" s="14"/>
      <c r="B1275" s="15"/>
      <c r="C1275" s="157"/>
      <c r="D1275" s="157"/>
      <c r="E1275" s="9"/>
    </row>
    <row r="1276" spans="1:5" x14ac:dyDescent="0.35">
      <c r="A1276" s="14"/>
      <c r="B1276" s="15"/>
      <c r="C1276" s="157"/>
      <c r="D1276" s="157"/>
      <c r="E1276" s="9"/>
    </row>
    <row r="1277" spans="1:5" x14ac:dyDescent="0.35">
      <c r="A1277" s="14"/>
      <c r="B1277" s="15"/>
      <c r="C1277" s="157"/>
      <c r="D1277" s="157"/>
      <c r="E1277" s="9"/>
    </row>
    <row r="1278" spans="1:5" x14ac:dyDescent="0.35">
      <c r="A1278" s="14"/>
      <c r="B1278" s="15"/>
      <c r="C1278" s="157"/>
      <c r="D1278" s="157"/>
      <c r="E1278" s="9"/>
    </row>
    <row r="1279" spans="1:5" x14ac:dyDescent="0.35">
      <c r="A1279" s="14"/>
      <c r="B1279" s="15"/>
      <c r="C1279" s="157"/>
      <c r="D1279" s="157"/>
      <c r="E1279" s="9"/>
    </row>
    <row r="1280" spans="1:5" x14ac:dyDescent="0.35">
      <c r="A1280" s="14"/>
      <c r="B1280" s="15"/>
      <c r="C1280" s="157"/>
      <c r="D1280" s="157"/>
      <c r="E1280" s="9"/>
    </row>
    <row r="1281" spans="1:5" x14ac:dyDescent="0.35">
      <c r="A1281" s="14"/>
      <c r="B1281" s="15"/>
      <c r="C1281" s="157"/>
      <c r="D1281" s="157"/>
      <c r="E1281" s="9"/>
    </row>
    <row r="1282" spans="1:5" x14ac:dyDescent="0.35">
      <c r="A1282" s="14"/>
      <c r="B1282" s="15"/>
      <c r="C1282" s="157"/>
      <c r="D1282" s="157"/>
      <c r="E1282" s="9"/>
    </row>
    <row r="1283" spans="1:5" x14ac:dyDescent="0.35">
      <c r="A1283" s="14"/>
      <c r="B1283" s="15"/>
      <c r="C1283" s="157"/>
      <c r="D1283" s="157"/>
      <c r="E1283" s="9"/>
    </row>
    <row r="1284" spans="1:5" x14ac:dyDescent="0.35">
      <c r="A1284" s="14"/>
      <c r="B1284" s="15"/>
      <c r="C1284" s="157"/>
      <c r="D1284" s="157"/>
      <c r="E1284" s="9"/>
    </row>
    <row r="1285" spans="1:5" x14ac:dyDescent="0.35">
      <c r="A1285" s="14"/>
      <c r="B1285" s="15"/>
      <c r="C1285" s="157"/>
      <c r="D1285" s="157"/>
      <c r="E1285" s="9"/>
    </row>
    <row r="1286" spans="1:5" x14ac:dyDescent="0.35">
      <c r="A1286" s="14"/>
      <c r="B1286" s="15"/>
      <c r="C1286" s="157"/>
      <c r="D1286" s="157"/>
      <c r="E1286" s="9"/>
    </row>
    <row r="1287" spans="1:5" x14ac:dyDescent="0.35">
      <c r="A1287" s="14"/>
      <c r="B1287" s="15"/>
      <c r="C1287" s="157"/>
      <c r="D1287" s="157"/>
      <c r="E1287" s="9"/>
    </row>
    <row r="1288" spans="1:5" x14ac:dyDescent="0.35">
      <c r="A1288" s="14"/>
      <c r="B1288" s="15"/>
      <c r="C1288" s="157"/>
      <c r="D1288" s="157"/>
      <c r="E1288" s="9"/>
    </row>
    <row r="1289" spans="1:5" x14ac:dyDescent="0.35">
      <c r="A1289" s="14"/>
      <c r="B1289" s="15"/>
      <c r="C1289" s="157"/>
      <c r="D1289" s="157"/>
      <c r="E1289" s="9"/>
    </row>
    <row r="1290" spans="1:5" x14ac:dyDescent="0.35">
      <c r="A1290" s="14"/>
      <c r="B1290" s="15"/>
      <c r="C1290" s="157"/>
      <c r="D1290" s="157"/>
      <c r="E1290" s="9"/>
    </row>
    <row r="1291" spans="1:5" x14ac:dyDescent="0.35">
      <c r="A1291" s="14"/>
      <c r="B1291" s="15"/>
      <c r="C1291" s="157"/>
      <c r="D1291" s="157"/>
      <c r="E1291" s="9"/>
    </row>
    <row r="1292" spans="1:5" x14ac:dyDescent="0.35">
      <c r="A1292" s="14"/>
      <c r="B1292" s="15"/>
      <c r="C1292" s="157"/>
      <c r="D1292" s="157"/>
      <c r="E1292" s="9"/>
    </row>
    <row r="1293" spans="1:5" x14ac:dyDescent="0.35">
      <c r="A1293" s="14"/>
      <c r="B1293" s="15"/>
      <c r="C1293" s="157"/>
      <c r="D1293" s="157"/>
      <c r="E1293" s="9"/>
    </row>
    <row r="1294" spans="1:5" x14ac:dyDescent="0.35">
      <c r="A1294" s="14"/>
      <c r="B1294" s="15"/>
      <c r="C1294" s="157"/>
      <c r="D1294" s="157"/>
      <c r="E1294" s="9"/>
    </row>
    <row r="1295" spans="1:5" x14ac:dyDescent="0.35">
      <c r="A1295" s="14"/>
      <c r="B1295" s="15"/>
      <c r="C1295" s="157"/>
      <c r="D1295" s="157"/>
      <c r="E1295" s="9"/>
    </row>
    <row r="1296" spans="1:5" x14ac:dyDescent="0.35">
      <c r="A1296" s="14"/>
      <c r="B1296" s="15"/>
      <c r="C1296" s="157"/>
      <c r="D1296" s="157"/>
      <c r="E1296" s="9"/>
    </row>
    <row r="1297" spans="1:5" x14ac:dyDescent="0.35">
      <c r="A1297" s="14"/>
      <c r="B1297" s="15"/>
      <c r="C1297" s="157"/>
      <c r="D1297" s="157"/>
      <c r="E1297" s="9"/>
    </row>
    <row r="1298" spans="1:5" x14ac:dyDescent="0.35">
      <c r="A1298" s="14"/>
      <c r="B1298" s="15"/>
      <c r="C1298" s="157"/>
      <c r="D1298" s="157"/>
      <c r="E1298" s="9"/>
    </row>
    <row r="1299" spans="1:5" x14ac:dyDescent="0.35">
      <c r="A1299" s="14"/>
      <c r="B1299" s="15"/>
      <c r="C1299" s="157"/>
      <c r="D1299" s="157"/>
      <c r="E1299" s="9"/>
    </row>
    <row r="1300" spans="1:5" x14ac:dyDescent="0.35">
      <c r="A1300" s="14"/>
      <c r="B1300" s="15"/>
      <c r="C1300" s="157"/>
      <c r="D1300" s="157"/>
      <c r="E1300" s="9"/>
    </row>
    <row r="1301" spans="1:5" x14ac:dyDescent="0.35">
      <c r="A1301" s="14"/>
      <c r="B1301" s="15"/>
      <c r="C1301" s="157"/>
      <c r="D1301" s="157"/>
      <c r="E1301" s="9"/>
    </row>
    <row r="1302" spans="1:5" x14ac:dyDescent="0.35">
      <c r="A1302" s="14"/>
      <c r="B1302" s="15"/>
      <c r="C1302" s="157"/>
      <c r="D1302" s="157"/>
      <c r="E1302" s="9"/>
    </row>
    <row r="1303" spans="1:5" x14ac:dyDescent="0.35">
      <c r="A1303" s="14"/>
      <c r="B1303" s="15"/>
      <c r="C1303" s="157"/>
      <c r="D1303" s="157"/>
      <c r="E1303" s="9"/>
    </row>
    <row r="1304" spans="1:5" x14ac:dyDescent="0.35">
      <c r="A1304" s="14"/>
      <c r="B1304" s="15"/>
      <c r="C1304" s="157"/>
      <c r="D1304" s="157"/>
      <c r="E1304" s="9"/>
    </row>
    <row r="1305" spans="1:5" x14ac:dyDescent="0.35">
      <c r="A1305" s="14"/>
      <c r="B1305" s="15"/>
      <c r="C1305" s="157"/>
      <c r="D1305" s="157"/>
      <c r="E1305" s="9"/>
    </row>
    <row r="1306" spans="1:5" x14ac:dyDescent="0.35">
      <c r="A1306" s="14"/>
      <c r="B1306" s="15"/>
      <c r="C1306" s="157"/>
      <c r="D1306" s="157"/>
      <c r="E1306" s="9"/>
    </row>
    <row r="1307" spans="1:5" x14ac:dyDescent="0.35">
      <c r="A1307" s="14"/>
      <c r="B1307" s="15"/>
      <c r="C1307" s="157"/>
      <c r="D1307" s="157"/>
      <c r="E1307" s="9"/>
    </row>
    <row r="1308" spans="1:5" x14ac:dyDescent="0.35">
      <c r="A1308" s="14"/>
      <c r="B1308" s="15"/>
      <c r="C1308" s="157"/>
      <c r="D1308" s="157"/>
      <c r="E1308" s="9"/>
    </row>
    <row r="1309" spans="1:5" x14ac:dyDescent="0.35">
      <c r="A1309" s="14"/>
      <c r="B1309" s="15"/>
      <c r="C1309" s="157"/>
      <c r="D1309" s="157"/>
      <c r="E1309" s="9"/>
    </row>
    <row r="1310" spans="1:5" x14ac:dyDescent="0.35">
      <c r="A1310" s="14"/>
      <c r="B1310" s="15"/>
      <c r="C1310" s="157"/>
      <c r="D1310" s="157"/>
      <c r="E1310" s="9"/>
    </row>
    <row r="1311" spans="1:5" x14ac:dyDescent="0.35">
      <c r="A1311" s="14"/>
      <c r="B1311" s="15"/>
      <c r="C1311" s="157"/>
      <c r="D1311" s="157"/>
      <c r="E1311" s="9"/>
    </row>
    <row r="1312" spans="1:5" x14ac:dyDescent="0.35">
      <c r="A1312" s="14"/>
      <c r="B1312" s="15"/>
      <c r="C1312" s="157"/>
      <c r="D1312" s="157"/>
      <c r="E1312" s="9"/>
    </row>
    <row r="1313" spans="1:5" x14ac:dyDescent="0.35">
      <c r="A1313" s="14"/>
      <c r="B1313" s="15"/>
      <c r="C1313" s="157"/>
      <c r="D1313" s="157"/>
      <c r="E1313" s="9"/>
    </row>
    <row r="1314" spans="1:5" x14ac:dyDescent="0.35">
      <c r="A1314" s="14"/>
      <c r="B1314" s="15"/>
      <c r="C1314" s="157"/>
      <c r="D1314" s="157"/>
      <c r="E1314" s="9"/>
    </row>
    <row r="1315" spans="1:5" x14ac:dyDescent="0.35">
      <c r="A1315" s="14"/>
      <c r="B1315" s="15"/>
      <c r="C1315" s="157"/>
      <c r="D1315" s="157"/>
      <c r="E1315" s="9"/>
    </row>
    <row r="1316" spans="1:5" x14ac:dyDescent="0.35">
      <c r="A1316" s="14"/>
      <c r="B1316" s="15"/>
      <c r="C1316" s="157"/>
      <c r="D1316" s="157"/>
      <c r="E1316" s="9"/>
    </row>
    <row r="1317" spans="1:5" x14ac:dyDescent="0.35">
      <c r="A1317" s="14"/>
      <c r="B1317" s="15"/>
      <c r="C1317" s="157"/>
      <c r="D1317" s="157"/>
      <c r="E1317" s="9"/>
    </row>
    <row r="1318" spans="1:5" x14ac:dyDescent="0.35">
      <c r="A1318" s="14"/>
      <c r="B1318" s="15"/>
      <c r="C1318" s="157"/>
      <c r="D1318" s="157"/>
      <c r="E1318" s="9"/>
    </row>
    <row r="1319" spans="1:5" x14ac:dyDescent="0.35">
      <c r="A1319" s="14"/>
      <c r="B1319" s="15"/>
      <c r="C1319" s="157"/>
      <c r="D1319" s="157"/>
      <c r="E1319" s="9"/>
    </row>
    <row r="1320" spans="1:5" x14ac:dyDescent="0.35">
      <c r="A1320" s="14"/>
      <c r="B1320" s="15"/>
      <c r="C1320" s="157"/>
      <c r="D1320" s="157"/>
      <c r="E1320" s="9"/>
    </row>
    <row r="1321" spans="1:5" x14ac:dyDescent="0.35">
      <c r="A1321" s="14"/>
      <c r="B1321" s="15"/>
      <c r="C1321" s="157"/>
      <c r="D1321" s="157"/>
      <c r="E1321" s="9"/>
    </row>
    <row r="1322" spans="1:5" x14ac:dyDescent="0.35">
      <c r="A1322" s="14"/>
      <c r="B1322" s="15"/>
      <c r="C1322" s="157"/>
      <c r="D1322" s="157"/>
      <c r="E1322" s="9"/>
    </row>
    <row r="1323" spans="1:5" x14ac:dyDescent="0.35">
      <c r="A1323" s="14"/>
      <c r="B1323" s="15"/>
      <c r="C1323" s="157"/>
      <c r="D1323" s="157"/>
      <c r="E1323" s="9"/>
    </row>
    <row r="1324" spans="1:5" x14ac:dyDescent="0.35">
      <c r="A1324" s="14"/>
      <c r="B1324" s="15"/>
      <c r="C1324" s="157"/>
      <c r="D1324" s="157"/>
      <c r="E1324" s="9"/>
    </row>
    <row r="1325" spans="1:5" x14ac:dyDescent="0.35">
      <c r="A1325" s="14"/>
      <c r="B1325" s="15"/>
      <c r="C1325" s="157"/>
      <c r="D1325" s="157"/>
      <c r="E1325" s="9"/>
    </row>
    <row r="1326" spans="1:5" x14ac:dyDescent="0.35">
      <c r="A1326" s="14"/>
      <c r="B1326" s="15"/>
      <c r="C1326" s="157"/>
      <c r="D1326" s="157"/>
      <c r="E1326" s="9"/>
    </row>
    <row r="1327" spans="1:5" x14ac:dyDescent="0.35">
      <c r="A1327" s="14"/>
      <c r="B1327" s="15"/>
      <c r="C1327" s="157"/>
      <c r="D1327" s="157"/>
      <c r="E1327" s="9"/>
    </row>
    <row r="1328" spans="1:5" x14ac:dyDescent="0.35">
      <c r="A1328" s="14"/>
      <c r="B1328" s="15"/>
      <c r="C1328" s="157"/>
      <c r="D1328" s="157"/>
      <c r="E1328" s="9"/>
    </row>
    <row r="1329" spans="1:5" x14ac:dyDescent="0.35">
      <c r="A1329" s="14"/>
      <c r="B1329" s="15"/>
      <c r="C1329" s="157"/>
      <c r="D1329" s="157"/>
      <c r="E1329" s="9"/>
    </row>
    <row r="1330" spans="1:5" x14ac:dyDescent="0.35">
      <c r="A1330" s="14"/>
      <c r="B1330" s="15"/>
      <c r="C1330" s="157"/>
      <c r="D1330" s="157"/>
      <c r="E1330" s="9"/>
    </row>
    <row r="1331" spans="1:5" x14ac:dyDescent="0.35">
      <c r="A1331" s="14"/>
      <c r="B1331" s="15"/>
      <c r="C1331" s="157"/>
      <c r="D1331" s="157"/>
      <c r="E1331" s="9"/>
    </row>
    <row r="1332" spans="1:5" x14ac:dyDescent="0.35">
      <c r="A1332" s="14"/>
      <c r="B1332" s="15"/>
      <c r="C1332" s="157"/>
      <c r="D1332" s="157"/>
      <c r="E1332" s="9"/>
    </row>
    <row r="1333" spans="1:5" x14ac:dyDescent="0.35">
      <c r="A1333" s="14"/>
      <c r="B1333" s="15"/>
      <c r="C1333" s="157"/>
      <c r="D1333" s="157"/>
      <c r="E1333" s="9"/>
    </row>
    <row r="1334" spans="1:5" x14ac:dyDescent="0.35">
      <c r="A1334" s="14"/>
      <c r="B1334" s="15"/>
      <c r="C1334" s="157"/>
      <c r="D1334" s="157"/>
      <c r="E1334" s="9"/>
    </row>
    <row r="1335" spans="1:5" x14ac:dyDescent="0.35">
      <c r="A1335" s="14"/>
      <c r="B1335" s="15"/>
      <c r="C1335" s="157"/>
      <c r="D1335" s="157"/>
      <c r="E1335" s="9"/>
    </row>
    <row r="1336" spans="1:5" x14ac:dyDescent="0.35">
      <c r="A1336" s="14"/>
      <c r="B1336" s="15"/>
      <c r="C1336" s="157"/>
      <c r="D1336" s="157"/>
      <c r="E1336" s="9"/>
    </row>
    <row r="1337" spans="1:5" x14ac:dyDescent="0.35">
      <c r="A1337" s="14"/>
      <c r="B1337" s="15"/>
      <c r="C1337" s="157"/>
      <c r="D1337" s="157"/>
      <c r="E1337" s="9"/>
    </row>
    <row r="1338" spans="1:5" x14ac:dyDescent="0.35">
      <c r="A1338" s="14"/>
      <c r="B1338" s="15"/>
      <c r="C1338" s="157"/>
      <c r="D1338" s="157"/>
      <c r="E1338" s="9"/>
    </row>
    <row r="1339" spans="1:5" x14ac:dyDescent="0.35">
      <c r="A1339" s="14"/>
      <c r="B1339" s="15"/>
      <c r="C1339" s="157"/>
      <c r="D1339" s="157"/>
      <c r="E1339" s="9"/>
    </row>
    <row r="1340" spans="1:5" x14ac:dyDescent="0.35">
      <c r="A1340" s="14"/>
      <c r="B1340" s="15"/>
      <c r="C1340" s="157"/>
      <c r="D1340" s="157"/>
      <c r="E1340" s="9"/>
    </row>
    <row r="1341" spans="1:5" x14ac:dyDescent="0.35">
      <c r="A1341" s="14"/>
      <c r="B1341" s="15"/>
      <c r="C1341" s="157"/>
      <c r="D1341" s="157"/>
      <c r="E1341" s="9"/>
    </row>
    <row r="1342" spans="1:5" x14ac:dyDescent="0.35">
      <c r="A1342" s="14"/>
      <c r="B1342" s="15"/>
      <c r="C1342" s="157"/>
      <c r="D1342" s="157"/>
      <c r="E1342" s="9"/>
    </row>
    <row r="1343" spans="1:5" x14ac:dyDescent="0.35">
      <c r="A1343" s="14"/>
      <c r="B1343" s="15"/>
      <c r="C1343" s="157"/>
      <c r="D1343" s="157"/>
      <c r="E1343" s="9"/>
    </row>
    <row r="1344" spans="1:5" x14ac:dyDescent="0.35">
      <c r="A1344" s="14"/>
      <c r="B1344" s="15"/>
      <c r="C1344" s="157"/>
      <c r="D1344" s="157"/>
      <c r="E1344" s="9"/>
    </row>
    <row r="1345" spans="1:5" x14ac:dyDescent="0.35">
      <c r="A1345" s="14"/>
      <c r="B1345" s="15"/>
      <c r="C1345" s="157"/>
      <c r="D1345" s="157"/>
      <c r="E1345" s="9"/>
    </row>
    <row r="1346" spans="1:5" x14ac:dyDescent="0.35">
      <c r="A1346" s="14"/>
      <c r="B1346" s="15"/>
      <c r="C1346" s="157"/>
      <c r="D1346" s="157"/>
      <c r="E1346" s="9"/>
    </row>
    <row r="1347" spans="1:5" x14ac:dyDescent="0.35">
      <c r="A1347" s="14"/>
      <c r="B1347" s="15"/>
      <c r="C1347" s="157"/>
      <c r="D1347" s="157"/>
      <c r="E1347" s="9"/>
    </row>
    <row r="1348" spans="1:5" x14ac:dyDescent="0.35">
      <c r="A1348" s="14"/>
      <c r="B1348" s="15"/>
      <c r="C1348" s="157"/>
      <c r="D1348" s="157"/>
      <c r="E1348" s="9"/>
    </row>
    <row r="1349" spans="1:5" x14ac:dyDescent="0.35">
      <c r="A1349" s="14"/>
      <c r="B1349" s="15"/>
      <c r="C1349" s="157"/>
      <c r="D1349" s="157"/>
      <c r="E1349" s="9"/>
    </row>
    <row r="1350" spans="1:5" x14ac:dyDescent="0.35">
      <c r="A1350" s="14"/>
      <c r="B1350" s="15"/>
      <c r="C1350" s="157"/>
      <c r="D1350" s="157"/>
      <c r="E1350" s="9"/>
    </row>
    <row r="1351" spans="1:5" x14ac:dyDescent="0.35">
      <c r="A1351" s="14"/>
      <c r="B1351" s="15"/>
      <c r="C1351" s="157"/>
      <c r="D1351" s="157"/>
      <c r="E1351" s="9"/>
    </row>
    <row r="1352" spans="1:5" x14ac:dyDescent="0.35">
      <c r="A1352" s="14"/>
      <c r="B1352" s="15"/>
      <c r="C1352" s="157"/>
      <c r="D1352" s="157"/>
      <c r="E1352" s="9"/>
    </row>
    <row r="1353" spans="1:5" x14ac:dyDescent="0.35">
      <c r="A1353" s="14"/>
      <c r="B1353" s="15"/>
      <c r="C1353" s="157"/>
      <c r="D1353" s="157"/>
      <c r="E1353" s="9"/>
    </row>
    <row r="1354" spans="1:5" x14ac:dyDescent="0.35">
      <c r="A1354" s="14"/>
      <c r="B1354" s="15"/>
      <c r="C1354" s="157"/>
      <c r="D1354" s="157"/>
      <c r="E1354" s="9"/>
    </row>
    <row r="1355" spans="1:5" x14ac:dyDescent="0.35">
      <c r="A1355" s="14"/>
      <c r="B1355" s="15"/>
      <c r="C1355" s="157"/>
      <c r="D1355" s="157"/>
      <c r="E1355" s="9"/>
    </row>
    <row r="1356" spans="1:5" x14ac:dyDescent="0.35">
      <c r="A1356" s="14"/>
      <c r="B1356" s="15"/>
      <c r="C1356" s="157"/>
      <c r="D1356" s="157"/>
      <c r="E1356" s="9"/>
    </row>
    <row r="1357" spans="1:5" x14ac:dyDescent="0.35">
      <c r="A1357" s="14"/>
      <c r="B1357" s="15"/>
      <c r="C1357" s="157"/>
      <c r="D1357" s="157"/>
      <c r="E1357" s="9"/>
    </row>
    <row r="1358" spans="1:5" x14ac:dyDescent="0.35">
      <c r="A1358" s="14"/>
      <c r="B1358" s="15"/>
      <c r="C1358" s="157"/>
      <c r="D1358" s="157"/>
      <c r="E1358" s="9"/>
    </row>
    <row r="1359" spans="1:5" x14ac:dyDescent="0.35">
      <c r="A1359" s="14"/>
      <c r="B1359" s="15"/>
      <c r="C1359" s="157"/>
      <c r="D1359" s="157"/>
      <c r="E1359" s="9"/>
    </row>
    <row r="1360" spans="1:5" x14ac:dyDescent="0.35">
      <c r="A1360" s="14"/>
      <c r="B1360" s="15"/>
      <c r="C1360" s="157"/>
      <c r="D1360" s="157"/>
      <c r="E1360" s="9"/>
    </row>
    <row r="1361" spans="1:5" x14ac:dyDescent="0.35">
      <c r="A1361" s="14"/>
      <c r="B1361" s="15"/>
      <c r="C1361" s="157"/>
      <c r="D1361" s="157"/>
      <c r="E1361" s="9"/>
    </row>
    <row r="1362" spans="1:5" x14ac:dyDescent="0.35">
      <c r="A1362" s="14"/>
      <c r="B1362" s="15"/>
      <c r="C1362" s="157"/>
      <c r="D1362" s="157"/>
      <c r="E1362" s="9"/>
    </row>
    <row r="1363" spans="1:5" x14ac:dyDescent="0.35">
      <c r="A1363" s="14"/>
      <c r="B1363" s="15"/>
      <c r="C1363" s="157"/>
      <c r="D1363" s="157"/>
      <c r="E1363" s="9"/>
    </row>
    <row r="1364" spans="1:5" x14ac:dyDescent="0.35">
      <c r="A1364" s="14"/>
      <c r="B1364" s="15"/>
      <c r="C1364" s="157"/>
      <c r="D1364" s="157"/>
      <c r="E1364" s="9"/>
    </row>
    <row r="1365" spans="1:5" x14ac:dyDescent="0.35">
      <c r="A1365" s="14"/>
      <c r="B1365" s="15"/>
      <c r="C1365" s="157"/>
      <c r="D1365" s="157"/>
      <c r="E1365" s="9"/>
    </row>
    <row r="1366" spans="1:5" x14ac:dyDescent="0.35">
      <c r="A1366" s="14"/>
      <c r="B1366" s="15"/>
      <c r="C1366" s="157"/>
      <c r="D1366" s="157"/>
      <c r="E1366" s="9"/>
    </row>
    <row r="1367" spans="1:5" x14ac:dyDescent="0.35">
      <c r="A1367" s="14"/>
      <c r="B1367" s="15"/>
      <c r="C1367" s="157"/>
      <c r="D1367" s="157"/>
      <c r="E1367" s="9"/>
    </row>
    <row r="1368" spans="1:5" x14ac:dyDescent="0.35">
      <c r="A1368" s="14"/>
      <c r="B1368" s="15"/>
      <c r="C1368" s="157"/>
      <c r="D1368" s="157"/>
      <c r="E1368" s="9"/>
    </row>
    <row r="1369" spans="1:5" x14ac:dyDescent="0.35">
      <c r="A1369" s="14"/>
      <c r="B1369" s="15"/>
      <c r="C1369" s="157"/>
      <c r="D1369" s="157"/>
      <c r="E1369" s="9"/>
    </row>
    <row r="1370" spans="1:5" x14ac:dyDescent="0.35">
      <c r="A1370" s="14"/>
      <c r="B1370" s="15"/>
      <c r="C1370" s="157"/>
      <c r="D1370" s="157"/>
      <c r="E1370" s="9"/>
    </row>
    <row r="1371" spans="1:5" x14ac:dyDescent="0.35">
      <c r="A1371" s="14"/>
      <c r="B1371" s="15"/>
      <c r="C1371" s="157"/>
      <c r="D1371" s="157"/>
      <c r="E1371" s="9"/>
    </row>
    <row r="1372" spans="1:5" x14ac:dyDescent="0.35">
      <c r="A1372" s="14"/>
      <c r="B1372" s="15"/>
      <c r="C1372" s="157"/>
      <c r="D1372" s="157"/>
      <c r="E1372" s="9"/>
    </row>
    <row r="1373" spans="1:5" x14ac:dyDescent="0.35">
      <c r="A1373" s="14"/>
      <c r="B1373" s="15"/>
      <c r="C1373" s="157"/>
      <c r="D1373" s="157"/>
      <c r="E1373" s="9"/>
    </row>
    <row r="1374" spans="1:5" x14ac:dyDescent="0.35">
      <c r="A1374" s="14"/>
      <c r="B1374" s="15"/>
      <c r="C1374" s="157"/>
      <c r="D1374" s="157"/>
      <c r="E1374" s="9"/>
    </row>
    <row r="1375" spans="1:5" x14ac:dyDescent="0.35">
      <c r="A1375" s="14"/>
      <c r="B1375" s="15"/>
      <c r="C1375" s="157"/>
      <c r="D1375" s="157"/>
      <c r="E1375" s="9"/>
    </row>
    <row r="1376" spans="1:5" x14ac:dyDescent="0.35">
      <c r="A1376" s="14"/>
      <c r="B1376" s="15"/>
      <c r="C1376" s="157"/>
      <c r="D1376" s="157"/>
      <c r="E1376" s="9"/>
    </row>
    <row r="1377" spans="1:5" x14ac:dyDescent="0.35">
      <c r="A1377" s="14"/>
      <c r="B1377" s="15"/>
      <c r="C1377" s="157"/>
      <c r="D1377" s="157"/>
      <c r="E1377" s="9"/>
    </row>
    <row r="1378" spans="1:5" x14ac:dyDescent="0.35">
      <c r="A1378" s="14"/>
      <c r="B1378" s="15"/>
      <c r="C1378" s="157"/>
      <c r="D1378" s="157"/>
      <c r="E1378" s="9"/>
    </row>
    <row r="1379" spans="1:5" x14ac:dyDescent="0.35">
      <c r="A1379" s="14"/>
      <c r="B1379" s="15"/>
      <c r="C1379" s="157"/>
      <c r="D1379" s="157"/>
      <c r="E1379" s="9"/>
    </row>
    <row r="1380" spans="1:5" x14ac:dyDescent="0.35">
      <c r="A1380" s="14"/>
      <c r="B1380" s="15"/>
      <c r="C1380" s="157"/>
      <c r="D1380" s="157"/>
      <c r="E1380" s="9"/>
    </row>
    <row r="1381" spans="1:5" x14ac:dyDescent="0.35">
      <c r="A1381" s="14"/>
      <c r="B1381" s="15"/>
      <c r="C1381" s="157"/>
      <c r="D1381" s="157"/>
      <c r="E1381" s="9"/>
    </row>
    <row r="1382" spans="1:5" x14ac:dyDescent="0.35">
      <c r="A1382" s="14"/>
      <c r="B1382" s="15"/>
      <c r="C1382" s="157"/>
      <c r="D1382" s="157"/>
      <c r="E1382" s="9"/>
    </row>
    <row r="1383" spans="1:5" x14ac:dyDescent="0.35">
      <c r="A1383" s="14"/>
      <c r="B1383" s="15"/>
      <c r="C1383" s="157"/>
      <c r="D1383" s="157"/>
      <c r="E1383" s="9"/>
    </row>
    <row r="1384" spans="1:5" x14ac:dyDescent="0.35">
      <c r="A1384" s="14"/>
      <c r="B1384" s="15"/>
      <c r="C1384" s="157"/>
      <c r="D1384" s="157"/>
      <c r="E1384" s="9"/>
    </row>
    <row r="1385" spans="1:5" x14ac:dyDescent="0.35">
      <c r="A1385" s="14"/>
      <c r="B1385" s="15"/>
      <c r="C1385" s="157"/>
      <c r="D1385" s="157"/>
      <c r="E1385" s="9"/>
    </row>
    <row r="1386" spans="1:5" x14ac:dyDescent="0.35">
      <c r="A1386" s="14"/>
      <c r="B1386" s="15"/>
      <c r="C1386" s="157"/>
      <c r="D1386" s="157"/>
      <c r="E1386" s="9"/>
    </row>
    <row r="1387" spans="1:5" x14ac:dyDescent="0.35">
      <c r="A1387" s="14"/>
      <c r="B1387" s="15"/>
      <c r="C1387" s="157"/>
      <c r="D1387" s="157"/>
      <c r="E1387" s="9"/>
    </row>
    <row r="1388" spans="1:5" x14ac:dyDescent="0.35">
      <c r="A1388" s="14"/>
      <c r="B1388" s="15"/>
      <c r="C1388" s="157"/>
      <c r="D1388" s="157"/>
      <c r="E1388" s="9"/>
    </row>
    <row r="1389" spans="1:5" x14ac:dyDescent="0.35">
      <c r="A1389" s="14"/>
      <c r="B1389" s="15"/>
      <c r="C1389" s="157"/>
      <c r="D1389" s="157"/>
      <c r="E1389" s="9"/>
    </row>
    <row r="1390" spans="1:5" x14ac:dyDescent="0.35">
      <c r="A1390" s="14"/>
      <c r="B1390" s="15"/>
      <c r="C1390" s="157"/>
      <c r="D1390" s="157"/>
      <c r="E1390" s="9"/>
    </row>
    <row r="1391" spans="1:5" x14ac:dyDescent="0.35">
      <c r="A1391" s="14"/>
      <c r="B1391" s="15"/>
      <c r="C1391" s="157"/>
      <c r="D1391" s="157"/>
      <c r="E1391" s="9"/>
    </row>
    <row r="1392" spans="1:5" x14ac:dyDescent="0.35">
      <c r="A1392" s="14"/>
      <c r="B1392" s="15"/>
      <c r="C1392" s="157"/>
      <c r="D1392" s="157"/>
      <c r="E1392" s="9"/>
    </row>
    <row r="1393" spans="1:5" x14ac:dyDescent="0.35">
      <c r="A1393" s="14"/>
      <c r="B1393" s="15"/>
      <c r="C1393" s="157"/>
      <c r="D1393" s="157"/>
      <c r="E1393" s="9"/>
    </row>
    <row r="1394" spans="1:5" x14ac:dyDescent="0.35">
      <c r="A1394" s="14"/>
      <c r="B1394" s="15"/>
      <c r="C1394" s="157"/>
      <c r="D1394" s="157"/>
      <c r="E1394" s="9"/>
    </row>
    <row r="1395" spans="1:5" x14ac:dyDescent="0.35">
      <c r="A1395" s="14"/>
      <c r="B1395" s="15"/>
      <c r="C1395" s="157"/>
      <c r="D1395" s="157"/>
      <c r="E1395" s="9"/>
    </row>
    <row r="1396" spans="1:5" x14ac:dyDescent="0.35">
      <c r="A1396" s="14"/>
      <c r="B1396" s="15"/>
      <c r="C1396" s="157"/>
      <c r="D1396" s="157"/>
      <c r="E1396" s="9"/>
    </row>
    <row r="1397" spans="1:5" x14ac:dyDescent="0.35">
      <c r="A1397" s="14"/>
      <c r="B1397" s="15"/>
      <c r="C1397" s="157"/>
      <c r="D1397" s="157"/>
      <c r="E1397" s="9"/>
    </row>
    <row r="1398" spans="1:5" x14ac:dyDescent="0.35">
      <c r="A1398" s="14"/>
      <c r="B1398" s="15"/>
      <c r="C1398" s="157"/>
      <c r="D1398" s="157"/>
      <c r="E1398" s="9"/>
    </row>
    <row r="1399" spans="1:5" x14ac:dyDescent="0.35">
      <c r="A1399" s="14"/>
      <c r="B1399" s="15"/>
      <c r="C1399" s="157"/>
      <c r="D1399" s="157"/>
      <c r="E1399" s="9"/>
    </row>
    <row r="1400" spans="1:5" x14ac:dyDescent="0.35">
      <c r="A1400" s="14"/>
      <c r="B1400" s="15"/>
      <c r="C1400" s="157"/>
      <c r="D1400" s="157"/>
      <c r="E1400" s="9"/>
    </row>
    <row r="1401" spans="1:5" x14ac:dyDescent="0.35">
      <c r="A1401" s="14"/>
      <c r="B1401" s="15"/>
      <c r="C1401" s="157"/>
      <c r="D1401" s="157"/>
      <c r="E1401" s="9"/>
    </row>
    <row r="1402" spans="1:5" x14ac:dyDescent="0.35">
      <c r="A1402" s="14"/>
      <c r="B1402" s="15"/>
      <c r="C1402" s="157"/>
      <c r="D1402" s="157"/>
      <c r="E1402" s="9"/>
    </row>
    <row r="1403" spans="1:5" x14ac:dyDescent="0.35">
      <c r="A1403" s="14"/>
      <c r="B1403" s="15"/>
      <c r="C1403" s="157"/>
      <c r="D1403" s="157"/>
      <c r="E1403" s="9"/>
    </row>
    <row r="1404" spans="1:5" x14ac:dyDescent="0.35">
      <c r="A1404" s="14"/>
      <c r="B1404" s="15"/>
      <c r="C1404" s="157"/>
      <c r="D1404" s="157"/>
      <c r="E1404" s="9"/>
    </row>
    <row r="1405" spans="1:5" x14ac:dyDescent="0.35">
      <c r="A1405" s="14"/>
      <c r="B1405" s="15"/>
      <c r="C1405" s="157"/>
      <c r="D1405" s="157"/>
      <c r="E1405" s="9"/>
    </row>
    <row r="1406" spans="1:5" x14ac:dyDescent="0.35">
      <c r="A1406" s="14"/>
      <c r="B1406" s="15"/>
      <c r="C1406" s="157"/>
      <c r="D1406" s="157"/>
      <c r="E1406" s="9"/>
    </row>
    <row r="1407" spans="1:5" x14ac:dyDescent="0.35">
      <c r="A1407" s="14"/>
      <c r="B1407" s="15"/>
      <c r="C1407" s="157"/>
      <c r="D1407" s="157"/>
      <c r="E1407" s="9"/>
    </row>
    <row r="1408" spans="1:5" x14ac:dyDescent="0.35">
      <c r="A1408" s="14"/>
      <c r="B1408" s="15"/>
      <c r="C1408" s="157"/>
      <c r="D1408" s="157"/>
      <c r="E1408" s="9"/>
    </row>
    <row r="1409" spans="1:5" x14ac:dyDescent="0.35">
      <c r="A1409" s="14"/>
      <c r="B1409" s="15"/>
      <c r="C1409" s="157"/>
      <c r="D1409" s="157"/>
      <c r="E1409" s="9"/>
    </row>
    <row r="1410" spans="1:5" x14ac:dyDescent="0.35">
      <c r="A1410" s="14"/>
      <c r="B1410" s="15"/>
      <c r="C1410" s="157"/>
      <c r="D1410" s="157"/>
      <c r="E1410" s="9"/>
    </row>
    <row r="1411" spans="1:5" x14ac:dyDescent="0.35">
      <c r="A1411" s="14"/>
      <c r="B1411" s="15"/>
      <c r="C1411" s="157"/>
      <c r="D1411" s="157"/>
      <c r="E1411" s="9"/>
    </row>
    <row r="1412" spans="1:5" x14ac:dyDescent="0.35">
      <c r="A1412" s="14"/>
      <c r="B1412" s="15"/>
      <c r="C1412" s="157"/>
      <c r="D1412" s="157"/>
      <c r="E1412" s="9"/>
    </row>
    <row r="1413" spans="1:5" x14ac:dyDescent="0.35">
      <c r="A1413" s="14"/>
      <c r="B1413" s="15"/>
      <c r="C1413" s="157"/>
      <c r="D1413" s="157"/>
      <c r="E1413" s="9"/>
    </row>
    <row r="1414" spans="1:5" x14ac:dyDescent="0.35">
      <c r="A1414" s="14"/>
      <c r="B1414" s="15"/>
      <c r="C1414" s="157"/>
      <c r="D1414" s="157"/>
      <c r="E1414" s="9"/>
    </row>
    <row r="1415" spans="1:5" x14ac:dyDescent="0.35">
      <c r="A1415" s="14"/>
      <c r="B1415" s="15"/>
      <c r="C1415" s="157"/>
      <c r="D1415" s="157"/>
      <c r="E1415" s="9"/>
    </row>
    <row r="1416" spans="1:5" x14ac:dyDescent="0.35">
      <c r="A1416" s="14"/>
      <c r="B1416" s="15"/>
      <c r="C1416" s="157"/>
      <c r="D1416" s="157"/>
      <c r="E1416" s="9"/>
    </row>
    <row r="1417" spans="1:5" x14ac:dyDescent="0.35">
      <c r="A1417" s="14"/>
      <c r="B1417" s="15"/>
      <c r="C1417" s="157"/>
      <c r="D1417" s="157"/>
      <c r="E1417" s="9"/>
    </row>
    <row r="1418" spans="1:5" x14ac:dyDescent="0.35">
      <c r="A1418" s="14"/>
      <c r="B1418" s="15"/>
      <c r="C1418" s="157"/>
      <c r="D1418" s="157"/>
      <c r="E1418" s="9"/>
    </row>
    <row r="1419" spans="1:5" x14ac:dyDescent="0.35">
      <c r="A1419" s="14"/>
      <c r="B1419" s="15"/>
      <c r="C1419" s="157"/>
      <c r="D1419" s="157"/>
      <c r="E1419" s="9"/>
    </row>
    <row r="1420" spans="1:5" x14ac:dyDescent="0.35">
      <c r="A1420" s="14"/>
      <c r="B1420" s="15"/>
      <c r="C1420" s="157"/>
      <c r="D1420" s="157"/>
      <c r="E1420" s="9"/>
    </row>
    <row r="1421" spans="1:5" x14ac:dyDescent="0.35">
      <c r="A1421" s="14"/>
      <c r="B1421" s="15"/>
      <c r="C1421" s="157"/>
      <c r="D1421" s="157"/>
      <c r="E1421" s="9"/>
    </row>
    <row r="1422" spans="1:5" x14ac:dyDescent="0.35">
      <c r="A1422" s="14"/>
      <c r="B1422" s="15"/>
      <c r="C1422" s="157"/>
      <c r="D1422" s="157"/>
      <c r="E1422" s="9"/>
    </row>
    <row r="1423" spans="1:5" x14ac:dyDescent="0.35">
      <c r="A1423" s="14"/>
      <c r="B1423" s="15"/>
      <c r="C1423" s="157"/>
      <c r="D1423" s="157"/>
      <c r="E1423" s="9"/>
    </row>
    <row r="1424" spans="1:5" x14ac:dyDescent="0.35">
      <c r="A1424" s="14"/>
      <c r="B1424" s="15"/>
      <c r="C1424" s="157"/>
      <c r="D1424" s="157"/>
      <c r="E1424" s="9"/>
    </row>
    <row r="1425" spans="1:5" x14ac:dyDescent="0.35">
      <c r="A1425" s="14"/>
      <c r="B1425" s="15"/>
      <c r="C1425" s="157"/>
      <c r="D1425" s="157"/>
      <c r="E1425" s="9"/>
    </row>
    <row r="1426" spans="1:5" x14ac:dyDescent="0.35">
      <c r="A1426" s="14"/>
      <c r="B1426" s="15"/>
      <c r="C1426" s="157"/>
      <c r="D1426" s="157"/>
      <c r="E1426" s="9"/>
    </row>
    <row r="1427" spans="1:5" x14ac:dyDescent="0.35">
      <c r="A1427" s="14"/>
      <c r="B1427" s="15"/>
      <c r="C1427" s="157"/>
      <c r="D1427" s="157"/>
      <c r="E1427" s="9"/>
    </row>
    <row r="1428" spans="1:5" x14ac:dyDescent="0.35">
      <c r="A1428" s="14"/>
      <c r="B1428" s="15"/>
      <c r="C1428" s="157"/>
      <c r="D1428" s="157"/>
      <c r="E1428" s="9"/>
    </row>
    <row r="1429" spans="1:5" x14ac:dyDescent="0.35">
      <c r="A1429" s="14"/>
      <c r="B1429" s="15"/>
      <c r="C1429" s="157"/>
      <c r="D1429" s="157"/>
      <c r="E1429" s="9"/>
    </row>
    <row r="1430" spans="1:5" x14ac:dyDescent="0.35">
      <c r="A1430" s="14"/>
      <c r="B1430" s="15"/>
      <c r="C1430" s="157"/>
      <c r="D1430" s="157"/>
      <c r="E1430" s="9"/>
    </row>
    <row r="1431" spans="1:5" x14ac:dyDescent="0.35">
      <c r="A1431" s="14"/>
      <c r="B1431" s="15"/>
      <c r="C1431" s="157"/>
      <c r="D1431" s="157"/>
      <c r="E1431" s="9"/>
    </row>
    <row r="1432" spans="1:5" x14ac:dyDescent="0.35">
      <c r="A1432" s="14"/>
      <c r="B1432" s="15"/>
      <c r="C1432" s="157"/>
      <c r="D1432" s="157"/>
      <c r="E1432" s="9"/>
    </row>
    <row r="1433" spans="1:5" x14ac:dyDescent="0.35">
      <c r="A1433" s="14"/>
      <c r="B1433" s="15"/>
      <c r="C1433" s="157"/>
      <c r="D1433" s="157"/>
      <c r="E1433" s="9"/>
    </row>
    <row r="1434" spans="1:5" x14ac:dyDescent="0.35">
      <c r="A1434" s="14"/>
      <c r="B1434" s="15"/>
      <c r="C1434" s="157"/>
      <c r="D1434" s="157"/>
      <c r="E1434" s="9"/>
    </row>
    <row r="1435" spans="1:5" x14ac:dyDescent="0.35">
      <c r="A1435" s="14"/>
      <c r="B1435" s="15"/>
      <c r="C1435" s="157"/>
      <c r="D1435" s="157"/>
      <c r="E1435" s="9"/>
    </row>
    <row r="1436" spans="1:5" x14ac:dyDescent="0.35">
      <c r="A1436" s="14"/>
      <c r="B1436" s="15"/>
      <c r="C1436" s="157"/>
      <c r="D1436" s="157"/>
      <c r="E1436" s="9"/>
    </row>
    <row r="1437" spans="1:5" x14ac:dyDescent="0.35">
      <c r="A1437" s="14"/>
      <c r="B1437" s="15"/>
      <c r="C1437" s="157"/>
      <c r="D1437" s="157"/>
      <c r="E1437" s="9"/>
    </row>
    <row r="1438" spans="1:5" x14ac:dyDescent="0.35">
      <c r="A1438" s="14"/>
      <c r="B1438" s="15"/>
      <c r="C1438" s="157"/>
      <c r="D1438" s="157"/>
      <c r="E1438" s="9"/>
    </row>
    <row r="1439" spans="1:5" x14ac:dyDescent="0.35">
      <c r="A1439" s="14"/>
      <c r="B1439" s="15"/>
      <c r="C1439" s="157"/>
      <c r="D1439" s="157"/>
      <c r="E1439" s="9"/>
    </row>
    <row r="1440" spans="1:5" x14ac:dyDescent="0.35">
      <c r="A1440" s="14"/>
      <c r="B1440" s="15"/>
      <c r="C1440" s="157"/>
      <c r="D1440" s="157"/>
      <c r="E1440" s="9"/>
    </row>
    <row r="1441" spans="1:5" x14ac:dyDescent="0.35">
      <c r="A1441" s="14"/>
      <c r="B1441" s="15"/>
      <c r="C1441" s="157"/>
      <c r="D1441" s="157"/>
      <c r="E1441" s="9"/>
    </row>
    <row r="1442" spans="1:5" x14ac:dyDescent="0.35">
      <c r="A1442" s="14"/>
      <c r="B1442" s="15"/>
      <c r="C1442" s="157"/>
      <c r="D1442" s="157"/>
      <c r="E1442" s="9"/>
    </row>
    <row r="1443" spans="1:5" x14ac:dyDescent="0.35">
      <c r="A1443" s="14"/>
      <c r="B1443" s="15"/>
      <c r="C1443" s="157"/>
      <c r="D1443" s="157"/>
      <c r="E1443" s="9"/>
    </row>
    <row r="1444" spans="1:5" x14ac:dyDescent="0.35">
      <c r="A1444" s="14"/>
      <c r="B1444" s="15"/>
      <c r="C1444" s="157"/>
      <c r="D1444" s="157"/>
      <c r="E1444" s="9"/>
    </row>
    <row r="1445" spans="1:5" x14ac:dyDescent="0.35">
      <c r="A1445" s="14"/>
      <c r="B1445" s="15"/>
      <c r="C1445" s="157"/>
      <c r="D1445" s="157"/>
      <c r="E1445" s="9"/>
    </row>
    <row r="1446" spans="1:5" x14ac:dyDescent="0.35">
      <c r="A1446" s="14"/>
      <c r="B1446" s="15"/>
      <c r="C1446" s="157"/>
      <c r="D1446" s="157"/>
      <c r="E1446" s="9"/>
    </row>
    <row r="1447" spans="1:5" x14ac:dyDescent="0.35">
      <c r="A1447" s="14"/>
      <c r="B1447" s="15"/>
      <c r="C1447" s="157"/>
      <c r="D1447" s="157"/>
      <c r="E1447" s="9"/>
    </row>
    <row r="1448" spans="1:5" x14ac:dyDescent="0.35">
      <c r="A1448" s="14"/>
      <c r="B1448" s="15"/>
      <c r="C1448" s="157"/>
      <c r="D1448" s="157"/>
      <c r="E1448" s="9"/>
    </row>
    <row r="1449" spans="1:5" x14ac:dyDescent="0.35">
      <c r="A1449" s="14"/>
      <c r="B1449" s="15"/>
      <c r="C1449" s="157"/>
      <c r="D1449" s="157"/>
      <c r="E1449" s="9"/>
    </row>
    <row r="1450" spans="1:5" x14ac:dyDescent="0.35">
      <c r="A1450" s="14"/>
      <c r="B1450" s="15"/>
      <c r="C1450" s="157"/>
      <c r="D1450" s="157"/>
      <c r="E1450" s="9"/>
    </row>
    <row r="1451" spans="1:5" x14ac:dyDescent="0.35">
      <c r="A1451" s="14"/>
      <c r="B1451" s="15"/>
      <c r="C1451" s="157"/>
      <c r="D1451" s="157"/>
      <c r="E1451" s="9"/>
    </row>
    <row r="1452" spans="1:5" x14ac:dyDescent="0.35">
      <c r="A1452" s="14"/>
      <c r="B1452" s="15"/>
      <c r="C1452" s="157"/>
      <c r="D1452" s="157"/>
      <c r="E1452" s="9"/>
    </row>
    <row r="1453" spans="1:5" x14ac:dyDescent="0.35">
      <c r="A1453" s="14"/>
      <c r="B1453" s="15"/>
      <c r="C1453" s="157"/>
      <c r="D1453" s="157"/>
      <c r="E1453" s="9"/>
    </row>
    <row r="1454" spans="1:5" x14ac:dyDescent="0.35">
      <c r="A1454" s="14"/>
      <c r="B1454" s="15"/>
      <c r="C1454" s="157"/>
      <c r="D1454" s="157"/>
      <c r="E1454" s="9"/>
    </row>
    <row r="1455" spans="1:5" x14ac:dyDescent="0.35">
      <c r="A1455" s="14"/>
      <c r="B1455" s="15"/>
      <c r="C1455" s="157"/>
      <c r="D1455" s="157"/>
      <c r="E1455" s="9"/>
    </row>
    <row r="1456" spans="1:5" x14ac:dyDescent="0.35">
      <c r="A1456" s="14"/>
      <c r="B1456" s="15"/>
      <c r="C1456" s="157"/>
      <c r="D1456" s="157"/>
      <c r="E1456" s="9"/>
    </row>
    <row r="1457" spans="1:5" x14ac:dyDescent="0.35">
      <c r="A1457" s="14"/>
      <c r="B1457" s="15"/>
      <c r="C1457" s="157"/>
      <c r="D1457" s="157"/>
      <c r="E1457" s="9"/>
    </row>
    <row r="1458" spans="1:5" x14ac:dyDescent="0.35">
      <c r="A1458" s="14"/>
      <c r="B1458" s="15"/>
      <c r="C1458" s="157"/>
      <c r="D1458" s="157"/>
      <c r="E1458" s="9"/>
    </row>
    <row r="1459" spans="1:5" x14ac:dyDescent="0.35">
      <c r="A1459" s="14"/>
      <c r="B1459" s="15"/>
      <c r="C1459" s="157"/>
      <c r="D1459" s="157"/>
      <c r="E1459" s="9"/>
    </row>
    <row r="1460" spans="1:5" x14ac:dyDescent="0.35">
      <c r="A1460" s="14"/>
      <c r="B1460" s="15"/>
      <c r="C1460" s="157"/>
      <c r="D1460" s="157"/>
      <c r="E1460" s="9"/>
    </row>
    <row r="1461" spans="1:5" x14ac:dyDescent="0.35">
      <c r="A1461" s="14"/>
      <c r="B1461" s="15"/>
      <c r="C1461" s="157"/>
      <c r="D1461" s="157"/>
      <c r="E1461" s="9"/>
    </row>
    <row r="1462" spans="1:5" x14ac:dyDescent="0.35">
      <c r="A1462" s="14"/>
      <c r="B1462" s="15"/>
      <c r="C1462" s="157"/>
      <c r="D1462" s="157"/>
      <c r="E1462" s="9"/>
    </row>
    <row r="1463" spans="1:5" x14ac:dyDescent="0.35">
      <c r="A1463" s="14"/>
      <c r="B1463" s="15"/>
      <c r="C1463" s="157"/>
      <c r="D1463" s="157"/>
      <c r="E1463" s="9"/>
    </row>
    <row r="1464" spans="1:5" x14ac:dyDescent="0.35">
      <c r="A1464" s="14"/>
      <c r="B1464" s="15"/>
      <c r="C1464" s="157"/>
      <c r="D1464" s="157"/>
      <c r="E1464" s="9"/>
    </row>
    <row r="1465" spans="1:5" x14ac:dyDescent="0.35">
      <c r="A1465" s="14"/>
      <c r="B1465" s="15"/>
      <c r="C1465" s="157"/>
      <c r="D1465" s="157"/>
      <c r="E1465" s="9"/>
    </row>
    <row r="1466" spans="1:5" x14ac:dyDescent="0.35">
      <c r="A1466" s="14"/>
      <c r="B1466" s="15"/>
      <c r="C1466" s="157"/>
      <c r="D1466" s="157"/>
      <c r="E1466" s="9"/>
    </row>
    <row r="1467" spans="1:5" x14ac:dyDescent="0.35">
      <c r="A1467" s="14"/>
      <c r="B1467" s="15"/>
      <c r="C1467" s="157"/>
      <c r="D1467" s="157"/>
      <c r="E1467" s="9"/>
    </row>
    <row r="1468" spans="1:5" x14ac:dyDescent="0.35">
      <c r="A1468" s="14"/>
      <c r="B1468" s="15"/>
      <c r="C1468" s="157"/>
      <c r="D1468" s="157"/>
      <c r="E1468" s="9"/>
    </row>
    <row r="1469" spans="1:5" x14ac:dyDescent="0.35">
      <c r="A1469" s="14"/>
      <c r="B1469" s="15"/>
      <c r="C1469" s="157"/>
      <c r="D1469" s="157"/>
      <c r="E1469" s="9"/>
    </row>
    <row r="1470" spans="1:5" x14ac:dyDescent="0.35">
      <c r="A1470" s="14"/>
      <c r="B1470" s="15"/>
      <c r="C1470" s="157"/>
      <c r="D1470" s="157"/>
      <c r="E1470" s="9"/>
    </row>
    <row r="1471" spans="1:5" x14ac:dyDescent="0.35">
      <c r="A1471" s="14"/>
      <c r="B1471" s="15"/>
      <c r="C1471" s="157"/>
      <c r="D1471" s="157"/>
      <c r="E1471" s="9"/>
    </row>
    <row r="1472" spans="1:5" x14ac:dyDescent="0.35">
      <c r="A1472" s="14"/>
      <c r="B1472" s="15"/>
      <c r="C1472" s="157"/>
      <c r="D1472" s="157"/>
      <c r="E1472" s="9"/>
    </row>
    <row r="1473" spans="1:5" x14ac:dyDescent="0.35">
      <c r="A1473" s="14"/>
      <c r="B1473" s="15"/>
      <c r="C1473" s="157"/>
      <c r="D1473" s="157"/>
      <c r="E1473" s="9"/>
    </row>
    <row r="1474" spans="1:5" x14ac:dyDescent="0.35">
      <c r="A1474" s="14"/>
      <c r="B1474" s="15"/>
      <c r="C1474" s="157"/>
      <c r="D1474" s="157"/>
      <c r="E1474" s="9"/>
    </row>
    <row r="1475" spans="1:5" x14ac:dyDescent="0.35">
      <c r="A1475" s="14"/>
      <c r="B1475" s="15"/>
      <c r="C1475" s="157"/>
      <c r="D1475" s="157"/>
      <c r="E1475" s="9"/>
    </row>
    <row r="1476" spans="1:5" x14ac:dyDescent="0.35">
      <c r="A1476" s="14"/>
      <c r="B1476" s="15"/>
      <c r="C1476" s="157"/>
      <c r="D1476" s="157"/>
      <c r="E1476" s="9"/>
    </row>
    <row r="1477" spans="1:5" x14ac:dyDescent="0.35">
      <c r="A1477" s="14"/>
      <c r="B1477" s="15"/>
      <c r="C1477" s="157"/>
      <c r="D1477" s="157"/>
      <c r="E1477" s="9"/>
    </row>
    <row r="1478" spans="1:5" x14ac:dyDescent="0.35">
      <c r="A1478" s="14"/>
      <c r="B1478" s="15"/>
      <c r="C1478" s="157"/>
      <c r="D1478" s="157"/>
      <c r="E1478" s="9"/>
    </row>
    <row r="1479" spans="1:5" x14ac:dyDescent="0.35">
      <c r="A1479" s="14"/>
      <c r="B1479" s="15"/>
      <c r="C1479" s="157"/>
      <c r="D1479" s="157"/>
      <c r="E1479" s="9"/>
    </row>
    <row r="1480" spans="1:5" x14ac:dyDescent="0.35">
      <c r="A1480" s="14"/>
      <c r="B1480" s="15"/>
      <c r="C1480" s="157"/>
      <c r="D1480" s="157"/>
      <c r="E1480" s="9"/>
    </row>
    <row r="1481" spans="1:5" x14ac:dyDescent="0.35">
      <c r="A1481" s="14"/>
      <c r="B1481" s="15"/>
      <c r="C1481" s="157"/>
      <c r="D1481" s="157"/>
      <c r="E1481" s="9"/>
    </row>
    <row r="1482" spans="1:5" x14ac:dyDescent="0.35">
      <c r="A1482" s="14"/>
      <c r="B1482" s="15"/>
      <c r="C1482" s="157"/>
      <c r="D1482" s="157"/>
      <c r="E1482" s="9"/>
    </row>
    <row r="1483" spans="1:5" x14ac:dyDescent="0.35">
      <c r="A1483" s="14"/>
      <c r="B1483" s="15"/>
      <c r="C1483" s="157"/>
      <c r="D1483" s="157"/>
      <c r="E1483" s="9"/>
    </row>
    <row r="1484" spans="1:5" x14ac:dyDescent="0.35">
      <c r="A1484" s="14"/>
      <c r="B1484" s="15"/>
      <c r="C1484" s="157"/>
      <c r="D1484" s="157"/>
      <c r="E1484" s="9"/>
    </row>
    <row r="1485" spans="1:5" x14ac:dyDescent="0.35">
      <c r="A1485" s="14"/>
      <c r="B1485" s="15"/>
      <c r="C1485" s="157"/>
      <c r="D1485" s="157"/>
      <c r="E1485" s="9"/>
    </row>
    <row r="1486" spans="1:5" x14ac:dyDescent="0.35">
      <c r="A1486" s="14"/>
      <c r="B1486" s="15"/>
      <c r="C1486" s="157"/>
      <c r="D1486" s="157"/>
      <c r="E1486" s="9"/>
    </row>
    <row r="1487" spans="1:5" x14ac:dyDescent="0.35">
      <c r="A1487" s="14"/>
      <c r="B1487" s="15"/>
      <c r="C1487" s="157"/>
      <c r="D1487" s="157"/>
      <c r="E1487" s="9"/>
    </row>
    <row r="1488" spans="1:5" x14ac:dyDescent="0.35">
      <c r="A1488" s="14"/>
      <c r="B1488" s="15"/>
      <c r="C1488" s="157"/>
      <c r="D1488" s="157"/>
      <c r="E1488" s="9"/>
    </row>
    <row r="1489" spans="1:5" x14ac:dyDescent="0.35">
      <c r="A1489" s="14"/>
      <c r="B1489" s="15"/>
      <c r="C1489" s="157"/>
      <c r="D1489" s="157"/>
      <c r="E1489" s="9"/>
    </row>
    <row r="1490" spans="1:5" x14ac:dyDescent="0.35">
      <c r="A1490" s="14"/>
      <c r="B1490" s="15"/>
      <c r="C1490" s="157"/>
      <c r="D1490" s="157"/>
      <c r="E1490" s="9"/>
    </row>
    <row r="1491" spans="1:5" x14ac:dyDescent="0.35">
      <c r="A1491" s="14"/>
      <c r="B1491" s="15"/>
      <c r="C1491" s="157"/>
      <c r="D1491" s="157"/>
      <c r="E1491" s="9"/>
    </row>
    <row r="1492" spans="1:5" x14ac:dyDescent="0.35">
      <c r="A1492" s="14"/>
      <c r="B1492" s="15"/>
      <c r="C1492" s="157"/>
      <c r="D1492" s="157"/>
      <c r="E1492" s="9"/>
    </row>
    <row r="1493" spans="1:5" x14ac:dyDescent="0.35">
      <c r="A1493" s="14"/>
      <c r="B1493" s="15"/>
      <c r="C1493" s="157"/>
      <c r="D1493" s="157"/>
      <c r="E1493" s="9"/>
    </row>
    <row r="1494" spans="1:5" x14ac:dyDescent="0.35">
      <c r="A1494" s="14"/>
      <c r="B1494" s="15"/>
      <c r="C1494" s="157"/>
      <c r="D1494" s="157"/>
      <c r="E1494" s="9"/>
    </row>
  </sheetData>
  <customSheetViews>
    <customSheetView guid="{5B43930B-94B3-E14E-81EE-7E8A625CA6DA}" scale="125" topLeftCell="A3">
      <selection activeCell="F12" sqref="F3:F15"/>
      <pageMargins left="0.7" right="0.7" top="0.75" bottom="0.75" header="0.3" footer="0.3"/>
    </customSheetView>
    <customSheetView guid="{ABB2EBC0-75A8-4650-B9C7-648A0C330DEA}" showPageBreaks="1" printArea="1">
      <selection activeCell="F5" sqref="F5"/>
      <rowBreaks count="1" manualBreakCount="1">
        <brk id="14" max="8" man="1"/>
      </rowBreaks>
      <pageMargins left="0.75" right="0.75" top="1" bottom="1" header="0.5" footer="0.5"/>
      <pageSetup paperSize="9" scale="90" orientation="landscape" r:id="rId1"/>
    </customSheetView>
    <customSheetView guid="{0B355C98-F093-4F26-9D41-2F5DE1271F90}" scale="110" showPageBreaks="1" topLeftCell="A13">
      <selection activeCell="F4" sqref="F4"/>
      <pageMargins left="0.75" right="0.75" top="1" bottom="1" header="0.5" footer="0.5"/>
      <pageSetup paperSize="9" orientation="portrait" r:id="rId2"/>
    </customSheetView>
  </customSheetViews>
  <mergeCells count="23">
    <mergeCell ref="E1:H1"/>
    <mergeCell ref="E37:G37"/>
    <mergeCell ref="E36:G36"/>
    <mergeCell ref="E29:G29"/>
    <mergeCell ref="E28:G28"/>
    <mergeCell ref="E33:G33"/>
    <mergeCell ref="E32:G32"/>
    <mergeCell ref="E24:G24"/>
    <mergeCell ref="E23:G23"/>
    <mergeCell ref="E21:G21"/>
    <mergeCell ref="E20:G20"/>
    <mergeCell ref="E19:G19"/>
    <mergeCell ref="E25:G25"/>
    <mergeCell ref="E3:H3"/>
    <mergeCell ref="E16:G16"/>
    <mergeCell ref="E15:G15"/>
    <mergeCell ref="E7:G7"/>
    <mergeCell ref="E6:G6"/>
    <mergeCell ref="E14:G14"/>
    <mergeCell ref="E12:G12"/>
    <mergeCell ref="E11:G11"/>
    <mergeCell ref="E10:G10"/>
    <mergeCell ref="E8:G8"/>
  </mergeCells>
  <phoneticPr fontId="2" type="noConversion"/>
  <pageMargins left="0.75" right="0.75" top="1" bottom="1" header="0.5" footer="0.5"/>
  <pageSetup paperSize="9" scale="74" orientation="landscape" r:id="rId3"/>
  <headerFooter>
    <oddHeader>&amp;C&amp;"-,Bold"&amp;12Logical Framework</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8"/>
  <sheetViews>
    <sheetView topLeftCell="A13" zoomScale="91" zoomScaleNormal="91" workbookViewId="0">
      <selection activeCell="A20" sqref="A20"/>
    </sheetView>
  </sheetViews>
  <sheetFormatPr defaultRowHeight="14.5" x14ac:dyDescent="0.35"/>
  <cols>
    <col min="1" max="1" width="153" style="154" customWidth="1"/>
    <col min="2" max="14" width="8.54296875" style="154" customWidth="1"/>
    <col min="15" max="256" width="9.1796875" style="154"/>
    <col min="257" max="257" width="153" style="154" customWidth="1"/>
    <col min="258" max="270" width="8.54296875" style="154" customWidth="1"/>
    <col min="271" max="512" width="9.1796875" style="154"/>
    <col min="513" max="513" width="153" style="154" customWidth="1"/>
    <col min="514" max="526" width="8.54296875" style="154" customWidth="1"/>
    <col min="527" max="768" width="9.1796875" style="154"/>
    <col min="769" max="769" width="153" style="154" customWidth="1"/>
    <col min="770" max="782" width="8.54296875" style="154" customWidth="1"/>
    <col min="783" max="1024" width="9.1796875" style="154"/>
    <col min="1025" max="1025" width="153" style="154" customWidth="1"/>
    <col min="1026" max="1038" width="8.54296875" style="154" customWidth="1"/>
    <col min="1039" max="1280" width="9.1796875" style="154"/>
    <col min="1281" max="1281" width="153" style="154" customWidth="1"/>
    <col min="1282" max="1294" width="8.54296875" style="154" customWidth="1"/>
    <col min="1295" max="1536" width="9.1796875" style="154"/>
    <col min="1537" max="1537" width="153" style="154" customWidth="1"/>
    <col min="1538" max="1550" width="8.54296875" style="154" customWidth="1"/>
    <col min="1551" max="1792" width="9.1796875" style="154"/>
    <col min="1793" max="1793" width="153" style="154" customWidth="1"/>
    <col min="1794" max="1806" width="8.54296875" style="154" customWidth="1"/>
    <col min="1807" max="2048" width="9.1796875" style="154"/>
    <col min="2049" max="2049" width="153" style="154" customWidth="1"/>
    <col min="2050" max="2062" width="8.54296875" style="154" customWidth="1"/>
    <col min="2063" max="2304" width="9.1796875" style="154"/>
    <col min="2305" max="2305" width="153" style="154" customWidth="1"/>
    <col min="2306" max="2318" width="8.54296875" style="154" customWidth="1"/>
    <col min="2319" max="2560" width="9.1796875" style="154"/>
    <col min="2561" max="2561" width="153" style="154" customWidth="1"/>
    <col min="2562" max="2574" width="8.54296875" style="154" customWidth="1"/>
    <col min="2575" max="2816" width="9.1796875" style="154"/>
    <col min="2817" max="2817" width="153" style="154" customWidth="1"/>
    <col min="2818" max="2830" width="8.54296875" style="154" customWidth="1"/>
    <col min="2831" max="3072" width="9.1796875" style="154"/>
    <col min="3073" max="3073" width="153" style="154" customWidth="1"/>
    <col min="3074" max="3086" width="8.54296875" style="154" customWidth="1"/>
    <col min="3087" max="3328" width="9.1796875" style="154"/>
    <col min="3329" max="3329" width="153" style="154" customWidth="1"/>
    <col min="3330" max="3342" width="8.54296875" style="154" customWidth="1"/>
    <col min="3343" max="3584" width="9.1796875" style="154"/>
    <col min="3585" max="3585" width="153" style="154" customWidth="1"/>
    <col min="3586" max="3598" width="8.54296875" style="154" customWidth="1"/>
    <col min="3599" max="3840" width="9.1796875" style="154"/>
    <col min="3841" max="3841" width="153" style="154" customWidth="1"/>
    <col min="3842" max="3854" width="8.54296875" style="154" customWidth="1"/>
    <col min="3855" max="4096" width="9.1796875" style="154"/>
    <col min="4097" max="4097" width="153" style="154" customWidth="1"/>
    <col min="4098" max="4110" width="8.54296875" style="154" customWidth="1"/>
    <col min="4111" max="4352" width="9.1796875" style="154"/>
    <col min="4353" max="4353" width="153" style="154" customWidth="1"/>
    <col min="4354" max="4366" width="8.54296875" style="154" customWidth="1"/>
    <col min="4367" max="4608" width="9.1796875" style="154"/>
    <col min="4609" max="4609" width="153" style="154" customWidth="1"/>
    <col min="4610" max="4622" width="8.54296875" style="154" customWidth="1"/>
    <col min="4623" max="4864" width="9.1796875" style="154"/>
    <col min="4865" max="4865" width="153" style="154" customWidth="1"/>
    <col min="4866" max="4878" width="8.54296875" style="154" customWidth="1"/>
    <col min="4879" max="5120" width="9.1796875" style="154"/>
    <col min="5121" max="5121" width="153" style="154" customWidth="1"/>
    <col min="5122" max="5134" width="8.54296875" style="154" customWidth="1"/>
    <col min="5135" max="5376" width="9.1796875" style="154"/>
    <col min="5377" max="5377" width="153" style="154" customWidth="1"/>
    <col min="5378" max="5390" width="8.54296875" style="154" customWidth="1"/>
    <col min="5391" max="5632" width="9.1796875" style="154"/>
    <col min="5633" max="5633" width="153" style="154" customWidth="1"/>
    <col min="5634" max="5646" width="8.54296875" style="154" customWidth="1"/>
    <col min="5647" max="5888" width="9.1796875" style="154"/>
    <col min="5889" max="5889" width="153" style="154" customWidth="1"/>
    <col min="5890" max="5902" width="8.54296875" style="154" customWidth="1"/>
    <col min="5903" max="6144" width="9.1796875" style="154"/>
    <col min="6145" max="6145" width="153" style="154" customWidth="1"/>
    <col min="6146" max="6158" width="8.54296875" style="154" customWidth="1"/>
    <col min="6159" max="6400" width="9.1796875" style="154"/>
    <col min="6401" max="6401" width="153" style="154" customWidth="1"/>
    <col min="6402" max="6414" width="8.54296875" style="154" customWidth="1"/>
    <col min="6415" max="6656" width="9.1796875" style="154"/>
    <col min="6657" max="6657" width="153" style="154" customWidth="1"/>
    <col min="6658" max="6670" width="8.54296875" style="154" customWidth="1"/>
    <col min="6671" max="6912" width="9.1796875" style="154"/>
    <col min="6913" max="6913" width="153" style="154" customWidth="1"/>
    <col min="6914" max="6926" width="8.54296875" style="154" customWidth="1"/>
    <col min="6927" max="7168" width="9.1796875" style="154"/>
    <col min="7169" max="7169" width="153" style="154" customWidth="1"/>
    <col min="7170" max="7182" width="8.54296875" style="154" customWidth="1"/>
    <col min="7183" max="7424" width="9.1796875" style="154"/>
    <col min="7425" max="7425" width="153" style="154" customWidth="1"/>
    <col min="7426" max="7438" width="8.54296875" style="154" customWidth="1"/>
    <col min="7439" max="7680" width="9.1796875" style="154"/>
    <col min="7681" max="7681" width="153" style="154" customWidth="1"/>
    <col min="7682" max="7694" width="8.54296875" style="154" customWidth="1"/>
    <col min="7695" max="7936" width="9.1796875" style="154"/>
    <col min="7937" max="7937" width="153" style="154" customWidth="1"/>
    <col min="7938" max="7950" width="8.54296875" style="154" customWidth="1"/>
    <col min="7951" max="8192" width="9.1796875" style="154"/>
    <col min="8193" max="8193" width="153" style="154" customWidth="1"/>
    <col min="8194" max="8206" width="8.54296875" style="154" customWidth="1"/>
    <col min="8207" max="8448" width="9.1796875" style="154"/>
    <col min="8449" max="8449" width="153" style="154" customWidth="1"/>
    <col min="8450" max="8462" width="8.54296875" style="154" customWidth="1"/>
    <col min="8463" max="8704" width="9.1796875" style="154"/>
    <col min="8705" max="8705" width="153" style="154" customWidth="1"/>
    <col min="8706" max="8718" width="8.54296875" style="154" customWidth="1"/>
    <col min="8719" max="8960" width="9.1796875" style="154"/>
    <col min="8961" max="8961" width="153" style="154" customWidth="1"/>
    <col min="8962" max="8974" width="8.54296875" style="154" customWidth="1"/>
    <col min="8975" max="9216" width="9.1796875" style="154"/>
    <col min="9217" max="9217" width="153" style="154" customWidth="1"/>
    <col min="9218" max="9230" width="8.54296875" style="154" customWidth="1"/>
    <col min="9231" max="9472" width="9.1796875" style="154"/>
    <col min="9473" max="9473" width="153" style="154" customWidth="1"/>
    <col min="9474" max="9486" width="8.54296875" style="154" customWidth="1"/>
    <col min="9487" max="9728" width="9.1796875" style="154"/>
    <col min="9729" max="9729" width="153" style="154" customWidth="1"/>
    <col min="9730" max="9742" width="8.54296875" style="154" customWidth="1"/>
    <col min="9743" max="9984" width="9.1796875" style="154"/>
    <col min="9985" max="9985" width="153" style="154" customWidth="1"/>
    <col min="9986" max="9998" width="8.54296875" style="154" customWidth="1"/>
    <col min="9999" max="10240" width="9.1796875" style="154"/>
    <col min="10241" max="10241" width="153" style="154" customWidth="1"/>
    <col min="10242" max="10254" width="8.54296875" style="154" customWidth="1"/>
    <col min="10255" max="10496" width="9.1796875" style="154"/>
    <col min="10497" max="10497" width="153" style="154" customWidth="1"/>
    <col min="10498" max="10510" width="8.54296875" style="154" customWidth="1"/>
    <col min="10511" max="10752" width="9.1796875" style="154"/>
    <col min="10753" max="10753" width="153" style="154" customWidth="1"/>
    <col min="10754" max="10766" width="8.54296875" style="154" customWidth="1"/>
    <col min="10767" max="11008" width="9.1796875" style="154"/>
    <col min="11009" max="11009" width="153" style="154" customWidth="1"/>
    <col min="11010" max="11022" width="8.54296875" style="154" customWidth="1"/>
    <col min="11023" max="11264" width="9.1796875" style="154"/>
    <col min="11265" max="11265" width="153" style="154" customWidth="1"/>
    <col min="11266" max="11278" width="8.54296875" style="154" customWidth="1"/>
    <col min="11279" max="11520" width="9.1796875" style="154"/>
    <col min="11521" max="11521" width="153" style="154" customWidth="1"/>
    <col min="11522" max="11534" width="8.54296875" style="154" customWidth="1"/>
    <col min="11535" max="11776" width="9.1796875" style="154"/>
    <col min="11777" max="11777" width="153" style="154" customWidth="1"/>
    <col min="11778" max="11790" width="8.54296875" style="154" customWidth="1"/>
    <col min="11791" max="12032" width="9.1796875" style="154"/>
    <col min="12033" max="12033" width="153" style="154" customWidth="1"/>
    <col min="12034" max="12046" width="8.54296875" style="154" customWidth="1"/>
    <col min="12047" max="12288" width="9.1796875" style="154"/>
    <col min="12289" max="12289" width="153" style="154" customWidth="1"/>
    <col min="12290" max="12302" width="8.54296875" style="154" customWidth="1"/>
    <col min="12303" max="12544" width="9.1796875" style="154"/>
    <col min="12545" max="12545" width="153" style="154" customWidth="1"/>
    <col min="12546" max="12558" width="8.54296875" style="154" customWidth="1"/>
    <col min="12559" max="12800" width="9.1796875" style="154"/>
    <col min="12801" max="12801" width="153" style="154" customWidth="1"/>
    <col min="12802" max="12814" width="8.54296875" style="154" customWidth="1"/>
    <col min="12815" max="13056" width="9.1796875" style="154"/>
    <col min="13057" max="13057" width="153" style="154" customWidth="1"/>
    <col min="13058" max="13070" width="8.54296875" style="154" customWidth="1"/>
    <col min="13071" max="13312" width="9.1796875" style="154"/>
    <col min="13313" max="13313" width="153" style="154" customWidth="1"/>
    <col min="13314" max="13326" width="8.54296875" style="154" customWidth="1"/>
    <col min="13327" max="13568" width="9.1796875" style="154"/>
    <col min="13569" max="13569" width="153" style="154" customWidth="1"/>
    <col min="13570" max="13582" width="8.54296875" style="154" customWidth="1"/>
    <col min="13583" max="13824" width="9.1796875" style="154"/>
    <col min="13825" max="13825" width="153" style="154" customWidth="1"/>
    <col min="13826" max="13838" width="8.54296875" style="154" customWidth="1"/>
    <col min="13839" max="14080" width="9.1796875" style="154"/>
    <col min="14081" max="14081" width="153" style="154" customWidth="1"/>
    <col min="14082" max="14094" width="8.54296875" style="154" customWidth="1"/>
    <col min="14095" max="14336" width="9.1796875" style="154"/>
    <col min="14337" max="14337" width="153" style="154" customWidth="1"/>
    <col min="14338" max="14350" width="8.54296875" style="154" customWidth="1"/>
    <col min="14351" max="14592" width="9.1796875" style="154"/>
    <col min="14593" max="14593" width="153" style="154" customWidth="1"/>
    <col min="14594" max="14606" width="8.54296875" style="154" customWidth="1"/>
    <col min="14607" max="14848" width="9.1796875" style="154"/>
    <col min="14849" max="14849" width="153" style="154" customWidth="1"/>
    <col min="14850" max="14862" width="8.54296875" style="154" customWidth="1"/>
    <col min="14863" max="15104" width="9.1796875" style="154"/>
    <col min="15105" max="15105" width="153" style="154" customWidth="1"/>
    <col min="15106" max="15118" width="8.54296875" style="154" customWidth="1"/>
    <col min="15119" max="15360" width="9.1796875" style="154"/>
    <col min="15361" max="15361" width="153" style="154" customWidth="1"/>
    <col min="15362" max="15374" width="8.54296875" style="154" customWidth="1"/>
    <col min="15375" max="15616" width="9.1796875" style="154"/>
    <col min="15617" max="15617" width="153" style="154" customWidth="1"/>
    <col min="15618" max="15630" width="8.54296875" style="154" customWidth="1"/>
    <col min="15631" max="15872" width="9.1796875" style="154"/>
    <col min="15873" max="15873" width="153" style="154" customWidth="1"/>
    <col min="15874" max="15886" width="8.54296875" style="154" customWidth="1"/>
    <col min="15887" max="16128" width="9.1796875" style="154"/>
    <col min="16129" max="16129" width="153" style="154" customWidth="1"/>
    <col min="16130" max="16142" width="8.54296875" style="154" customWidth="1"/>
    <col min="16143" max="16384" width="9.1796875" style="154"/>
  </cols>
  <sheetData>
    <row r="1" spans="1:1" ht="19.5" thickTop="1" thickBot="1" x14ac:dyDescent="0.4">
      <c r="A1" s="394" t="s">
        <v>146</v>
      </c>
    </row>
    <row r="2" spans="1:1" ht="15" thickTop="1" x14ac:dyDescent="0.35">
      <c r="A2" s="395" t="s">
        <v>147</v>
      </c>
    </row>
    <row r="3" spans="1:1" x14ac:dyDescent="0.35">
      <c r="A3" s="396" t="s">
        <v>148</v>
      </c>
    </row>
    <row r="4" spans="1:1" ht="29.5" thickBot="1" x14ac:dyDescent="0.4">
      <c r="A4" s="397" t="s">
        <v>149</v>
      </c>
    </row>
    <row r="5" spans="1:1" ht="15" thickTop="1" x14ac:dyDescent="0.35">
      <c r="A5" s="398" t="s">
        <v>150</v>
      </c>
    </row>
    <row r="6" spans="1:1" ht="15" thickBot="1" x14ac:dyDescent="0.4">
      <c r="A6" s="399" t="s">
        <v>151</v>
      </c>
    </row>
    <row r="7" spans="1:1" ht="15" thickTop="1" x14ac:dyDescent="0.35">
      <c r="A7" s="395" t="s">
        <v>152</v>
      </c>
    </row>
    <row r="8" spans="1:1" x14ac:dyDescent="0.35">
      <c r="A8" s="396" t="s">
        <v>153</v>
      </c>
    </row>
    <row r="9" spans="1:1" ht="44" thickBot="1" x14ac:dyDescent="0.4">
      <c r="A9" s="397" t="s">
        <v>154</v>
      </c>
    </row>
    <row r="10" spans="1:1" ht="15" thickTop="1" x14ac:dyDescent="0.35">
      <c r="A10" s="395" t="s">
        <v>155</v>
      </c>
    </row>
    <row r="11" spans="1:1" ht="43.5" x14ac:dyDescent="0.35">
      <c r="A11" s="396" t="s">
        <v>156</v>
      </c>
    </row>
    <row r="12" spans="1:1" ht="29" x14ac:dyDescent="0.35">
      <c r="A12" s="400" t="s">
        <v>157</v>
      </c>
    </row>
    <row r="13" spans="1:1" x14ac:dyDescent="0.35">
      <c r="A13" s="400" t="s">
        <v>158</v>
      </c>
    </row>
    <row r="14" spans="1:1" ht="29" x14ac:dyDescent="0.35">
      <c r="A14" s="400" t="s">
        <v>159</v>
      </c>
    </row>
    <row r="15" spans="1:1" ht="29" x14ac:dyDescent="0.35">
      <c r="A15" s="400" t="s">
        <v>160</v>
      </c>
    </row>
    <row r="16" spans="1:1" ht="29" x14ac:dyDescent="0.35">
      <c r="A16" s="396" t="s">
        <v>161</v>
      </c>
    </row>
    <row r="17" spans="1:1" ht="29.5" thickBot="1" x14ac:dyDescent="0.4">
      <c r="A17" s="397" t="s">
        <v>162</v>
      </c>
    </row>
    <row r="18" spans="1:1" ht="15" thickTop="1" x14ac:dyDescent="0.35">
      <c r="A18" s="395" t="s">
        <v>163</v>
      </c>
    </row>
    <row r="19" spans="1:1" ht="29" x14ac:dyDescent="0.35">
      <c r="A19" s="396" t="s">
        <v>164</v>
      </c>
    </row>
    <row r="20" spans="1:1" x14ac:dyDescent="0.35">
      <c r="A20" s="396" t="s">
        <v>165</v>
      </c>
    </row>
    <row r="21" spans="1:1" ht="29" x14ac:dyDescent="0.35">
      <c r="A21" s="396" t="s">
        <v>166</v>
      </c>
    </row>
    <row r="22" spans="1:1" ht="15" thickBot="1" x14ac:dyDescent="0.4">
      <c r="A22" s="397" t="s">
        <v>167</v>
      </c>
    </row>
    <row r="23" spans="1:1" ht="29.5" thickTop="1" x14ac:dyDescent="0.35">
      <c r="A23" s="401" t="s">
        <v>168</v>
      </c>
    </row>
    <row r="24" spans="1:1" ht="29" x14ac:dyDescent="0.35">
      <c r="A24" s="396" t="s">
        <v>169</v>
      </c>
    </row>
    <row r="25" spans="1:1" x14ac:dyDescent="0.35">
      <c r="A25" s="396" t="s">
        <v>170</v>
      </c>
    </row>
    <row r="26" spans="1:1" x14ac:dyDescent="0.35">
      <c r="A26" s="396" t="s">
        <v>171</v>
      </c>
    </row>
    <row r="27" spans="1:1" ht="29.5" thickBot="1" x14ac:dyDescent="0.4">
      <c r="A27" s="397" t="s">
        <v>172</v>
      </c>
    </row>
    <row r="28" spans="1:1" ht="15" thickTop="1" x14ac:dyDescent="0.3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7"/>
  <sheetViews>
    <sheetView topLeftCell="A27" workbookViewId="0">
      <selection activeCell="B37" sqref="B37"/>
    </sheetView>
  </sheetViews>
  <sheetFormatPr defaultRowHeight="14.5" x14ac:dyDescent="0.35"/>
  <cols>
    <col min="1" max="1" width="18.81640625" style="154" customWidth="1"/>
    <col min="2" max="2" width="117.54296875" style="154" customWidth="1"/>
    <col min="3" max="256" width="9.1796875" style="154"/>
    <col min="257" max="257" width="18.81640625" style="154" customWidth="1"/>
    <col min="258" max="258" width="117.54296875" style="154" customWidth="1"/>
    <col min="259" max="512" width="9.1796875" style="154"/>
    <col min="513" max="513" width="18.81640625" style="154" customWidth="1"/>
    <col min="514" max="514" width="117.54296875" style="154" customWidth="1"/>
    <col min="515" max="768" width="9.1796875" style="154"/>
    <col min="769" max="769" width="18.81640625" style="154" customWidth="1"/>
    <col min="770" max="770" width="117.54296875" style="154" customWidth="1"/>
    <col min="771" max="1024" width="9.1796875" style="154"/>
    <col min="1025" max="1025" width="18.81640625" style="154" customWidth="1"/>
    <col min="1026" max="1026" width="117.54296875" style="154" customWidth="1"/>
    <col min="1027" max="1280" width="9.1796875" style="154"/>
    <col min="1281" max="1281" width="18.81640625" style="154" customWidth="1"/>
    <col min="1282" max="1282" width="117.54296875" style="154" customWidth="1"/>
    <col min="1283" max="1536" width="9.1796875" style="154"/>
    <col min="1537" max="1537" width="18.81640625" style="154" customWidth="1"/>
    <col min="1538" max="1538" width="117.54296875" style="154" customWidth="1"/>
    <col min="1539" max="1792" width="9.1796875" style="154"/>
    <col min="1793" max="1793" width="18.81640625" style="154" customWidth="1"/>
    <col min="1794" max="1794" width="117.54296875" style="154" customWidth="1"/>
    <col min="1795" max="2048" width="9.1796875" style="154"/>
    <col min="2049" max="2049" width="18.81640625" style="154" customWidth="1"/>
    <col min="2050" max="2050" width="117.54296875" style="154" customWidth="1"/>
    <col min="2051" max="2304" width="9.1796875" style="154"/>
    <col min="2305" max="2305" width="18.81640625" style="154" customWidth="1"/>
    <col min="2306" max="2306" width="117.54296875" style="154" customWidth="1"/>
    <col min="2307" max="2560" width="9.1796875" style="154"/>
    <col min="2561" max="2561" width="18.81640625" style="154" customWidth="1"/>
    <col min="2562" max="2562" width="117.54296875" style="154" customWidth="1"/>
    <col min="2563" max="2816" width="9.1796875" style="154"/>
    <col min="2817" max="2817" width="18.81640625" style="154" customWidth="1"/>
    <col min="2818" max="2818" width="117.54296875" style="154" customWidth="1"/>
    <col min="2819" max="3072" width="9.1796875" style="154"/>
    <col min="3073" max="3073" width="18.81640625" style="154" customWidth="1"/>
    <col min="3074" max="3074" width="117.54296875" style="154" customWidth="1"/>
    <col min="3075" max="3328" width="9.1796875" style="154"/>
    <col min="3329" max="3329" width="18.81640625" style="154" customWidth="1"/>
    <col min="3330" max="3330" width="117.54296875" style="154" customWidth="1"/>
    <col min="3331" max="3584" width="9.1796875" style="154"/>
    <col min="3585" max="3585" width="18.81640625" style="154" customWidth="1"/>
    <col min="3586" max="3586" width="117.54296875" style="154" customWidth="1"/>
    <col min="3587" max="3840" width="9.1796875" style="154"/>
    <col min="3841" max="3841" width="18.81640625" style="154" customWidth="1"/>
    <col min="3842" max="3842" width="117.54296875" style="154" customWidth="1"/>
    <col min="3843" max="4096" width="9.1796875" style="154"/>
    <col min="4097" max="4097" width="18.81640625" style="154" customWidth="1"/>
    <col min="4098" max="4098" width="117.54296875" style="154" customWidth="1"/>
    <col min="4099" max="4352" width="9.1796875" style="154"/>
    <col min="4353" max="4353" width="18.81640625" style="154" customWidth="1"/>
    <col min="4354" max="4354" width="117.54296875" style="154" customWidth="1"/>
    <col min="4355" max="4608" width="9.1796875" style="154"/>
    <col min="4609" max="4609" width="18.81640625" style="154" customWidth="1"/>
    <col min="4610" max="4610" width="117.54296875" style="154" customWidth="1"/>
    <col min="4611" max="4864" width="9.1796875" style="154"/>
    <col min="4865" max="4865" width="18.81640625" style="154" customWidth="1"/>
    <col min="4866" max="4866" width="117.54296875" style="154" customWidth="1"/>
    <col min="4867" max="5120" width="9.1796875" style="154"/>
    <col min="5121" max="5121" width="18.81640625" style="154" customWidth="1"/>
    <col min="5122" max="5122" width="117.54296875" style="154" customWidth="1"/>
    <col min="5123" max="5376" width="9.1796875" style="154"/>
    <col min="5377" max="5377" width="18.81640625" style="154" customWidth="1"/>
    <col min="5378" max="5378" width="117.54296875" style="154" customWidth="1"/>
    <col min="5379" max="5632" width="9.1796875" style="154"/>
    <col min="5633" max="5633" width="18.81640625" style="154" customWidth="1"/>
    <col min="5634" max="5634" width="117.54296875" style="154" customWidth="1"/>
    <col min="5635" max="5888" width="9.1796875" style="154"/>
    <col min="5889" max="5889" width="18.81640625" style="154" customWidth="1"/>
    <col min="5890" max="5890" width="117.54296875" style="154" customWidth="1"/>
    <col min="5891" max="6144" width="9.1796875" style="154"/>
    <col min="6145" max="6145" width="18.81640625" style="154" customWidth="1"/>
    <col min="6146" max="6146" width="117.54296875" style="154" customWidth="1"/>
    <col min="6147" max="6400" width="9.1796875" style="154"/>
    <col min="6401" max="6401" width="18.81640625" style="154" customWidth="1"/>
    <col min="6402" max="6402" width="117.54296875" style="154" customWidth="1"/>
    <col min="6403" max="6656" width="9.1796875" style="154"/>
    <col min="6657" max="6657" width="18.81640625" style="154" customWidth="1"/>
    <col min="6658" max="6658" width="117.54296875" style="154" customWidth="1"/>
    <col min="6659" max="6912" width="9.1796875" style="154"/>
    <col min="6913" max="6913" width="18.81640625" style="154" customWidth="1"/>
    <col min="6914" max="6914" width="117.54296875" style="154" customWidth="1"/>
    <col min="6915" max="7168" width="9.1796875" style="154"/>
    <col min="7169" max="7169" width="18.81640625" style="154" customWidth="1"/>
    <col min="7170" max="7170" width="117.54296875" style="154" customWidth="1"/>
    <col min="7171" max="7424" width="9.1796875" style="154"/>
    <col min="7425" max="7425" width="18.81640625" style="154" customWidth="1"/>
    <col min="7426" max="7426" width="117.54296875" style="154" customWidth="1"/>
    <col min="7427" max="7680" width="9.1796875" style="154"/>
    <col min="7681" max="7681" width="18.81640625" style="154" customWidth="1"/>
    <col min="7682" max="7682" width="117.54296875" style="154" customWidth="1"/>
    <col min="7683" max="7936" width="9.1796875" style="154"/>
    <col min="7937" max="7937" width="18.81640625" style="154" customWidth="1"/>
    <col min="7938" max="7938" width="117.54296875" style="154" customWidth="1"/>
    <col min="7939" max="8192" width="9.1796875" style="154"/>
    <col min="8193" max="8193" width="18.81640625" style="154" customWidth="1"/>
    <col min="8194" max="8194" width="117.54296875" style="154" customWidth="1"/>
    <col min="8195" max="8448" width="9.1796875" style="154"/>
    <col min="8449" max="8449" width="18.81640625" style="154" customWidth="1"/>
    <col min="8450" max="8450" width="117.54296875" style="154" customWidth="1"/>
    <col min="8451" max="8704" width="9.1796875" style="154"/>
    <col min="8705" max="8705" width="18.81640625" style="154" customWidth="1"/>
    <col min="8706" max="8706" width="117.54296875" style="154" customWidth="1"/>
    <col min="8707" max="8960" width="9.1796875" style="154"/>
    <col min="8961" max="8961" width="18.81640625" style="154" customWidth="1"/>
    <col min="8962" max="8962" width="117.54296875" style="154" customWidth="1"/>
    <col min="8963" max="9216" width="9.1796875" style="154"/>
    <col min="9217" max="9217" width="18.81640625" style="154" customWidth="1"/>
    <col min="9218" max="9218" width="117.54296875" style="154" customWidth="1"/>
    <col min="9219" max="9472" width="9.1796875" style="154"/>
    <col min="9473" max="9473" width="18.81640625" style="154" customWidth="1"/>
    <col min="9474" max="9474" width="117.54296875" style="154" customWidth="1"/>
    <col min="9475" max="9728" width="9.1796875" style="154"/>
    <col min="9729" max="9729" width="18.81640625" style="154" customWidth="1"/>
    <col min="9730" max="9730" width="117.54296875" style="154" customWidth="1"/>
    <col min="9731" max="9984" width="9.1796875" style="154"/>
    <col min="9985" max="9985" width="18.81640625" style="154" customWidth="1"/>
    <col min="9986" max="9986" width="117.54296875" style="154" customWidth="1"/>
    <col min="9987" max="10240" width="9.1796875" style="154"/>
    <col min="10241" max="10241" width="18.81640625" style="154" customWidth="1"/>
    <col min="10242" max="10242" width="117.54296875" style="154" customWidth="1"/>
    <col min="10243" max="10496" width="9.1796875" style="154"/>
    <col min="10497" max="10497" width="18.81640625" style="154" customWidth="1"/>
    <col min="10498" max="10498" width="117.54296875" style="154" customWidth="1"/>
    <col min="10499" max="10752" width="9.1796875" style="154"/>
    <col min="10753" max="10753" width="18.81640625" style="154" customWidth="1"/>
    <col min="10754" max="10754" width="117.54296875" style="154" customWidth="1"/>
    <col min="10755" max="11008" width="9.1796875" style="154"/>
    <col min="11009" max="11009" width="18.81640625" style="154" customWidth="1"/>
    <col min="11010" max="11010" width="117.54296875" style="154" customWidth="1"/>
    <col min="11011" max="11264" width="9.1796875" style="154"/>
    <col min="11265" max="11265" width="18.81640625" style="154" customWidth="1"/>
    <col min="11266" max="11266" width="117.54296875" style="154" customWidth="1"/>
    <col min="11267" max="11520" width="9.1796875" style="154"/>
    <col min="11521" max="11521" width="18.81640625" style="154" customWidth="1"/>
    <col min="11522" max="11522" width="117.54296875" style="154" customWidth="1"/>
    <col min="11523" max="11776" width="9.1796875" style="154"/>
    <col min="11777" max="11777" width="18.81640625" style="154" customWidth="1"/>
    <col min="11778" max="11778" width="117.54296875" style="154" customWidth="1"/>
    <col min="11779" max="12032" width="9.1796875" style="154"/>
    <col min="12033" max="12033" width="18.81640625" style="154" customWidth="1"/>
    <col min="12034" max="12034" width="117.54296875" style="154" customWidth="1"/>
    <col min="12035" max="12288" width="9.1796875" style="154"/>
    <col min="12289" max="12289" width="18.81640625" style="154" customWidth="1"/>
    <col min="12290" max="12290" width="117.54296875" style="154" customWidth="1"/>
    <col min="12291" max="12544" width="9.1796875" style="154"/>
    <col min="12545" max="12545" width="18.81640625" style="154" customWidth="1"/>
    <col min="12546" max="12546" width="117.54296875" style="154" customWidth="1"/>
    <col min="12547" max="12800" width="9.1796875" style="154"/>
    <col min="12801" max="12801" width="18.81640625" style="154" customWidth="1"/>
    <col min="12802" max="12802" width="117.54296875" style="154" customWidth="1"/>
    <col min="12803" max="13056" width="9.1796875" style="154"/>
    <col min="13057" max="13057" width="18.81640625" style="154" customWidth="1"/>
    <col min="13058" max="13058" width="117.54296875" style="154" customWidth="1"/>
    <col min="13059" max="13312" width="9.1796875" style="154"/>
    <col min="13313" max="13313" width="18.81640625" style="154" customWidth="1"/>
    <col min="13314" max="13314" width="117.54296875" style="154" customWidth="1"/>
    <col min="13315" max="13568" width="9.1796875" style="154"/>
    <col min="13569" max="13569" width="18.81640625" style="154" customWidth="1"/>
    <col min="13570" max="13570" width="117.54296875" style="154" customWidth="1"/>
    <col min="13571" max="13824" width="9.1796875" style="154"/>
    <col min="13825" max="13825" width="18.81640625" style="154" customWidth="1"/>
    <col min="13826" max="13826" width="117.54296875" style="154" customWidth="1"/>
    <col min="13827" max="14080" width="9.1796875" style="154"/>
    <col min="14081" max="14081" width="18.81640625" style="154" customWidth="1"/>
    <col min="14082" max="14082" width="117.54296875" style="154" customWidth="1"/>
    <col min="14083" max="14336" width="9.1796875" style="154"/>
    <col min="14337" max="14337" width="18.81640625" style="154" customWidth="1"/>
    <col min="14338" max="14338" width="117.54296875" style="154" customWidth="1"/>
    <col min="14339" max="14592" width="9.1796875" style="154"/>
    <col min="14593" max="14593" width="18.81640625" style="154" customWidth="1"/>
    <col min="14594" max="14594" width="117.54296875" style="154" customWidth="1"/>
    <col min="14595" max="14848" width="9.1796875" style="154"/>
    <col min="14849" max="14849" width="18.81640625" style="154" customWidth="1"/>
    <col min="14850" max="14850" width="117.54296875" style="154" customWidth="1"/>
    <col min="14851" max="15104" width="9.1796875" style="154"/>
    <col min="15105" max="15105" width="18.81640625" style="154" customWidth="1"/>
    <col min="15106" max="15106" width="117.54296875" style="154" customWidth="1"/>
    <col min="15107" max="15360" width="9.1796875" style="154"/>
    <col min="15361" max="15361" width="18.81640625" style="154" customWidth="1"/>
    <col min="15362" max="15362" width="117.54296875" style="154" customWidth="1"/>
    <col min="15363" max="15616" width="9.1796875" style="154"/>
    <col min="15617" max="15617" width="18.81640625" style="154" customWidth="1"/>
    <col min="15618" max="15618" width="117.54296875" style="154" customWidth="1"/>
    <col min="15619" max="15872" width="9.1796875" style="154"/>
    <col min="15873" max="15873" width="18.81640625" style="154" customWidth="1"/>
    <col min="15874" max="15874" width="117.54296875" style="154" customWidth="1"/>
    <col min="15875" max="16128" width="9.1796875" style="154"/>
    <col min="16129" max="16129" width="18.81640625" style="154" customWidth="1"/>
    <col min="16130" max="16130" width="117.54296875" style="154" customWidth="1"/>
    <col min="16131" max="16384" width="9.1796875" style="154"/>
  </cols>
  <sheetData>
    <row r="1" spans="1:2" ht="20.25" customHeight="1" thickBot="1" x14ac:dyDescent="0.4">
      <c r="A1" s="1204" t="s">
        <v>173</v>
      </c>
      <c r="B1" s="1205"/>
    </row>
    <row r="2" spans="1:2" ht="15" thickTop="1" x14ac:dyDescent="0.35">
      <c r="A2" s="1206" t="s">
        <v>174</v>
      </c>
      <c r="B2" s="402" t="s">
        <v>175</v>
      </c>
    </row>
    <row r="3" spans="1:2" ht="30.65" customHeight="1" x14ac:dyDescent="0.35">
      <c r="A3" s="1207"/>
      <c r="B3" s="403" t="s">
        <v>176</v>
      </c>
    </row>
    <row r="4" spans="1:2" x14ac:dyDescent="0.35">
      <c r="A4" s="1207"/>
      <c r="B4" s="404" t="s">
        <v>177</v>
      </c>
    </row>
    <row r="5" spans="1:2" ht="30.75" customHeight="1" thickBot="1" x14ac:dyDescent="0.4">
      <c r="A5" s="1207"/>
      <c r="B5" s="405" t="s">
        <v>178</v>
      </c>
    </row>
    <row r="6" spans="1:2" ht="15" thickTop="1" x14ac:dyDescent="0.35">
      <c r="A6" s="1206" t="s">
        <v>179</v>
      </c>
      <c r="B6" s="406" t="s">
        <v>180</v>
      </c>
    </row>
    <row r="7" spans="1:2" x14ac:dyDescent="0.35">
      <c r="A7" s="1207"/>
      <c r="B7" s="403" t="s">
        <v>181</v>
      </c>
    </row>
    <row r="8" spans="1:2" x14ac:dyDescent="0.35">
      <c r="A8" s="1207"/>
      <c r="B8" s="403" t="s">
        <v>182</v>
      </c>
    </row>
    <row r="9" spans="1:2" x14ac:dyDescent="0.35">
      <c r="A9" s="1207"/>
      <c r="B9" s="407" t="s">
        <v>183</v>
      </c>
    </row>
    <row r="10" spans="1:2" ht="15" thickBot="1" x14ac:dyDescent="0.4">
      <c r="A10" s="1208"/>
      <c r="B10" s="408" t="s">
        <v>184</v>
      </c>
    </row>
    <row r="11" spans="1:2" ht="16" thickTop="1" thickBot="1" x14ac:dyDescent="0.4">
      <c r="A11" s="409" t="s">
        <v>185</v>
      </c>
      <c r="B11" s="410" t="s">
        <v>186</v>
      </c>
    </row>
    <row r="12" spans="1:2" ht="30.65" customHeight="1" thickTop="1" x14ac:dyDescent="0.35">
      <c r="A12" s="1207" t="s">
        <v>187</v>
      </c>
      <c r="B12" s="402" t="s">
        <v>188</v>
      </c>
    </row>
    <row r="13" spans="1:2" ht="29" x14ac:dyDescent="0.35">
      <c r="A13" s="1207"/>
      <c r="B13" s="402" t="s">
        <v>189</v>
      </c>
    </row>
    <row r="14" spans="1:2" x14ac:dyDescent="0.35">
      <c r="A14" s="1207"/>
      <c r="B14" s="403" t="s">
        <v>190</v>
      </c>
    </row>
    <row r="15" spans="1:2" x14ac:dyDescent="0.35">
      <c r="A15" s="1207"/>
      <c r="B15" s="403" t="s">
        <v>191</v>
      </c>
    </row>
    <row r="16" spans="1:2" ht="15" thickBot="1" x14ac:dyDescent="0.4">
      <c r="A16" s="1208"/>
      <c r="B16" s="408" t="s">
        <v>192</v>
      </c>
    </row>
    <row r="17" spans="1:2" ht="15" thickTop="1" x14ac:dyDescent="0.35">
      <c r="A17" s="1206" t="s">
        <v>193</v>
      </c>
      <c r="B17" s="411" t="s">
        <v>194</v>
      </c>
    </row>
    <row r="18" spans="1:2" x14ac:dyDescent="0.35">
      <c r="A18" s="1207"/>
      <c r="B18" s="412" t="s">
        <v>195</v>
      </c>
    </row>
    <row r="19" spans="1:2" x14ac:dyDescent="0.35">
      <c r="A19" s="1207"/>
      <c r="B19" s="412" t="s">
        <v>196</v>
      </c>
    </row>
    <row r="20" spans="1:2" ht="29" x14ac:dyDescent="0.35">
      <c r="A20" s="1207"/>
      <c r="B20" s="413" t="s">
        <v>197</v>
      </c>
    </row>
    <row r="21" spans="1:2" ht="15" customHeight="1" x14ac:dyDescent="0.35">
      <c r="A21" s="1207"/>
      <c r="B21" s="413" t="s">
        <v>198</v>
      </c>
    </row>
    <row r="22" spans="1:2" x14ac:dyDescent="0.35">
      <c r="A22" s="1207"/>
      <c r="B22" s="414" t="s">
        <v>199</v>
      </c>
    </row>
    <row r="23" spans="1:2" ht="29" x14ac:dyDescent="0.35">
      <c r="A23" s="1207"/>
      <c r="B23" s="412" t="s">
        <v>200</v>
      </c>
    </row>
    <row r="24" spans="1:2" ht="15.75" customHeight="1" x14ac:dyDescent="0.35">
      <c r="A24" s="1207"/>
      <c r="B24" s="414" t="s">
        <v>201</v>
      </c>
    </row>
    <row r="25" spans="1:2" x14ac:dyDescent="0.35">
      <c r="A25" s="1207"/>
      <c r="B25" s="412" t="s">
        <v>202</v>
      </c>
    </row>
    <row r="26" spans="1:2" x14ac:dyDescent="0.35">
      <c r="A26" s="1207"/>
      <c r="B26" s="415" t="s">
        <v>203</v>
      </c>
    </row>
    <row r="27" spans="1:2" ht="29" x14ac:dyDescent="0.35">
      <c r="A27" s="1207"/>
      <c r="B27" s="416" t="s">
        <v>204</v>
      </c>
    </row>
    <row r="28" spans="1:2" ht="29" x14ac:dyDescent="0.35">
      <c r="A28" s="1207"/>
      <c r="B28" s="415" t="s">
        <v>205</v>
      </c>
    </row>
    <row r="29" spans="1:2" x14ac:dyDescent="0.35">
      <c r="A29" s="1207"/>
      <c r="B29" s="415" t="s">
        <v>206</v>
      </c>
    </row>
    <row r="30" spans="1:2" ht="29.5" thickBot="1" x14ac:dyDescent="0.4">
      <c r="A30" s="1207"/>
      <c r="B30" s="417" t="s">
        <v>207</v>
      </c>
    </row>
    <row r="31" spans="1:2" ht="61" customHeight="1" thickTop="1" x14ac:dyDescent="0.35">
      <c r="A31" s="1209" t="s">
        <v>208</v>
      </c>
      <c r="B31" s="418" t="s">
        <v>209</v>
      </c>
    </row>
    <row r="32" spans="1:2" x14ac:dyDescent="0.35">
      <c r="A32" s="1210"/>
      <c r="B32" s="419" t="s">
        <v>210</v>
      </c>
    </row>
    <row r="33" spans="1:2" ht="29" x14ac:dyDescent="0.35">
      <c r="A33" s="1210"/>
      <c r="B33" s="419" t="s">
        <v>211</v>
      </c>
    </row>
    <row r="34" spans="1:2" ht="61" customHeight="1" x14ac:dyDescent="0.35">
      <c r="A34" s="1210"/>
      <c r="B34" s="419" t="s">
        <v>212</v>
      </c>
    </row>
    <row r="35" spans="1:2" ht="29.5" thickBot="1" x14ac:dyDescent="0.4">
      <c r="A35" s="1210"/>
      <c r="B35" s="419" t="s">
        <v>213</v>
      </c>
    </row>
    <row r="36" spans="1:2" ht="15" customHeight="1" thickTop="1" x14ac:dyDescent="0.35">
      <c r="A36" s="1202" t="s">
        <v>214</v>
      </c>
      <c r="B36" s="420" t="s">
        <v>215</v>
      </c>
    </row>
    <row r="37" spans="1:2" ht="15" customHeight="1" thickBot="1" x14ac:dyDescent="0.4">
      <c r="A37" s="1203"/>
      <c r="B37" s="421" t="s">
        <v>216</v>
      </c>
    </row>
  </sheetData>
  <mergeCells count="7">
    <mergeCell ref="A36:A37"/>
    <mergeCell ref="A1:B1"/>
    <mergeCell ref="A2:A5"/>
    <mergeCell ref="A6:A10"/>
    <mergeCell ref="A12:A16"/>
    <mergeCell ref="A17:A30"/>
    <mergeCell ref="A31:A3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
  <sheetViews>
    <sheetView topLeftCell="A3" workbookViewId="0">
      <selection activeCell="D4" sqref="D4:D5"/>
    </sheetView>
  </sheetViews>
  <sheetFormatPr defaultRowHeight="14.5" x14ac:dyDescent="0.35"/>
  <cols>
    <col min="1" max="10" width="22.7265625" style="154" customWidth="1"/>
    <col min="11" max="256" width="9.1796875" style="154"/>
    <col min="257" max="266" width="22.7265625" style="154" customWidth="1"/>
    <col min="267" max="512" width="9.1796875" style="154"/>
    <col min="513" max="522" width="22.7265625" style="154" customWidth="1"/>
    <col min="523" max="768" width="9.1796875" style="154"/>
    <col min="769" max="778" width="22.7265625" style="154" customWidth="1"/>
    <col min="779" max="1024" width="9.1796875" style="154"/>
    <col min="1025" max="1034" width="22.7265625" style="154" customWidth="1"/>
    <col min="1035" max="1280" width="9.1796875" style="154"/>
    <col min="1281" max="1290" width="22.7265625" style="154" customWidth="1"/>
    <col min="1291" max="1536" width="9.1796875" style="154"/>
    <col min="1537" max="1546" width="22.7265625" style="154" customWidth="1"/>
    <col min="1547" max="1792" width="9.1796875" style="154"/>
    <col min="1793" max="1802" width="22.7265625" style="154" customWidth="1"/>
    <col min="1803" max="2048" width="9.1796875" style="154"/>
    <col min="2049" max="2058" width="22.7265625" style="154" customWidth="1"/>
    <col min="2059" max="2304" width="9.1796875" style="154"/>
    <col min="2305" max="2314" width="22.7265625" style="154" customWidth="1"/>
    <col min="2315" max="2560" width="9.1796875" style="154"/>
    <col min="2561" max="2570" width="22.7265625" style="154" customWidth="1"/>
    <col min="2571" max="2816" width="9.1796875" style="154"/>
    <col min="2817" max="2826" width="22.7265625" style="154" customWidth="1"/>
    <col min="2827" max="3072" width="9.1796875" style="154"/>
    <col min="3073" max="3082" width="22.7265625" style="154" customWidth="1"/>
    <col min="3083" max="3328" width="9.1796875" style="154"/>
    <col min="3329" max="3338" width="22.7265625" style="154" customWidth="1"/>
    <col min="3339" max="3584" width="9.1796875" style="154"/>
    <col min="3585" max="3594" width="22.7265625" style="154" customWidth="1"/>
    <col min="3595" max="3840" width="9.1796875" style="154"/>
    <col min="3841" max="3850" width="22.7265625" style="154" customWidth="1"/>
    <col min="3851" max="4096" width="9.1796875" style="154"/>
    <col min="4097" max="4106" width="22.7265625" style="154" customWidth="1"/>
    <col min="4107" max="4352" width="9.1796875" style="154"/>
    <col min="4353" max="4362" width="22.7265625" style="154" customWidth="1"/>
    <col min="4363" max="4608" width="9.1796875" style="154"/>
    <col min="4609" max="4618" width="22.7265625" style="154" customWidth="1"/>
    <col min="4619" max="4864" width="9.1796875" style="154"/>
    <col min="4865" max="4874" width="22.7265625" style="154" customWidth="1"/>
    <col min="4875" max="5120" width="9.1796875" style="154"/>
    <col min="5121" max="5130" width="22.7265625" style="154" customWidth="1"/>
    <col min="5131" max="5376" width="9.1796875" style="154"/>
    <col min="5377" max="5386" width="22.7265625" style="154" customWidth="1"/>
    <col min="5387" max="5632" width="9.1796875" style="154"/>
    <col min="5633" max="5642" width="22.7265625" style="154" customWidth="1"/>
    <col min="5643" max="5888" width="9.1796875" style="154"/>
    <col min="5889" max="5898" width="22.7265625" style="154" customWidth="1"/>
    <col min="5899" max="6144" width="9.1796875" style="154"/>
    <col min="6145" max="6154" width="22.7265625" style="154" customWidth="1"/>
    <col min="6155" max="6400" width="9.1796875" style="154"/>
    <col min="6401" max="6410" width="22.7265625" style="154" customWidth="1"/>
    <col min="6411" max="6656" width="9.1796875" style="154"/>
    <col min="6657" max="6666" width="22.7265625" style="154" customWidth="1"/>
    <col min="6667" max="6912" width="9.1796875" style="154"/>
    <col min="6913" max="6922" width="22.7265625" style="154" customWidth="1"/>
    <col min="6923" max="7168" width="9.1796875" style="154"/>
    <col min="7169" max="7178" width="22.7265625" style="154" customWidth="1"/>
    <col min="7179" max="7424" width="9.1796875" style="154"/>
    <col min="7425" max="7434" width="22.7265625" style="154" customWidth="1"/>
    <col min="7435" max="7680" width="9.1796875" style="154"/>
    <col min="7681" max="7690" width="22.7265625" style="154" customWidth="1"/>
    <col min="7691" max="7936" width="9.1796875" style="154"/>
    <col min="7937" max="7946" width="22.7265625" style="154" customWidth="1"/>
    <col min="7947" max="8192" width="9.1796875" style="154"/>
    <col min="8193" max="8202" width="22.7265625" style="154" customWidth="1"/>
    <col min="8203" max="8448" width="9.1796875" style="154"/>
    <col min="8449" max="8458" width="22.7265625" style="154" customWidth="1"/>
    <col min="8459" max="8704" width="9.1796875" style="154"/>
    <col min="8705" max="8714" width="22.7265625" style="154" customWidth="1"/>
    <col min="8715" max="8960" width="9.1796875" style="154"/>
    <col min="8961" max="8970" width="22.7265625" style="154" customWidth="1"/>
    <col min="8971" max="9216" width="9.1796875" style="154"/>
    <col min="9217" max="9226" width="22.7265625" style="154" customWidth="1"/>
    <col min="9227" max="9472" width="9.1796875" style="154"/>
    <col min="9473" max="9482" width="22.7265625" style="154" customWidth="1"/>
    <col min="9483" max="9728" width="9.1796875" style="154"/>
    <col min="9729" max="9738" width="22.7265625" style="154" customWidth="1"/>
    <col min="9739" max="9984" width="9.1796875" style="154"/>
    <col min="9985" max="9994" width="22.7265625" style="154" customWidth="1"/>
    <col min="9995" max="10240" width="9.1796875" style="154"/>
    <col min="10241" max="10250" width="22.7265625" style="154" customWidth="1"/>
    <col min="10251" max="10496" width="9.1796875" style="154"/>
    <col min="10497" max="10506" width="22.7265625" style="154" customWidth="1"/>
    <col min="10507" max="10752" width="9.1796875" style="154"/>
    <col min="10753" max="10762" width="22.7265625" style="154" customWidth="1"/>
    <col min="10763" max="11008" width="9.1796875" style="154"/>
    <col min="11009" max="11018" width="22.7265625" style="154" customWidth="1"/>
    <col min="11019" max="11264" width="9.1796875" style="154"/>
    <col min="11265" max="11274" width="22.7265625" style="154" customWidth="1"/>
    <col min="11275" max="11520" width="9.1796875" style="154"/>
    <col min="11521" max="11530" width="22.7265625" style="154" customWidth="1"/>
    <col min="11531" max="11776" width="9.1796875" style="154"/>
    <col min="11777" max="11786" width="22.7265625" style="154" customWidth="1"/>
    <col min="11787" max="12032" width="9.1796875" style="154"/>
    <col min="12033" max="12042" width="22.7265625" style="154" customWidth="1"/>
    <col min="12043" max="12288" width="9.1796875" style="154"/>
    <col min="12289" max="12298" width="22.7265625" style="154" customWidth="1"/>
    <col min="12299" max="12544" width="9.1796875" style="154"/>
    <col min="12545" max="12554" width="22.7265625" style="154" customWidth="1"/>
    <col min="12555" max="12800" width="9.1796875" style="154"/>
    <col min="12801" max="12810" width="22.7265625" style="154" customWidth="1"/>
    <col min="12811" max="13056" width="9.1796875" style="154"/>
    <col min="13057" max="13066" width="22.7265625" style="154" customWidth="1"/>
    <col min="13067" max="13312" width="9.1796875" style="154"/>
    <col min="13313" max="13322" width="22.7265625" style="154" customWidth="1"/>
    <col min="13323" max="13568" width="9.1796875" style="154"/>
    <col min="13569" max="13578" width="22.7265625" style="154" customWidth="1"/>
    <col min="13579" max="13824" width="9.1796875" style="154"/>
    <col min="13825" max="13834" width="22.7265625" style="154" customWidth="1"/>
    <col min="13835" max="14080" width="9.1796875" style="154"/>
    <col min="14081" max="14090" width="22.7265625" style="154" customWidth="1"/>
    <col min="14091" max="14336" width="9.1796875" style="154"/>
    <col min="14337" max="14346" width="22.7265625" style="154" customWidth="1"/>
    <col min="14347" max="14592" width="9.1796875" style="154"/>
    <col min="14593" max="14602" width="22.7265625" style="154" customWidth="1"/>
    <col min="14603" max="14848" width="9.1796875" style="154"/>
    <col min="14849" max="14858" width="22.7265625" style="154" customWidth="1"/>
    <col min="14859" max="15104" width="9.1796875" style="154"/>
    <col min="15105" max="15114" width="22.7265625" style="154" customWidth="1"/>
    <col min="15115" max="15360" width="9.1796875" style="154"/>
    <col min="15361" max="15370" width="22.7265625" style="154" customWidth="1"/>
    <col min="15371" max="15616" width="9.1796875" style="154"/>
    <col min="15617" max="15626" width="22.7265625" style="154" customWidth="1"/>
    <col min="15627" max="15872" width="9.1796875" style="154"/>
    <col min="15873" max="15882" width="22.7265625" style="154" customWidth="1"/>
    <col min="15883" max="16128" width="9.1796875" style="154"/>
    <col min="16129" max="16138" width="22.7265625" style="154" customWidth="1"/>
    <col min="16139" max="16384" width="9.1796875" style="154"/>
  </cols>
  <sheetData>
    <row r="1" spans="1:10" ht="19" thickBot="1" x14ac:dyDescent="0.4">
      <c r="A1" s="1214" t="s">
        <v>217</v>
      </c>
      <c r="B1" s="1215"/>
      <c r="C1" s="1215"/>
      <c r="D1" s="1215"/>
      <c r="E1" s="1215"/>
      <c r="F1" s="1215"/>
      <c r="G1" s="1215"/>
      <c r="H1" s="1215"/>
      <c r="I1" s="1215"/>
      <c r="J1" s="1216"/>
    </row>
    <row r="2" spans="1:10" ht="15" thickBot="1" x14ac:dyDescent="0.4">
      <c r="A2" s="1217" t="s">
        <v>218</v>
      </c>
      <c r="B2" s="1218"/>
      <c r="C2" s="1219"/>
      <c r="D2" s="1220" t="s">
        <v>219</v>
      </c>
      <c r="E2" s="1220"/>
      <c r="F2" s="1220"/>
      <c r="G2" s="1220"/>
      <c r="H2" s="1220" t="s">
        <v>220</v>
      </c>
      <c r="I2" s="1220"/>
      <c r="J2" s="1220"/>
    </row>
    <row r="3" spans="1:10" ht="29.5" thickBot="1" x14ac:dyDescent="0.4">
      <c r="A3" s="422" t="s">
        <v>221</v>
      </c>
      <c r="B3" s="423" t="s">
        <v>222</v>
      </c>
      <c r="C3" s="424" t="s">
        <v>223</v>
      </c>
      <c r="D3" s="422" t="s">
        <v>224</v>
      </c>
      <c r="E3" s="423" t="s">
        <v>225</v>
      </c>
      <c r="F3" s="423" t="s">
        <v>226</v>
      </c>
      <c r="G3" s="425" t="s">
        <v>227</v>
      </c>
      <c r="H3" s="422" t="s">
        <v>228</v>
      </c>
      <c r="I3" s="423" t="s">
        <v>229</v>
      </c>
      <c r="J3" s="425" t="s">
        <v>230</v>
      </c>
    </row>
    <row r="4" spans="1:10" x14ac:dyDescent="0.35">
      <c r="A4" s="1221" t="s">
        <v>231</v>
      </c>
      <c r="B4" s="1223" t="s">
        <v>232</v>
      </c>
      <c r="C4" s="1225" t="s">
        <v>233</v>
      </c>
      <c r="D4" s="1227" t="s">
        <v>234</v>
      </c>
      <c r="E4" s="1223" t="s">
        <v>235</v>
      </c>
      <c r="F4" s="1223" t="s">
        <v>236</v>
      </c>
      <c r="G4" s="1229" t="s">
        <v>237</v>
      </c>
      <c r="H4" s="1221" t="s">
        <v>238</v>
      </c>
      <c r="I4" s="1223" t="s">
        <v>239</v>
      </c>
      <c r="J4" s="1229" t="s">
        <v>240</v>
      </c>
    </row>
    <row r="5" spans="1:10" ht="334" customHeight="1" thickBot="1" x14ac:dyDescent="0.4">
      <c r="A5" s="1222"/>
      <c r="B5" s="1224"/>
      <c r="C5" s="1226"/>
      <c r="D5" s="1228"/>
      <c r="E5" s="1224"/>
      <c r="F5" s="1224"/>
      <c r="G5" s="1230"/>
      <c r="H5" s="1222"/>
      <c r="I5" s="1224"/>
      <c r="J5" s="1230"/>
    </row>
    <row r="6" spans="1:10" ht="167" customHeight="1" thickBot="1" x14ac:dyDescent="0.4">
      <c r="A6" s="1211" t="s">
        <v>241</v>
      </c>
      <c r="B6" s="1212"/>
      <c r="C6" s="1212"/>
      <c r="D6" s="1212"/>
      <c r="E6" s="1212"/>
      <c r="F6" s="1212"/>
      <c r="G6" s="1212"/>
      <c r="H6" s="1212"/>
      <c r="I6" s="1212"/>
      <c r="J6" s="1213"/>
    </row>
    <row r="7" spans="1:10" x14ac:dyDescent="0.35">
      <c r="A7" s="426"/>
    </row>
    <row r="8" spans="1:10" x14ac:dyDescent="0.35">
      <c r="A8" s="426"/>
    </row>
    <row r="9" spans="1:10" x14ac:dyDescent="0.35">
      <c r="A9" s="426"/>
    </row>
  </sheetData>
  <mergeCells count="15">
    <mergeCell ref="A6:J6"/>
    <mergeCell ref="A1:J1"/>
    <mergeCell ref="A2:C2"/>
    <mergeCell ref="D2:G2"/>
    <mergeCell ref="H2:J2"/>
    <mergeCell ref="A4:A5"/>
    <mergeCell ref="B4:B5"/>
    <mergeCell ref="C4:C5"/>
    <mergeCell ref="D4:D5"/>
    <mergeCell ref="E4:E5"/>
    <mergeCell ref="F4:F5"/>
    <mergeCell ref="G4:G5"/>
    <mergeCell ref="H4:H5"/>
    <mergeCell ref="I4:I5"/>
    <mergeCell ref="J4:J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1"/>
  <sheetViews>
    <sheetView topLeftCell="D1" workbookViewId="0">
      <selection activeCell="A11" sqref="A11"/>
    </sheetView>
  </sheetViews>
  <sheetFormatPr defaultRowHeight="14.5" x14ac:dyDescent="0.35"/>
  <cols>
    <col min="1" max="1" width="22.1796875" style="154" customWidth="1"/>
    <col min="2" max="2" width="28.453125" style="154" customWidth="1"/>
    <col min="3" max="3" width="21.54296875" style="154" customWidth="1"/>
    <col min="4" max="4" width="18.453125" style="154" customWidth="1"/>
    <col min="5" max="5" width="21.7265625" style="154" customWidth="1"/>
    <col min="6" max="6" width="20" style="154" customWidth="1"/>
    <col min="7" max="7" width="24.26953125" style="154" customWidth="1"/>
    <col min="8" max="8" width="21.453125" style="154" customWidth="1"/>
    <col min="9" max="9" width="19.26953125" style="154" customWidth="1"/>
    <col min="10" max="10" width="21.81640625" style="154" customWidth="1"/>
    <col min="11" max="256" width="9.1796875" style="154"/>
    <col min="257" max="257" width="22.1796875" style="154" customWidth="1"/>
    <col min="258" max="258" width="28.453125" style="154" customWidth="1"/>
    <col min="259" max="259" width="21.54296875" style="154" customWidth="1"/>
    <col min="260" max="260" width="18.453125" style="154" customWidth="1"/>
    <col min="261" max="261" width="21.7265625" style="154" customWidth="1"/>
    <col min="262" max="262" width="20" style="154" customWidth="1"/>
    <col min="263" max="263" width="24.26953125" style="154" customWidth="1"/>
    <col min="264" max="264" width="21.453125" style="154" customWidth="1"/>
    <col min="265" max="265" width="19.26953125" style="154" customWidth="1"/>
    <col min="266" max="266" width="21.81640625" style="154" customWidth="1"/>
    <col min="267" max="512" width="9.1796875" style="154"/>
    <col min="513" max="513" width="22.1796875" style="154" customWidth="1"/>
    <col min="514" max="514" width="28.453125" style="154" customWidth="1"/>
    <col min="515" max="515" width="21.54296875" style="154" customWidth="1"/>
    <col min="516" max="516" width="18.453125" style="154" customWidth="1"/>
    <col min="517" max="517" width="21.7265625" style="154" customWidth="1"/>
    <col min="518" max="518" width="20" style="154" customWidth="1"/>
    <col min="519" max="519" width="24.26953125" style="154" customWidth="1"/>
    <col min="520" max="520" width="21.453125" style="154" customWidth="1"/>
    <col min="521" max="521" width="19.26953125" style="154" customWidth="1"/>
    <col min="522" max="522" width="21.81640625" style="154" customWidth="1"/>
    <col min="523" max="768" width="9.1796875" style="154"/>
    <col min="769" max="769" width="22.1796875" style="154" customWidth="1"/>
    <col min="770" max="770" width="28.453125" style="154" customWidth="1"/>
    <col min="771" max="771" width="21.54296875" style="154" customWidth="1"/>
    <col min="772" max="772" width="18.453125" style="154" customWidth="1"/>
    <col min="773" max="773" width="21.7265625" style="154" customWidth="1"/>
    <col min="774" max="774" width="20" style="154" customWidth="1"/>
    <col min="775" max="775" width="24.26953125" style="154" customWidth="1"/>
    <col min="776" max="776" width="21.453125" style="154" customWidth="1"/>
    <col min="777" max="777" width="19.26953125" style="154" customWidth="1"/>
    <col min="778" max="778" width="21.81640625" style="154" customWidth="1"/>
    <col min="779" max="1024" width="9.1796875" style="154"/>
    <col min="1025" max="1025" width="22.1796875" style="154" customWidth="1"/>
    <col min="1026" max="1026" width="28.453125" style="154" customWidth="1"/>
    <col min="1027" max="1027" width="21.54296875" style="154" customWidth="1"/>
    <col min="1028" max="1028" width="18.453125" style="154" customWidth="1"/>
    <col min="1029" max="1029" width="21.7265625" style="154" customWidth="1"/>
    <col min="1030" max="1030" width="20" style="154" customWidth="1"/>
    <col min="1031" max="1031" width="24.26953125" style="154" customWidth="1"/>
    <col min="1032" max="1032" width="21.453125" style="154" customWidth="1"/>
    <col min="1033" max="1033" width="19.26953125" style="154" customWidth="1"/>
    <col min="1034" max="1034" width="21.81640625" style="154" customWidth="1"/>
    <col min="1035" max="1280" width="9.1796875" style="154"/>
    <col min="1281" max="1281" width="22.1796875" style="154" customWidth="1"/>
    <col min="1282" max="1282" width="28.453125" style="154" customWidth="1"/>
    <col min="1283" max="1283" width="21.54296875" style="154" customWidth="1"/>
    <col min="1284" max="1284" width="18.453125" style="154" customWidth="1"/>
    <col min="1285" max="1285" width="21.7265625" style="154" customWidth="1"/>
    <col min="1286" max="1286" width="20" style="154" customWidth="1"/>
    <col min="1287" max="1287" width="24.26953125" style="154" customWidth="1"/>
    <col min="1288" max="1288" width="21.453125" style="154" customWidth="1"/>
    <col min="1289" max="1289" width="19.26953125" style="154" customWidth="1"/>
    <col min="1290" max="1290" width="21.81640625" style="154" customWidth="1"/>
    <col min="1291" max="1536" width="9.1796875" style="154"/>
    <col min="1537" max="1537" width="22.1796875" style="154" customWidth="1"/>
    <col min="1538" max="1538" width="28.453125" style="154" customWidth="1"/>
    <col min="1539" max="1539" width="21.54296875" style="154" customWidth="1"/>
    <col min="1540" max="1540" width="18.453125" style="154" customWidth="1"/>
    <col min="1541" max="1541" width="21.7265625" style="154" customWidth="1"/>
    <col min="1542" max="1542" width="20" style="154" customWidth="1"/>
    <col min="1543" max="1543" width="24.26953125" style="154" customWidth="1"/>
    <col min="1544" max="1544" width="21.453125" style="154" customWidth="1"/>
    <col min="1545" max="1545" width="19.26953125" style="154" customWidth="1"/>
    <col min="1546" max="1546" width="21.81640625" style="154" customWidth="1"/>
    <col min="1547" max="1792" width="9.1796875" style="154"/>
    <col min="1793" max="1793" width="22.1796875" style="154" customWidth="1"/>
    <col min="1794" max="1794" width="28.453125" style="154" customWidth="1"/>
    <col min="1795" max="1795" width="21.54296875" style="154" customWidth="1"/>
    <col min="1796" max="1796" width="18.453125" style="154" customWidth="1"/>
    <col min="1797" max="1797" width="21.7265625" style="154" customWidth="1"/>
    <col min="1798" max="1798" width="20" style="154" customWidth="1"/>
    <col min="1799" max="1799" width="24.26953125" style="154" customWidth="1"/>
    <col min="1800" max="1800" width="21.453125" style="154" customWidth="1"/>
    <col min="1801" max="1801" width="19.26953125" style="154" customWidth="1"/>
    <col min="1802" max="1802" width="21.81640625" style="154" customWidth="1"/>
    <col min="1803" max="2048" width="9.1796875" style="154"/>
    <col min="2049" max="2049" width="22.1796875" style="154" customWidth="1"/>
    <col min="2050" max="2050" width="28.453125" style="154" customWidth="1"/>
    <col min="2051" max="2051" width="21.54296875" style="154" customWidth="1"/>
    <col min="2052" max="2052" width="18.453125" style="154" customWidth="1"/>
    <col min="2053" max="2053" width="21.7265625" style="154" customWidth="1"/>
    <col min="2054" max="2054" width="20" style="154" customWidth="1"/>
    <col min="2055" max="2055" width="24.26953125" style="154" customWidth="1"/>
    <col min="2056" max="2056" width="21.453125" style="154" customWidth="1"/>
    <col min="2057" max="2057" width="19.26953125" style="154" customWidth="1"/>
    <col min="2058" max="2058" width="21.81640625" style="154" customWidth="1"/>
    <col min="2059" max="2304" width="9.1796875" style="154"/>
    <col min="2305" max="2305" width="22.1796875" style="154" customWidth="1"/>
    <col min="2306" max="2306" width="28.453125" style="154" customWidth="1"/>
    <col min="2307" max="2307" width="21.54296875" style="154" customWidth="1"/>
    <col min="2308" max="2308" width="18.453125" style="154" customWidth="1"/>
    <col min="2309" max="2309" width="21.7265625" style="154" customWidth="1"/>
    <col min="2310" max="2310" width="20" style="154" customWidth="1"/>
    <col min="2311" max="2311" width="24.26953125" style="154" customWidth="1"/>
    <col min="2312" max="2312" width="21.453125" style="154" customWidth="1"/>
    <col min="2313" max="2313" width="19.26953125" style="154" customWidth="1"/>
    <col min="2314" max="2314" width="21.81640625" style="154" customWidth="1"/>
    <col min="2315" max="2560" width="9.1796875" style="154"/>
    <col min="2561" max="2561" width="22.1796875" style="154" customWidth="1"/>
    <col min="2562" max="2562" width="28.453125" style="154" customWidth="1"/>
    <col min="2563" max="2563" width="21.54296875" style="154" customWidth="1"/>
    <col min="2564" max="2564" width="18.453125" style="154" customWidth="1"/>
    <col min="2565" max="2565" width="21.7265625" style="154" customWidth="1"/>
    <col min="2566" max="2566" width="20" style="154" customWidth="1"/>
    <col min="2567" max="2567" width="24.26953125" style="154" customWidth="1"/>
    <col min="2568" max="2568" width="21.453125" style="154" customWidth="1"/>
    <col min="2569" max="2569" width="19.26953125" style="154" customWidth="1"/>
    <col min="2570" max="2570" width="21.81640625" style="154" customWidth="1"/>
    <col min="2571" max="2816" width="9.1796875" style="154"/>
    <col min="2817" max="2817" width="22.1796875" style="154" customWidth="1"/>
    <col min="2818" max="2818" width="28.453125" style="154" customWidth="1"/>
    <col min="2819" max="2819" width="21.54296875" style="154" customWidth="1"/>
    <col min="2820" max="2820" width="18.453125" style="154" customWidth="1"/>
    <col min="2821" max="2821" width="21.7265625" style="154" customWidth="1"/>
    <col min="2822" max="2822" width="20" style="154" customWidth="1"/>
    <col min="2823" max="2823" width="24.26953125" style="154" customWidth="1"/>
    <col min="2824" max="2824" width="21.453125" style="154" customWidth="1"/>
    <col min="2825" max="2825" width="19.26953125" style="154" customWidth="1"/>
    <col min="2826" max="2826" width="21.81640625" style="154" customWidth="1"/>
    <col min="2827" max="3072" width="9.1796875" style="154"/>
    <col min="3073" max="3073" width="22.1796875" style="154" customWidth="1"/>
    <col min="3074" max="3074" width="28.453125" style="154" customWidth="1"/>
    <col min="3075" max="3075" width="21.54296875" style="154" customWidth="1"/>
    <col min="3076" max="3076" width="18.453125" style="154" customWidth="1"/>
    <col min="3077" max="3077" width="21.7265625" style="154" customWidth="1"/>
    <col min="3078" max="3078" width="20" style="154" customWidth="1"/>
    <col min="3079" max="3079" width="24.26953125" style="154" customWidth="1"/>
    <col min="3080" max="3080" width="21.453125" style="154" customWidth="1"/>
    <col min="3081" max="3081" width="19.26953125" style="154" customWidth="1"/>
    <col min="3082" max="3082" width="21.81640625" style="154" customWidth="1"/>
    <col min="3083" max="3328" width="9.1796875" style="154"/>
    <col min="3329" max="3329" width="22.1796875" style="154" customWidth="1"/>
    <col min="3330" max="3330" width="28.453125" style="154" customWidth="1"/>
    <col min="3331" max="3331" width="21.54296875" style="154" customWidth="1"/>
    <col min="3332" max="3332" width="18.453125" style="154" customWidth="1"/>
    <col min="3333" max="3333" width="21.7265625" style="154" customWidth="1"/>
    <col min="3334" max="3334" width="20" style="154" customWidth="1"/>
    <col min="3335" max="3335" width="24.26953125" style="154" customWidth="1"/>
    <col min="3336" max="3336" width="21.453125" style="154" customWidth="1"/>
    <col min="3337" max="3337" width="19.26953125" style="154" customWidth="1"/>
    <col min="3338" max="3338" width="21.81640625" style="154" customWidth="1"/>
    <col min="3339" max="3584" width="9.1796875" style="154"/>
    <col min="3585" max="3585" width="22.1796875" style="154" customWidth="1"/>
    <col min="3586" max="3586" width="28.453125" style="154" customWidth="1"/>
    <col min="3587" max="3587" width="21.54296875" style="154" customWidth="1"/>
    <col min="3588" max="3588" width="18.453125" style="154" customWidth="1"/>
    <col min="3589" max="3589" width="21.7265625" style="154" customWidth="1"/>
    <col min="3590" max="3590" width="20" style="154" customWidth="1"/>
    <col min="3591" max="3591" width="24.26953125" style="154" customWidth="1"/>
    <col min="3592" max="3592" width="21.453125" style="154" customWidth="1"/>
    <col min="3593" max="3593" width="19.26953125" style="154" customWidth="1"/>
    <col min="3594" max="3594" width="21.81640625" style="154" customWidth="1"/>
    <col min="3595" max="3840" width="9.1796875" style="154"/>
    <col min="3841" max="3841" width="22.1796875" style="154" customWidth="1"/>
    <col min="3842" max="3842" width="28.453125" style="154" customWidth="1"/>
    <col min="3843" max="3843" width="21.54296875" style="154" customWidth="1"/>
    <col min="3844" max="3844" width="18.453125" style="154" customWidth="1"/>
    <col min="3845" max="3845" width="21.7265625" style="154" customWidth="1"/>
    <col min="3846" max="3846" width="20" style="154" customWidth="1"/>
    <col min="3847" max="3847" width="24.26953125" style="154" customWidth="1"/>
    <col min="3848" max="3848" width="21.453125" style="154" customWidth="1"/>
    <col min="3849" max="3849" width="19.26953125" style="154" customWidth="1"/>
    <col min="3850" max="3850" width="21.81640625" style="154" customWidth="1"/>
    <col min="3851" max="4096" width="9.1796875" style="154"/>
    <col min="4097" max="4097" width="22.1796875" style="154" customWidth="1"/>
    <col min="4098" max="4098" width="28.453125" style="154" customWidth="1"/>
    <col min="4099" max="4099" width="21.54296875" style="154" customWidth="1"/>
    <col min="4100" max="4100" width="18.453125" style="154" customWidth="1"/>
    <col min="4101" max="4101" width="21.7265625" style="154" customWidth="1"/>
    <col min="4102" max="4102" width="20" style="154" customWidth="1"/>
    <col min="4103" max="4103" width="24.26953125" style="154" customWidth="1"/>
    <col min="4104" max="4104" width="21.453125" style="154" customWidth="1"/>
    <col min="4105" max="4105" width="19.26953125" style="154" customWidth="1"/>
    <col min="4106" max="4106" width="21.81640625" style="154" customWidth="1"/>
    <col min="4107" max="4352" width="9.1796875" style="154"/>
    <col min="4353" max="4353" width="22.1796875" style="154" customWidth="1"/>
    <col min="4354" max="4354" width="28.453125" style="154" customWidth="1"/>
    <col min="4355" max="4355" width="21.54296875" style="154" customWidth="1"/>
    <col min="4356" max="4356" width="18.453125" style="154" customWidth="1"/>
    <col min="4357" max="4357" width="21.7265625" style="154" customWidth="1"/>
    <col min="4358" max="4358" width="20" style="154" customWidth="1"/>
    <col min="4359" max="4359" width="24.26953125" style="154" customWidth="1"/>
    <col min="4360" max="4360" width="21.453125" style="154" customWidth="1"/>
    <col min="4361" max="4361" width="19.26953125" style="154" customWidth="1"/>
    <col min="4362" max="4362" width="21.81640625" style="154" customWidth="1"/>
    <col min="4363" max="4608" width="9.1796875" style="154"/>
    <col min="4609" max="4609" width="22.1796875" style="154" customWidth="1"/>
    <col min="4610" max="4610" width="28.453125" style="154" customWidth="1"/>
    <col min="4611" max="4611" width="21.54296875" style="154" customWidth="1"/>
    <col min="4612" max="4612" width="18.453125" style="154" customWidth="1"/>
    <col min="4613" max="4613" width="21.7265625" style="154" customWidth="1"/>
    <col min="4614" max="4614" width="20" style="154" customWidth="1"/>
    <col min="4615" max="4615" width="24.26953125" style="154" customWidth="1"/>
    <col min="4616" max="4616" width="21.453125" style="154" customWidth="1"/>
    <col min="4617" max="4617" width="19.26953125" style="154" customWidth="1"/>
    <col min="4618" max="4618" width="21.81640625" style="154" customWidth="1"/>
    <col min="4619" max="4864" width="9.1796875" style="154"/>
    <col min="4865" max="4865" width="22.1796875" style="154" customWidth="1"/>
    <col min="4866" max="4866" width="28.453125" style="154" customWidth="1"/>
    <col min="4867" max="4867" width="21.54296875" style="154" customWidth="1"/>
    <col min="4868" max="4868" width="18.453125" style="154" customWidth="1"/>
    <col min="4869" max="4869" width="21.7265625" style="154" customWidth="1"/>
    <col min="4870" max="4870" width="20" style="154" customWidth="1"/>
    <col min="4871" max="4871" width="24.26953125" style="154" customWidth="1"/>
    <col min="4872" max="4872" width="21.453125" style="154" customWidth="1"/>
    <col min="4873" max="4873" width="19.26953125" style="154" customWidth="1"/>
    <col min="4874" max="4874" width="21.81640625" style="154" customWidth="1"/>
    <col min="4875" max="5120" width="9.1796875" style="154"/>
    <col min="5121" max="5121" width="22.1796875" style="154" customWidth="1"/>
    <col min="5122" max="5122" width="28.453125" style="154" customWidth="1"/>
    <col min="5123" max="5123" width="21.54296875" style="154" customWidth="1"/>
    <col min="5124" max="5124" width="18.453125" style="154" customWidth="1"/>
    <col min="5125" max="5125" width="21.7265625" style="154" customWidth="1"/>
    <col min="5126" max="5126" width="20" style="154" customWidth="1"/>
    <col min="5127" max="5127" width="24.26953125" style="154" customWidth="1"/>
    <col min="5128" max="5128" width="21.453125" style="154" customWidth="1"/>
    <col min="5129" max="5129" width="19.26953125" style="154" customWidth="1"/>
    <col min="5130" max="5130" width="21.81640625" style="154" customWidth="1"/>
    <col min="5131" max="5376" width="9.1796875" style="154"/>
    <col min="5377" max="5377" width="22.1796875" style="154" customWidth="1"/>
    <col min="5378" max="5378" width="28.453125" style="154" customWidth="1"/>
    <col min="5379" max="5379" width="21.54296875" style="154" customWidth="1"/>
    <col min="5380" max="5380" width="18.453125" style="154" customWidth="1"/>
    <col min="5381" max="5381" width="21.7265625" style="154" customWidth="1"/>
    <col min="5382" max="5382" width="20" style="154" customWidth="1"/>
    <col min="5383" max="5383" width="24.26953125" style="154" customWidth="1"/>
    <col min="5384" max="5384" width="21.453125" style="154" customWidth="1"/>
    <col min="5385" max="5385" width="19.26953125" style="154" customWidth="1"/>
    <col min="5386" max="5386" width="21.81640625" style="154" customWidth="1"/>
    <col min="5387" max="5632" width="9.1796875" style="154"/>
    <col min="5633" max="5633" width="22.1796875" style="154" customWidth="1"/>
    <col min="5634" max="5634" width="28.453125" style="154" customWidth="1"/>
    <col min="5635" max="5635" width="21.54296875" style="154" customWidth="1"/>
    <col min="5636" max="5636" width="18.453125" style="154" customWidth="1"/>
    <col min="5637" max="5637" width="21.7265625" style="154" customWidth="1"/>
    <col min="5638" max="5638" width="20" style="154" customWidth="1"/>
    <col min="5639" max="5639" width="24.26953125" style="154" customWidth="1"/>
    <col min="5640" max="5640" width="21.453125" style="154" customWidth="1"/>
    <col min="5641" max="5641" width="19.26953125" style="154" customWidth="1"/>
    <col min="5642" max="5642" width="21.81640625" style="154" customWidth="1"/>
    <col min="5643" max="5888" width="9.1796875" style="154"/>
    <col min="5889" max="5889" width="22.1796875" style="154" customWidth="1"/>
    <col min="5890" max="5890" width="28.453125" style="154" customWidth="1"/>
    <col min="5891" max="5891" width="21.54296875" style="154" customWidth="1"/>
    <col min="5892" max="5892" width="18.453125" style="154" customWidth="1"/>
    <col min="5893" max="5893" width="21.7265625" style="154" customWidth="1"/>
    <col min="5894" max="5894" width="20" style="154" customWidth="1"/>
    <col min="5895" max="5895" width="24.26953125" style="154" customWidth="1"/>
    <col min="5896" max="5896" width="21.453125" style="154" customWidth="1"/>
    <col min="5897" max="5897" width="19.26953125" style="154" customWidth="1"/>
    <col min="5898" max="5898" width="21.81640625" style="154" customWidth="1"/>
    <col min="5899" max="6144" width="9.1796875" style="154"/>
    <col min="6145" max="6145" width="22.1796875" style="154" customWidth="1"/>
    <col min="6146" max="6146" width="28.453125" style="154" customWidth="1"/>
    <col min="6147" max="6147" width="21.54296875" style="154" customWidth="1"/>
    <col min="6148" max="6148" width="18.453125" style="154" customWidth="1"/>
    <col min="6149" max="6149" width="21.7265625" style="154" customWidth="1"/>
    <col min="6150" max="6150" width="20" style="154" customWidth="1"/>
    <col min="6151" max="6151" width="24.26953125" style="154" customWidth="1"/>
    <col min="6152" max="6152" width="21.453125" style="154" customWidth="1"/>
    <col min="6153" max="6153" width="19.26953125" style="154" customWidth="1"/>
    <col min="6154" max="6154" width="21.81640625" style="154" customWidth="1"/>
    <col min="6155" max="6400" width="9.1796875" style="154"/>
    <col min="6401" max="6401" width="22.1796875" style="154" customWidth="1"/>
    <col min="6402" max="6402" width="28.453125" style="154" customWidth="1"/>
    <col min="6403" max="6403" width="21.54296875" style="154" customWidth="1"/>
    <col min="6404" max="6404" width="18.453125" style="154" customWidth="1"/>
    <col min="6405" max="6405" width="21.7265625" style="154" customWidth="1"/>
    <col min="6406" max="6406" width="20" style="154" customWidth="1"/>
    <col min="6407" max="6407" width="24.26953125" style="154" customWidth="1"/>
    <col min="6408" max="6408" width="21.453125" style="154" customWidth="1"/>
    <col min="6409" max="6409" width="19.26953125" style="154" customWidth="1"/>
    <col min="6410" max="6410" width="21.81640625" style="154" customWidth="1"/>
    <col min="6411" max="6656" width="9.1796875" style="154"/>
    <col min="6657" max="6657" width="22.1796875" style="154" customWidth="1"/>
    <col min="6658" max="6658" width="28.453125" style="154" customWidth="1"/>
    <col min="6659" max="6659" width="21.54296875" style="154" customWidth="1"/>
    <col min="6660" max="6660" width="18.453125" style="154" customWidth="1"/>
    <col min="6661" max="6661" width="21.7265625" style="154" customWidth="1"/>
    <col min="6662" max="6662" width="20" style="154" customWidth="1"/>
    <col min="6663" max="6663" width="24.26953125" style="154" customWidth="1"/>
    <col min="6664" max="6664" width="21.453125" style="154" customWidth="1"/>
    <col min="6665" max="6665" width="19.26953125" style="154" customWidth="1"/>
    <col min="6666" max="6666" width="21.81640625" style="154" customWidth="1"/>
    <col min="6667" max="6912" width="9.1796875" style="154"/>
    <col min="6913" max="6913" width="22.1796875" style="154" customWidth="1"/>
    <col min="6914" max="6914" width="28.453125" style="154" customWidth="1"/>
    <col min="6915" max="6915" width="21.54296875" style="154" customWidth="1"/>
    <col min="6916" max="6916" width="18.453125" style="154" customWidth="1"/>
    <col min="6917" max="6917" width="21.7265625" style="154" customWidth="1"/>
    <col min="6918" max="6918" width="20" style="154" customWidth="1"/>
    <col min="6919" max="6919" width="24.26953125" style="154" customWidth="1"/>
    <col min="6920" max="6920" width="21.453125" style="154" customWidth="1"/>
    <col min="6921" max="6921" width="19.26953125" style="154" customWidth="1"/>
    <col min="6922" max="6922" width="21.81640625" style="154" customWidth="1"/>
    <col min="6923" max="7168" width="9.1796875" style="154"/>
    <col min="7169" max="7169" width="22.1796875" style="154" customWidth="1"/>
    <col min="7170" max="7170" width="28.453125" style="154" customWidth="1"/>
    <col min="7171" max="7171" width="21.54296875" style="154" customWidth="1"/>
    <col min="7172" max="7172" width="18.453125" style="154" customWidth="1"/>
    <col min="7173" max="7173" width="21.7265625" style="154" customWidth="1"/>
    <col min="7174" max="7174" width="20" style="154" customWidth="1"/>
    <col min="7175" max="7175" width="24.26953125" style="154" customWidth="1"/>
    <col min="7176" max="7176" width="21.453125" style="154" customWidth="1"/>
    <col min="7177" max="7177" width="19.26953125" style="154" customWidth="1"/>
    <col min="7178" max="7178" width="21.81640625" style="154" customWidth="1"/>
    <col min="7179" max="7424" width="9.1796875" style="154"/>
    <col min="7425" max="7425" width="22.1796875" style="154" customWidth="1"/>
    <col min="7426" max="7426" width="28.453125" style="154" customWidth="1"/>
    <col min="7427" max="7427" width="21.54296875" style="154" customWidth="1"/>
    <col min="7428" max="7428" width="18.453125" style="154" customWidth="1"/>
    <col min="7429" max="7429" width="21.7265625" style="154" customWidth="1"/>
    <col min="7430" max="7430" width="20" style="154" customWidth="1"/>
    <col min="7431" max="7431" width="24.26953125" style="154" customWidth="1"/>
    <col min="7432" max="7432" width="21.453125" style="154" customWidth="1"/>
    <col min="7433" max="7433" width="19.26953125" style="154" customWidth="1"/>
    <col min="7434" max="7434" width="21.81640625" style="154" customWidth="1"/>
    <col min="7435" max="7680" width="9.1796875" style="154"/>
    <col min="7681" max="7681" width="22.1796875" style="154" customWidth="1"/>
    <col min="7682" max="7682" width="28.453125" style="154" customWidth="1"/>
    <col min="7683" max="7683" width="21.54296875" style="154" customWidth="1"/>
    <col min="7684" max="7684" width="18.453125" style="154" customWidth="1"/>
    <col min="7685" max="7685" width="21.7265625" style="154" customWidth="1"/>
    <col min="7686" max="7686" width="20" style="154" customWidth="1"/>
    <col min="7687" max="7687" width="24.26953125" style="154" customWidth="1"/>
    <col min="7688" max="7688" width="21.453125" style="154" customWidth="1"/>
    <col min="7689" max="7689" width="19.26953125" style="154" customWidth="1"/>
    <col min="7690" max="7690" width="21.81640625" style="154" customWidth="1"/>
    <col min="7691" max="7936" width="9.1796875" style="154"/>
    <col min="7937" max="7937" width="22.1796875" style="154" customWidth="1"/>
    <col min="7938" max="7938" width="28.453125" style="154" customWidth="1"/>
    <col min="7939" max="7939" width="21.54296875" style="154" customWidth="1"/>
    <col min="7940" max="7940" width="18.453125" style="154" customWidth="1"/>
    <col min="7941" max="7941" width="21.7265625" style="154" customWidth="1"/>
    <col min="7942" max="7942" width="20" style="154" customWidth="1"/>
    <col min="7943" max="7943" width="24.26953125" style="154" customWidth="1"/>
    <col min="7944" max="7944" width="21.453125" style="154" customWidth="1"/>
    <col min="7945" max="7945" width="19.26953125" style="154" customWidth="1"/>
    <col min="7946" max="7946" width="21.81640625" style="154" customWidth="1"/>
    <col min="7947" max="8192" width="9.1796875" style="154"/>
    <col min="8193" max="8193" width="22.1796875" style="154" customWidth="1"/>
    <col min="8194" max="8194" width="28.453125" style="154" customWidth="1"/>
    <col min="8195" max="8195" width="21.54296875" style="154" customWidth="1"/>
    <col min="8196" max="8196" width="18.453125" style="154" customWidth="1"/>
    <col min="8197" max="8197" width="21.7265625" style="154" customWidth="1"/>
    <col min="8198" max="8198" width="20" style="154" customWidth="1"/>
    <col min="8199" max="8199" width="24.26953125" style="154" customWidth="1"/>
    <col min="8200" max="8200" width="21.453125" style="154" customWidth="1"/>
    <col min="8201" max="8201" width="19.26953125" style="154" customWidth="1"/>
    <col min="8202" max="8202" width="21.81640625" style="154" customWidth="1"/>
    <col min="8203" max="8448" width="9.1796875" style="154"/>
    <col min="8449" max="8449" width="22.1796875" style="154" customWidth="1"/>
    <col min="8450" max="8450" width="28.453125" style="154" customWidth="1"/>
    <col min="8451" max="8451" width="21.54296875" style="154" customWidth="1"/>
    <col min="8452" max="8452" width="18.453125" style="154" customWidth="1"/>
    <col min="8453" max="8453" width="21.7265625" style="154" customWidth="1"/>
    <col min="8454" max="8454" width="20" style="154" customWidth="1"/>
    <col min="8455" max="8455" width="24.26953125" style="154" customWidth="1"/>
    <col min="8456" max="8456" width="21.453125" style="154" customWidth="1"/>
    <col min="8457" max="8457" width="19.26953125" style="154" customWidth="1"/>
    <col min="8458" max="8458" width="21.81640625" style="154" customWidth="1"/>
    <col min="8459" max="8704" width="9.1796875" style="154"/>
    <col min="8705" max="8705" width="22.1796875" style="154" customWidth="1"/>
    <col min="8706" max="8706" width="28.453125" style="154" customWidth="1"/>
    <col min="8707" max="8707" width="21.54296875" style="154" customWidth="1"/>
    <col min="8708" max="8708" width="18.453125" style="154" customWidth="1"/>
    <col min="8709" max="8709" width="21.7265625" style="154" customWidth="1"/>
    <col min="8710" max="8710" width="20" style="154" customWidth="1"/>
    <col min="8711" max="8711" width="24.26953125" style="154" customWidth="1"/>
    <col min="8712" max="8712" width="21.453125" style="154" customWidth="1"/>
    <col min="8713" max="8713" width="19.26953125" style="154" customWidth="1"/>
    <col min="8714" max="8714" width="21.81640625" style="154" customWidth="1"/>
    <col min="8715" max="8960" width="9.1796875" style="154"/>
    <col min="8961" max="8961" width="22.1796875" style="154" customWidth="1"/>
    <col min="8962" max="8962" width="28.453125" style="154" customWidth="1"/>
    <col min="8963" max="8963" width="21.54296875" style="154" customWidth="1"/>
    <col min="8964" max="8964" width="18.453125" style="154" customWidth="1"/>
    <col min="8965" max="8965" width="21.7265625" style="154" customWidth="1"/>
    <col min="8966" max="8966" width="20" style="154" customWidth="1"/>
    <col min="8967" max="8967" width="24.26953125" style="154" customWidth="1"/>
    <col min="8968" max="8968" width="21.453125" style="154" customWidth="1"/>
    <col min="8969" max="8969" width="19.26953125" style="154" customWidth="1"/>
    <col min="8970" max="8970" width="21.81640625" style="154" customWidth="1"/>
    <col min="8971" max="9216" width="9.1796875" style="154"/>
    <col min="9217" max="9217" width="22.1796875" style="154" customWidth="1"/>
    <col min="9218" max="9218" width="28.453125" style="154" customWidth="1"/>
    <col min="9219" max="9219" width="21.54296875" style="154" customWidth="1"/>
    <col min="9220" max="9220" width="18.453125" style="154" customWidth="1"/>
    <col min="9221" max="9221" width="21.7265625" style="154" customWidth="1"/>
    <col min="9222" max="9222" width="20" style="154" customWidth="1"/>
    <col min="9223" max="9223" width="24.26953125" style="154" customWidth="1"/>
    <col min="9224" max="9224" width="21.453125" style="154" customWidth="1"/>
    <col min="9225" max="9225" width="19.26953125" style="154" customWidth="1"/>
    <col min="9226" max="9226" width="21.81640625" style="154" customWidth="1"/>
    <col min="9227" max="9472" width="9.1796875" style="154"/>
    <col min="9473" max="9473" width="22.1796875" style="154" customWidth="1"/>
    <col min="9474" max="9474" width="28.453125" style="154" customWidth="1"/>
    <col min="9475" max="9475" width="21.54296875" style="154" customWidth="1"/>
    <col min="9476" max="9476" width="18.453125" style="154" customWidth="1"/>
    <col min="9477" max="9477" width="21.7265625" style="154" customWidth="1"/>
    <col min="9478" max="9478" width="20" style="154" customWidth="1"/>
    <col min="9479" max="9479" width="24.26953125" style="154" customWidth="1"/>
    <col min="9480" max="9480" width="21.453125" style="154" customWidth="1"/>
    <col min="9481" max="9481" width="19.26953125" style="154" customWidth="1"/>
    <col min="9482" max="9482" width="21.81640625" style="154" customWidth="1"/>
    <col min="9483" max="9728" width="9.1796875" style="154"/>
    <col min="9729" max="9729" width="22.1796875" style="154" customWidth="1"/>
    <col min="9730" max="9730" width="28.453125" style="154" customWidth="1"/>
    <col min="9731" max="9731" width="21.54296875" style="154" customWidth="1"/>
    <col min="9732" max="9732" width="18.453125" style="154" customWidth="1"/>
    <col min="9733" max="9733" width="21.7265625" style="154" customWidth="1"/>
    <col min="9734" max="9734" width="20" style="154" customWidth="1"/>
    <col min="9735" max="9735" width="24.26953125" style="154" customWidth="1"/>
    <col min="9736" max="9736" width="21.453125" style="154" customWidth="1"/>
    <col min="9737" max="9737" width="19.26953125" style="154" customWidth="1"/>
    <col min="9738" max="9738" width="21.81640625" style="154" customWidth="1"/>
    <col min="9739" max="9984" width="9.1796875" style="154"/>
    <col min="9985" max="9985" width="22.1796875" style="154" customWidth="1"/>
    <col min="9986" max="9986" width="28.453125" style="154" customWidth="1"/>
    <col min="9987" max="9987" width="21.54296875" style="154" customWidth="1"/>
    <col min="9988" max="9988" width="18.453125" style="154" customWidth="1"/>
    <col min="9989" max="9989" width="21.7265625" style="154" customWidth="1"/>
    <col min="9990" max="9990" width="20" style="154" customWidth="1"/>
    <col min="9991" max="9991" width="24.26953125" style="154" customWidth="1"/>
    <col min="9992" max="9992" width="21.453125" style="154" customWidth="1"/>
    <col min="9993" max="9993" width="19.26953125" style="154" customWidth="1"/>
    <col min="9994" max="9994" width="21.81640625" style="154" customWidth="1"/>
    <col min="9995" max="10240" width="9.1796875" style="154"/>
    <col min="10241" max="10241" width="22.1796875" style="154" customWidth="1"/>
    <col min="10242" max="10242" width="28.453125" style="154" customWidth="1"/>
    <col min="10243" max="10243" width="21.54296875" style="154" customWidth="1"/>
    <col min="10244" max="10244" width="18.453125" style="154" customWidth="1"/>
    <col min="10245" max="10245" width="21.7265625" style="154" customWidth="1"/>
    <col min="10246" max="10246" width="20" style="154" customWidth="1"/>
    <col min="10247" max="10247" width="24.26953125" style="154" customWidth="1"/>
    <col min="10248" max="10248" width="21.453125" style="154" customWidth="1"/>
    <col min="10249" max="10249" width="19.26953125" style="154" customWidth="1"/>
    <col min="10250" max="10250" width="21.81640625" style="154" customWidth="1"/>
    <col min="10251" max="10496" width="9.1796875" style="154"/>
    <col min="10497" max="10497" width="22.1796875" style="154" customWidth="1"/>
    <col min="10498" max="10498" width="28.453125" style="154" customWidth="1"/>
    <col min="10499" max="10499" width="21.54296875" style="154" customWidth="1"/>
    <col min="10500" max="10500" width="18.453125" style="154" customWidth="1"/>
    <col min="10501" max="10501" width="21.7265625" style="154" customWidth="1"/>
    <col min="10502" max="10502" width="20" style="154" customWidth="1"/>
    <col min="10503" max="10503" width="24.26953125" style="154" customWidth="1"/>
    <col min="10504" max="10504" width="21.453125" style="154" customWidth="1"/>
    <col min="10505" max="10505" width="19.26953125" style="154" customWidth="1"/>
    <col min="10506" max="10506" width="21.81640625" style="154" customWidth="1"/>
    <col min="10507" max="10752" width="9.1796875" style="154"/>
    <col min="10753" max="10753" width="22.1796875" style="154" customWidth="1"/>
    <col min="10754" max="10754" width="28.453125" style="154" customWidth="1"/>
    <col min="10755" max="10755" width="21.54296875" style="154" customWidth="1"/>
    <col min="10756" max="10756" width="18.453125" style="154" customWidth="1"/>
    <col min="10757" max="10757" width="21.7265625" style="154" customWidth="1"/>
    <col min="10758" max="10758" width="20" style="154" customWidth="1"/>
    <col min="10759" max="10759" width="24.26953125" style="154" customWidth="1"/>
    <col min="10760" max="10760" width="21.453125" style="154" customWidth="1"/>
    <col min="10761" max="10761" width="19.26953125" style="154" customWidth="1"/>
    <col min="10762" max="10762" width="21.81640625" style="154" customWidth="1"/>
    <col min="10763" max="11008" width="9.1796875" style="154"/>
    <col min="11009" max="11009" width="22.1796875" style="154" customWidth="1"/>
    <col min="11010" max="11010" width="28.453125" style="154" customWidth="1"/>
    <col min="11011" max="11011" width="21.54296875" style="154" customWidth="1"/>
    <col min="11012" max="11012" width="18.453125" style="154" customWidth="1"/>
    <col min="11013" max="11013" width="21.7265625" style="154" customWidth="1"/>
    <col min="11014" max="11014" width="20" style="154" customWidth="1"/>
    <col min="11015" max="11015" width="24.26953125" style="154" customWidth="1"/>
    <col min="11016" max="11016" width="21.453125" style="154" customWidth="1"/>
    <col min="11017" max="11017" width="19.26953125" style="154" customWidth="1"/>
    <col min="11018" max="11018" width="21.81640625" style="154" customWidth="1"/>
    <col min="11019" max="11264" width="9.1796875" style="154"/>
    <col min="11265" max="11265" width="22.1796875" style="154" customWidth="1"/>
    <col min="11266" max="11266" width="28.453125" style="154" customWidth="1"/>
    <col min="11267" max="11267" width="21.54296875" style="154" customWidth="1"/>
    <col min="11268" max="11268" width="18.453125" style="154" customWidth="1"/>
    <col min="11269" max="11269" width="21.7265625" style="154" customWidth="1"/>
    <col min="11270" max="11270" width="20" style="154" customWidth="1"/>
    <col min="11271" max="11271" width="24.26953125" style="154" customWidth="1"/>
    <col min="11272" max="11272" width="21.453125" style="154" customWidth="1"/>
    <col min="11273" max="11273" width="19.26953125" style="154" customWidth="1"/>
    <col min="11274" max="11274" width="21.81640625" style="154" customWidth="1"/>
    <col min="11275" max="11520" width="9.1796875" style="154"/>
    <col min="11521" max="11521" width="22.1796875" style="154" customWidth="1"/>
    <col min="11522" max="11522" width="28.453125" style="154" customWidth="1"/>
    <col min="11523" max="11523" width="21.54296875" style="154" customWidth="1"/>
    <col min="11524" max="11524" width="18.453125" style="154" customWidth="1"/>
    <col min="11525" max="11525" width="21.7265625" style="154" customWidth="1"/>
    <col min="11526" max="11526" width="20" style="154" customWidth="1"/>
    <col min="11527" max="11527" width="24.26953125" style="154" customWidth="1"/>
    <col min="11528" max="11528" width="21.453125" style="154" customWidth="1"/>
    <col min="11529" max="11529" width="19.26953125" style="154" customWidth="1"/>
    <col min="11530" max="11530" width="21.81640625" style="154" customWidth="1"/>
    <col min="11531" max="11776" width="9.1796875" style="154"/>
    <col min="11777" max="11777" width="22.1796875" style="154" customWidth="1"/>
    <col min="11778" max="11778" width="28.453125" style="154" customWidth="1"/>
    <col min="11779" max="11779" width="21.54296875" style="154" customWidth="1"/>
    <col min="11780" max="11780" width="18.453125" style="154" customWidth="1"/>
    <col min="11781" max="11781" width="21.7265625" style="154" customWidth="1"/>
    <col min="11782" max="11782" width="20" style="154" customWidth="1"/>
    <col min="11783" max="11783" width="24.26953125" style="154" customWidth="1"/>
    <col min="11784" max="11784" width="21.453125" style="154" customWidth="1"/>
    <col min="11785" max="11785" width="19.26953125" style="154" customWidth="1"/>
    <col min="11786" max="11786" width="21.81640625" style="154" customWidth="1"/>
    <col min="11787" max="12032" width="9.1796875" style="154"/>
    <col min="12033" max="12033" width="22.1796875" style="154" customWidth="1"/>
    <col min="12034" max="12034" width="28.453125" style="154" customWidth="1"/>
    <col min="12035" max="12035" width="21.54296875" style="154" customWidth="1"/>
    <col min="12036" max="12036" width="18.453125" style="154" customWidth="1"/>
    <col min="12037" max="12037" width="21.7265625" style="154" customWidth="1"/>
    <col min="12038" max="12038" width="20" style="154" customWidth="1"/>
    <col min="12039" max="12039" width="24.26953125" style="154" customWidth="1"/>
    <col min="12040" max="12040" width="21.453125" style="154" customWidth="1"/>
    <col min="12041" max="12041" width="19.26953125" style="154" customWidth="1"/>
    <col min="12042" max="12042" width="21.81640625" style="154" customWidth="1"/>
    <col min="12043" max="12288" width="9.1796875" style="154"/>
    <col min="12289" max="12289" width="22.1796875" style="154" customWidth="1"/>
    <col min="12290" max="12290" width="28.453125" style="154" customWidth="1"/>
    <col min="12291" max="12291" width="21.54296875" style="154" customWidth="1"/>
    <col min="12292" max="12292" width="18.453125" style="154" customWidth="1"/>
    <col min="12293" max="12293" width="21.7265625" style="154" customWidth="1"/>
    <col min="12294" max="12294" width="20" style="154" customWidth="1"/>
    <col min="12295" max="12295" width="24.26953125" style="154" customWidth="1"/>
    <col min="12296" max="12296" width="21.453125" style="154" customWidth="1"/>
    <col min="12297" max="12297" width="19.26953125" style="154" customWidth="1"/>
    <col min="12298" max="12298" width="21.81640625" style="154" customWidth="1"/>
    <col min="12299" max="12544" width="9.1796875" style="154"/>
    <col min="12545" max="12545" width="22.1796875" style="154" customWidth="1"/>
    <col min="12546" max="12546" width="28.453125" style="154" customWidth="1"/>
    <col min="12547" max="12547" width="21.54296875" style="154" customWidth="1"/>
    <col min="12548" max="12548" width="18.453125" style="154" customWidth="1"/>
    <col min="12549" max="12549" width="21.7265625" style="154" customWidth="1"/>
    <col min="12550" max="12550" width="20" style="154" customWidth="1"/>
    <col min="12551" max="12551" width="24.26953125" style="154" customWidth="1"/>
    <col min="12552" max="12552" width="21.453125" style="154" customWidth="1"/>
    <col min="12553" max="12553" width="19.26953125" style="154" customWidth="1"/>
    <col min="12554" max="12554" width="21.81640625" style="154" customWidth="1"/>
    <col min="12555" max="12800" width="9.1796875" style="154"/>
    <col min="12801" max="12801" width="22.1796875" style="154" customWidth="1"/>
    <col min="12802" max="12802" width="28.453125" style="154" customWidth="1"/>
    <col min="12803" max="12803" width="21.54296875" style="154" customWidth="1"/>
    <col min="12804" max="12804" width="18.453125" style="154" customWidth="1"/>
    <col min="12805" max="12805" width="21.7265625" style="154" customWidth="1"/>
    <col min="12806" max="12806" width="20" style="154" customWidth="1"/>
    <col min="12807" max="12807" width="24.26953125" style="154" customWidth="1"/>
    <col min="12808" max="12808" width="21.453125" style="154" customWidth="1"/>
    <col min="12809" max="12809" width="19.26953125" style="154" customWidth="1"/>
    <col min="12810" max="12810" width="21.81640625" style="154" customWidth="1"/>
    <col min="12811" max="13056" width="9.1796875" style="154"/>
    <col min="13057" max="13057" width="22.1796875" style="154" customWidth="1"/>
    <col min="13058" max="13058" width="28.453125" style="154" customWidth="1"/>
    <col min="13059" max="13059" width="21.54296875" style="154" customWidth="1"/>
    <col min="13060" max="13060" width="18.453125" style="154" customWidth="1"/>
    <col min="13061" max="13061" width="21.7265625" style="154" customWidth="1"/>
    <col min="13062" max="13062" width="20" style="154" customWidth="1"/>
    <col min="13063" max="13063" width="24.26953125" style="154" customWidth="1"/>
    <col min="13064" max="13064" width="21.453125" style="154" customWidth="1"/>
    <col min="13065" max="13065" width="19.26953125" style="154" customWidth="1"/>
    <col min="13066" max="13066" width="21.81640625" style="154" customWidth="1"/>
    <col min="13067" max="13312" width="9.1796875" style="154"/>
    <col min="13313" max="13313" width="22.1796875" style="154" customWidth="1"/>
    <col min="13314" max="13314" width="28.453125" style="154" customWidth="1"/>
    <col min="13315" max="13315" width="21.54296875" style="154" customWidth="1"/>
    <col min="13316" max="13316" width="18.453125" style="154" customWidth="1"/>
    <col min="13317" max="13317" width="21.7265625" style="154" customWidth="1"/>
    <col min="13318" max="13318" width="20" style="154" customWidth="1"/>
    <col min="13319" max="13319" width="24.26953125" style="154" customWidth="1"/>
    <col min="13320" max="13320" width="21.453125" style="154" customWidth="1"/>
    <col min="13321" max="13321" width="19.26953125" style="154" customWidth="1"/>
    <col min="13322" max="13322" width="21.81640625" style="154" customWidth="1"/>
    <col min="13323" max="13568" width="9.1796875" style="154"/>
    <col min="13569" max="13569" width="22.1796875" style="154" customWidth="1"/>
    <col min="13570" max="13570" width="28.453125" style="154" customWidth="1"/>
    <col min="13571" max="13571" width="21.54296875" style="154" customWidth="1"/>
    <col min="13572" max="13572" width="18.453125" style="154" customWidth="1"/>
    <col min="13573" max="13573" width="21.7265625" style="154" customWidth="1"/>
    <col min="13574" max="13574" width="20" style="154" customWidth="1"/>
    <col min="13575" max="13575" width="24.26953125" style="154" customWidth="1"/>
    <col min="13576" max="13576" width="21.453125" style="154" customWidth="1"/>
    <col min="13577" max="13577" width="19.26953125" style="154" customWidth="1"/>
    <col min="13578" max="13578" width="21.81640625" style="154" customWidth="1"/>
    <col min="13579" max="13824" width="9.1796875" style="154"/>
    <col min="13825" max="13825" width="22.1796875" style="154" customWidth="1"/>
    <col min="13826" max="13826" width="28.453125" style="154" customWidth="1"/>
    <col min="13827" max="13827" width="21.54296875" style="154" customWidth="1"/>
    <col min="13828" max="13828" width="18.453125" style="154" customWidth="1"/>
    <col min="13829" max="13829" width="21.7265625" style="154" customWidth="1"/>
    <col min="13830" max="13830" width="20" style="154" customWidth="1"/>
    <col min="13831" max="13831" width="24.26953125" style="154" customWidth="1"/>
    <col min="13832" max="13832" width="21.453125" style="154" customWidth="1"/>
    <col min="13833" max="13833" width="19.26953125" style="154" customWidth="1"/>
    <col min="13834" max="13834" width="21.81640625" style="154" customWidth="1"/>
    <col min="13835" max="14080" width="9.1796875" style="154"/>
    <col min="14081" max="14081" width="22.1796875" style="154" customWidth="1"/>
    <col min="14082" max="14082" width="28.453125" style="154" customWidth="1"/>
    <col min="14083" max="14083" width="21.54296875" style="154" customWidth="1"/>
    <col min="14084" max="14084" width="18.453125" style="154" customWidth="1"/>
    <col min="14085" max="14085" width="21.7265625" style="154" customWidth="1"/>
    <col min="14086" max="14086" width="20" style="154" customWidth="1"/>
    <col min="14087" max="14087" width="24.26953125" style="154" customWidth="1"/>
    <col min="14088" max="14088" width="21.453125" style="154" customWidth="1"/>
    <col min="14089" max="14089" width="19.26953125" style="154" customWidth="1"/>
    <col min="14090" max="14090" width="21.81640625" style="154" customWidth="1"/>
    <col min="14091" max="14336" width="9.1796875" style="154"/>
    <col min="14337" max="14337" width="22.1796875" style="154" customWidth="1"/>
    <col min="14338" max="14338" width="28.453125" style="154" customWidth="1"/>
    <col min="14339" max="14339" width="21.54296875" style="154" customWidth="1"/>
    <col min="14340" max="14340" width="18.453125" style="154" customWidth="1"/>
    <col min="14341" max="14341" width="21.7265625" style="154" customWidth="1"/>
    <col min="14342" max="14342" width="20" style="154" customWidth="1"/>
    <col min="14343" max="14343" width="24.26953125" style="154" customWidth="1"/>
    <col min="14344" max="14344" width="21.453125" style="154" customWidth="1"/>
    <col min="14345" max="14345" width="19.26953125" style="154" customWidth="1"/>
    <col min="14346" max="14346" width="21.81640625" style="154" customWidth="1"/>
    <col min="14347" max="14592" width="9.1796875" style="154"/>
    <col min="14593" max="14593" width="22.1796875" style="154" customWidth="1"/>
    <col min="14594" max="14594" width="28.453125" style="154" customWidth="1"/>
    <col min="14595" max="14595" width="21.54296875" style="154" customWidth="1"/>
    <col min="14596" max="14596" width="18.453125" style="154" customWidth="1"/>
    <col min="14597" max="14597" width="21.7265625" style="154" customWidth="1"/>
    <col min="14598" max="14598" width="20" style="154" customWidth="1"/>
    <col min="14599" max="14599" width="24.26953125" style="154" customWidth="1"/>
    <col min="14600" max="14600" width="21.453125" style="154" customWidth="1"/>
    <col min="14601" max="14601" width="19.26953125" style="154" customWidth="1"/>
    <col min="14602" max="14602" width="21.81640625" style="154" customWidth="1"/>
    <col min="14603" max="14848" width="9.1796875" style="154"/>
    <col min="14849" max="14849" width="22.1796875" style="154" customWidth="1"/>
    <col min="14850" max="14850" width="28.453125" style="154" customWidth="1"/>
    <col min="14851" max="14851" width="21.54296875" style="154" customWidth="1"/>
    <col min="14852" max="14852" width="18.453125" style="154" customWidth="1"/>
    <col min="14853" max="14853" width="21.7265625" style="154" customWidth="1"/>
    <col min="14854" max="14854" width="20" style="154" customWidth="1"/>
    <col min="14855" max="14855" width="24.26953125" style="154" customWidth="1"/>
    <col min="14856" max="14856" width="21.453125" style="154" customWidth="1"/>
    <col min="14857" max="14857" width="19.26953125" style="154" customWidth="1"/>
    <col min="14858" max="14858" width="21.81640625" style="154" customWidth="1"/>
    <col min="14859" max="15104" width="9.1796875" style="154"/>
    <col min="15105" max="15105" width="22.1796875" style="154" customWidth="1"/>
    <col min="15106" max="15106" width="28.453125" style="154" customWidth="1"/>
    <col min="15107" max="15107" width="21.54296875" style="154" customWidth="1"/>
    <col min="15108" max="15108" width="18.453125" style="154" customWidth="1"/>
    <col min="15109" max="15109" width="21.7265625" style="154" customWidth="1"/>
    <col min="15110" max="15110" width="20" style="154" customWidth="1"/>
    <col min="15111" max="15111" width="24.26953125" style="154" customWidth="1"/>
    <col min="15112" max="15112" width="21.453125" style="154" customWidth="1"/>
    <col min="15113" max="15113" width="19.26953125" style="154" customWidth="1"/>
    <col min="15114" max="15114" width="21.81640625" style="154" customWidth="1"/>
    <col min="15115" max="15360" width="9.1796875" style="154"/>
    <col min="15361" max="15361" width="22.1796875" style="154" customWidth="1"/>
    <col min="15362" max="15362" width="28.453125" style="154" customWidth="1"/>
    <col min="15363" max="15363" width="21.54296875" style="154" customWidth="1"/>
    <col min="15364" max="15364" width="18.453125" style="154" customWidth="1"/>
    <col min="15365" max="15365" width="21.7265625" style="154" customWidth="1"/>
    <col min="15366" max="15366" width="20" style="154" customWidth="1"/>
    <col min="15367" max="15367" width="24.26953125" style="154" customWidth="1"/>
    <col min="15368" max="15368" width="21.453125" style="154" customWidth="1"/>
    <col min="15369" max="15369" width="19.26953125" style="154" customWidth="1"/>
    <col min="15370" max="15370" width="21.81640625" style="154" customWidth="1"/>
    <col min="15371" max="15616" width="9.1796875" style="154"/>
    <col min="15617" max="15617" width="22.1796875" style="154" customWidth="1"/>
    <col min="15618" max="15618" width="28.453125" style="154" customWidth="1"/>
    <col min="15619" max="15619" width="21.54296875" style="154" customWidth="1"/>
    <col min="15620" max="15620" width="18.453125" style="154" customWidth="1"/>
    <col min="15621" max="15621" width="21.7265625" style="154" customWidth="1"/>
    <col min="15622" max="15622" width="20" style="154" customWidth="1"/>
    <col min="15623" max="15623" width="24.26953125" style="154" customWidth="1"/>
    <col min="15624" max="15624" width="21.453125" style="154" customWidth="1"/>
    <col min="15625" max="15625" width="19.26953125" style="154" customWidth="1"/>
    <col min="15626" max="15626" width="21.81640625" style="154" customWidth="1"/>
    <col min="15627" max="15872" width="9.1796875" style="154"/>
    <col min="15873" max="15873" width="22.1796875" style="154" customWidth="1"/>
    <col min="15874" max="15874" width="28.453125" style="154" customWidth="1"/>
    <col min="15875" max="15875" width="21.54296875" style="154" customWidth="1"/>
    <col min="15876" max="15876" width="18.453125" style="154" customWidth="1"/>
    <col min="15877" max="15877" width="21.7265625" style="154" customWidth="1"/>
    <col min="15878" max="15878" width="20" style="154" customWidth="1"/>
    <col min="15879" max="15879" width="24.26953125" style="154" customWidth="1"/>
    <col min="15880" max="15880" width="21.453125" style="154" customWidth="1"/>
    <col min="15881" max="15881" width="19.26953125" style="154" customWidth="1"/>
    <col min="15882" max="15882" width="21.81640625" style="154" customWidth="1"/>
    <col min="15883" max="16128" width="9.1796875" style="154"/>
    <col min="16129" max="16129" width="22.1796875" style="154" customWidth="1"/>
    <col min="16130" max="16130" width="28.453125" style="154" customWidth="1"/>
    <col min="16131" max="16131" width="21.54296875" style="154" customWidth="1"/>
    <col min="16132" max="16132" width="18.453125" style="154" customWidth="1"/>
    <col min="16133" max="16133" width="21.7265625" style="154" customWidth="1"/>
    <col min="16134" max="16134" width="20" style="154" customWidth="1"/>
    <col min="16135" max="16135" width="24.26953125" style="154" customWidth="1"/>
    <col min="16136" max="16136" width="21.453125" style="154" customWidth="1"/>
    <col min="16137" max="16137" width="19.26953125" style="154" customWidth="1"/>
    <col min="16138" max="16138" width="21.81640625" style="154" customWidth="1"/>
    <col min="16139" max="16384" width="9.1796875" style="154"/>
  </cols>
  <sheetData>
    <row r="1" spans="1:10" x14ac:dyDescent="0.35">
      <c r="A1" s="427" t="s">
        <v>242</v>
      </c>
      <c r="B1" s="1231"/>
      <c r="C1" s="1232"/>
      <c r="D1" s="428" t="s">
        <v>243</v>
      </c>
      <c r="E1" s="1233"/>
      <c r="F1" s="1234"/>
      <c r="G1" s="1235"/>
      <c r="H1" s="429" t="s">
        <v>244</v>
      </c>
      <c r="I1" s="1236"/>
      <c r="J1" s="1237"/>
    </row>
    <row r="2" spans="1:10" x14ac:dyDescent="0.35">
      <c r="A2" s="430" t="s">
        <v>245</v>
      </c>
      <c r="B2" s="1238"/>
      <c r="C2" s="1239"/>
      <c r="D2" s="431" t="s">
        <v>246</v>
      </c>
      <c r="E2" s="1240"/>
      <c r="F2" s="1241"/>
      <c r="G2" s="1242"/>
      <c r="H2" s="432" t="s">
        <v>247</v>
      </c>
      <c r="I2" s="1243"/>
      <c r="J2" s="1244"/>
    </row>
    <row r="3" spans="1:10" ht="15" thickBot="1" x14ac:dyDescent="0.4">
      <c r="A3" s="433" t="s">
        <v>248</v>
      </c>
      <c r="B3" s="1245"/>
      <c r="C3" s="1246"/>
      <c r="D3" s="434"/>
      <c r="E3" s="1247"/>
      <c r="F3" s="1248"/>
      <c r="G3" s="1249"/>
      <c r="H3" s="435" t="s">
        <v>249</v>
      </c>
      <c r="I3" s="1250"/>
      <c r="J3" s="1251"/>
    </row>
    <row r="4" spans="1:10" ht="15" thickBot="1" x14ac:dyDescent="0.4">
      <c r="A4" s="1252" t="s">
        <v>218</v>
      </c>
      <c r="B4" s="1253"/>
      <c r="C4" s="1254"/>
      <c r="D4" s="1255" t="s">
        <v>219</v>
      </c>
      <c r="E4" s="1255"/>
      <c r="F4" s="1255"/>
      <c r="G4" s="1255"/>
      <c r="H4" s="1255" t="s">
        <v>220</v>
      </c>
      <c r="I4" s="1255"/>
      <c r="J4" s="1255"/>
    </row>
    <row r="5" spans="1:10" ht="29.5" thickBot="1" x14ac:dyDescent="0.4">
      <c r="A5" s="436" t="s">
        <v>221</v>
      </c>
      <c r="B5" s="437" t="s">
        <v>222</v>
      </c>
      <c r="C5" s="438" t="s">
        <v>223</v>
      </c>
      <c r="D5" s="437" t="s">
        <v>250</v>
      </c>
      <c r="E5" s="439" t="s">
        <v>251</v>
      </c>
      <c r="F5" s="439" t="s">
        <v>252</v>
      </c>
      <c r="G5" s="438" t="s">
        <v>253</v>
      </c>
      <c r="H5" s="437" t="s">
        <v>254</v>
      </c>
      <c r="I5" s="439" t="s">
        <v>255</v>
      </c>
      <c r="J5" s="438" t="s">
        <v>230</v>
      </c>
    </row>
    <row r="6" spans="1:10" ht="15" thickBot="1" x14ac:dyDescent="0.4">
      <c r="A6" s="440" t="s">
        <v>256</v>
      </c>
      <c r="B6" s="441"/>
      <c r="C6" s="441"/>
      <c r="D6" s="442"/>
      <c r="E6" s="441"/>
      <c r="F6" s="441"/>
      <c r="G6" s="443"/>
      <c r="H6" s="441"/>
      <c r="I6" s="441"/>
      <c r="J6" s="444"/>
    </row>
    <row r="7" spans="1:10" ht="15" thickBot="1" x14ac:dyDescent="0.4">
      <c r="A7" s="445"/>
      <c r="B7" s="446"/>
      <c r="C7" s="446"/>
      <c r="D7" s="447"/>
      <c r="E7" s="448"/>
      <c r="F7" s="449"/>
      <c r="G7" s="450"/>
      <c r="H7" s="448"/>
      <c r="I7" s="449"/>
      <c r="J7" s="451"/>
    </row>
    <row r="8" spans="1:10" ht="15" thickBot="1" x14ac:dyDescent="0.4">
      <c r="A8" s="452" t="s">
        <v>257</v>
      </c>
      <c r="B8" s="453"/>
      <c r="C8" s="453"/>
      <c r="D8" s="454"/>
      <c r="E8" s="453"/>
      <c r="F8" s="453"/>
      <c r="G8" s="453"/>
      <c r="H8" s="453"/>
      <c r="I8" s="453"/>
      <c r="J8" s="455"/>
    </row>
    <row r="9" spans="1:10" ht="232.5" thickBot="1" x14ac:dyDescent="0.4">
      <c r="A9" s="456" t="s">
        <v>258</v>
      </c>
      <c r="B9" s="457" t="s">
        <v>259</v>
      </c>
      <c r="C9" s="458" t="s">
        <v>260</v>
      </c>
      <c r="D9" s="457" t="s">
        <v>261</v>
      </c>
      <c r="E9" s="459" t="s">
        <v>262</v>
      </c>
      <c r="F9" s="460" t="s">
        <v>263</v>
      </c>
      <c r="G9" s="461" t="s">
        <v>264</v>
      </c>
      <c r="H9" s="462" t="s">
        <v>265</v>
      </c>
      <c r="I9" s="463" t="s">
        <v>266</v>
      </c>
      <c r="J9" s="464" t="s">
        <v>267</v>
      </c>
    </row>
    <row r="10" spans="1:10" ht="15" thickBot="1" x14ac:dyDescent="0.4">
      <c r="A10" s="465" t="s">
        <v>268</v>
      </c>
      <c r="B10" s="466"/>
      <c r="C10" s="466"/>
      <c r="D10" s="467"/>
      <c r="E10" s="468"/>
      <c r="F10" s="466"/>
      <c r="G10" s="466"/>
      <c r="H10" s="466"/>
      <c r="I10" s="466"/>
      <c r="J10" s="469"/>
    </row>
    <row r="11" spans="1:10" ht="189" thickBot="1" x14ac:dyDescent="0.4">
      <c r="A11" s="470" t="s">
        <v>269</v>
      </c>
      <c r="B11" s="457" t="s">
        <v>270</v>
      </c>
      <c r="C11" s="471" t="s">
        <v>271</v>
      </c>
      <c r="D11" s="462" t="s">
        <v>272</v>
      </c>
      <c r="E11" s="472" t="s">
        <v>273</v>
      </c>
      <c r="F11" s="472" t="s">
        <v>274</v>
      </c>
      <c r="G11" s="461" t="s">
        <v>275</v>
      </c>
      <c r="H11" s="457" t="s">
        <v>276</v>
      </c>
      <c r="I11" s="473" t="s">
        <v>277</v>
      </c>
      <c r="J11" s="474" t="s">
        <v>278</v>
      </c>
    </row>
  </sheetData>
  <mergeCells count="12">
    <mergeCell ref="B3:C3"/>
    <mergeCell ref="E3:G3"/>
    <mergeCell ref="I3:J3"/>
    <mergeCell ref="A4:C4"/>
    <mergeCell ref="D4:G4"/>
    <mergeCell ref="H4:J4"/>
    <mergeCell ref="B1:C1"/>
    <mergeCell ref="E1:G1"/>
    <mergeCell ref="I1:J1"/>
    <mergeCell ref="B2:C2"/>
    <mergeCell ref="E2:G2"/>
    <mergeCell ref="I2:J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42"/>
  <sheetViews>
    <sheetView zoomScale="70" zoomScaleNormal="70" workbookViewId="0">
      <selection activeCell="A23" sqref="A23"/>
    </sheetView>
  </sheetViews>
  <sheetFormatPr defaultRowHeight="14.5" x14ac:dyDescent="0.35"/>
  <cols>
    <col min="1" max="1" width="22.26953125" style="936" customWidth="1"/>
    <col min="2" max="2" width="34" style="936" customWidth="1"/>
    <col min="3" max="4" width="19.7265625" style="936" customWidth="1"/>
    <col min="5" max="5" width="18" style="936" customWidth="1"/>
    <col min="6" max="6" width="27.7265625" style="936" customWidth="1"/>
    <col min="7" max="7" width="15.54296875" style="936" customWidth="1"/>
    <col min="8" max="8" width="19.26953125" style="936" customWidth="1"/>
    <col min="9" max="9" width="21.1796875" style="936" customWidth="1"/>
    <col min="10" max="10" width="12.1796875" style="936" customWidth="1"/>
    <col min="11" max="256" width="9.1796875" style="154"/>
    <col min="257" max="257" width="22.26953125" style="154" customWidth="1"/>
    <col min="258" max="260" width="19.7265625" style="154" customWidth="1"/>
    <col min="261" max="261" width="18" style="154" customWidth="1"/>
    <col min="262" max="262" width="21" style="154" customWidth="1"/>
    <col min="263" max="263" width="15.54296875" style="154" customWidth="1"/>
    <col min="264" max="264" width="13.26953125" style="154" customWidth="1"/>
    <col min="265" max="265" width="13.81640625" style="154" customWidth="1"/>
    <col min="266" max="266" width="12.1796875" style="154" customWidth="1"/>
    <col min="267" max="512" width="9.1796875" style="154"/>
    <col min="513" max="513" width="22.26953125" style="154" customWidth="1"/>
    <col min="514" max="516" width="19.7265625" style="154" customWidth="1"/>
    <col min="517" max="517" width="18" style="154" customWidth="1"/>
    <col min="518" max="518" width="21" style="154" customWidth="1"/>
    <col min="519" max="519" width="15.54296875" style="154" customWidth="1"/>
    <col min="520" max="520" width="13.26953125" style="154" customWidth="1"/>
    <col min="521" max="521" width="13.81640625" style="154" customWidth="1"/>
    <col min="522" max="522" width="12.1796875" style="154" customWidth="1"/>
    <col min="523" max="768" width="9.1796875" style="154"/>
    <col min="769" max="769" width="22.26953125" style="154" customWidth="1"/>
    <col min="770" max="772" width="19.7265625" style="154" customWidth="1"/>
    <col min="773" max="773" width="18" style="154" customWidth="1"/>
    <col min="774" max="774" width="21" style="154" customWidth="1"/>
    <col min="775" max="775" width="15.54296875" style="154" customWidth="1"/>
    <col min="776" max="776" width="13.26953125" style="154" customWidth="1"/>
    <col min="777" max="777" width="13.81640625" style="154" customWidth="1"/>
    <col min="778" max="778" width="12.1796875" style="154" customWidth="1"/>
    <col min="779" max="1024" width="9.1796875" style="154"/>
    <col min="1025" max="1025" width="22.26953125" style="154" customWidth="1"/>
    <col min="1026" max="1028" width="19.7265625" style="154" customWidth="1"/>
    <col min="1029" max="1029" width="18" style="154" customWidth="1"/>
    <col min="1030" max="1030" width="21" style="154" customWidth="1"/>
    <col min="1031" max="1031" width="15.54296875" style="154" customWidth="1"/>
    <col min="1032" max="1032" width="13.26953125" style="154" customWidth="1"/>
    <col min="1033" max="1033" width="13.81640625" style="154" customWidth="1"/>
    <col min="1034" max="1034" width="12.1796875" style="154" customWidth="1"/>
    <col min="1035" max="1280" width="9.1796875" style="154"/>
    <col min="1281" max="1281" width="22.26953125" style="154" customWidth="1"/>
    <col min="1282" max="1284" width="19.7265625" style="154" customWidth="1"/>
    <col min="1285" max="1285" width="18" style="154" customWidth="1"/>
    <col min="1286" max="1286" width="21" style="154" customWidth="1"/>
    <col min="1287" max="1287" width="15.54296875" style="154" customWidth="1"/>
    <col min="1288" max="1288" width="13.26953125" style="154" customWidth="1"/>
    <col min="1289" max="1289" width="13.81640625" style="154" customWidth="1"/>
    <col min="1290" max="1290" width="12.1796875" style="154" customWidth="1"/>
    <col min="1291" max="1536" width="9.1796875" style="154"/>
    <col min="1537" max="1537" width="22.26953125" style="154" customWidth="1"/>
    <col min="1538" max="1540" width="19.7265625" style="154" customWidth="1"/>
    <col min="1541" max="1541" width="18" style="154" customWidth="1"/>
    <col min="1542" max="1542" width="21" style="154" customWidth="1"/>
    <col min="1543" max="1543" width="15.54296875" style="154" customWidth="1"/>
    <col min="1544" max="1544" width="13.26953125" style="154" customWidth="1"/>
    <col min="1545" max="1545" width="13.81640625" style="154" customWidth="1"/>
    <col min="1546" max="1546" width="12.1796875" style="154" customWidth="1"/>
    <col min="1547" max="1792" width="9.1796875" style="154"/>
    <col min="1793" max="1793" width="22.26953125" style="154" customWidth="1"/>
    <col min="1794" max="1796" width="19.7265625" style="154" customWidth="1"/>
    <col min="1797" max="1797" width="18" style="154" customWidth="1"/>
    <col min="1798" max="1798" width="21" style="154" customWidth="1"/>
    <col min="1799" max="1799" width="15.54296875" style="154" customWidth="1"/>
    <col min="1800" max="1800" width="13.26953125" style="154" customWidth="1"/>
    <col min="1801" max="1801" width="13.81640625" style="154" customWidth="1"/>
    <col min="1802" max="1802" width="12.1796875" style="154" customWidth="1"/>
    <col min="1803" max="2048" width="9.1796875" style="154"/>
    <col min="2049" max="2049" width="22.26953125" style="154" customWidth="1"/>
    <col min="2050" max="2052" width="19.7265625" style="154" customWidth="1"/>
    <col min="2053" max="2053" width="18" style="154" customWidth="1"/>
    <col min="2054" max="2054" width="21" style="154" customWidth="1"/>
    <col min="2055" max="2055" width="15.54296875" style="154" customWidth="1"/>
    <col min="2056" max="2056" width="13.26953125" style="154" customWidth="1"/>
    <col min="2057" max="2057" width="13.81640625" style="154" customWidth="1"/>
    <col min="2058" max="2058" width="12.1796875" style="154" customWidth="1"/>
    <col min="2059" max="2304" width="9.1796875" style="154"/>
    <col min="2305" max="2305" width="22.26953125" style="154" customWidth="1"/>
    <col min="2306" max="2308" width="19.7265625" style="154" customWidth="1"/>
    <col min="2309" max="2309" width="18" style="154" customWidth="1"/>
    <col min="2310" max="2310" width="21" style="154" customWidth="1"/>
    <col min="2311" max="2311" width="15.54296875" style="154" customWidth="1"/>
    <col min="2312" max="2312" width="13.26953125" style="154" customWidth="1"/>
    <col min="2313" max="2313" width="13.81640625" style="154" customWidth="1"/>
    <col min="2314" max="2314" width="12.1796875" style="154" customWidth="1"/>
    <col min="2315" max="2560" width="9.1796875" style="154"/>
    <col min="2561" max="2561" width="22.26953125" style="154" customWidth="1"/>
    <col min="2562" max="2564" width="19.7265625" style="154" customWidth="1"/>
    <col min="2565" max="2565" width="18" style="154" customWidth="1"/>
    <col min="2566" max="2566" width="21" style="154" customWidth="1"/>
    <col min="2567" max="2567" width="15.54296875" style="154" customWidth="1"/>
    <col min="2568" max="2568" width="13.26953125" style="154" customWidth="1"/>
    <col min="2569" max="2569" width="13.81640625" style="154" customWidth="1"/>
    <col min="2570" max="2570" width="12.1796875" style="154" customWidth="1"/>
    <col min="2571" max="2816" width="9.1796875" style="154"/>
    <col min="2817" max="2817" width="22.26953125" style="154" customWidth="1"/>
    <col min="2818" max="2820" width="19.7265625" style="154" customWidth="1"/>
    <col min="2821" max="2821" width="18" style="154" customWidth="1"/>
    <col min="2822" max="2822" width="21" style="154" customWidth="1"/>
    <col min="2823" max="2823" width="15.54296875" style="154" customWidth="1"/>
    <col min="2824" max="2824" width="13.26953125" style="154" customWidth="1"/>
    <col min="2825" max="2825" width="13.81640625" style="154" customWidth="1"/>
    <col min="2826" max="2826" width="12.1796875" style="154" customWidth="1"/>
    <col min="2827" max="3072" width="9.1796875" style="154"/>
    <col min="3073" max="3073" width="22.26953125" style="154" customWidth="1"/>
    <col min="3074" max="3076" width="19.7265625" style="154" customWidth="1"/>
    <col min="3077" max="3077" width="18" style="154" customWidth="1"/>
    <col min="3078" max="3078" width="21" style="154" customWidth="1"/>
    <col min="3079" max="3079" width="15.54296875" style="154" customWidth="1"/>
    <col min="3080" max="3080" width="13.26953125" style="154" customWidth="1"/>
    <col min="3081" max="3081" width="13.81640625" style="154" customWidth="1"/>
    <col min="3082" max="3082" width="12.1796875" style="154" customWidth="1"/>
    <col min="3083" max="3328" width="9.1796875" style="154"/>
    <col min="3329" max="3329" width="22.26953125" style="154" customWidth="1"/>
    <col min="3330" max="3332" width="19.7265625" style="154" customWidth="1"/>
    <col min="3333" max="3333" width="18" style="154" customWidth="1"/>
    <col min="3334" max="3334" width="21" style="154" customWidth="1"/>
    <col min="3335" max="3335" width="15.54296875" style="154" customWidth="1"/>
    <col min="3336" max="3336" width="13.26953125" style="154" customWidth="1"/>
    <col min="3337" max="3337" width="13.81640625" style="154" customWidth="1"/>
    <col min="3338" max="3338" width="12.1796875" style="154" customWidth="1"/>
    <col min="3339" max="3584" width="9.1796875" style="154"/>
    <col min="3585" max="3585" width="22.26953125" style="154" customWidth="1"/>
    <col min="3586" max="3588" width="19.7265625" style="154" customWidth="1"/>
    <col min="3589" max="3589" width="18" style="154" customWidth="1"/>
    <col min="3590" max="3590" width="21" style="154" customWidth="1"/>
    <col min="3591" max="3591" width="15.54296875" style="154" customWidth="1"/>
    <col min="3592" max="3592" width="13.26953125" style="154" customWidth="1"/>
    <col min="3593" max="3593" width="13.81640625" style="154" customWidth="1"/>
    <col min="3594" max="3594" width="12.1796875" style="154" customWidth="1"/>
    <col min="3595" max="3840" width="9.1796875" style="154"/>
    <col min="3841" max="3841" width="22.26953125" style="154" customWidth="1"/>
    <col min="3842" max="3844" width="19.7265625" style="154" customWidth="1"/>
    <col min="3845" max="3845" width="18" style="154" customWidth="1"/>
    <col min="3846" max="3846" width="21" style="154" customWidth="1"/>
    <col min="3847" max="3847" width="15.54296875" style="154" customWidth="1"/>
    <col min="3848" max="3848" width="13.26953125" style="154" customWidth="1"/>
    <col min="3849" max="3849" width="13.81640625" style="154" customWidth="1"/>
    <col min="3850" max="3850" width="12.1796875" style="154" customWidth="1"/>
    <col min="3851" max="4096" width="9.1796875" style="154"/>
    <col min="4097" max="4097" width="22.26953125" style="154" customWidth="1"/>
    <col min="4098" max="4100" width="19.7265625" style="154" customWidth="1"/>
    <col min="4101" max="4101" width="18" style="154" customWidth="1"/>
    <col min="4102" max="4102" width="21" style="154" customWidth="1"/>
    <col min="4103" max="4103" width="15.54296875" style="154" customWidth="1"/>
    <col min="4104" max="4104" width="13.26953125" style="154" customWidth="1"/>
    <col min="4105" max="4105" width="13.81640625" style="154" customWidth="1"/>
    <col min="4106" max="4106" width="12.1796875" style="154" customWidth="1"/>
    <col min="4107" max="4352" width="9.1796875" style="154"/>
    <col min="4353" max="4353" width="22.26953125" style="154" customWidth="1"/>
    <col min="4354" max="4356" width="19.7265625" style="154" customWidth="1"/>
    <col min="4357" max="4357" width="18" style="154" customWidth="1"/>
    <col min="4358" max="4358" width="21" style="154" customWidth="1"/>
    <col min="4359" max="4359" width="15.54296875" style="154" customWidth="1"/>
    <col min="4360" max="4360" width="13.26953125" style="154" customWidth="1"/>
    <col min="4361" max="4361" width="13.81640625" style="154" customWidth="1"/>
    <col min="4362" max="4362" width="12.1796875" style="154" customWidth="1"/>
    <col min="4363" max="4608" width="9.1796875" style="154"/>
    <col min="4609" max="4609" width="22.26953125" style="154" customWidth="1"/>
    <col min="4610" max="4612" width="19.7265625" style="154" customWidth="1"/>
    <col min="4613" max="4613" width="18" style="154" customWidth="1"/>
    <col min="4614" max="4614" width="21" style="154" customWidth="1"/>
    <col min="4615" max="4615" width="15.54296875" style="154" customWidth="1"/>
    <col min="4616" max="4616" width="13.26953125" style="154" customWidth="1"/>
    <col min="4617" max="4617" width="13.81640625" style="154" customWidth="1"/>
    <col min="4618" max="4618" width="12.1796875" style="154" customWidth="1"/>
    <col min="4619" max="4864" width="9.1796875" style="154"/>
    <col min="4865" max="4865" width="22.26953125" style="154" customWidth="1"/>
    <col min="4866" max="4868" width="19.7265625" style="154" customWidth="1"/>
    <col min="4869" max="4869" width="18" style="154" customWidth="1"/>
    <col min="4870" max="4870" width="21" style="154" customWidth="1"/>
    <col min="4871" max="4871" width="15.54296875" style="154" customWidth="1"/>
    <col min="4872" max="4872" width="13.26953125" style="154" customWidth="1"/>
    <col min="4873" max="4873" width="13.81640625" style="154" customWidth="1"/>
    <col min="4874" max="4874" width="12.1796875" style="154" customWidth="1"/>
    <col min="4875" max="5120" width="9.1796875" style="154"/>
    <col min="5121" max="5121" width="22.26953125" style="154" customWidth="1"/>
    <col min="5122" max="5124" width="19.7265625" style="154" customWidth="1"/>
    <col min="5125" max="5125" width="18" style="154" customWidth="1"/>
    <col min="5126" max="5126" width="21" style="154" customWidth="1"/>
    <col min="5127" max="5127" width="15.54296875" style="154" customWidth="1"/>
    <col min="5128" max="5128" width="13.26953125" style="154" customWidth="1"/>
    <col min="5129" max="5129" width="13.81640625" style="154" customWidth="1"/>
    <col min="5130" max="5130" width="12.1796875" style="154" customWidth="1"/>
    <col min="5131" max="5376" width="9.1796875" style="154"/>
    <col min="5377" max="5377" width="22.26953125" style="154" customWidth="1"/>
    <col min="5378" max="5380" width="19.7265625" style="154" customWidth="1"/>
    <col min="5381" max="5381" width="18" style="154" customWidth="1"/>
    <col min="5382" max="5382" width="21" style="154" customWidth="1"/>
    <col min="5383" max="5383" width="15.54296875" style="154" customWidth="1"/>
    <col min="5384" max="5384" width="13.26953125" style="154" customWidth="1"/>
    <col min="5385" max="5385" width="13.81640625" style="154" customWidth="1"/>
    <col min="5386" max="5386" width="12.1796875" style="154" customWidth="1"/>
    <col min="5387" max="5632" width="9.1796875" style="154"/>
    <col min="5633" max="5633" width="22.26953125" style="154" customWidth="1"/>
    <col min="5634" max="5636" width="19.7265625" style="154" customWidth="1"/>
    <col min="5637" max="5637" width="18" style="154" customWidth="1"/>
    <col min="5638" max="5638" width="21" style="154" customWidth="1"/>
    <col min="5639" max="5639" width="15.54296875" style="154" customWidth="1"/>
    <col min="5640" max="5640" width="13.26953125" style="154" customWidth="1"/>
    <col min="5641" max="5641" width="13.81640625" style="154" customWidth="1"/>
    <col min="5642" max="5642" width="12.1796875" style="154" customWidth="1"/>
    <col min="5643" max="5888" width="9.1796875" style="154"/>
    <col min="5889" max="5889" width="22.26953125" style="154" customWidth="1"/>
    <col min="5890" max="5892" width="19.7265625" style="154" customWidth="1"/>
    <col min="5893" max="5893" width="18" style="154" customWidth="1"/>
    <col min="5894" max="5894" width="21" style="154" customWidth="1"/>
    <col min="5895" max="5895" width="15.54296875" style="154" customWidth="1"/>
    <col min="5896" max="5896" width="13.26953125" style="154" customWidth="1"/>
    <col min="5897" max="5897" width="13.81640625" style="154" customWidth="1"/>
    <col min="5898" max="5898" width="12.1796875" style="154" customWidth="1"/>
    <col min="5899" max="6144" width="9.1796875" style="154"/>
    <col min="6145" max="6145" width="22.26953125" style="154" customWidth="1"/>
    <col min="6146" max="6148" width="19.7265625" style="154" customWidth="1"/>
    <col min="6149" max="6149" width="18" style="154" customWidth="1"/>
    <col min="6150" max="6150" width="21" style="154" customWidth="1"/>
    <col min="6151" max="6151" width="15.54296875" style="154" customWidth="1"/>
    <col min="6152" max="6152" width="13.26953125" style="154" customWidth="1"/>
    <col min="6153" max="6153" width="13.81640625" style="154" customWidth="1"/>
    <col min="6154" max="6154" width="12.1796875" style="154" customWidth="1"/>
    <col min="6155" max="6400" width="9.1796875" style="154"/>
    <col min="6401" max="6401" width="22.26953125" style="154" customWidth="1"/>
    <col min="6402" max="6404" width="19.7265625" style="154" customWidth="1"/>
    <col min="6405" max="6405" width="18" style="154" customWidth="1"/>
    <col min="6406" max="6406" width="21" style="154" customWidth="1"/>
    <col min="6407" max="6407" width="15.54296875" style="154" customWidth="1"/>
    <col min="6408" max="6408" width="13.26953125" style="154" customWidth="1"/>
    <col min="6409" max="6409" width="13.81640625" style="154" customWidth="1"/>
    <col min="6410" max="6410" width="12.1796875" style="154" customWidth="1"/>
    <col min="6411" max="6656" width="9.1796875" style="154"/>
    <col min="6657" max="6657" width="22.26953125" style="154" customWidth="1"/>
    <col min="6658" max="6660" width="19.7265625" style="154" customWidth="1"/>
    <col min="6661" max="6661" width="18" style="154" customWidth="1"/>
    <col min="6662" max="6662" width="21" style="154" customWidth="1"/>
    <col min="6663" max="6663" width="15.54296875" style="154" customWidth="1"/>
    <col min="6664" max="6664" width="13.26953125" style="154" customWidth="1"/>
    <col min="6665" max="6665" width="13.81640625" style="154" customWidth="1"/>
    <col min="6666" max="6666" width="12.1796875" style="154" customWidth="1"/>
    <col min="6667" max="6912" width="9.1796875" style="154"/>
    <col min="6913" max="6913" width="22.26953125" style="154" customWidth="1"/>
    <col min="6914" max="6916" width="19.7265625" style="154" customWidth="1"/>
    <col min="6917" max="6917" width="18" style="154" customWidth="1"/>
    <col min="6918" max="6918" width="21" style="154" customWidth="1"/>
    <col min="6919" max="6919" width="15.54296875" style="154" customWidth="1"/>
    <col min="6920" max="6920" width="13.26953125" style="154" customWidth="1"/>
    <col min="6921" max="6921" width="13.81640625" style="154" customWidth="1"/>
    <col min="6922" max="6922" width="12.1796875" style="154" customWidth="1"/>
    <col min="6923" max="7168" width="9.1796875" style="154"/>
    <col min="7169" max="7169" width="22.26953125" style="154" customWidth="1"/>
    <col min="7170" max="7172" width="19.7265625" style="154" customWidth="1"/>
    <col min="7173" max="7173" width="18" style="154" customWidth="1"/>
    <col min="7174" max="7174" width="21" style="154" customWidth="1"/>
    <col min="7175" max="7175" width="15.54296875" style="154" customWidth="1"/>
    <col min="7176" max="7176" width="13.26953125" style="154" customWidth="1"/>
    <col min="7177" max="7177" width="13.81640625" style="154" customWidth="1"/>
    <col min="7178" max="7178" width="12.1796875" style="154" customWidth="1"/>
    <col min="7179" max="7424" width="9.1796875" style="154"/>
    <col min="7425" max="7425" width="22.26953125" style="154" customWidth="1"/>
    <col min="7426" max="7428" width="19.7265625" style="154" customWidth="1"/>
    <col min="7429" max="7429" width="18" style="154" customWidth="1"/>
    <col min="7430" max="7430" width="21" style="154" customWidth="1"/>
    <col min="7431" max="7431" width="15.54296875" style="154" customWidth="1"/>
    <col min="7432" max="7432" width="13.26953125" style="154" customWidth="1"/>
    <col min="7433" max="7433" width="13.81640625" style="154" customWidth="1"/>
    <col min="7434" max="7434" width="12.1796875" style="154" customWidth="1"/>
    <col min="7435" max="7680" width="9.1796875" style="154"/>
    <col min="7681" max="7681" width="22.26953125" style="154" customWidth="1"/>
    <col min="7682" max="7684" width="19.7265625" style="154" customWidth="1"/>
    <col min="7685" max="7685" width="18" style="154" customWidth="1"/>
    <col min="7686" max="7686" width="21" style="154" customWidth="1"/>
    <col min="7687" max="7687" width="15.54296875" style="154" customWidth="1"/>
    <col min="7688" max="7688" width="13.26953125" style="154" customWidth="1"/>
    <col min="7689" max="7689" width="13.81640625" style="154" customWidth="1"/>
    <col min="7690" max="7690" width="12.1796875" style="154" customWidth="1"/>
    <col min="7691" max="7936" width="9.1796875" style="154"/>
    <col min="7937" max="7937" width="22.26953125" style="154" customWidth="1"/>
    <col min="7938" max="7940" width="19.7265625" style="154" customWidth="1"/>
    <col min="7941" max="7941" width="18" style="154" customWidth="1"/>
    <col min="7942" max="7942" width="21" style="154" customWidth="1"/>
    <col min="7943" max="7943" width="15.54296875" style="154" customWidth="1"/>
    <col min="7944" max="7944" width="13.26953125" style="154" customWidth="1"/>
    <col min="7945" max="7945" width="13.81640625" style="154" customWidth="1"/>
    <col min="7946" max="7946" width="12.1796875" style="154" customWidth="1"/>
    <col min="7947" max="8192" width="9.1796875" style="154"/>
    <col min="8193" max="8193" width="22.26953125" style="154" customWidth="1"/>
    <col min="8194" max="8196" width="19.7265625" style="154" customWidth="1"/>
    <col min="8197" max="8197" width="18" style="154" customWidth="1"/>
    <col min="8198" max="8198" width="21" style="154" customWidth="1"/>
    <col min="8199" max="8199" width="15.54296875" style="154" customWidth="1"/>
    <col min="8200" max="8200" width="13.26953125" style="154" customWidth="1"/>
    <col min="8201" max="8201" width="13.81640625" style="154" customWidth="1"/>
    <col min="8202" max="8202" width="12.1796875" style="154" customWidth="1"/>
    <col min="8203" max="8448" width="9.1796875" style="154"/>
    <col min="8449" max="8449" width="22.26953125" style="154" customWidth="1"/>
    <col min="8450" max="8452" width="19.7265625" style="154" customWidth="1"/>
    <col min="8453" max="8453" width="18" style="154" customWidth="1"/>
    <col min="8454" max="8454" width="21" style="154" customWidth="1"/>
    <col min="8455" max="8455" width="15.54296875" style="154" customWidth="1"/>
    <col min="8456" max="8456" width="13.26953125" style="154" customWidth="1"/>
    <col min="8457" max="8457" width="13.81640625" style="154" customWidth="1"/>
    <col min="8458" max="8458" width="12.1796875" style="154" customWidth="1"/>
    <col min="8459" max="8704" width="9.1796875" style="154"/>
    <col min="8705" max="8705" width="22.26953125" style="154" customWidth="1"/>
    <col min="8706" max="8708" width="19.7265625" style="154" customWidth="1"/>
    <col min="8709" max="8709" width="18" style="154" customWidth="1"/>
    <col min="8710" max="8710" width="21" style="154" customWidth="1"/>
    <col min="8711" max="8711" width="15.54296875" style="154" customWidth="1"/>
    <col min="8712" max="8712" width="13.26953125" style="154" customWidth="1"/>
    <col min="8713" max="8713" width="13.81640625" style="154" customWidth="1"/>
    <col min="8714" max="8714" width="12.1796875" style="154" customWidth="1"/>
    <col min="8715" max="8960" width="9.1796875" style="154"/>
    <col min="8961" max="8961" width="22.26953125" style="154" customWidth="1"/>
    <col min="8962" max="8964" width="19.7265625" style="154" customWidth="1"/>
    <col min="8965" max="8965" width="18" style="154" customWidth="1"/>
    <col min="8966" max="8966" width="21" style="154" customWidth="1"/>
    <col min="8967" max="8967" width="15.54296875" style="154" customWidth="1"/>
    <col min="8968" max="8968" width="13.26953125" style="154" customWidth="1"/>
    <col min="8969" max="8969" width="13.81640625" style="154" customWidth="1"/>
    <col min="8970" max="8970" width="12.1796875" style="154" customWidth="1"/>
    <col min="8971" max="9216" width="9.1796875" style="154"/>
    <col min="9217" max="9217" width="22.26953125" style="154" customWidth="1"/>
    <col min="9218" max="9220" width="19.7265625" style="154" customWidth="1"/>
    <col min="9221" max="9221" width="18" style="154" customWidth="1"/>
    <col min="9222" max="9222" width="21" style="154" customWidth="1"/>
    <col min="9223" max="9223" width="15.54296875" style="154" customWidth="1"/>
    <col min="9224" max="9224" width="13.26953125" style="154" customWidth="1"/>
    <col min="9225" max="9225" width="13.81640625" style="154" customWidth="1"/>
    <col min="9226" max="9226" width="12.1796875" style="154" customWidth="1"/>
    <col min="9227" max="9472" width="9.1796875" style="154"/>
    <col min="9473" max="9473" width="22.26953125" style="154" customWidth="1"/>
    <col min="9474" max="9476" width="19.7265625" style="154" customWidth="1"/>
    <col min="9477" max="9477" width="18" style="154" customWidth="1"/>
    <col min="9478" max="9478" width="21" style="154" customWidth="1"/>
    <col min="9479" max="9479" width="15.54296875" style="154" customWidth="1"/>
    <col min="9480" max="9480" width="13.26953125" style="154" customWidth="1"/>
    <col min="9481" max="9481" width="13.81640625" style="154" customWidth="1"/>
    <col min="9482" max="9482" width="12.1796875" style="154" customWidth="1"/>
    <col min="9483" max="9728" width="9.1796875" style="154"/>
    <col min="9729" max="9729" width="22.26953125" style="154" customWidth="1"/>
    <col min="9730" max="9732" width="19.7265625" style="154" customWidth="1"/>
    <col min="9733" max="9733" width="18" style="154" customWidth="1"/>
    <col min="9734" max="9734" width="21" style="154" customWidth="1"/>
    <col min="9735" max="9735" width="15.54296875" style="154" customWidth="1"/>
    <col min="9736" max="9736" width="13.26953125" style="154" customWidth="1"/>
    <col min="9737" max="9737" width="13.81640625" style="154" customWidth="1"/>
    <col min="9738" max="9738" width="12.1796875" style="154" customWidth="1"/>
    <col min="9739" max="9984" width="9.1796875" style="154"/>
    <col min="9985" max="9985" width="22.26953125" style="154" customWidth="1"/>
    <col min="9986" max="9988" width="19.7265625" style="154" customWidth="1"/>
    <col min="9989" max="9989" width="18" style="154" customWidth="1"/>
    <col min="9990" max="9990" width="21" style="154" customWidth="1"/>
    <col min="9991" max="9991" width="15.54296875" style="154" customWidth="1"/>
    <col min="9992" max="9992" width="13.26953125" style="154" customWidth="1"/>
    <col min="9993" max="9993" width="13.81640625" style="154" customWidth="1"/>
    <col min="9994" max="9994" width="12.1796875" style="154" customWidth="1"/>
    <col min="9995" max="10240" width="9.1796875" style="154"/>
    <col min="10241" max="10241" width="22.26953125" style="154" customWidth="1"/>
    <col min="10242" max="10244" width="19.7265625" style="154" customWidth="1"/>
    <col min="10245" max="10245" width="18" style="154" customWidth="1"/>
    <col min="10246" max="10246" width="21" style="154" customWidth="1"/>
    <col min="10247" max="10247" width="15.54296875" style="154" customWidth="1"/>
    <col min="10248" max="10248" width="13.26953125" style="154" customWidth="1"/>
    <col min="10249" max="10249" width="13.81640625" style="154" customWidth="1"/>
    <col min="10250" max="10250" width="12.1796875" style="154" customWidth="1"/>
    <col min="10251" max="10496" width="9.1796875" style="154"/>
    <col min="10497" max="10497" width="22.26953125" style="154" customWidth="1"/>
    <col min="10498" max="10500" width="19.7265625" style="154" customWidth="1"/>
    <col min="10501" max="10501" width="18" style="154" customWidth="1"/>
    <col min="10502" max="10502" width="21" style="154" customWidth="1"/>
    <col min="10503" max="10503" width="15.54296875" style="154" customWidth="1"/>
    <col min="10504" max="10504" width="13.26953125" style="154" customWidth="1"/>
    <col min="10505" max="10505" width="13.81640625" style="154" customWidth="1"/>
    <col min="10506" max="10506" width="12.1796875" style="154" customWidth="1"/>
    <col min="10507" max="10752" width="9.1796875" style="154"/>
    <col min="10753" max="10753" width="22.26953125" style="154" customWidth="1"/>
    <col min="10754" max="10756" width="19.7265625" style="154" customWidth="1"/>
    <col min="10757" max="10757" width="18" style="154" customWidth="1"/>
    <col min="10758" max="10758" width="21" style="154" customWidth="1"/>
    <col min="10759" max="10759" width="15.54296875" style="154" customWidth="1"/>
    <col min="10760" max="10760" width="13.26953125" style="154" customWidth="1"/>
    <col min="10761" max="10761" width="13.81640625" style="154" customWidth="1"/>
    <col min="10762" max="10762" width="12.1796875" style="154" customWidth="1"/>
    <col min="10763" max="11008" width="9.1796875" style="154"/>
    <col min="11009" max="11009" width="22.26953125" style="154" customWidth="1"/>
    <col min="11010" max="11012" width="19.7265625" style="154" customWidth="1"/>
    <col min="11013" max="11013" width="18" style="154" customWidth="1"/>
    <col min="11014" max="11014" width="21" style="154" customWidth="1"/>
    <col min="11015" max="11015" width="15.54296875" style="154" customWidth="1"/>
    <col min="11016" max="11016" width="13.26953125" style="154" customWidth="1"/>
    <col min="11017" max="11017" width="13.81640625" style="154" customWidth="1"/>
    <col min="11018" max="11018" width="12.1796875" style="154" customWidth="1"/>
    <col min="11019" max="11264" width="9.1796875" style="154"/>
    <col min="11265" max="11265" width="22.26953125" style="154" customWidth="1"/>
    <col min="11266" max="11268" width="19.7265625" style="154" customWidth="1"/>
    <col min="11269" max="11269" width="18" style="154" customWidth="1"/>
    <col min="11270" max="11270" width="21" style="154" customWidth="1"/>
    <col min="11271" max="11271" width="15.54296875" style="154" customWidth="1"/>
    <col min="11272" max="11272" width="13.26953125" style="154" customWidth="1"/>
    <col min="11273" max="11273" width="13.81640625" style="154" customWidth="1"/>
    <col min="11274" max="11274" width="12.1796875" style="154" customWidth="1"/>
    <col min="11275" max="11520" width="9.1796875" style="154"/>
    <col min="11521" max="11521" width="22.26953125" style="154" customWidth="1"/>
    <col min="11522" max="11524" width="19.7265625" style="154" customWidth="1"/>
    <col min="11525" max="11525" width="18" style="154" customWidth="1"/>
    <col min="11526" max="11526" width="21" style="154" customWidth="1"/>
    <col min="11527" max="11527" width="15.54296875" style="154" customWidth="1"/>
    <col min="11528" max="11528" width="13.26953125" style="154" customWidth="1"/>
    <col min="11529" max="11529" width="13.81640625" style="154" customWidth="1"/>
    <col min="11530" max="11530" width="12.1796875" style="154" customWidth="1"/>
    <col min="11531" max="11776" width="9.1796875" style="154"/>
    <col min="11777" max="11777" width="22.26953125" style="154" customWidth="1"/>
    <col min="11778" max="11780" width="19.7265625" style="154" customWidth="1"/>
    <col min="11781" max="11781" width="18" style="154" customWidth="1"/>
    <col min="11782" max="11782" width="21" style="154" customWidth="1"/>
    <col min="11783" max="11783" width="15.54296875" style="154" customWidth="1"/>
    <col min="11784" max="11784" width="13.26953125" style="154" customWidth="1"/>
    <col min="11785" max="11785" width="13.81640625" style="154" customWidth="1"/>
    <col min="11786" max="11786" width="12.1796875" style="154" customWidth="1"/>
    <col min="11787" max="12032" width="9.1796875" style="154"/>
    <col min="12033" max="12033" width="22.26953125" style="154" customWidth="1"/>
    <col min="12034" max="12036" width="19.7265625" style="154" customWidth="1"/>
    <col min="12037" max="12037" width="18" style="154" customWidth="1"/>
    <col min="12038" max="12038" width="21" style="154" customWidth="1"/>
    <col min="12039" max="12039" width="15.54296875" style="154" customWidth="1"/>
    <col min="12040" max="12040" width="13.26953125" style="154" customWidth="1"/>
    <col min="12041" max="12041" width="13.81640625" style="154" customWidth="1"/>
    <col min="12042" max="12042" width="12.1796875" style="154" customWidth="1"/>
    <col min="12043" max="12288" width="9.1796875" style="154"/>
    <col min="12289" max="12289" width="22.26953125" style="154" customWidth="1"/>
    <col min="12290" max="12292" width="19.7265625" style="154" customWidth="1"/>
    <col min="12293" max="12293" width="18" style="154" customWidth="1"/>
    <col min="12294" max="12294" width="21" style="154" customWidth="1"/>
    <col min="12295" max="12295" width="15.54296875" style="154" customWidth="1"/>
    <col min="12296" max="12296" width="13.26953125" style="154" customWidth="1"/>
    <col min="12297" max="12297" width="13.81640625" style="154" customWidth="1"/>
    <col min="12298" max="12298" width="12.1796875" style="154" customWidth="1"/>
    <col min="12299" max="12544" width="9.1796875" style="154"/>
    <col min="12545" max="12545" width="22.26953125" style="154" customWidth="1"/>
    <col min="12546" max="12548" width="19.7265625" style="154" customWidth="1"/>
    <col min="12549" max="12549" width="18" style="154" customWidth="1"/>
    <col min="12550" max="12550" width="21" style="154" customWidth="1"/>
    <col min="12551" max="12551" width="15.54296875" style="154" customWidth="1"/>
    <col min="12552" max="12552" width="13.26953125" style="154" customWidth="1"/>
    <col min="12553" max="12553" width="13.81640625" style="154" customWidth="1"/>
    <col min="12554" max="12554" width="12.1796875" style="154" customWidth="1"/>
    <col min="12555" max="12800" width="9.1796875" style="154"/>
    <col min="12801" max="12801" width="22.26953125" style="154" customWidth="1"/>
    <col min="12802" max="12804" width="19.7265625" style="154" customWidth="1"/>
    <col min="12805" max="12805" width="18" style="154" customWidth="1"/>
    <col min="12806" max="12806" width="21" style="154" customWidth="1"/>
    <col min="12807" max="12807" width="15.54296875" style="154" customWidth="1"/>
    <col min="12808" max="12808" width="13.26953125" style="154" customWidth="1"/>
    <col min="12809" max="12809" width="13.81640625" style="154" customWidth="1"/>
    <col min="12810" max="12810" width="12.1796875" style="154" customWidth="1"/>
    <col min="12811" max="13056" width="9.1796875" style="154"/>
    <col min="13057" max="13057" width="22.26953125" style="154" customWidth="1"/>
    <col min="13058" max="13060" width="19.7265625" style="154" customWidth="1"/>
    <col min="13061" max="13061" width="18" style="154" customWidth="1"/>
    <col min="13062" max="13062" width="21" style="154" customWidth="1"/>
    <col min="13063" max="13063" width="15.54296875" style="154" customWidth="1"/>
    <col min="13064" max="13064" width="13.26953125" style="154" customWidth="1"/>
    <col min="13065" max="13065" width="13.81640625" style="154" customWidth="1"/>
    <col min="13066" max="13066" width="12.1796875" style="154" customWidth="1"/>
    <col min="13067" max="13312" width="9.1796875" style="154"/>
    <col min="13313" max="13313" width="22.26953125" style="154" customWidth="1"/>
    <col min="13314" max="13316" width="19.7265625" style="154" customWidth="1"/>
    <col min="13317" max="13317" width="18" style="154" customWidth="1"/>
    <col min="13318" max="13318" width="21" style="154" customWidth="1"/>
    <col min="13319" max="13319" width="15.54296875" style="154" customWidth="1"/>
    <col min="13320" max="13320" width="13.26953125" style="154" customWidth="1"/>
    <col min="13321" max="13321" width="13.81640625" style="154" customWidth="1"/>
    <col min="13322" max="13322" width="12.1796875" style="154" customWidth="1"/>
    <col min="13323" max="13568" width="9.1796875" style="154"/>
    <col min="13569" max="13569" width="22.26953125" style="154" customWidth="1"/>
    <col min="13570" max="13572" width="19.7265625" style="154" customWidth="1"/>
    <col min="13573" max="13573" width="18" style="154" customWidth="1"/>
    <col min="13574" max="13574" width="21" style="154" customWidth="1"/>
    <col min="13575" max="13575" width="15.54296875" style="154" customWidth="1"/>
    <col min="13576" max="13576" width="13.26953125" style="154" customWidth="1"/>
    <col min="13577" max="13577" width="13.81640625" style="154" customWidth="1"/>
    <col min="13578" max="13578" width="12.1796875" style="154" customWidth="1"/>
    <col min="13579" max="13824" width="9.1796875" style="154"/>
    <col min="13825" max="13825" width="22.26953125" style="154" customWidth="1"/>
    <col min="13826" max="13828" width="19.7265625" style="154" customWidth="1"/>
    <col min="13829" max="13829" width="18" style="154" customWidth="1"/>
    <col min="13830" max="13830" width="21" style="154" customWidth="1"/>
    <col min="13831" max="13831" width="15.54296875" style="154" customWidth="1"/>
    <col min="13832" max="13832" width="13.26953125" style="154" customWidth="1"/>
    <col min="13833" max="13833" width="13.81640625" style="154" customWidth="1"/>
    <col min="13834" max="13834" width="12.1796875" style="154" customWidth="1"/>
    <col min="13835" max="14080" width="9.1796875" style="154"/>
    <col min="14081" max="14081" width="22.26953125" style="154" customWidth="1"/>
    <col min="14082" max="14084" width="19.7265625" style="154" customWidth="1"/>
    <col min="14085" max="14085" width="18" style="154" customWidth="1"/>
    <col min="14086" max="14086" width="21" style="154" customWidth="1"/>
    <col min="14087" max="14087" width="15.54296875" style="154" customWidth="1"/>
    <col min="14088" max="14088" width="13.26953125" style="154" customWidth="1"/>
    <col min="14089" max="14089" width="13.81640625" style="154" customWidth="1"/>
    <col min="14090" max="14090" width="12.1796875" style="154" customWidth="1"/>
    <col min="14091" max="14336" width="9.1796875" style="154"/>
    <col min="14337" max="14337" width="22.26953125" style="154" customWidth="1"/>
    <col min="14338" max="14340" width="19.7265625" style="154" customWidth="1"/>
    <col min="14341" max="14341" width="18" style="154" customWidth="1"/>
    <col min="14342" max="14342" width="21" style="154" customWidth="1"/>
    <col min="14343" max="14343" width="15.54296875" style="154" customWidth="1"/>
    <col min="14344" max="14344" width="13.26953125" style="154" customWidth="1"/>
    <col min="14345" max="14345" width="13.81640625" style="154" customWidth="1"/>
    <col min="14346" max="14346" width="12.1796875" style="154" customWidth="1"/>
    <col min="14347" max="14592" width="9.1796875" style="154"/>
    <col min="14593" max="14593" width="22.26953125" style="154" customWidth="1"/>
    <col min="14594" max="14596" width="19.7265625" style="154" customWidth="1"/>
    <col min="14597" max="14597" width="18" style="154" customWidth="1"/>
    <col min="14598" max="14598" width="21" style="154" customWidth="1"/>
    <col min="14599" max="14599" width="15.54296875" style="154" customWidth="1"/>
    <col min="14600" max="14600" width="13.26953125" style="154" customWidth="1"/>
    <col min="14601" max="14601" width="13.81640625" style="154" customWidth="1"/>
    <col min="14602" max="14602" width="12.1796875" style="154" customWidth="1"/>
    <col min="14603" max="14848" width="9.1796875" style="154"/>
    <col min="14849" max="14849" width="22.26953125" style="154" customWidth="1"/>
    <col min="14850" max="14852" width="19.7265625" style="154" customWidth="1"/>
    <col min="14853" max="14853" width="18" style="154" customWidth="1"/>
    <col min="14854" max="14854" width="21" style="154" customWidth="1"/>
    <col min="14855" max="14855" width="15.54296875" style="154" customWidth="1"/>
    <col min="14856" max="14856" width="13.26953125" style="154" customWidth="1"/>
    <col min="14857" max="14857" width="13.81640625" style="154" customWidth="1"/>
    <col min="14858" max="14858" width="12.1796875" style="154" customWidth="1"/>
    <col min="14859" max="15104" width="9.1796875" style="154"/>
    <col min="15105" max="15105" width="22.26953125" style="154" customWidth="1"/>
    <col min="15106" max="15108" width="19.7265625" style="154" customWidth="1"/>
    <col min="15109" max="15109" width="18" style="154" customWidth="1"/>
    <col min="15110" max="15110" width="21" style="154" customWidth="1"/>
    <col min="15111" max="15111" width="15.54296875" style="154" customWidth="1"/>
    <col min="15112" max="15112" width="13.26953125" style="154" customWidth="1"/>
    <col min="15113" max="15113" width="13.81640625" style="154" customWidth="1"/>
    <col min="15114" max="15114" width="12.1796875" style="154" customWidth="1"/>
    <col min="15115" max="15360" width="9.1796875" style="154"/>
    <col min="15361" max="15361" width="22.26953125" style="154" customWidth="1"/>
    <col min="15362" max="15364" width="19.7265625" style="154" customWidth="1"/>
    <col min="15365" max="15365" width="18" style="154" customWidth="1"/>
    <col min="15366" max="15366" width="21" style="154" customWidth="1"/>
    <col min="15367" max="15367" width="15.54296875" style="154" customWidth="1"/>
    <col min="15368" max="15368" width="13.26953125" style="154" customWidth="1"/>
    <col min="15369" max="15369" width="13.81640625" style="154" customWidth="1"/>
    <col min="15370" max="15370" width="12.1796875" style="154" customWidth="1"/>
    <col min="15371" max="15616" width="9.1796875" style="154"/>
    <col min="15617" max="15617" width="22.26953125" style="154" customWidth="1"/>
    <col min="15618" max="15620" width="19.7265625" style="154" customWidth="1"/>
    <col min="15621" max="15621" width="18" style="154" customWidth="1"/>
    <col min="15622" max="15622" width="21" style="154" customWidth="1"/>
    <col min="15623" max="15623" width="15.54296875" style="154" customWidth="1"/>
    <col min="15624" max="15624" width="13.26953125" style="154" customWidth="1"/>
    <col min="15625" max="15625" width="13.81640625" style="154" customWidth="1"/>
    <col min="15626" max="15626" width="12.1796875" style="154" customWidth="1"/>
    <col min="15627" max="15872" width="9.1796875" style="154"/>
    <col min="15873" max="15873" width="22.26953125" style="154" customWidth="1"/>
    <col min="15874" max="15876" width="19.7265625" style="154" customWidth="1"/>
    <col min="15877" max="15877" width="18" style="154" customWidth="1"/>
    <col min="15878" max="15878" width="21" style="154" customWidth="1"/>
    <col min="15879" max="15879" width="15.54296875" style="154" customWidth="1"/>
    <col min="15880" max="15880" width="13.26953125" style="154" customWidth="1"/>
    <col min="15881" max="15881" width="13.81640625" style="154" customWidth="1"/>
    <col min="15882" max="15882" width="12.1796875" style="154" customWidth="1"/>
    <col min="15883" max="16128" width="9.1796875" style="154"/>
    <col min="16129" max="16129" width="22.26953125" style="154" customWidth="1"/>
    <col min="16130" max="16132" width="19.7265625" style="154" customWidth="1"/>
    <col min="16133" max="16133" width="18" style="154" customWidth="1"/>
    <col min="16134" max="16134" width="21" style="154" customWidth="1"/>
    <col min="16135" max="16135" width="15.54296875" style="154" customWidth="1"/>
    <col min="16136" max="16136" width="13.26953125" style="154" customWidth="1"/>
    <col min="16137" max="16137" width="13.81640625" style="154" customWidth="1"/>
    <col min="16138" max="16138" width="12.1796875" style="154" customWidth="1"/>
    <col min="16139" max="16384" width="9.1796875" style="154"/>
  </cols>
  <sheetData>
    <row r="1" spans="1:10" ht="22.5" customHeight="1" x14ac:dyDescent="0.35">
      <c r="A1" s="1271" t="s">
        <v>509</v>
      </c>
      <c r="B1" s="1272"/>
      <c r="C1" s="1272"/>
      <c r="D1" s="1272"/>
      <c r="E1" s="1272"/>
      <c r="F1" s="1272"/>
      <c r="G1" s="1272"/>
      <c r="H1" s="1272"/>
      <c r="I1" s="1272"/>
      <c r="J1" s="1273"/>
    </row>
    <row r="2" spans="1:10" x14ac:dyDescent="0.35">
      <c r="A2" s="887" t="s">
        <v>242</v>
      </c>
      <c r="B2" s="1257" t="s">
        <v>409</v>
      </c>
      <c r="C2" s="1258"/>
      <c r="D2" s="888" t="s">
        <v>243</v>
      </c>
      <c r="E2" s="1259" t="s">
        <v>410</v>
      </c>
      <c r="F2" s="1260"/>
      <c r="G2" s="1274" t="s">
        <v>244</v>
      </c>
      <c r="H2" s="1275"/>
      <c r="I2" s="1261" t="s">
        <v>414</v>
      </c>
      <c r="J2" s="1262"/>
    </row>
    <row r="3" spans="1:10" x14ac:dyDescent="0.35">
      <c r="A3" s="887" t="s">
        <v>279</v>
      </c>
      <c r="B3" s="1257" t="s">
        <v>412</v>
      </c>
      <c r="C3" s="1258"/>
      <c r="D3" s="888" t="s">
        <v>246</v>
      </c>
      <c r="E3" s="1259" t="s">
        <v>413</v>
      </c>
      <c r="F3" s="1260"/>
      <c r="G3" s="889"/>
      <c r="H3" s="889" t="s">
        <v>247</v>
      </c>
      <c r="I3" s="1261" t="s">
        <v>411</v>
      </c>
      <c r="J3" s="1262"/>
    </row>
    <row r="4" spans="1:10" ht="15" thickBot="1" x14ac:dyDescent="0.4">
      <c r="A4" s="890" t="s">
        <v>248</v>
      </c>
      <c r="B4" s="1263" t="s">
        <v>280</v>
      </c>
      <c r="C4" s="1264"/>
      <c r="D4" s="891"/>
      <c r="E4" s="892"/>
      <c r="F4" s="893"/>
      <c r="G4" s="894"/>
      <c r="H4" s="894" t="s">
        <v>249</v>
      </c>
      <c r="I4" s="1265" t="s">
        <v>415</v>
      </c>
      <c r="J4" s="1266"/>
    </row>
    <row r="5" spans="1:10" ht="21.75" customHeight="1" thickBot="1" x14ac:dyDescent="0.4">
      <c r="A5" s="1252" t="s">
        <v>218</v>
      </c>
      <c r="B5" s="1253"/>
      <c r="C5" s="1254"/>
      <c r="D5" s="1267" t="s">
        <v>219</v>
      </c>
      <c r="E5" s="1268"/>
      <c r="F5" s="1268"/>
      <c r="G5" s="1269"/>
      <c r="H5" s="1270" t="s">
        <v>220</v>
      </c>
      <c r="I5" s="1268"/>
      <c r="J5" s="1269"/>
    </row>
    <row r="6" spans="1:10" ht="62.25" customHeight="1" thickBot="1" x14ac:dyDescent="0.4">
      <c r="A6" s="855" t="s">
        <v>221</v>
      </c>
      <c r="B6" s="895" t="s">
        <v>222</v>
      </c>
      <c r="C6" s="896" t="s">
        <v>223</v>
      </c>
      <c r="D6" s="895" t="s">
        <v>250</v>
      </c>
      <c r="E6" s="897" t="s">
        <v>281</v>
      </c>
      <c r="F6" s="897" t="s">
        <v>252</v>
      </c>
      <c r="G6" s="896" t="s">
        <v>253</v>
      </c>
      <c r="H6" s="898" t="s">
        <v>254</v>
      </c>
      <c r="I6" s="899" t="s">
        <v>255</v>
      </c>
      <c r="J6" s="900" t="s">
        <v>282</v>
      </c>
    </row>
    <row r="7" spans="1:10" ht="15.75" customHeight="1" thickBot="1" x14ac:dyDescent="0.4">
      <c r="A7" s="440" t="s">
        <v>453</v>
      </c>
      <c r="B7" s="901"/>
      <c r="C7" s="901"/>
      <c r="D7" s="901"/>
      <c r="E7" s="901"/>
      <c r="F7" s="901"/>
      <c r="G7" s="901"/>
      <c r="H7" s="901"/>
      <c r="I7" s="901"/>
      <c r="J7" s="902"/>
    </row>
    <row r="8" spans="1:10" ht="13.5" customHeight="1" thickBot="1" x14ac:dyDescent="0.4">
      <c r="A8" s="903"/>
      <c r="B8" s="446"/>
      <c r="C8" s="446"/>
      <c r="D8" s="446"/>
      <c r="E8" s="904"/>
      <c r="F8" s="449"/>
      <c r="G8" s="905"/>
      <c r="H8" s="448"/>
      <c r="I8" s="449"/>
      <c r="J8" s="905"/>
    </row>
    <row r="9" spans="1:10" x14ac:dyDescent="0.35">
      <c r="A9" s="862" t="s">
        <v>454</v>
      </c>
      <c r="B9" s="906"/>
      <c r="C9" s="906"/>
      <c r="D9" s="906"/>
      <c r="E9" s="906"/>
      <c r="F9" s="906"/>
      <c r="G9" s="906"/>
      <c r="H9" s="906"/>
      <c r="I9" s="906"/>
      <c r="J9" s="907"/>
    </row>
    <row r="10" spans="1:10" ht="230" customHeight="1" x14ac:dyDescent="0.35">
      <c r="A10" s="867" t="s">
        <v>471</v>
      </c>
      <c r="B10" s="876" t="s">
        <v>468</v>
      </c>
      <c r="C10" s="877" t="s">
        <v>466</v>
      </c>
      <c r="D10" s="876" t="s">
        <v>456</v>
      </c>
      <c r="E10" s="870" t="s">
        <v>460</v>
      </c>
      <c r="F10" s="870" t="s">
        <v>459</v>
      </c>
      <c r="G10" s="878" t="s">
        <v>462</v>
      </c>
      <c r="H10" s="870" t="s">
        <v>465</v>
      </c>
      <c r="I10" s="870" t="s">
        <v>464</v>
      </c>
      <c r="J10" s="870" t="s">
        <v>267</v>
      </c>
    </row>
    <row r="11" spans="1:10" ht="209.5" customHeight="1" thickBot="1" x14ac:dyDescent="0.4">
      <c r="A11" s="865" t="s">
        <v>469</v>
      </c>
      <c r="B11" s="871" t="s">
        <v>470</v>
      </c>
      <c r="C11" s="872" t="s">
        <v>455</v>
      </c>
      <c r="D11" s="871" t="s">
        <v>458</v>
      </c>
      <c r="E11" s="873" t="s">
        <v>461</v>
      </c>
      <c r="F11" s="869" t="s">
        <v>459</v>
      </c>
      <c r="G11" s="874" t="s">
        <v>462</v>
      </c>
      <c r="H11" s="875" t="s">
        <v>463</v>
      </c>
      <c r="I11" s="869" t="s">
        <v>464</v>
      </c>
      <c r="J11" s="464" t="s">
        <v>267</v>
      </c>
    </row>
    <row r="12" spans="1:10" ht="247.5" customHeight="1" thickBot="1" x14ac:dyDescent="0.4">
      <c r="A12" s="864" t="s">
        <v>476</v>
      </c>
      <c r="B12" s="866" t="s">
        <v>472</v>
      </c>
      <c r="C12" s="458" t="s">
        <v>260</v>
      </c>
      <c r="D12" s="866" t="s">
        <v>456</v>
      </c>
      <c r="E12" s="459" t="s">
        <v>457</v>
      </c>
      <c r="F12" s="460" t="s">
        <v>459</v>
      </c>
      <c r="G12" s="461" t="s">
        <v>264</v>
      </c>
      <c r="H12" s="462" t="s">
        <v>265</v>
      </c>
      <c r="I12" s="869" t="s">
        <v>464</v>
      </c>
      <c r="J12" s="464" t="s">
        <v>267</v>
      </c>
    </row>
    <row r="13" spans="1:10" ht="15" thickBot="1" x14ac:dyDescent="0.4">
      <c r="A13" s="908" t="s">
        <v>546</v>
      </c>
      <c r="B13" s="909"/>
      <c r="C13" s="909"/>
      <c r="D13" s="909"/>
      <c r="E13" s="909"/>
      <c r="F13" s="909"/>
      <c r="G13" s="909"/>
      <c r="H13" s="909"/>
      <c r="I13" s="909"/>
      <c r="J13" s="910"/>
    </row>
    <row r="14" spans="1:10" ht="286.5" customHeight="1" thickBot="1" x14ac:dyDescent="0.4">
      <c r="A14" s="884" t="s">
        <v>547</v>
      </c>
      <c r="B14" s="459" t="s">
        <v>480</v>
      </c>
      <c r="C14" s="911" t="s">
        <v>477</v>
      </c>
      <c r="D14" s="866" t="s">
        <v>456</v>
      </c>
      <c r="E14" s="459" t="s">
        <v>457</v>
      </c>
      <c r="F14" s="460" t="s">
        <v>459</v>
      </c>
      <c r="G14" s="461" t="s">
        <v>524</v>
      </c>
      <c r="H14" s="462" t="s">
        <v>482</v>
      </c>
      <c r="I14" s="869" t="s">
        <v>464</v>
      </c>
      <c r="J14" s="464" t="s">
        <v>267</v>
      </c>
    </row>
    <row r="15" spans="1:10" ht="276" thickBot="1" x14ac:dyDescent="0.4">
      <c r="A15" s="885" t="s">
        <v>478</v>
      </c>
      <c r="B15" s="916" t="s">
        <v>479</v>
      </c>
      <c r="C15" s="912" t="s">
        <v>491</v>
      </c>
      <c r="D15" s="866" t="s">
        <v>474</v>
      </c>
      <c r="E15" s="459" t="s">
        <v>457</v>
      </c>
      <c r="F15" s="460" t="s">
        <v>459</v>
      </c>
      <c r="G15" s="461" t="s">
        <v>264</v>
      </c>
      <c r="H15" s="938" t="s">
        <v>481</v>
      </c>
      <c r="I15" s="869" t="s">
        <v>464</v>
      </c>
      <c r="J15" s="464" t="s">
        <v>267</v>
      </c>
    </row>
    <row r="16" spans="1:10" ht="14.25" customHeight="1" thickBot="1" x14ac:dyDescent="0.4">
      <c r="A16" s="465" t="s">
        <v>467</v>
      </c>
      <c r="B16" s="913"/>
      <c r="C16" s="914"/>
      <c r="D16" s="914"/>
      <c r="E16" s="914"/>
      <c r="F16" s="914"/>
      <c r="G16" s="914"/>
      <c r="H16" s="914"/>
      <c r="I16" s="914"/>
      <c r="J16" s="915"/>
    </row>
    <row r="17" spans="1:10" ht="221.25" customHeight="1" thickBot="1" x14ac:dyDescent="0.4">
      <c r="A17" s="883" t="s">
        <v>530</v>
      </c>
      <c r="B17" s="916" t="s">
        <v>483</v>
      </c>
      <c r="C17" s="917" t="s">
        <v>473</v>
      </c>
      <c r="D17" s="866" t="s">
        <v>474</v>
      </c>
      <c r="E17" s="459" t="s">
        <v>457</v>
      </c>
      <c r="F17" s="460" t="s">
        <v>459</v>
      </c>
      <c r="G17" s="461" t="s">
        <v>524</v>
      </c>
      <c r="H17" s="938" t="s">
        <v>481</v>
      </c>
      <c r="I17" s="869" t="s">
        <v>464</v>
      </c>
      <c r="J17" s="464" t="s">
        <v>267</v>
      </c>
    </row>
    <row r="18" spans="1:10" ht="20.25" customHeight="1" x14ac:dyDescent="0.35">
      <c r="A18" s="918" t="s">
        <v>531</v>
      </c>
      <c r="B18" s="919"/>
      <c r="C18" s="919"/>
      <c r="D18" s="920"/>
      <c r="E18" s="919"/>
      <c r="F18" s="919"/>
      <c r="G18" s="919"/>
      <c r="H18" s="919"/>
      <c r="I18" s="919"/>
      <c r="J18" s="921"/>
    </row>
    <row r="19" spans="1:10" ht="222.5" customHeight="1" x14ac:dyDescent="0.35">
      <c r="A19" s="937" t="s">
        <v>532</v>
      </c>
      <c r="B19" s="870" t="s">
        <v>486</v>
      </c>
      <c r="C19" s="922" t="s">
        <v>487</v>
      </c>
      <c r="D19" s="876" t="s">
        <v>484</v>
      </c>
      <c r="E19" s="870" t="s">
        <v>488</v>
      </c>
      <c r="F19" s="870" t="s">
        <v>459</v>
      </c>
      <c r="G19" s="878" t="s">
        <v>462</v>
      </c>
      <c r="H19" s="938" t="s">
        <v>481</v>
      </c>
      <c r="I19" s="870" t="s">
        <v>464</v>
      </c>
      <c r="J19" s="870" t="s">
        <v>267</v>
      </c>
    </row>
    <row r="20" spans="1:10" ht="227.5" customHeight="1" x14ac:dyDescent="0.35">
      <c r="A20" s="937" t="s">
        <v>533</v>
      </c>
      <c r="B20" s="876" t="s">
        <v>489</v>
      </c>
      <c r="C20" s="922" t="s">
        <v>490</v>
      </c>
      <c r="D20" s="876" t="s">
        <v>485</v>
      </c>
      <c r="E20" s="870" t="s">
        <v>460</v>
      </c>
      <c r="F20" s="870" t="s">
        <v>459</v>
      </c>
      <c r="G20" s="878" t="s">
        <v>525</v>
      </c>
      <c r="H20" s="938" t="s">
        <v>481</v>
      </c>
      <c r="I20" s="870" t="s">
        <v>464</v>
      </c>
      <c r="J20" s="870" t="s">
        <v>267</v>
      </c>
    </row>
    <row r="21" spans="1:10" ht="40" customHeight="1" thickBot="1" x14ac:dyDescent="0.4">
      <c r="A21" s="879" t="s">
        <v>534</v>
      </c>
      <c r="B21" s="923"/>
      <c r="C21" s="924"/>
      <c r="D21" s="925"/>
      <c r="E21" s="926"/>
      <c r="F21" s="927"/>
      <c r="G21" s="928"/>
      <c r="H21" s="929"/>
      <c r="I21" s="930"/>
      <c r="J21" s="928"/>
    </row>
    <row r="22" spans="1:10" ht="173.25" customHeight="1" thickBot="1" x14ac:dyDescent="0.4">
      <c r="A22" s="470" t="s">
        <v>535</v>
      </c>
      <c r="B22" s="866" t="s">
        <v>494</v>
      </c>
      <c r="C22" s="471" t="s">
        <v>271</v>
      </c>
      <c r="D22" s="462" t="s">
        <v>272</v>
      </c>
      <c r="E22" s="472" t="s">
        <v>273</v>
      </c>
      <c r="F22" s="870" t="s">
        <v>459</v>
      </c>
      <c r="G22" s="461" t="s">
        <v>526</v>
      </c>
      <c r="H22" s="457" t="s">
        <v>276</v>
      </c>
      <c r="I22" s="473" t="s">
        <v>277</v>
      </c>
      <c r="J22" s="474" t="s">
        <v>278</v>
      </c>
    </row>
    <row r="23" spans="1:10" ht="189.5" customHeight="1" thickBot="1" x14ac:dyDescent="0.4">
      <c r="A23" s="1150" t="s">
        <v>594</v>
      </c>
      <c r="B23" s="945" t="s">
        <v>595</v>
      </c>
      <c r="C23" s="946" t="s">
        <v>596</v>
      </c>
      <c r="D23" s="866" t="s">
        <v>597</v>
      </c>
      <c r="E23" s="870" t="s">
        <v>599</v>
      </c>
      <c r="F23" s="870" t="s">
        <v>459</v>
      </c>
      <c r="G23" s="878" t="s">
        <v>527</v>
      </c>
      <c r="H23" s="938" t="s">
        <v>481</v>
      </c>
      <c r="I23" s="869" t="s">
        <v>464</v>
      </c>
      <c r="J23" s="464" t="s">
        <v>267</v>
      </c>
    </row>
    <row r="24" spans="1:10" ht="44" customHeight="1" x14ac:dyDescent="0.35">
      <c r="A24" s="879" t="s">
        <v>536</v>
      </c>
      <c r="B24" s="923"/>
      <c r="C24" s="924"/>
      <c r="D24" s="925"/>
      <c r="E24" s="926"/>
      <c r="F24" s="927"/>
      <c r="G24" s="928"/>
      <c r="H24" s="929"/>
      <c r="I24" s="930"/>
      <c r="J24" s="928"/>
    </row>
    <row r="25" spans="1:10" ht="187" customHeight="1" x14ac:dyDescent="0.35">
      <c r="A25" s="939" t="s">
        <v>537</v>
      </c>
      <c r="B25" s="876" t="s">
        <v>492</v>
      </c>
      <c r="C25" s="922" t="s">
        <v>491</v>
      </c>
      <c r="D25" s="876" t="s">
        <v>493</v>
      </c>
      <c r="E25" s="870" t="s">
        <v>598</v>
      </c>
      <c r="F25" s="870" t="s">
        <v>459</v>
      </c>
      <c r="G25" s="878" t="s">
        <v>527</v>
      </c>
      <c r="H25" s="938" t="s">
        <v>481</v>
      </c>
      <c r="I25" s="869" t="s">
        <v>464</v>
      </c>
      <c r="J25" s="464" t="s">
        <v>267</v>
      </c>
    </row>
    <row r="26" spans="1:10" ht="190" customHeight="1" thickBot="1" x14ac:dyDescent="0.4">
      <c r="A26" s="940" t="s">
        <v>538</v>
      </c>
      <c r="B26" s="942" t="s">
        <v>495</v>
      </c>
      <c r="C26" s="941" t="s">
        <v>491</v>
      </c>
      <c r="D26" s="942" t="s">
        <v>493</v>
      </c>
      <c r="E26" s="873" t="s">
        <v>457</v>
      </c>
      <c r="F26" s="869" t="s">
        <v>459</v>
      </c>
      <c r="G26" s="874" t="s">
        <v>528</v>
      </c>
      <c r="H26" s="938" t="s">
        <v>481</v>
      </c>
      <c r="I26" s="869" t="s">
        <v>464</v>
      </c>
      <c r="J26" s="464" t="s">
        <v>267</v>
      </c>
    </row>
    <row r="27" spans="1:10" ht="13.5" customHeight="1" thickBot="1" x14ac:dyDescent="0.4">
      <c r="A27" s="903"/>
      <c r="B27" s="446"/>
      <c r="C27" s="446"/>
      <c r="D27" s="904"/>
      <c r="E27" s="448"/>
      <c r="F27" s="449"/>
      <c r="G27" s="905"/>
      <c r="H27" s="448"/>
      <c r="I27" s="449"/>
      <c r="J27" s="905"/>
    </row>
    <row r="28" spans="1:10" ht="34" customHeight="1" thickBot="1" x14ac:dyDescent="0.4">
      <c r="A28" s="931" t="s">
        <v>496</v>
      </c>
      <c r="B28" s="932"/>
      <c r="C28" s="932"/>
      <c r="D28" s="932"/>
      <c r="E28" s="932"/>
      <c r="F28" s="932"/>
      <c r="G28" s="932"/>
      <c r="H28" s="932"/>
      <c r="I28" s="932"/>
      <c r="J28" s="933"/>
    </row>
    <row r="29" spans="1:10" ht="373" customHeight="1" thickBot="1" x14ac:dyDescent="0.4">
      <c r="A29" s="943" t="s">
        <v>539</v>
      </c>
      <c r="B29" s="460" t="s">
        <v>497</v>
      </c>
      <c r="C29" s="868" t="s">
        <v>498</v>
      </c>
      <c r="D29" s="866" t="s">
        <v>474</v>
      </c>
      <c r="E29" s="459" t="s">
        <v>457</v>
      </c>
      <c r="F29" s="460" t="s">
        <v>459</v>
      </c>
      <c r="G29" s="461" t="s">
        <v>527</v>
      </c>
      <c r="H29" s="462" t="s">
        <v>499</v>
      </c>
      <c r="I29" s="869" t="s">
        <v>464</v>
      </c>
      <c r="J29" s="464" t="s">
        <v>267</v>
      </c>
    </row>
    <row r="30" spans="1:10" ht="18" customHeight="1" x14ac:dyDescent="0.35">
      <c r="A30" s="947" t="s">
        <v>504</v>
      </c>
      <c r="B30" s="948"/>
      <c r="C30" s="948"/>
      <c r="D30" s="948"/>
      <c r="E30" s="948"/>
      <c r="F30" s="948"/>
      <c r="G30" s="948"/>
      <c r="H30" s="948"/>
      <c r="I30" s="948"/>
      <c r="J30" s="949"/>
    </row>
    <row r="31" spans="1:10" ht="238.5" customHeight="1" x14ac:dyDescent="0.35">
      <c r="A31" s="939" t="s">
        <v>505</v>
      </c>
      <c r="B31" s="876" t="s">
        <v>501</v>
      </c>
      <c r="C31" s="950" t="s">
        <v>435</v>
      </c>
      <c r="D31" s="876" t="s">
        <v>474</v>
      </c>
      <c r="E31" s="870" t="s">
        <v>457</v>
      </c>
      <c r="F31" s="870" t="s">
        <v>475</v>
      </c>
      <c r="G31" s="878" t="s">
        <v>527</v>
      </c>
      <c r="H31" s="938" t="s">
        <v>481</v>
      </c>
      <c r="I31" s="870" t="s">
        <v>464</v>
      </c>
      <c r="J31" s="870" t="s">
        <v>267</v>
      </c>
    </row>
    <row r="32" spans="1:10" ht="238.5" customHeight="1" x14ac:dyDescent="0.35">
      <c r="A32" s="939" t="s">
        <v>506</v>
      </c>
      <c r="B32" s="876" t="s">
        <v>502</v>
      </c>
      <c r="C32" s="951" t="s">
        <v>503</v>
      </c>
      <c r="D32" s="876" t="s">
        <v>474</v>
      </c>
      <c r="E32" s="870" t="s">
        <v>457</v>
      </c>
      <c r="F32" s="870" t="s">
        <v>475</v>
      </c>
      <c r="G32" s="878" t="s">
        <v>528</v>
      </c>
      <c r="H32" s="938" t="s">
        <v>481</v>
      </c>
      <c r="I32" s="870" t="s">
        <v>464</v>
      </c>
      <c r="J32" s="870" t="s">
        <v>267</v>
      </c>
    </row>
    <row r="33" spans="1:10" ht="253" customHeight="1" x14ac:dyDescent="0.35">
      <c r="A33" s="939" t="s">
        <v>507</v>
      </c>
      <c r="B33" s="876" t="s">
        <v>510</v>
      </c>
      <c r="C33" s="950" t="s">
        <v>511</v>
      </c>
      <c r="D33" s="876" t="s">
        <v>474</v>
      </c>
      <c r="E33" s="870" t="s">
        <v>457</v>
      </c>
      <c r="F33" s="870" t="s">
        <v>475</v>
      </c>
      <c r="G33" s="878" t="s">
        <v>529</v>
      </c>
      <c r="H33" s="938" t="s">
        <v>481</v>
      </c>
      <c r="I33" s="870" t="s">
        <v>464</v>
      </c>
      <c r="J33" s="870" t="s">
        <v>267</v>
      </c>
    </row>
    <row r="34" spans="1:10" x14ac:dyDescent="0.35">
      <c r="A34" s="1256" t="s">
        <v>508</v>
      </c>
      <c r="B34" s="1256"/>
      <c r="C34" s="1256"/>
      <c r="D34" s="1256"/>
      <c r="E34" s="1256"/>
      <c r="F34" s="1256"/>
      <c r="G34" s="1256"/>
      <c r="H34" s="1256"/>
      <c r="I34" s="1256"/>
      <c r="J34" s="1256"/>
    </row>
    <row r="35" spans="1:10" ht="238.5" customHeight="1" x14ac:dyDescent="0.35">
      <c r="A35" s="882" t="s">
        <v>512</v>
      </c>
      <c r="B35" s="876" t="s">
        <v>514</v>
      </c>
      <c r="C35" s="950" t="s">
        <v>517</v>
      </c>
      <c r="D35" s="876" t="s">
        <v>456</v>
      </c>
      <c r="E35" s="870" t="s">
        <v>457</v>
      </c>
      <c r="F35" s="870" t="s">
        <v>459</v>
      </c>
      <c r="G35" s="878" t="s">
        <v>527</v>
      </c>
      <c r="H35" s="938" t="s">
        <v>481</v>
      </c>
      <c r="I35" s="870" t="s">
        <v>464</v>
      </c>
      <c r="J35" s="870" t="s">
        <v>267</v>
      </c>
    </row>
    <row r="36" spans="1:10" ht="238.5" customHeight="1" x14ac:dyDescent="0.35">
      <c r="A36" s="882" t="s">
        <v>513</v>
      </c>
      <c r="B36" s="876" t="s">
        <v>515</v>
      </c>
      <c r="C36" s="950" t="s">
        <v>516</v>
      </c>
      <c r="D36" s="876" t="s">
        <v>474</v>
      </c>
      <c r="E36" s="870" t="s">
        <v>457</v>
      </c>
      <c r="F36" s="870" t="s">
        <v>475</v>
      </c>
      <c r="G36" s="878" t="s">
        <v>527</v>
      </c>
      <c r="H36" s="938" t="s">
        <v>481</v>
      </c>
      <c r="I36" s="870" t="s">
        <v>464</v>
      </c>
      <c r="J36" s="870" t="s">
        <v>267</v>
      </c>
    </row>
    <row r="37" spans="1:10" ht="238.5" customHeight="1" x14ac:dyDescent="0.35">
      <c r="A37" s="882" t="s">
        <v>542</v>
      </c>
      <c r="B37" s="876" t="s">
        <v>518</v>
      </c>
      <c r="C37" s="952" t="s">
        <v>498</v>
      </c>
      <c r="D37" s="876" t="s">
        <v>474</v>
      </c>
      <c r="E37" s="870" t="s">
        <v>457</v>
      </c>
      <c r="F37" s="870" t="s">
        <v>475</v>
      </c>
      <c r="G37" s="878" t="s">
        <v>527</v>
      </c>
      <c r="H37" s="938" t="s">
        <v>481</v>
      </c>
      <c r="I37" s="870" t="s">
        <v>464</v>
      </c>
      <c r="J37" s="870" t="s">
        <v>267</v>
      </c>
    </row>
    <row r="38" spans="1:10" x14ac:dyDescent="0.35">
      <c r="A38" s="1256" t="s">
        <v>520</v>
      </c>
      <c r="B38" s="1256"/>
      <c r="C38" s="1256"/>
      <c r="D38" s="1256"/>
      <c r="E38" s="1256"/>
      <c r="F38" s="1256"/>
      <c r="G38" s="1256"/>
      <c r="H38" s="1256"/>
      <c r="I38" s="1256"/>
      <c r="J38" s="1256"/>
    </row>
    <row r="39" spans="1:10" ht="248.5" customHeight="1" x14ac:dyDescent="0.35">
      <c r="A39" s="882" t="s">
        <v>519</v>
      </c>
      <c r="B39" s="876" t="s">
        <v>500</v>
      </c>
      <c r="C39" s="934" t="s">
        <v>498</v>
      </c>
      <c r="D39" s="876" t="s">
        <v>456</v>
      </c>
      <c r="E39" s="870" t="s">
        <v>457</v>
      </c>
      <c r="F39" s="870" t="s">
        <v>459</v>
      </c>
      <c r="G39" s="878" t="s">
        <v>524</v>
      </c>
      <c r="H39" s="938" t="s">
        <v>481</v>
      </c>
      <c r="I39" s="870" t="s">
        <v>464</v>
      </c>
      <c r="J39" s="870" t="s">
        <v>267</v>
      </c>
    </row>
    <row r="40" spans="1:10" ht="215.5" customHeight="1" x14ac:dyDescent="0.35">
      <c r="A40" s="882" t="s">
        <v>521</v>
      </c>
      <c r="B40" s="876" t="s">
        <v>522</v>
      </c>
      <c r="C40" s="934" t="s">
        <v>540</v>
      </c>
      <c r="D40" s="876" t="s">
        <v>474</v>
      </c>
      <c r="E40" s="870" t="s">
        <v>457</v>
      </c>
      <c r="F40" s="870" t="s">
        <v>475</v>
      </c>
      <c r="G40" s="878" t="s">
        <v>524</v>
      </c>
      <c r="H40" s="938" t="s">
        <v>481</v>
      </c>
      <c r="I40" s="870" t="s">
        <v>464</v>
      </c>
      <c r="J40" s="870" t="s">
        <v>267</v>
      </c>
    </row>
    <row r="41" spans="1:10" ht="249.5" customHeight="1" x14ac:dyDescent="0.35">
      <c r="A41" s="882" t="s">
        <v>550</v>
      </c>
      <c r="B41" s="953" t="s">
        <v>523</v>
      </c>
      <c r="C41" s="944" t="s">
        <v>541</v>
      </c>
      <c r="D41" s="876" t="s">
        <v>474</v>
      </c>
      <c r="E41" s="870" t="s">
        <v>457</v>
      </c>
      <c r="F41" s="870" t="s">
        <v>475</v>
      </c>
      <c r="G41" s="878" t="s">
        <v>524</v>
      </c>
      <c r="H41" s="938" t="s">
        <v>481</v>
      </c>
      <c r="I41" s="870" t="s">
        <v>464</v>
      </c>
      <c r="J41" s="870" t="s">
        <v>267</v>
      </c>
    </row>
    <row r="42" spans="1:10" x14ac:dyDescent="0.35">
      <c r="A42" s="935"/>
      <c r="B42" s="935"/>
      <c r="C42" s="935"/>
      <c r="D42" s="935"/>
      <c r="E42" s="935"/>
      <c r="F42" s="935"/>
      <c r="G42" s="935"/>
      <c r="H42" s="935"/>
      <c r="I42" s="935"/>
      <c r="J42" s="935"/>
    </row>
  </sheetData>
  <mergeCells count="15">
    <mergeCell ref="A1:J1"/>
    <mergeCell ref="B2:C2"/>
    <mergeCell ref="E2:F2"/>
    <mergeCell ref="G2:H2"/>
    <mergeCell ref="I2:J2"/>
    <mergeCell ref="A34:J34"/>
    <mergeCell ref="A38:J38"/>
    <mergeCell ref="B3:C3"/>
    <mergeCell ref="E3:F3"/>
    <mergeCell ref="I3:J3"/>
    <mergeCell ref="B4:C4"/>
    <mergeCell ref="I4:J4"/>
    <mergeCell ref="A5:C5"/>
    <mergeCell ref="D5:G5"/>
    <mergeCell ref="H5:J5"/>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7"/>
  <sheetViews>
    <sheetView workbookViewId="0">
      <selection activeCell="B11" sqref="B11"/>
    </sheetView>
  </sheetViews>
  <sheetFormatPr defaultColWidth="9.1796875" defaultRowHeight="14.5" x14ac:dyDescent="0.35"/>
  <cols>
    <col min="1" max="1" width="17.7265625" style="154" customWidth="1"/>
    <col min="2" max="2" width="115.7265625" style="154" customWidth="1"/>
    <col min="3" max="256" width="9.1796875" style="154"/>
    <col min="257" max="257" width="17.7265625" style="154" customWidth="1"/>
    <col min="258" max="258" width="115.7265625" style="154" customWidth="1"/>
    <col min="259" max="512" width="9.1796875" style="154"/>
    <col min="513" max="513" width="17.7265625" style="154" customWidth="1"/>
    <col min="514" max="514" width="115.7265625" style="154" customWidth="1"/>
    <col min="515" max="768" width="9.1796875" style="154"/>
    <col min="769" max="769" width="17.7265625" style="154" customWidth="1"/>
    <col min="770" max="770" width="115.7265625" style="154" customWidth="1"/>
    <col min="771" max="1024" width="9.1796875" style="154"/>
    <col min="1025" max="1025" width="17.7265625" style="154" customWidth="1"/>
    <col min="1026" max="1026" width="115.7265625" style="154" customWidth="1"/>
    <col min="1027" max="1280" width="9.1796875" style="154"/>
    <col min="1281" max="1281" width="17.7265625" style="154" customWidth="1"/>
    <col min="1282" max="1282" width="115.7265625" style="154" customWidth="1"/>
    <col min="1283" max="1536" width="9.1796875" style="154"/>
    <col min="1537" max="1537" width="17.7265625" style="154" customWidth="1"/>
    <col min="1538" max="1538" width="115.7265625" style="154" customWidth="1"/>
    <col min="1539" max="1792" width="9.1796875" style="154"/>
    <col min="1793" max="1793" width="17.7265625" style="154" customWidth="1"/>
    <col min="1794" max="1794" width="115.7265625" style="154" customWidth="1"/>
    <col min="1795" max="2048" width="9.1796875" style="154"/>
    <col min="2049" max="2049" width="17.7265625" style="154" customWidth="1"/>
    <col min="2050" max="2050" width="115.7265625" style="154" customWidth="1"/>
    <col min="2051" max="2304" width="9.1796875" style="154"/>
    <col min="2305" max="2305" width="17.7265625" style="154" customWidth="1"/>
    <col min="2306" max="2306" width="115.7265625" style="154" customWidth="1"/>
    <col min="2307" max="2560" width="9.1796875" style="154"/>
    <col min="2561" max="2561" width="17.7265625" style="154" customWidth="1"/>
    <col min="2562" max="2562" width="115.7265625" style="154" customWidth="1"/>
    <col min="2563" max="2816" width="9.1796875" style="154"/>
    <col min="2817" max="2817" width="17.7265625" style="154" customWidth="1"/>
    <col min="2818" max="2818" width="115.7265625" style="154" customWidth="1"/>
    <col min="2819" max="3072" width="9.1796875" style="154"/>
    <col min="3073" max="3073" width="17.7265625" style="154" customWidth="1"/>
    <col min="3074" max="3074" width="115.7265625" style="154" customWidth="1"/>
    <col min="3075" max="3328" width="9.1796875" style="154"/>
    <col min="3329" max="3329" width="17.7265625" style="154" customWidth="1"/>
    <col min="3330" max="3330" width="115.7265625" style="154" customWidth="1"/>
    <col min="3331" max="3584" width="9.1796875" style="154"/>
    <col min="3585" max="3585" width="17.7265625" style="154" customWidth="1"/>
    <col min="3586" max="3586" width="115.7265625" style="154" customWidth="1"/>
    <col min="3587" max="3840" width="9.1796875" style="154"/>
    <col min="3841" max="3841" width="17.7265625" style="154" customWidth="1"/>
    <col min="3842" max="3842" width="115.7265625" style="154" customWidth="1"/>
    <col min="3843" max="4096" width="9.1796875" style="154"/>
    <col min="4097" max="4097" width="17.7265625" style="154" customWidth="1"/>
    <col min="4098" max="4098" width="115.7265625" style="154" customWidth="1"/>
    <col min="4099" max="4352" width="9.1796875" style="154"/>
    <col min="4353" max="4353" width="17.7265625" style="154" customWidth="1"/>
    <col min="4354" max="4354" width="115.7265625" style="154" customWidth="1"/>
    <col min="4355" max="4608" width="9.1796875" style="154"/>
    <col min="4609" max="4609" width="17.7265625" style="154" customWidth="1"/>
    <col min="4610" max="4610" width="115.7265625" style="154" customWidth="1"/>
    <col min="4611" max="4864" width="9.1796875" style="154"/>
    <col min="4865" max="4865" width="17.7265625" style="154" customWidth="1"/>
    <col min="4866" max="4866" width="115.7265625" style="154" customWidth="1"/>
    <col min="4867" max="5120" width="9.1796875" style="154"/>
    <col min="5121" max="5121" width="17.7265625" style="154" customWidth="1"/>
    <col min="5122" max="5122" width="115.7265625" style="154" customWidth="1"/>
    <col min="5123" max="5376" width="9.1796875" style="154"/>
    <col min="5377" max="5377" width="17.7265625" style="154" customWidth="1"/>
    <col min="5378" max="5378" width="115.7265625" style="154" customWidth="1"/>
    <col min="5379" max="5632" width="9.1796875" style="154"/>
    <col min="5633" max="5633" width="17.7265625" style="154" customWidth="1"/>
    <col min="5634" max="5634" width="115.7265625" style="154" customWidth="1"/>
    <col min="5635" max="5888" width="9.1796875" style="154"/>
    <col min="5889" max="5889" width="17.7265625" style="154" customWidth="1"/>
    <col min="5890" max="5890" width="115.7265625" style="154" customWidth="1"/>
    <col min="5891" max="6144" width="9.1796875" style="154"/>
    <col min="6145" max="6145" width="17.7265625" style="154" customWidth="1"/>
    <col min="6146" max="6146" width="115.7265625" style="154" customWidth="1"/>
    <col min="6147" max="6400" width="9.1796875" style="154"/>
    <col min="6401" max="6401" width="17.7265625" style="154" customWidth="1"/>
    <col min="6402" max="6402" width="115.7265625" style="154" customWidth="1"/>
    <col min="6403" max="6656" width="9.1796875" style="154"/>
    <col min="6657" max="6657" width="17.7265625" style="154" customWidth="1"/>
    <col min="6658" max="6658" width="115.7265625" style="154" customWidth="1"/>
    <col min="6659" max="6912" width="9.1796875" style="154"/>
    <col min="6913" max="6913" width="17.7265625" style="154" customWidth="1"/>
    <col min="6914" max="6914" width="115.7265625" style="154" customWidth="1"/>
    <col min="6915" max="7168" width="9.1796875" style="154"/>
    <col min="7169" max="7169" width="17.7265625" style="154" customWidth="1"/>
    <col min="7170" max="7170" width="115.7265625" style="154" customWidth="1"/>
    <col min="7171" max="7424" width="9.1796875" style="154"/>
    <col min="7425" max="7425" width="17.7265625" style="154" customWidth="1"/>
    <col min="7426" max="7426" width="115.7265625" style="154" customWidth="1"/>
    <col min="7427" max="7680" width="9.1796875" style="154"/>
    <col min="7681" max="7681" width="17.7265625" style="154" customWidth="1"/>
    <col min="7682" max="7682" width="115.7265625" style="154" customWidth="1"/>
    <col min="7683" max="7936" width="9.1796875" style="154"/>
    <col min="7937" max="7937" width="17.7265625" style="154" customWidth="1"/>
    <col min="7938" max="7938" width="115.7265625" style="154" customWidth="1"/>
    <col min="7939" max="8192" width="9.1796875" style="154"/>
    <col min="8193" max="8193" width="17.7265625" style="154" customWidth="1"/>
    <col min="8194" max="8194" width="115.7265625" style="154" customWidth="1"/>
    <col min="8195" max="8448" width="9.1796875" style="154"/>
    <col min="8449" max="8449" width="17.7265625" style="154" customWidth="1"/>
    <col min="8450" max="8450" width="115.7265625" style="154" customWidth="1"/>
    <col min="8451" max="8704" width="9.1796875" style="154"/>
    <col min="8705" max="8705" width="17.7265625" style="154" customWidth="1"/>
    <col min="8706" max="8706" width="115.7265625" style="154" customWidth="1"/>
    <col min="8707" max="8960" width="9.1796875" style="154"/>
    <col min="8961" max="8961" width="17.7265625" style="154" customWidth="1"/>
    <col min="8962" max="8962" width="115.7265625" style="154" customWidth="1"/>
    <col min="8963" max="9216" width="9.1796875" style="154"/>
    <col min="9217" max="9217" width="17.7265625" style="154" customWidth="1"/>
    <col min="9218" max="9218" width="115.7265625" style="154" customWidth="1"/>
    <col min="9219" max="9472" width="9.1796875" style="154"/>
    <col min="9473" max="9473" width="17.7265625" style="154" customWidth="1"/>
    <col min="9474" max="9474" width="115.7265625" style="154" customWidth="1"/>
    <col min="9475" max="9728" width="9.1796875" style="154"/>
    <col min="9729" max="9729" width="17.7265625" style="154" customWidth="1"/>
    <col min="9730" max="9730" width="115.7265625" style="154" customWidth="1"/>
    <col min="9731" max="9984" width="9.1796875" style="154"/>
    <col min="9985" max="9985" width="17.7265625" style="154" customWidth="1"/>
    <col min="9986" max="9986" width="115.7265625" style="154" customWidth="1"/>
    <col min="9987" max="10240" width="9.1796875" style="154"/>
    <col min="10241" max="10241" width="17.7265625" style="154" customWidth="1"/>
    <col min="10242" max="10242" width="115.7265625" style="154" customWidth="1"/>
    <col min="10243" max="10496" width="9.1796875" style="154"/>
    <col min="10497" max="10497" width="17.7265625" style="154" customWidth="1"/>
    <col min="10498" max="10498" width="115.7265625" style="154" customWidth="1"/>
    <col min="10499" max="10752" width="9.1796875" style="154"/>
    <col min="10753" max="10753" width="17.7265625" style="154" customWidth="1"/>
    <col min="10754" max="10754" width="115.7265625" style="154" customWidth="1"/>
    <col min="10755" max="11008" width="9.1796875" style="154"/>
    <col min="11009" max="11009" width="17.7265625" style="154" customWidth="1"/>
    <col min="11010" max="11010" width="115.7265625" style="154" customWidth="1"/>
    <col min="11011" max="11264" width="9.1796875" style="154"/>
    <col min="11265" max="11265" width="17.7265625" style="154" customWidth="1"/>
    <col min="11266" max="11266" width="115.7265625" style="154" customWidth="1"/>
    <col min="11267" max="11520" width="9.1796875" style="154"/>
    <col min="11521" max="11521" width="17.7265625" style="154" customWidth="1"/>
    <col min="11522" max="11522" width="115.7265625" style="154" customWidth="1"/>
    <col min="11523" max="11776" width="9.1796875" style="154"/>
    <col min="11777" max="11777" width="17.7265625" style="154" customWidth="1"/>
    <col min="11778" max="11778" width="115.7265625" style="154" customWidth="1"/>
    <col min="11779" max="12032" width="9.1796875" style="154"/>
    <col min="12033" max="12033" width="17.7265625" style="154" customWidth="1"/>
    <col min="12034" max="12034" width="115.7265625" style="154" customWidth="1"/>
    <col min="12035" max="12288" width="9.1796875" style="154"/>
    <col min="12289" max="12289" width="17.7265625" style="154" customWidth="1"/>
    <col min="12290" max="12290" width="115.7265625" style="154" customWidth="1"/>
    <col min="12291" max="12544" width="9.1796875" style="154"/>
    <col min="12545" max="12545" width="17.7265625" style="154" customWidth="1"/>
    <col min="12546" max="12546" width="115.7265625" style="154" customWidth="1"/>
    <col min="12547" max="12800" width="9.1796875" style="154"/>
    <col min="12801" max="12801" width="17.7265625" style="154" customWidth="1"/>
    <col min="12802" max="12802" width="115.7265625" style="154" customWidth="1"/>
    <col min="12803" max="13056" width="9.1796875" style="154"/>
    <col min="13057" max="13057" width="17.7265625" style="154" customWidth="1"/>
    <col min="13058" max="13058" width="115.7265625" style="154" customWidth="1"/>
    <col min="13059" max="13312" width="9.1796875" style="154"/>
    <col min="13313" max="13313" width="17.7265625" style="154" customWidth="1"/>
    <col min="13314" max="13314" width="115.7265625" style="154" customWidth="1"/>
    <col min="13315" max="13568" width="9.1796875" style="154"/>
    <col min="13569" max="13569" width="17.7265625" style="154" customWidth="1"/>
    <col min="13570" max="13570" width="115.7265625" style="154" customWidth="1"/>
    <col min="13571" max="13824" width="9.1796875" style="154"/>
    <col min="13825" max="13825" width="17.7265625" style="154" customWidth="1"/>
    <col min="13826" max="13826" width="115.7265625" style="154" customWidth="1"/>
    <col min="13827" max="14080" width="9.1796875" style="154"/>
    <col min="14081" max="14081" width="17.7265625" style="154" customWidth="1"/>
    <col min="14082" max="14082" width="115.7265625" style="154" customWidth="1"/>
    <col min="14083" max="14336" width="9.1796875" style="154"/>
    <col min="14337" max="14337" width="17.7265625" style="154" customWidth="1"/>
    <col min="14338" max="14338" width="115.7265625" style="154" customWidth="1"/>
    <col min="14339" max="14592" width="9.1796875" style="154"/>
    <col min="14593" max="14593" width="17.7265625" style="154" customWidth="1"/>
    <col min="14594" max="14594" width="115.7265625" style="154" customWidth="1"/>
    <col min="14595" max="14848" width="9.1796875" style="154"/>
    <col min="14849" max="14849" width="17.7265625" style="154" customWidth="1"/>
    <col min="14850" max="14850" width="115.7265625" style="154" customWidth="1"/>
    <col min="14851" max="15104" width="9.1796875" style="154"/>
    <col min="15105" max="15105" width="17.7265625" style="154" customWidth="1"/>
    <col min="15106" max="15106" width="115.7265625" style="154" customWidth="1"/>
    <col min="15107" max="15360" width="9.1796875" style="154"/>
    <col min="15361" max="15361" width="17.7265625" style="154" customWidth="1"/>
    <col min="15362" max="15362" width="115.7265625" style="154" customWidth="1"/>
    <col min="15363" max="15616" width="9.1796875" style="154"/>
    <col min="15617" max="15617" width="17.7265625" style="154" customWidth="1"/>
    <col min="15618" max="15618" width="115.7265625" style="154" customWidth="1"/>
    <col min="15619" max="15872" width="9.1796875" style="154"/>
    <col min="15873" max="15873" width="17.7265625" style="154" customWidth="1"/>
    <col min="15874" max="15874" width="115.7265625" style="154" customWidth="1"/>
    <col min="15875" max="16128" width="9.1796875" style="154"/>
    <col min="16129" max="16129" width="17.7265625" style="154" customWidth="1"/>
    <col min="16130" max="16130" width="115.7265625" style="154" customWidth="1"/>
    <col min="16131" max="16384" width="9.1796875" style="154"/>
  </cols>
  <sheetData>
    <row r="1" spans="1:2" ht="19.5" thickTop="1" thickBot="1" x14ac:dyDescent="0.5">
      <c r="A1" s="1279" t="s">
        <v>283</v>
      </c>
      <c r="B1" s="1280"/>
    </row>
    <row r="2" spans="1:2" ht="59" thickTop="1" thickBot="1" x14ac:dyDescent="0.4">
      <c r="A2" s="483" t="s">
        <v>174</v>
      </c>
      <c r="B2" s="484" t="s">
        <v>284</v>
      </c>
    </row>
    <row r="3" spans="1:2" ht="15" thickTop="1" x14ac:dyDescent="0.35">
      <c r="A3" s="1281" t="s">
        <v>179</v>
      </c>
      <c r="B3" s="485" t="s">
        <v>285</v>
      </c>
    </row>
    <row r="4" spans="1:2" x14ac:dyDescent="0.35">
      <c r="A4" s="1282"/>
      <c r="B4" s="486" t="s">
        <v>286</v>
      </c>
    </row>
    <row r="5" spans="1:2" ht="15" thickBot="1" x14ac:dyDescent="0.4">
      <c r="A5" s="1283"/>
      <c r="B5" s="487" t="s">
        <v>287</v>
      </c>
    </row>
    <row r="6" spans="1:2" ht="44.5" thickTop="1" thickBot="1" x14ac:dyDescent="0.4">
      <c r="A6" s="488" t="s">
        <v>185</v>
      </c>
      <c r="B6" s="484" t="s">
        <v>288</v>
      </c>
    </row>
    <row r="7" spans="1:2" ht="44" thickTop="1" x14ac:dyDescent="0.35">
      <c r="A7" s="1281" t="s">
        <v>187</v>
      </c>
      <c r="B7" s="489" t="s">
        <v>289</v>
      </c>
    </row>
    <row r="8" spans="1:2" x14ac:dyDescent="0.35">
      <c r="A8" s="1282"/>
      <c r="B8" s="490" t="s">
        <v>290</v>
      </c>
    </row>
    <row r="9" spans="1:2" x14ac:dyDescent="0.35">
      <c r="A9" s="1282"/>
      <c r="B9" s="490" t="s">
        <v>291</v>
      </c>
    </row>
    <row r="10" spans="1:2" ht="15" thickBot="1" x14ac:dyDescent="0.4">
      <c r="A10" s="1282"/>
      <c r="B10" s="491" t="s">
        <v>292</v>
      </c>
    </row>
    <row r="11" spans="1:2" ht="15" thickTop="1" x14ac:dyDescent="0.35">
      <c r="A11" s="1284" t="s">
        <v>193</v>
      </c>
      <c r="B11" s="492" t="s">
        <v>194</v>
      </c>
    </row>
    <row r="12" spans="1:2" x14ac:dyDescent="0.35">
      <c r="A12" s="1282"/>
      <c r="B12" s="493" t="s">
        <v>293</v>
      </c>
    </row>
    <row r="13" spans="1:2" ht="30" customHeight="1" x14ac:dyDescent="0.35">
      <c r="A13" s="1282"/>
      <c r="B13" s="493" t="s">
        <v>294</v>
      </c>
    </row>
    <row r="14" spans="1:2" ht="29" x14ac:dyDescent="0.35">
      <c r="A14" s="1282"/>
      <c r="B14" s="493" t="s">
        <v>295</v>
      </c>
    </row>
    <row r="15" spans="1:2" ht="30" customHeight="1" x14ac:dyDescent="0.35">
      <c r="A15" s="1282"/>
      <c r="B15" s="493" t="s">
        <v>296</v>
      </c>
    </row>
    <row r="16" spans="1:2" ht="76" customHeight="1" x14ac:dyDescent="0.35">
      <c r="A16" s="1282"/>
      <c r="B16" s="494" t="s">
        <v>297</v>
      </c>
    </row>
    <row r="17" spans="1:2" ht="30.75" customHeight="1" x14ac:dyDescent="0.35">
      <c r="A17" s="1282"/>
      <c r="B17" s="494" t="s">
        <v>298</v>
      </c>
    </row>
    <row r="18" spans="1:2" ht="15" thickBot="1" x14ac:dyDescent="0.4">
      <c r="A18" s="1285"/>
      <c r="B18" s="495" t="s">
        <v>299</v>
      </c>
    </row>
    <row r="19" spans="1:2" ht="44" thickTop="1" x14ac:dyDescent="0.35">
      <c r="A19" s="1286" t="s">
        <v>208</v>
      </c>
      <c r="B19" s="496" t="s">
        <v>300</v>
      </c>
    </row>
    <row r="20" spans="1:2" ht="45.75" customHeight="1" x14ac:dyDescent="0.35">
      <c r="A20" s="1277"/>
      <c r="B20" s="497" t="s">
        <v>301</v>
      </c>
    </row>
    <row r="21" spans="1:2" x14ac:dyDescent="0.35">
      <c r="A21" s="1277"/>
      <c r="B21" s="498" t="s">
        <v>302</v>
      </c>
    </row>
    <row r="22" spans="1:2" ht="29" x14ac:dyDescent="0.35">
      <c r="A22" s="1277"/>
      <c r="B22" s="497" t="s">
        <v>303</v>
      </c>
    </row>
    <row r="23" spans="1:2" ht="29.5" thickBot="1" x14ac:dyDescent="0.4">
      <c r="A23" s="1278"/>
      <c r="B23" s="497" t="s">
        <v>304</v>
      </c>
    </row>
    <row r="24" spans="1:2" ht="15" thickTop="1" x14ac:dyDescent="0.35">
      <c r="A24" s="1276" t="s">
        <v>214</v>
      </c>
      <c r="B24" s="499"/>
    </row>
    <row r="25" spans="1:2" x14ac:dyDescent="0.35">
      <c r="A25" s="1277"/>
      <c r="B25" s="500" t="s">
        <v>215</v>
      </c>
    </row>
    <row r="26" spans="1:2" ht="15" thickBot="1" x14ac:dyDescent="0.4">
      <c r="A26" s="1278"/>
      <c r="B26" s="501" t="s">
        <v>216</v>
      </c>
    </row>
    <row r="27" spans="1:2" ht="15" thickTop="1" x14ac:dyDescent="0.35"/>
  </sheetData>
  <mergeCells count="6">
    <mergeCell ref="A24:A26"/>
    <mergeCell ref="A1:B1"/>
    <mergeCell ref="A3:A5"/>
    <mergeCell ref="A7:A10"/>
    <mergeCell ref="A11:A18"/>
    <mergeCell ref="A19:A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7"/>
  <sheetViews>
    <sheetView topLeftCell="A5" workbookViewId="0">
      <selection activeCell="E7" sqref="E7"/>
    </sheetView>
  </sheetViews>
  <sheetFormatPr defaultColWidth="9.1796875" defaultRowHeight="14.5" x14ac:dyDescent="0.35"/>
  <cols>
    <col min="1" max="2" width="20.453125" style="154" customWidth="1"/>
    <col min="3" max="3" width="30.453125" style="154" customWidth="1"/>
    <col min="4" max="4" width="27.7265625" style="154" customWidth="1"/>
    <col min="5" max="5" width="52.26953125" style="154" customWidth="1"/>
    <col min="6" max="6" width="27.7265625" style="154" customWidth="1"/>
    <col min="7" max="7" width="45" style="154" customWidth="1"/>
    <col min="8" max="8" width="30.54296875" style="154" customWidth="1"/>
    <col min="9" max="256" width="9.1796875" style="154"/>
    <col min="257" max="258" width="20.453125" style="154" customWidth="1"/>
    <col min="259" max="259" width="30.453125" style="154" customWidth="1"/>
    <col min="260" max="260" width="27.7265625" style="154" customWidth="1"/>
    <col min="261" max="261" width="52.26953125" style="154" customWidth="1"/>
    <col min="262" max="262" width="27.7265625" style="154" customWidth="1"/>
    <col min="263" max="263" width="45" style="154" customWidth="1"/>
    <col min="264" max="264" width="30.54296875" style="154" customWidth="1"/>
    <col min="265" max="512" width="9.1796875" style="154"/>
    <col min="513" max="514" width="20.453125" style="154" customWidth="1"/>
    <col min="515" max="515" width="30.453125" style="154" customWidth="1"/>
    <col min="516" max="516" width="27.7265625" style="154" customWidth="1"/>
    <col min="517" max="517" width="52.26953125" style="154" customWidth="1"/>
    <col min="518" max="518" width="27.7265625" style="154" customWidth="1"/>
    <col min="519" max="519" width="45" style="154" customWidth="1"/>
    <col min="520" max="520" width="30.54296875" style="154" customWidth="1"/>
    <col min="521" max="768" width="9.1796875" style="154"/>
    <col min="769" max="770" width="20.453125" style="154" customWidth="1"/>
    <col min="771" max="771" width="30.453125" style="154" customWidth="1"/>
    <col min="772" max="772" width="27.7265625" style="154" customWidth="1"/>
    <col min="773" max="773" width="52.26953125" style="154" customWidth="1"/>
    <col min="774" max="774" width="27.7265625" style="154" customWidth="1"/>
    <col min="775" max="775" width="45" style="154" customWidth="1"/>
    <col min="776" max="776" width="30.54296875" style="154" customWidth="1"/>
    <col min="777" max="1024" width="9.1796875" style="154"/>
    <col min="1025" max="1026" width="20.453125" style="154" customWidth="1"/>
    <col min="1027" max="1027" width="30.453125" style="154" customWidth="1"/>
    <col min="1028" max="1028" width="27.7265625" style="154" customWidth="1"/>
    <col min="1029" max="1029" width="52.26953125" style="154" customWidth="1"/>
    <col min="1030" max="1030" width="27.7265625" style="154" customWidth="1"/>
    <col min="1031" max="1031" width="45" style="154" customWidth="1"/>
    <col min="1032" max="1032" width="30.54296875" style="154" customWidth="1"/>
    <col min="1033" max="1280" width="9.1796875" style="154"/>
    <col min="1281" max="1282" width="20.453125" style="154" customWidth="1"/>
    <col min="1283" max="1283" width="30.453125" style="154" customWidth="1"/>
    <col min="1284" max="1284" width="27.7265625" style="154" customWidth="1"/>
    <col min="1285" max="1285" width="52.26953125" style="154" customWidth="1"/>
    <col min="1286" max="1286" width="27.7265625" style="154" customWidth="1"/>
    <col min="1287" max="1287" width="45" style="154" customWidth="1"/>
    <col min="1288" max="1288" width="30.54296875" style="154" customWidth="1"/>
    <col min="1289" max="1536" width="9.1796875" style="154"/>
    <col min="1537" max="1538" width="20.453125" style="154" customWidth="1"/>
    <col min="1539" max="1539" width="30.453125" style="154" customWidth="1"/>
    <col min="1540" max="1540" width="27.7265625" style="154" customWidth="1"/>
    <col min="1541" max="1541" width="52.26953125" style="154" customWidth="1"/>
    <col min="1542" max="1542" width="27.7265625" style="154" customWidth="1"/>
    <col min="1543" max="1543" width="45" style="154" customWidth="1"/>
    <col min="1544" max="1544" width="30.54296875" style="154" customWidth="1"/>
    <col min="1545" max="1792" width="9.1796875" style="154"/>
    <col min="1793" max="1794" width="20.453125" style="154" customWidth="1"/>
    <col min="1795" max="1795" width="30.453125" style="154" customWidth="1"/>
    <col min="1796" max="1796" width="27.7265625" style="154" customWidth="1"/>
    <col min="1797" max="1797" width="52.26953125" style="154" customWidth="1"/>
    <col min="1798" max="1798" width="27.7265625" style="154" customWidth="1"/>
    <col min="1799" max="1799" width="45" style="154" customWidth="1"/>
    <col min="1800" max="1800" width="30.54296875" style="154" customWidth="1"/>
    <col min="1801" max="2048" width="9.1796875" style="154"/>
    <col min="2049" max="2050" width="20.453125" style="154" customWidth="1"/>
    <col min="2051" max="2051" width="30.453125" style="154" customWidth="1"/>
    <col min="2052" max="2052" width="27.7265625" style="154" customWidth="1"/>
    <col min="2053" max="2053" width="52.26953125" style="154" customWidth="1"/>
    <col min="2054" max="2054" width="27.7265625" style="154" customWidth="1"/>
    <col min="2055" max="2055" width="45" style="154" customWidth="1"/>
    <col min="2056" max="2056" width="30.54296875" style="154" customWidth="1"/>
    <col min="2057" max="2304" width="9.1796875" style="154"/>
    <col min="2305" max="2306" width="20.453125" style="154" customWidth="1"/>
    <col min="2307" max="2307" width="30.453125" style="154" customWidth="1"/>
    <col min="2308" max="2308" width="27.7265625" style="154" customWidth="1"/>
    <col min="2309" max="2309" width="52.26953125" style="154" customWidth="1"/>
    <col min="2310" max="2310" width="27.7265625" style="154" customWidth="1"/>
    <col min="2311" max="2311" width="45" style="154" customWidth="1"/>
    <col min="2312" max="2312" width="30.54296875" style="154" customWidth="1"/>
    <col min="2313" max="2560" width="9.1796875" style="154"/>
    <col min="2561" max="2562" width="20.453125" style="154" customWidth="1"/>
    <col min="2563" max="2563" width="30.453125" style="154" customWidth="1"/>
    <col min="2564" max="2564" width="27.7265625" style="154" customWidth="1"/>
    <col min="2565" max="2565" width="52.26953125" style="154" customWidth="1"/>
    <col min="2566" max="2566" width="27.7265625" style="154" customWidth="1"/>
    <col min="2567" max="2567" width="45" style="154" customWidth="1"/>
    <col min="2568" max="2568" width="30.54296875" style="154" customWidth="1"/>
    <col min="2569" max="2816" width="9.1796875" style="154"/>
    <col min="2817" max="2818" width="20.453125" style="154" customWidth="1"/>
    <col min="2819" max="2819" width="30.453125" style="154" customWidth="1"/>
    <col min="2820" max="2820" width="27.7265625" style="154" customWidth="1"/>
    <col min="2821" max="2821" width="52.26953125" style="154" customWidth="1"/>
    <col min="2822" max="2822" width="27.7265625" style="154" customWidth="1"/>
    <col min="2823" max="2823" width="45" style="154" customWidth="1"/>
    <col min="2824" max="2824" width="30.54296875" style="154" customWidth="1"/>
    <col min="2825" max="3072" width="9.1796875" style="154"/>
    <col min="3073" max="3074" width="20.453125" style="154" customWidth="1"/>
    <col min="3075" max="3075" width="30.453125" style="154" customWidth="1"/>
    <col min="3076" max="3076" width="27.7265625" style="154" customWidth="1"/>
    <col min="3077" max="3077" width="52.26953125" style="154" customWidth="1"/>
    <col min="3078" max="3078" width="27.7265625" style="154" customWidth="1"/>
    <col min="3079" max="3079" width="45" style="154" customWidth="1"/>
    <col min="3080" max="3080" width="30.54296875" style="154" customWidth="1"/>
    <col min="3081" max="3328" width="9.1796875" style="154"/>
    <col min="3329" max="3330" width="20.453125" style="154" customWidth="1"/>
    <col min="3331" max="3331" width="30.453125" style="154" customWidth="1"/>
    <col min="3332" max="3332" width="27.7265625" style="154" customWidth="1"/>
    <col min="3333" max="3333" width="52.26953125" style="154" customWidth="1"/>
    <col min="3334" max="3334" width="27.7265625" style="154" customWidth="1"/>
    <col min="3335" max="3335" width="45" style="154" customWidth="1"/>
    <col min="3336" max="3336" width="30.54296875" style="154" customWidth="1"/>
    <col min="3337" max="3584" width="9.1796875" style="154"/>
    <col min="3585" max="3586" width="20.453125" style="154" customWidth="1"/>
    <col min="3587" max="3587" width="30.453125" style="154" customWidth="1"/>
    <col min="3588" max="3588" width="27.7265625" style="154" customWidth="1"/>
    <col min="3589" max="3589" width="52.26953125" style="154" customWidth="1"/>
    <col min="3590" max="3590" width="27.7265625" style="154" customWidth="1"/>
    <col min="3591" max="3591" width="45" style="154" customWidth="1"/>
    <col min="3592" max="3592" width="30.54296875" style="154" customWidth="1"/>
    <col min="3593" max="3840" width="9.1796875" style="154"/>
    <col min="3841" max="3842" width="20.453125" style="154" customWidth="1"/>
    <col min="3843" max="3843" width="30.453125" style="154" customWidth="1"/>
    <col min="3844" max="3844" width="27.7265625" style="154" customWidth="1"/>
    <col min="3845" max="3845" width="52.26953125" style="154" customWidth="1"/>
    <col min="3846" max="3846" width="27.7265625" style="154" customWidth="1"/>
    <col min="3847" max="3847" width="45" style="154" customWidth="1"/>
    <col min="3848" max="3848" width="30.54296875" style="154" customWidth="1"/>
    <col min="3849" max="4096" width="9.1796875" style="154"/>
    <col min="4097" max="4098" width="20.453125" style="154" customWidth="1"/>
    <col min="4099" max="4099" width="30.453125" style="154" customWidth="1"/>
    <col min="4100" max="4100" width="27.7265625" style="154" customWidth="1"/>
    <col min="4101" max="4101" width="52.26953125" style="154" customWidth="1"/>
    <col min="4102" max="4102" width="27.7265625" style="154" customWidth="1"/>
    <col min="4103" max="4103" width="45" style="154" customWidth="1"/>
    <col min="4104" max="4104" width="30.54296875" style="154" customWidth="1"/>
    <col min="4105" max="4352" width="9.1796875" style="154"/>
    <col min="4353" max="4354" width="20.453125" style="154" customWidth="1"/>
    <col min="4355" max="4355" width="30.453125" style="154" customWidth="1"/>
    <col min="4356" max="4356" width="27.7265625" style="154" customWidth="1"/>
    <col min="4357" max="4357" width="52.26953125" style="154" customWidth="1"/>
    <col min="4358" max="4358" width="27.7265625" style="154" customWidth="1"/>
    <col min="4359" max="4359" width="45" style="154" customWidth="1"/>
    <col min="4360" max="4360" width="30.54296875" style="154" customWidth="1"/>
    <col min="4361" max="4608" width="9.1796875" style="154"/>
    <col min="4609" max="4610" width="20.453125" style="154" customWidth="1"/>
    <col min="4611" max="4611" width="30.453125" style="154" customWidth="1"/>
    <col min="4612" max="4612" width="27.7265625" style="154" customWidth="1"/>
    <col min="4613" max="4613" width="52.26953125" style="154" customWidth="1"/>
    <col min="4614" max="4614" width="27.7265625" style="154" customWidth="1"/>
    <col min="4615" max="4615" width="45" style="154" customWidth="1"/>
    <col min="4616" max="4616" width="30.54296875" style="154" customWidth="1"/>
    <col min="4617" max="4864" width="9.1796875" style="154"/>
    <col min="4865" max="4866" width="20.453125" style="154" customWidth="1"/>
    <col min="4867" max="4867" width="30.453125" style="154" customWidth="1"/>
    <col min="4868" max="4868" width="27.7265625" style="154" customWidth="1"/>
    <col min="4869" max="4869" width="52.26953125" style="154" customWidth="1"/>
    <col min="4870" max="4870" width="27.7265625" style="154" customWidth="1"/>
    <col min="4871" max="4871" width="45" style="154" customWidth="1"/>
    <col min="4872" max="4872" width="30.54296875" style="154" customWidth="1"/>
    <col min="4873" max="5120" width="9.1796875" style="154"/>
    <col min="5121" max="5122" width="20.453125" style="154" customWidth="1"/>
    <col min="5123" max="5123" width="30.453125" style="154" customWidth="1"/>
    <col min="5124" max="5124" width="27.7265625" style="154" customWidth="1"/>
    <col min="5125" max="5125" width="52.26953125" style="154" customWidth="1"/>
    <col min="5126" max="5126" width="27.7265625" style="154" customWidth="1"/>
    <col min="5127" max="5127" width="45" style="154" customWidth="1"/>
    <col min="5128" max="5128" width="30.54296875" style="154" customWidth="1"/>
    <col min="5129" max="5376" width="9.1796875" style="154"/>
    <col min="5377" max="5378" width="20.453125" style="154" customWidth="1"/>
    <col min="5379" max="5379" width="30.453125" style="154" customWidth="1"/>
    <col min="5380" max="5380" width="27.7265625" style="154" customWidth="1"/>
    <col min="5381" max="5381" width="52.26953125" style="154" customWidth="1"/>
    <col min="5382" max="5382" width="27.7265625" style="154" customWidth="1"/>
    <col min="5383" max="5383" width="45" style="154" customWidth="1"/>
    <col min="5384" max="5384" width="30.54296875" style="154" customWidth="1"/>
    <col min="5385" max="5632" width="9.1796875" style="154"/>
    <col min="5633" max="5634" width="20.453125" style="154" customWidth="1"/>
    <col min="5635" max="5635" width="30.453125" style="154" customWidth="1"/>
    <col min="5636" max="5636" width="27.7265625" style="154" customWidth="1"/>
    <col min="5637" max="5637" width="52.26953125" style="154" customWidth="1"/>
    <col min="5638" max="5638" width="27.7265625" style="154" customWidth="1"/>
    <col min="5639" max="5639" width="45" style="154" customWidth="1"/>
    <col min="5640" max="5640" width="30.54296875" style="154" customWidth="1"/>
    <col min="5641" max="5888" width="9.1796875" style="154"/>
    <col min="5889" max="5890" width="20.453125" style="154" customWidth="1"/>
    <col min="5891" max="5891" width="30.453125" style="154" customWidth="1"/>
    <col min="5892" max="5892" width="27.7265625" style="154" customWidth="1"/>
    <col min="5893" max="5893" width="52.26953125" style="154" customWidth="1"/>
    <col min="5894" max="5894" width="27.7265625" style="154" customWidth="1"/>
    <col min="5895" max="5895" width="45" style="154" customWidth="1"/>
    <col min="5896" max="5896" width="30.54296875" style="154" customWidth="1"/>
    <col min="5897" max="6144" width="9.1796875" style="154"/>
    <col min="6145" max="6146" width="20.453125" style="154" customWidth="1"/>
    <col min="6147" max="6147" width="30.453125" style="154" customWidth="1"/>
    <col min="6148" max="6148" width="27.7265625" style="154" customWidth="1"/>
    <col min="6149" max="6149" width="52.26953125" style="154" customWidth="1"/>
    <col min="6150" max="6150" width="27.7265625" style="154" customWidth="1"/>
    <col min="6151" max="6151" width="45" style="154" customWidth="1"/>
    <col min="6152" max="6152" width="30.54296875" style="154" customWidth="1"/>
    <col min="6153" max="6400" width="9.1796875" style="154"/>
    <col min="6401" max="6402" width="20.453125" style="154" customWidth="1"/>
    <col min="6403" max="6403" width="30.453125" style="154" customWidth="1"/>
    <col min="6404" max="6404" width="27.7265625" style="154" customWidth="1"/>
    <col min="6405" max="6405" width="52.26953125" style="154" customWidth="1"/>
    <col min="6406" max="6406" width="27.7265625" style="154" customWidth="1"/>
    <col min="6407" max="6407" width="45" style="154" customWidth="1"/>
    <col min="6408" max="6408" width="30.54296875" style="154" customWidth="1"/>
    <col min="6409" max="6656" width="9.1796875" style="154"/>
    <col min="6657" max="6658" width="20.453125" style="154" customWidth="1"/>
    <col min="6659" max="6659" width="30.453125" style="154" customWidth="1"/>
    <col min="6660" max="6660" width="27.7265625" style="154" customWidth="1"/>
    <col min="6661" max="6661" width="52.26953125" style="154" customWidth="1"/>
    <col min="6662" max="6662" width="27.7265625" style="154" customWidth="1"/>
    <col min="6663" max="6663" width="45" style="154" customWidth="1"/>
    <col min="6664" max="6664" width="30.54296875" style="154" customWidth="1"/>
    <col min="6665" max="6912" width="9.1796875" style="154"/>
    <col min="6913" max="6914" width="20.453125" style="154" customWidth="1"/>
    <col min="6915" max="6915" width="30.453125" style="154" customWidth="1"/>
    <col min="6916" max="6916" width="27.7265625" style="154" customWidth="1"/>
    <col min="6917" max="6917" width="52.26953125" style="154" customWidth="1"/>
    <col min="6918" max="6918" width="27.7265625" style="154" customWidth="1"/>
    <col min="6919" max="6919" width="45" style="154" customWidth="1"/>
    <col min="6920" max="6920" width="30.54296875" style="154" customWidth="1"/>
    <col min="6921" max="7168" width="9.1796875" style="154"/>
    <col min="7169" max="7170" width="20.453125" style="154" customWidth="1"/>
    <col min="7171" max="7171" width="30.453125" style="154" customWidth="1"/>
    <col min="7172" max="7172" width="27.7265625" style="154" customWidth="1"/>
    <col min="7173" max="7173" width="52.26953125" style="154" customWidth="1"/>
    <col min="7174" max="7174" width="27.7265625" style="154" customWidth="1"/>
    <col min="7175" max="7175" width="45" style="154" customWidth="1"/>
    <col min="7176" max="7176" width="30.54296875" style="154" customWidth="1"/>
    <col min="7177" max="7424" width="9.1796875" style="154"/>
    <col min="7425" max="7426" width="20.453125" style="154" customWidth="1"/>
    <col min="7427" max="7427" width="30.453125" style="154" customWidth="1"/>
    <col min="7428" max="7428" width="27.7265625" style="154" customWidth="1"/>
    <col min="7429" max="7429" width="52.26953125" style="154" customWidth="1"/>
    <col min="7430" max="7430" width="27.7265625" style="154" customWidth="1"/>
    <col min="7431" max="7431" width="45" style="154" customWidth="1"/>
    <col min="7432" max="7432" width="30.54296875" style="154" customWidth="1"/>
    <col min="7433" max="7680" width="9.1796875" style="154"/>
    <col min="7681" max="7682" width="20.453125" style="154" customWidth="1"/>
    <col min="7683" max="7683" width="30.453125" style="154" customWidth="1"/>
    <col min="7684" max="7684" width="27.7265625" style="154" customWidth="1"/>
    <col min="7685" max="7685" width="52.26953125" style="154" customWidth="1"/>
    <col min="7686" max="7686" width="27.7265625" style="154" customWidth="1"/>
    <col min="7687" max="7687" width="45" style="154" customWidth="1"/>
    <col min="7688" max="7688" width="30.54296875" style="154" customWidth="1"/>
    <col min="7689" max="7936" width="9.1796875" style="154"/>
    <col min="7937" max="7938" width="20.453125" style="154" customWidth="1"/>
    <col min="7939" max="7939" width="30.453125" style="154" customWidth="1"/>
    <col min="7940" max="7940" width="27.7265625" style="154" customWidth="1"/>
    <col min="7941" max="7941" width="52.26953125" style="154" customWidth="1"/>
    <col min="7942" max="7942" width="27.7265625" style="154" customWidth="1"/>
    <col min="7943" max="7943" width="45" style="154" customWidth="1"/>
    <col min="7944" max="7944" width="30.54296875" style="154" customWidth="1"/>
    <col min="7945" max="8192" width="9.1796875" style="154"/>
    <col min="8193" max="8194" width="20.453125" style="154" customWidth="1"/>
    <col min="8195" max="8195" width="30.453125" style="154" customWidth="1"/>
    <col min="8196" max="8196" width="27.7265625" style="154" customWidth="1"/>
    <col min="8197" max="8197" width="52.26953125" style="154" customWidth="1"/>
    <col min="8198" max="8198" width="27.7265625" style="154" customWidth="1"/>
    <col min="8199" max="8199" width="45" style="154" customWidth="1"/>
    <col min="8200" max="8200" width="30.54296875" style="154" customWidth="1"/>
    <col min="8201" max="8448" width="9.1796875" style="154"/>
    <col min="8449" max="8450" width="20.453125" style="154" customWidth="1"/>
    <col min="8451" max="8451" width="30.453125" style="154" customWidth="1"/>
    <col min="8452" max="8452" width="27.7265625" style="154" customWidth="1"/>
    <col min="8453" max="8453" width="52.26953125" style="154" customWidth="1"/>
    <col min="8454" max="8454" width="27.7265625" style="154" customWidth="1"/>
    <col min="8455" max="8455" width="45" style="154" customWidth="1"/>
    <col min="8456" max="8456" width="30.54296875" style="154" customWidth="1"/>
    <col min="8457" max="8704" width="9.1796875" style="154"/>
    <col min="8705" max="8706" width="20.453125" style="154" customWidth="1"/>
    <col min="8707" max="8707" width="30.453125" style="154" customWidth="1"/>
    <col min="8708" max="8708" width="27.7265625" style="154" customWidth="1"/>
    <col min="8709" max="8709" width="52.26953125" style="154" customWidth="1"/>
    <col min="8710" max="8710" width="27.7265625" style="154" customWidth="1"/>
    <col min="8711" max="8711" width="45" style="154" customWidth="1"/>
    <col min="8712" max="8712" width="30.54296875" style="154" customWidth="1"/>
    <col min="8713" max="8960" width="9.1796875" style="154"/>
    <col min="8961" max="8962" width="20.453125" style="154" customWidth="1"/>
    <col min="8963" max="8963" width="30.453125" style="154" customWidth="1"/>
    <col min="8964" max="8964" width="27.7265625" style="154" customWidth="1"/>
    <col min="8965" max="8965" width="52.26953125" style="154" customWidth="1"/>
    <col min="8966" max="8966" width="27.7265625" style="154" customWidth="1"/>
    <col min="8967" max="8967" width="45" style="154" customWidth="1"/>
    <col min="8968" max="8968" width="30.54296875" style="154" customWidth="1"/>
    <col min="8969" max="9216" width="9.1796875" style="154"/>
    <col min="9217" max="9218" width="20.453125" style="154" customWidth="1"/>
    <col min="9219" max="9219" width="30.453125" style="154" customWidth="1"/>
    <col min="9220" max="9220" width="27.7265625" style="154" customWidth="1"/>
    <col min="9221" max="9221" width="52.26953125" style="154" customWidth="1"/>
    <col min="9222" max="9222" width="27.7265625" style="154" customWidth="1"/>
    <col min="9223" max="9223" width="45" style="154" customWidth="1"/>
    <col min="9224" max="9224" width="30.54296875" style="154" customWidth="1"/>
    <col min="9225" max="9472" width="9.1796875" style="154"/>
    <col min="9473" max="9474" width="20.453125" style="154" customWidth="1"/>
    <col min="9475" max="9475" width="30.453125" style="154" customWidth="1"/>
    <col min="9476" max="9476" width="27.7265625" style="154" customWidth="1"/>
    <col min="9477" max="9477" width="52.26953125" style="154" customWidth="1"/>
    <col min="9478" max="9478" width="27.7265625" style="154" customWidth="1"/>
    <col min="9479" max="9479" width="45" style="154" customWidth="1"/>
    <col min="9480" max="9480" width="30.54296875" style="154" customWidth="1"/>
    <col min="9481" max="9728" width="9.1796875" style="154"/>
    <col min="9729" max="9730" width="20.453125" style="154" customWidth="1"/>
    <col min="9731" max="9731" width="30.453125" style="154" customWidth="1"/>
    <col min="9732" max="9732" width="27.7265625" style="154" customWidth="1"/>
    <col min="9733" max="9733" width="52.26953125" style="154" customWidth="1"/>
    <col min="9734" max="9734" width="27.7265625" style="154" customWidth="1"/>
    <col min="9735" max="9735" width="45" style="154" customWidth="1"/>
    <col min="9736" max="9736" width="30.54296875" style="154" customWidth="1"/>
    <col min="9737" max="9984" width="9.1796875" style="154"/>
    <col min="9985" max="9986" width="20.453125" style="154" customWidth="1"/>
    <col min="9987" max="9987" width="30.453125" style="154" customWidth="1"/>
    <col min="9988" max="9988" width="27.7265625" style="154" customWidth="1"/>
    <col min="9989" max="9989" width="52.26953125" style="154" customWidth="1"/>
    <col min="9990" max="9990" width="27.7265625" style="154" customWidth="1"/>
    <col min="9991" max="9991" width="45" style="154" customWidth="1"/>
    <col min="9992" max="9992" width="30.54296875" style="154" customWidth="1"/>
    <col min="9993" max="10240" width="9.1796875" style="154"/>
    <col min="10241" max="10242" width="20.453125" style="154" customWidth="1"/>
    <col min="10243" max="10243" width="30.453125" style="154" customWidth="1"/>
    <col min="10244" max="10244" width="27.7265625" style="154" customWidth="1"/>
    <col min="10245" max="10245" width="52.26953125" style="154" customWidth="1"/>
    <col min="10246" max="10246" width="27.7265625" style="154" customWidth="1"/>
    <col min="10247" max="10247" width="45" style="154" customWidth="1"/>
    <col min="10248" max="10248" width="30.54296875" style="154" customWidth="1"/>
    <col min="10249" max="10496" width="9.1796875" style="154"/>
    <col min="10497" max="10498" width="20.453125" style="154" customWidth="1"/>
    <col min="10499" max="10499" width="30.453125" style="154" customWidth="1"/>
    <col min="10500" max="10500" width="27.7265625" style="154" customWidth="1"/>
    <col min="10501" max="10501" width="52.26953125" style="154" customWidth="1"/>
    <col min="10502" max="10502" width="27.7265625" style="154" customWidth="1"/>
    <col min="10503" max="10503" width="45" style="154" customWidth="1"/>
    <col min="10504" max="10504" width="30.54296875" style="154" customWidth="1"/>
    <col min="10505" max="10752" width="9.1796875" style="154"/>
    <col min="10753" max="10754" width="20.453125" style="154" customWidth="1"/>
    <col min="10755" max="10755" width="30.453125" style="154" customWidth="1"/>
    <col min="10756" max="10756" width="27.7265625" style="154" customWidth="1"/>
    <col min="10757" max="10757" width="52.26953125" style="154" customWidth="1"/>
    <col min="10758" max="10758" width="27.7265625" style="154" customWidth="1"/>
    <col min="10759" max="10759" width="45" style="154" customWidth="1"/>
    <col min="10760" max="10760" width="30.54296875" style="154" customWidth="1"/>
    <col min="10761" max="11008" width="9.1796875" style="154"/>
    <col min="11009" max="11010" width="20.453125" style="154" customWidth="1"/>
    <col min="11011" max="11011" width="30.453125" style="154" customWidth="1"/>
    <col min="11012" max="11012" width="27.7265625" style="154" customWidth="1"/>
    <col min="11013" max="11013" width="52.26953125" style="154" customWidth="1"/>
    <col min="11014" max="11014" width="27.7265625" style="154" customWidth="1"/>
    <col min="11015" max="11015" width="45" style="154" customWidth="1"/>
    <col min="11016" max="11016" width="30.54296875" style="154" customWidth="1"/>
    <col min="11017" max="11264" width="9.1796875" style="154"/>
    <col min="11265" max="11266" width="20.453125" style="154" customWidth="1"/>
    <col min="11267" max="11267" width="30.453125" style="154" customWidth="1"/>
    <col min="11268" max="11268" width="27.7265625" style="154" customWidth="1"/>
    <col min="11269" max="11269" width="52.26953125" style="154" customWidth="1"/>
    <col min="11270" max="11270" width="27.7265625" style="154" customWidth="1"/>
    <col min="11271" max="11271" width="45" style="154" customWidth="1"/>
    <col min="11272" max="11272" width="30.54296875" style="154" customWidth="1"/>
    <col min="11273" max="11520" width="9.1796875" style="154"/>
    <col min="11521" max="11522" width="20.453125" style="154" customWidth="1"/>
    <col min="11523" max="11523" width="30.453125" style="154" customWidth="1"/>
    <col min="11524" max="11524" width="27.7265625" style="154" customWidth="1"/>
    <col min="11525" max="11525" width="52.26953125" style="154" customWidth="1"/>
    <col min="11526" max="11526" width="27.7265625" style="154" customWidth="1"/>
    <col min="11527" max="11527" width="45" style="154" customWidth="1"/>
    <col min="11528" max="11528" width="30.54296875" style="154" customWidth="1"/>
    <col min="11529" max="11776" width="9.1796875" style="154"/>
    <col min="11777" max="11778" width="20.453125" style="154" customWidth="1"/>
    <col min="11779" max="11779" width="30.453125" style="154" customWidth="1"/>
    <col min="11780" max="11780" width="27.7265625" style="154" customWidth="1"/>
    <col min="11781" max="11781" width="52.26953125" style="154" customWidth="1"/>
    <col min="11782" max="11782" width="27.7265625" style="154" customWidth="1"/>
    <col min="11783" max="11783" width="45" style="154" customWidth="1"/>
    <col min="11784" max="11784" width="30.54296875" style="154" customWidth="1"/>
    <col min="11785" max="12032" width="9.1796875" style="154"/>
    <col min="12033" max="12034" width="20.453125" style="154" customWidth="1"/>
    <col min="12035" max="12035" width="30.453125" style="154" customWidth="1"/>
    <col min="12036" max="12036" width="27.7265625" style="154" customWidth="1"/>
    <col min="12037" max="12037" width="52.26953125" style="154" customWidth="1"/>
    <col min="12038" max="12038" width="27.7265625" style="154" customWidth="1"/>
    <col min="12039" max="12039" width="45" style="154" customWidth="1"/>
    <col min="12040" max="12040" width="30.54296875" style="154" customWidth="1"/>
    <col min="12041" max="12288" width="9.1796875" style="154"/>
    <col min="12289" max="12290" width="20.453125" style="154" customWidth="1"/>
    <col min="12291" max="12291" width="30.453125" style="154" customWidth="1"/>
    <col min="12292" max="12292" width="27.7265625" style="154" customWidth="1"/>
    <col min="12293" max="12293" width="52.26953125" style="154" customWidth="1"/>
    <col min="12294" max="12294" width="27.7265625" style="154" customWidth="1"/>
    <col min="12295" max="12295" width="45" style="154" customWidth="1"/>
    <col min="12296" max="12296" width="30.54296875" style="154" customWidth="1"/>
    <col min="12297" max="12544" width="9.1796875" style="154"/>
    <col min="12545" max="12546" width="20.453125" style="154" customWidth="1"/>
    <col min="12547" max="12547" width="30.453125" style="154" customWidth="1"/>
    <col min="12548" max="12548" width="27.7265625" style="154" customWidth="1"/>
    <col min="12549" max="12549" width="52.26953125" style="154" customWidth="1"/>
    <col min="12550" max="12550" width="27.7265625" style="154" customWidth="1"/>
    <col min="12551" max="12551" width="45" style="154" customWidth="1"/>
    <col min="12552" max="12552" width="30.54296875" style="154" customWidth="1"/>
    <col min="12553" max="12800" width="9.1796875" style="154"/>
    <col min="12801" max="12802" width="20.453125" style="154" customWidth="1"/>
    <col min="12803" max="12803" width="30.453125" style="154" customWidth="1"/>
    <col min="12804" max="12804" width="27.7265625" style="154" customWidth="1"/>
    <col min="12805" max="12805" width="52.26953125" style="154" customWidth="1"/>
    <col min="12806" max="12806" width="27.7265625" style="154" customWidth="1"/>
    <col min="12807" max="12807" width="45" style="154" customWidth="1"/>
    <col min="12808" max="12808" width="30.54296875" style="154" customWidth="1"/>
    <col min="12809" max="13056" width="9.1796875" style="154"/>
    <col min="13057" max="13058" width="20.453125" style="154" customWidth="1"/>
    <col min="13059" max="13059" width="30.453125" style="154" customWidth="1"/>
    <col min="13060" max="13060" width="27.7265625" style="154" customWidth="1"/>
    <col min="13061" max="13061" width="52.26953125" style="154" customWidth="1"/>
    <col min="13062" max="13062" width="27.7265625" style="154" customWidth="1"/>
    <col min="13063" max="13063" width="45" style="154" customWidth="1"/>
    <col min="13064" max="13064" width="30.54296875" style="154" customWidth="1"/>
    <col min="13065" max="13312" width="9.1796875" style="154"/>
    <col min="13313" max="13314" width="20.453125" style="154" customWidth="1"/>
    <col min="13315" max="13315" width="30.453125" style="154" customWidth="1"/>
    <col min="13316" max="13316" width="27.7265625" style="154" customWidth="1"/>
    <col min="13317" max="13317" width="52.26953125" style="154" customWidth="1"/>
    <col min="13318" max="13318" width="27.7265625" style="154" customWidth="1"/>
    <col min="13319" max="13319" width="45" style="154" customWidth="1"/>
    <col min="13320" max="13320" width="30.54296875" style="154" customWidth="1"/>
    <col min="13321" max="13568" width="9.1796875" style="154"/>
    <col min="13569" max="13570" width="20.453125" style="154" customWidth="1"/>
    <col min="13571" max="13571" width="30.453125" style="154" customWidth="1"/>
    <col min="13572" max="13572" width="27.7265625" style="154" customWidth="1"/>
    <col min="13573" max="13573" width="52.26953125" style="154" customWidth="1"/>
    <col min="13574" max="13574" width="27.7265625" style="154" customWidth="1"/>
    <col min="13575" max="13575" width="45" style="154" customWidth="1"/>
    <col min="13576" max="13576" width="30.54296875" style="154" customWidth="1"/>
    <col min="13577" max="13824" width="9.1796875" style="154"/>
    <col min="13825" max="13826" width="20.453125" style="154" customWidth="1"/>
    <col min="13827" max="13827" width="30.453125" style="154" customWidth="1"/>
    <col min="13828" max="13828" width="27.7265625" style="154" customWidth="1"/>
    <col min="13829" max="13829" width="52.26953125" style="154" customWidth="1"/>
    <col min="13830" max="13830" width="27.7265625" style="154" customWidth="1"/>
    <col min="13831" max="13831" width="45" style="154" customWidth="1"/>
    <col min="13832" max="13832" width="30.54296875" style="154" customWidth="1"/>
    <col min="13833" max="14080" width="9.1796875" style="154"/>
    <col min="14081" max="14082" width="20.453125" style="154" customWidth="1"/>
    <col min="14083" max="14083" width="30.453125" style="154" customWidth="1"/>
    <col min="14084" max="14084" width="27.7265625" style="154" customWidth="1"/>
    <col min="14085" max="14085" width="52.26953125" style="154" customWidth="1"/>
    <col min="14086" max="14086" width="27.7265625" style="154" customWidth="1"/>
    <col min="14087" max="14087" width="45" style="154" customWidth="1"/>
    <col min="14088" max="14088" width="30.54296875" style="154" customWidth="1"/>
    <col min="14089" max="14336" width="9.1796875" style="154"/>
    <col min="14337" max="14338" width="20.453125" style="154" customWidth="1"/>
    <col min="14339" max="14339" width="30.453125" style="154" customWidth="1"/>
    <col min="14340" max="14340" width="27.7265625" style="154" customWidth="1"/>
    <col min="14341" max="14341" width="52.26953125" style="154" customWidth="1"/>
    <col min="14342" max="14342" width="27.7265625" style="154" customWidth="1"/>
    <col min="14343" max="14343" width="45" style="154" customWidth="1"/>
    <col min="14344" max="14344" width="30.54296875" style="154" customWidth="1"/>
    <col min="14345" max="14592" width="9.1796875" style="154"/>
    <col min="14593" max="14594" width="20.453125" style="154" customWidth="1"/>
    <col min="14595" max="14595" width="30.453125" style="154" customWidth="1"/>
    <col min="14596" max="14596" width="27.7265625" style="154" customWidth="1"/>
    <col min="14597" max="14597" width="52.26953125" style="154" customWidth="1"/>
    <col min="14598" max="14598" width="27.7265625" style="154" customWidth="1"/>
    <col min="14599" max="14599" width="45" style="154" customWidth="1"/>
    <col min="14600" max="14600" width="30.54296875" style="154" customWidth="1"/>
    <col min="14601" max="14848" width="9.1796875" style="154"/>
    <col min="14849" max="14850" width="20.453125" style="154" customWidth="1"/>
    <col min="14851" max="14851" width="30.453125" style="154" customWidth="1"/>
    <col min="14852" max="14852" width="27.7265625" style="154" customWidth="1"/>
    <col min="14853" max="14853" width="52.26953125" style="154" customWidth="1"/>
    <col min="14854" max="14854" width="27.7265625" style="154" customWidth="1"/>
    <col min="14855" max="14855" width="45" style="154" customWidth="1"/>
    <col min="14856" max="14856" width="30.54296875" style="154" customWidth="1"/>
    <col min="14857" max="15104" width="9.1796875" style="154"/>
    <col min="15105" max="15106" width="20.453125" style="154" customWidth="1"/>
    <col min="15107" max="15107" width="30.453125" style="154" customWidth="1"/>
    <col min="15108" max="15108" width="27.7265625" style="154" customWidth="1"/>
    <col min="15109" max="15109" width="52.26953125" style="154" customWidth="1"/>
    <col min="15110" max="15110" width="27.7265625" style="154" customWidth="1"/>
    <col min="15111" max="15111" width="45" style="154" customWidth="1"/>
    <col min="15112" max="15112" width="30.54296875" style="154" customWidth="1"/>
    <col min="15113" max="15360" width="9.1796875" style="154"/>
    <col min="15361" max="15362" width="20.453125" style="154" customWidth="1"/>
    <col min="15363" max="15363" width="30.453125" style="154" customWidth="1"/>
    <col min="15364" max="15364" width="27.7265625" style="154" customWidth="1"/>
    <col min="15365" max="15365" width="52.26953125" style="154" customWidth="1"/>
    <col min="15366" max="15366" width="27.7265625" style="154" customWidth="1"/>
    <col min="15367" max="15367" width="45" style="154" customWidth="1"/>
    <col min="15368" max="15368" width="30.54296875" style="154" customWidth="1"/>
    <col min="15369" max="15616" width="9.1796875" style="154"/>
    <col min="15617" max="15618" width="20.453125" style="154" customWidth="1"/>
    <col min="15619" max="15619" width="30.453125" style="154" customWidth="1"/>
    <col min="15620" max="15620" width="27.7265625" style="154" customWidth="1"/>
    <col min="15621" max="15621" width="52.26953125" style="154" customWidth="1"/>
    <col min="15622" max="15622" width="27.7265625" style="154" customWidth="1"/>
    <col min="15623" max="15623" width="45" style="154" customWidth="1"/>
    <col min="15624" max="15624" width="30.54296875" style="154" customWidth="1"/>
    <col min="15625" max="15872" width="9.1796875" style="154"/>
    <col min="15873" max="15874" width="20.453125" style="154" customWidth="1"/>
    <col min="15875" max="15875" width="30.453125" style="154" customWidth="1"/>
    <col min="15876" max="15876" width="27.7265625" style="154" customWidth="1"/>
    <col min="15877" max="15877" width="52.26953125" style="154" customWidth="1"/>
    <col min="15878" max="15878" width="27.7265625" style="154" customWidth="1"/>
    <col min="15879" max="15879" width="45" style="154" customWidth="1"/>
    <col min="15880" max="15880" width="30.54296875" style="154" customWidth="1"/>
    <col min="15881" max="16128" width="9.1796875" style="154"/>
    <col min="16129" max="16130" width="20.453125" style="154" customWidth="1"/>
    <col min="16131" max="16131" width="30.453125" style="154" customWidth="1"/>
    <col min="16132" max="16132" width="27.7265625" style="154" customWidth="1"/>
    <col min="16133" max="16133" width="52.26953125" style="154" customWidth="1"/>
    <col min="16134" max="16134" width="27.7265625" style="154" customWidth="1"/>
    <col min="16135" max="16135" width="45" style="154" customWidth="1"/>
    <col min="16136" max="16136" width="30.54296875" style="154" customWidth="1"/>
    <col min="16137" max="16384" width="9.1796875" style="154"/>
  </cols>
  <sheetData>
    <row r="1" spans="1:16" ht="15" thickBot="1" x14ac:dyDescent="0.4">
      <c r="A1" s="1292" t="s">
        <v>305</v>
      </c>
      <c r="B1" s="1288"/>
      <c r="C1" s="1288"/>
      <c r="D1" s="1288"/>
      <c r="E1" s="1288"/>
      <c r="F1" s="1288"/>
      <c r="G1" s="1288"/>
      <c r="H1" s="1289"/>
    </row>
    <row r="2" spans="1:16" x14ac:dyDescent="0.35">
      <c r="A2" s="502" t="s">
        <v>306</v>
      </c>
      <c r="B2" s="1293"/>
      <c r="C2" s="1294"/>
      <c r="D2" s="503" t="s">
        <v>307</v>
      </c>
      <c r="E2" s="1295"/>
      <c r="F2" s="1296"/>
      <c r="G2" s="504" t="s">
        <v>308</v>
      </c>
      <c r="H2" s="505"/>
    </row>
    <row r="3" spans="1:16" x14ac:dyDescent="0.35">
      <c r="A3" s="506" t="s">
        <v>309</v>
      </c>
      <c r="B3" s="1297"/>
      <c r="C3" s="1298"/>
      <c r="D3" s="475" t="s">
        <v>246</v>
      </c>
      <c r="E3" s="507"/>
      <c r="F3" s="475"/>
      <c r="G3" s="508" t="s">
        <v>310</v>
      </c>
      <c r="H3" s="509"/>
    </row>
    <row r="4" spans="1:16" ht="15" thickBot="1" x14ac:dyDescent="0.4">
      <c r="A4" s="510" t="s">
        <v>311</v>
      </c>
      <c r="B4" s="1299"/>
      <c r="C4" s="1300"/>
      <c r="D4" s="511"/>
      <c r="E4" s="512"/>
      <c r="F4" s="511"/>
      <c r="G4" s="513" t="s">
        <v>312</v>
      </c>
      <c r="H4" s="514"/>
    </row>
    <row r="5" spans="1:16" ht="15" thickBot="1" x14ac:dyDescent="0.4">
      <c r="A5" s="1287" t="s">
        <v>313</v>
      </c>
      <c r="B5" s="1288"/>
      <c r="C5" s="1289"/>
      <c r="D5" s="1287" t="s">
        <v>314</v>
      </c>
      <c r="E5" s="1290"/>
      <c r="F5" s="1291"/>
      <c r="G5" s="1287" t="s">
        <v>315</v>
      </c>
      <c r="H5" s="1291"/>
    </row>
    <row r="6" spans="1:16" ht="15" thickBot="1" x14ac:dyDescent="0.4">
      <c r="A6" s="515" t="s">
        <v>221</v>
      </c>
      <c r="B6" s="478" t="s">
        <v>316</v>
      </c>
      <c r="C6" s="479" t="s">
        <v>317</v>
      </c>
      <c r="D6" s="476" t="s">
        <v>318</v>
      </c>
      <c r="E6" s="478" t="s">
        <v>319</v>
      </c>
      <c r="F6" s="479" t="s">
        <v>320</v>
      </c>
      <c r="G6" s="476" t="s">
        <v>321</v>
      </c>
      <c r="H6" s="477" t="s">
        <v>322</v>
      </c>
    </row>
    <row r="7" spans="1:16" ht="409.6" thickBot="1" x14ac:dyDescent="0.4">
      <c r="A7" s="516" t="s">
        <v>323</v>
      </c>
      <c r="B7" s="517" t="s">
        <v>324</v>
      </c>
      <c r="C7" s="518" t="s">
        <v>325</v>
      </c>
      <c r="D7" s="519" t="s">
        <v>326</v>
      </c>
      <c r="E7" s="520" t="s">
        <v>327</v>
      </c>
      <c r="F7" s="521" t="s">
        <v>328</v>
      </c>
      <c r="G7" s="522" t="s">
        <v>329</v>
      </c>
      <c r="H7" s="523" t="s">
        <v>330</v>
      </c>
      <c r="I7" s="524"/>
      <c r="J7" s="524"/>
      <c r="K7" s="525"/>
      <c r="L7" s="525"/>
      <c r="M7" s="525"/>
      <c r="N7" s="525"/>
      <c r="O7" s="525"/>
      <c r="P7" s="525"/>
    </row>
  </sheetData>
  <mergeCells count="8">
    <mergeCell ref="A5:C5"/>
    <mergeCell ref="D5:F5"/>
    <mergeCell ref="G5:H5"/>
    <mergeCell ref="A1:H1"/>
    <mergeCell ref="B2:C2"/>
    <mergeCell ref="E2:F2"/>
    <mergeCell ref="B3:C3"/>
    <mergeCell ref="B4:C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42"/>
  <sheetViews>
    <sheetView topLeftCell="A6" zoomScale="80" zoomScaleNormal="80" workbookViewId="0">
      <pane ySplit="1" topLeftCell="A36" activePane="bottomLeft" state="frozen"/>
      <selection activeCell="A6" sqref="A6"/>
      <selection pane="bottomLeft" activeCell="E36" sqref="E36"/>
    </sheetView>
  </sheetViews>
  <sheetFormatPr defaultColWidth="9.1796875" defaultRowHeight="14.5" x14ac:dyDescent="0.35"/>
  <cols>
    <col min="1" max="1" width="32.26953125" style="154" customWidth="1"/>
    <col min="2" max="2" width="26.81640625" style="154" customWidth="1"/>
    <col min="3" max="3" width="25.453125" style="154" customWidth="1"/>
    <col min="4" max="4" width="24.81640625" style="154" customWidth="1"/>
    <col min="5" max="5" width="17" style="154" customWidth="1"/>
    <col min="6" max="6" width="23.81640625" style="154" customWidth="1"/>
    <col min="7" max="7" width="25.7265625" style="154" customWidth="1"/>
    <col min="8" max="8" width="27.54296875" style="154" customWidth="1"/>
    <col min="9" max="254" width="9.1796875" style="154"/>
    <col min="255" max="255" width="32.26953125" style="154" customWidth="1"/>
    <col min="256" max="256" width="26.81640625" style="154" customWidth="1"/>
    <col min="257" max="257" width="25.453125" style="154" customWidth="1"/>
    <col min="258" max="258" width="24.81640625" style="154" customWidth="1"/>
    <col min="259" max="259" width="17" style="154" customWidth="1"/>
    <col min="260" max="260" width="20.54296875" style="154" customWidth="1"/>
    <col min="261" max="261" width="25.7265625" style="154" customWidth="1"/>
    <col min="262" max="262" width="27.54296875" style="154" customWidth="1"/>
    <col min="263" max="510" width="9.1796875" style="154"/>
    <col min="511" max="511" width="32.26953125" style="154" customWidth="1"/>
    <col min="512" max="512" width="26.81640625" style="154" customWidth="1"/>
    <col min="513" max="513" width="25.453125" style="154" customWidth="1"/>
    <col min="514" max="514" width="24.81640625" style="154" customWidth="1"/>
    <col min="515" max="515" width="17" style="154" customWidth="1"/>
    <col min="516" max="516" width="20.54296875" style="154" customWidth="1"/>
    <col min="517" max="517" width="25.7265625" style="154" customWidth="1"/>
    <col min="518" max="518" width="27.54296875" style="154" customWidth="1"/>
    <col min="519" max="766" width="9.1796875" style="154"/>
    <col min="767" max="767" width="32.26953125" style="154" customWidth="1"/>
    <col min="768" max="768" width="26.81640625" style="154" customWidth="1"/>
    <col min="769" max="769" width="25.453125" style="154" customWidth="1"/>
    <col min="770" max="770" width="24.81640625" style="154" customWidth="1"/>
    <col min="771" max="771" width="17" style="154" customWidth="1"/>
    <col min="772" max="772" width="20.54296875" style="154" customWidth="1"/>
    <col min="773" max="773" width="25.7265625" style="154" customWidth="1"/>
    <col min="774" max="774" width="27.54296875" style="154" customWidth="1"/>
    <col min="775" max="1022" width="9.1796875" style="154"/>
    <col min="1023" max="1023" width="32.26953125" style="154" customWidth="1"/>
    <col min="1024" max="1024" width="26.81640625" style="154" customWidth="1"/>
    <col min="1025" max="1025" width="25.453125" style="154" customWidth="1"/>
    <col min="1026" max="1026" width="24.81640625" style="154" customWidth="1"/>
    <col min="1027" max="1027" width="17" style="154" customWidth="1"/>
    <col min="1028" max="1028" width="20.54296875" style="154" customWidth="1"/>
    <col min="1029" max="1029" width="25.7265625" style="154" customWidth="1"/>
    <col min="1030" max="1030" width="27.54296875" style="154" customWidth="1"/>
    <col min="1031" max="1278" width="9.1796875" style="154"/>
    <col min="1279" max="1279" width="32.26953125" style="154" customWidth="1"/>
    <col min="1280" max="1280" width="26.81640625" style="154" customWidth="1"/>
    <col min="1281" max="1281" width="25.453125" style="154" customWidth="1"/>
    <col min="1282" max="1282" width="24.81640625" style="154" customWidth="1"/>
    <col min="1283" max="1283" width="17" style="154" customWidth="1"/>
    <col min="1284" max="1284" width="20.54296875" style="154" customWidth="1"/>
    <col min="1285" max="1285" width="25.7265625" style="154" customWidth="1"/>
    <col min="1286" max="1286" width="27.54296875" style="154" customWidth="1"/>
    <col min="1287" max="1534" width="9.1796875" style="154"/>
    <col min="1535" max="1535" width="32.26953125" style="154" customWidth="1"/>
    <col min="1536" max="1536" width="26.81640625" style="154" customWidth="1"/>
    <col min="1537" max="1537" width="25.453125" style="154" customWidth="1"/>
    <col min="1538" max="1538" width="24.81640625" style="154" customWidth="1"/>
    <col min="1539" max="1539" width="17" style="154" customWidth="1"/>
    <col min="1540" max="1540" width="20.54296875" style="154" customWidth="1"/>
    <col min="1541" max="1541" width="25.7265625" style="154" customWidth="1"/>
    <col min="1542" max="1542" width="27.54296875" style="154" customWidth="1"/>
    <col min="1543" max="1790" width="9.1796875" style="154"/>
    <col min="1791" max="1791" width="32.26953125" style="154" customWidth="1"/>
    <col min="1792" max="1792" width="26.81640625" style="154" customWidth="1"/>
    <col min="1793" max="1793" width="25.453125" style="154" customWidth="1"/>
    <col min="1794" max="1794" width="24.81640625" style="154" customWidth="1"/>
    <col min="1795" max="1795" width="17" style="154" customWidth="1"/>
    <col min="1796" max="1796" width="20.54296875" style="154" customWidth="1"/>
    <col min="1797" max="1797" width="25.7265625" style="154" customWidth="1"/>
    <col min="1798" max="1798" width="27.54296875" style="154" customWidth="1"/>
    <col min="1799" max="2046" width="9.1796875" style="154"/>
    <col min="2047" max="2047" width="32.26953125" style="154" customWidth="1"/>
    <col min="2048" max="2048" width="26.81640625" style="154" customWidth="1"/>
    <col min="2049" max="2049" width="25.453125" style="154" customWidth="1"/>
    <col min="2050" max="2050" width="24.81640625" style="154" customWidth="1"/>
    <col min="2051" max="2051" width="17" style="154" customWidth="1"/>
    <col min="2052" max="2052" width="20.54296875" style="154" customWidth="1"/>
    <col min="2053" max="2053" width="25.7265625" style="154" customWidth="1"/>
    <col min="2054" max="2054" width="27.54296875" style="154" customWidth="1"/>
    <col min="2055" max="2302" width="9.1796875" style="154"/>
    <col min="2303" max="2303" width="32.26953125" style="154" customWidth="1"/>
    <col min="2304" max="2304" width="26.81640625" style="154" customWidth="1"/>
    <col min="2305" max="2305" width="25.453125" style="154" customWidth="1"/>
    <col min="2306" max="2306" width="24.81640625" style="154" customWidth="1"/>
    <col min="2307" max="2307" width="17" style="154" customWidth="1"/>
    <col min="2308" max="2308" width="20.54296875" style="154" customWidth="1"/>
    <col min="2309" max="2309" width="25.7265625" style="154" customWidth="1"/>
    <col min="2310" max="2310" width="27.54296875" style="154" customWidth="1"/>
    <col min="2311" max="2558" width="9.1796875" style="154"/>
    <col min="2559" max="2559" width="32.26953125" style="154" customWidth="1"/>
    <col min="2560" max="2560" width="26.81640625" style="154" customWidth="1"/>
    <col min="2561" max="2561" width="25.453125" style="154" customWidth="1"/>
    <col min="2562" max="2562" width="24.81640625" style="154" customWidth="1"/>
    <col min="2563" max="2563" width="17" style="154" customWidth="1"/>
    <col min="2564" max="2564" width="20.54296875" style="154" customWidth="1"/>
    <col min="2565" max="2565" width="25.7265625" style="154" customWidth="1"/>
    <col min="2566" max="2566" width="27.54296875" style="154" customWidth="1"/>
    <col min="2567" max="2814" width="9.1796875" style="154"/>
    <col min="2815" max="2815" width="32.26953125" style="154" customWidth="1"/>
    <col min="2816" max="2816" width="26.81640625" style="154" customWidth="1"/>
    <col min="2817" max="2817" width="25.453125" style="154" customWidth="1"/>
    <col min="2818" max="2818" width="24.81640625" style="154" customWidth="1"/>
    <col min="2819" max="2819" width="17" style="154" customWidth="1"/>
    <col min="2820" max="2820" width="20.54296875" style="154" customWidth="1"/>
    <col min="2821" max="2821" width="25.7265625" style="154" customWidth="1"/>
    <col min="2822" max="2822" width="27.54296875" style="154" customWidth="1"/>
    <col min="2823" max="3070" width="9.1796875" style="154"/>
    <col min="3071" max="3071" width="32.26953125" style="154" customWidth="1"/>
    <col min="3072" max="3072" width="26.81640625" style="154" customWidth="1"/>
    <col min="3073" max="3073" width="25.453125" style="154" customWidth="1"/>
    <col min="3074" max="3074" width="24.81640625" style="154" customWidth="1"/>
    <col min="3075" max="3075" width="17" style="154" customWidth="1"/>
    <col min="3076" max="3076" width="20.54296875" style="154" customWidth="1"/>
    <col min="3077" max="3077" width="25.7265625" style="154" customWidth="1"/>
    <col min="3078" max="3078" width="27.54296875" style="154" customWidth="1"/>
    <col min="3079" max="3326" width="9.1796875" style="154"/>
    <col min="3327" max="3327" width="32.26953125" style="154" customWidth="1"/>
    <col min="3328" max="3328" width="26.81640625" style="154" customWidth="1"/>
    <col min="3329" max="3329" width="25.453125" style="154" customWidth="1"/>
    <col min="3330" max="3330" width="24.81640625" style="154" customWidth="1"/>
    <col min="3331" max="3331" width="17" style="154" customWidth="1"/>
    <col min="3332" max="3332" width="20.54296875" style="154" customWidth="1"/>
    <col min="3333" max="3333" width="25.7265625" style="154" customWidth="1"/>
    <col min="3334" max="3334" width="27.54296875" style="154" customWidth="1"/>
    <col min="3335" max="3582" width="9.1796875" style="154"/>
    <col min="3583" max="3583" width="32.26953125" style="154" customWidth="1"/>
    <col min="3584" max="3584" width="26.81640625" style="154" customWidth="1"/>
    <col min="3585" max="3585" width="25.453125" style="154" customWidth="1"/>
    <col min="3586" max="3586" width="24.81640625" style="154" customWidth="1"/>
    <col min="3587" max="3587" width="17" style="154" customWidth="1"/>
    <col min="3588" max="3588" width="20.54296875" style="154" customWidth="1"/>
    <col min="3589" max="3589" width="25.7265625" style="154" customWidth="1"/>
    <col min="3590" max="3590" width="27.54296875" style="154" customWidth="1"/>
    <col min="3591" max="3838" width="9.1796875" style="154"/>
    <col min="3839" max="3839" width="32.26953125" style="154" customWidth="1"/>
    <col min="3840" max="3840" width="26.81640625" style="154" customWidth="1"/>
    <col min="3841" max="3841" width="25.453125" style="154" customWidth="1"/>
    <col min="3842" max="3842" width="24.81640625" style="154" customWidth="1"/>
    <col min="3843" max="3843" width="17" style="154" customWidth="1"/>
    <col min="3844" max="3844" width="20.54296875" style="154" customWidth="1"/>
    <col min="3845" max="3845" width="25.7265625" style="154" customWidth="1"/>
    <col min="3846" max="3846" width="27.54296875" style="154" customWidth="1"/>
    <col min="3847" max="4094" width="9.1796875" style="154"/>
    <col min="4095" max="4095" width="32.26953125" style="154" customWidth="1"/>
    <col min="4096" max="4096" width="26.81640625" style="154" customWidth="1"/>
    <col min="4097" max="4097" width="25.453125" style="154" customWidth="1"/>
    <col min="4098" max="4098" width="24.81640625" style="154" customWidth="1"/>
    <col min="4099" max="4099" width="17" style="154" customWidth="1"/>
    <col min="4100" max="4100" width="20.54296875" style="154" customWidth="1"/>
    <col min="4101" max="4101" width="25.7265625" style="154" customWidth="1"/>
    <col min="4102" max="4102" width="27.54296875" style="154" customWidth="1"/>
    <col min="4103" max="4350" width="9.1796875" style="154"/>
    <col min="4351" max="4351" width="32.26953125" style="154" customWidth="1"/>
    <col min="4352" max="4352" width="26.81640625" style="154" customWidth="1"/>
    <col min="4353" max="4353" width="25.453125" style="154" customWidth="1"/>
    <col min="4354" max="4354" width="24.81640625" style="154" customWidth="1"/>
    <col min="4355" max="4355" width="17" style="154" customWidth="1"/>
    <col min="4356" max="4356" width="20.54296875" style="154" customWidth="1"/>
    <col min="4357" max="4357" width="25.7265625" style="154" customWidth="1"/>
    <col min="4358" max="4358" width="27.54296875" style="154" customWidth="1"/>
    <col min="4359" max="4606" width="9.1796875" style="154"/>
    <col min="4607" max="4607" width="32.26953125" style="154" customWidth="1"/>
    <col min="4608" max="4608" width="26.81640625" style="154" customWidth="1"/>
    <col min="4609" max="4609" width="25.453125" style="154" customWidth="1"/>
    <col min="4610" max="4610" width="24.81640625" style="154" customWidth="1"/>
    <col min="4611" max="4611" width="17" style="154" customWidth="1"/>
    <col min="4612" max="4612" width="20.54296875" style="154" customWidth="1"/>
    <col min="4613" max="4613" width="25.7265625" style="154" customWidth="1"/>
    <col min="4614" max="4614" width="27.54296875" style="154" customWidth="1"/>
    <col min="4615" max="4862" width="9.1796875" style="154"/>
    <col min="4863" max="4863" width="32.26953125" style="154" customWidth="1"/>
    <col min="4864" max="4864" width="26.81640625" style="154" customWidth="1"/>
    <col min="4865" max="4865" width="25.453125" style="154" customWidth="1"/>
    <col min="4866" max="4866" width="24.81640625" style="154" customWidth="1"/>
    <col min="4867" max="4867" width="17" style="154" customWidth="1"/>
    <col min="4868" max="4868" width="20.54296875" style="154" customWidth="1"/>
    <col min="4869" max="4869" width="25.7265625" style="154" customWidth="1"/>
    <col min="4870" max="4870" width="27.54296875" style="154" customWidth="1"/>
    <col min="4871" max="5118" width="9.1796875" style="154"/>
    <col min="5119" max="5119" width="32.26953125" style="154" customWidth="1"/>
    <col min="5120" max="5120" width="26.81640625" style="154" customWidth="1"/>
    <col min="5121" max="5121" width="25.453125" style="154" customWidth="1"/>
    <col min="5122" max="5122" width="24.81640625" style="154" customWidth="1"/>
    <col min="5123" max="5123" width="17" style="154" customWidth="1"/>
    <col min="5124" max="5124" width="20.54296875" style="154" customWidth="1"/>
    <col min="5125" max="5125" width="25.7265625" style="154" customWidth="1"/>
    <col min="5126" max="5126" width="27.54296875" style="154" customWidth="1"/>
    <col min="5127" max="5374" width="9.1796875" style="154"/>
    <col min="5375" max="5375" width="32.26953125" style="154" customWidth="1"/>
    <col min="5376" max="5376" width="26.81640625" style="154" customWidth="1"/>
    <col min="5377" max="5377" width="25.453125" style="154" customWidth="1"/>
    <col min="5378" max="5378" width="24.81640625" style="154" customWidth="1"/>
    <col min="5379" max="5379" width="17" style="154" customWidth="1"/>
    <col min="5380" max="5380" width="20.54296875" style="154" customWidth="1"/>
    <col min="5381" max="5381" width="25.7265625" style="154" customWidth="1"/>
    <col min="5382" max="5382" width="27.54296875" style="154" customWidth="1"/>
    <col min="5383" max="5630" width="9.1796875" style="154"/>
    <col min="5631" max="5631" width="32.26953125" style="154" customWidth="1"/>
    <col min="5632" max="5632" width="26.81640625" style="154" customWidth="1"/>
    <col min="5633" max="5633" width="25.453125" style="154" customWidth="1"/>
    <col min="5634" max="5634" width="24.81640625" style="154" customWidth="1"/>
    <col min="5635" max="5635" width="17" style="154" customWidth="1"/>
    <col min="5636" max="5636" width="20.54296875" style="154" customWidth="1"/>
    <col min="5637" max="5637" width="25.7265625" style="154" customWidth="1"/>
    <col min="5638" max="5638" width="27.54296875" style="154" customWidth="1"/>
    <col min="5639" max="5886" width="9.1796875" style="154"/>
    <col min="5887" max="5887" width="32.26953125" style="154" customWidth="1"/>
    <col min="5888" max="5888" width="26.81640625" style="154" customWidth="1"/>
    <col min="5889" max="5889" width="25.453125" style="154" customWidth="1"/>
    <col min="5890" max="5890" width="24.81640625" style="154" customWidth="1"/>
    <col min="5891" max="5891" width="17" style="154" customWidth="1"/>
    <col min="5892" max="5892" width="20.54296875" style="154" customWidth="1"/>
    <col min="5893" max="5893" width="25.7265625" style="154" customWidth="1"/>
    <col min="5894" max="5894" width="27.54296875" style="154" customWidth="1"/>
    <col min="5895" max="6142" width="9.1796875" style="154"/>
    <col min="6143" max="6143" width="32.26953125" style="154" customWidth="1"/>
    <col min="6144" max="6144" width="26.81640625" style="154" customWidth="1"/>
    <col min="6145" max="6145" width="25.453125" style="154" customWidth="1"/>
    <col min="6146" max="6146" width="24.81640625" style="154" customWidth="1"/>
    <col min="6147" max="6147" width="17" style="154" customWidth="1"/>
    <col min="6148" max="6148" width="20.54296875" style="154" customWidth="1"/>
    <col min="6149" max="6149" width="25.7265625" style="154" customWidth="1"/>
    <col min="6150" max="6150" width="27.54296875" style="154" customWidth="1"/>
    <col min="6151" max="6398" width="9.1796875" style="154"/>
    <col min="6399" max="6399" width="32.26953125" style="154" customWidth="1"/>
    <col min="6400" max="6400" width="26.81640625" style="154" customWidth="1"/>
    <col min="6401" max="6401" width="25.453125" style="154" customWidth="1"/>
    <col min="6402" max="6402" width="24.81640625" style="154" customWidth="1"/>
    <col min="6403" max="6403" width="17" style="154" customWidth="1"/>
    <col min="6404" max="6404" width="20.54296875" style="154" customWidth="1"/>
    <col min="6405" max="6405" width="25.7265625" style="154" customWidth="1"/>
    <col min="6406" max="6406" width="27.54296875" style="154" customWidth="1"/>
    <col min="6407" max="6654" width="9.1796875" style="154"/>
    <col min="6655" max="6655" width="32.26953125" style="154" customWidth="1"/>
    <col min="6656" max="6656" width="26.81640625" style="154" customWidth="1"/>
    <col min="6657" max="6657" width="25.453125" style="154" customWidth="1"/>
    <col min="6658" max="6658" width="24.81640625" style="154" customWidth="1"/>
    <col min="6659" max="6659" width="17" style="154" customWidth="1"/>
    <col min="6660" max="6660" width="20.54296875" style="154" customWidth="1"/>
    <col min="6661" max="6661" width="25.7265625" style="154" customWidth="1"/>
    <col min="6662" max="6662" width="27.54296875" style="154" customWidth="1"/>
    <col min="6663" max="6910" width="9.1796875" style="154"/>
    <col min="6911" max="6911" width="32.26953125" style="154" customWidth="1"/>
    <col min="6912" max="6912" width="26.81640625" style="154" customWidth="1"/>
    <col min="6913" max="6913" width="25.453125" style="154" customWidth="1"/>
    <col min="6914" max="6914" width="24.81640625" style="154" customWidth="1"/>
    <col min="6915" max="6915" width="17" style="154" customWidth="1"/>
    <col min="6916" max="6916" width="20.54296875" style="154" customWidth="1"/>
    <col min="6917" max="6917" width="25.7265625" style="154" customWidth="1"/>
    <col min="6918" max="6918" width="27.54296875" style="154" customWidth="1"/>
    <col min="6919" max="7166" width="9.1796875" style="154"/>
    <col min="7167" max="7167" width="32.26953125" style="154" customWidth="1"/>
    <col min="7168" max="7168" width="26.81640625" style="154" customWidth="1"/>
    <col min="7169" max="7169" width="25.453125" style="154" customWidth="1"/>
    <col min="7170" max="7170" width="24.81640625" style="154" customWidth="1"/>
    <col min="7171" max="7171" width="17" style="154" customWidth="1"/>
    <col min="7172" max="7172" width="20.54296875" style="154" customWidth="1"/>
    <col min="7173" max="7173" width="25.7265625" style="154" customWidth="1"/>
    <col min="7174" max="7174" width="27.54296875" style="154" customWidth="1"/>
    <col min="7175" max="7422" width="9.1796875" style="154"/>
    <col min="7423" max="7423" width="32.26953125" style="154" customWidth="1"/>
    <col min="7424" max="7424" width="26.81640625" style="154" customWidth="1"/>
    <col min="7425" max="7425" width="25.453125" style="154" customWidth="1"/>
    <col min="7426" max="7426" width="24.81640625" style="154" customWidth="1"/>
    <col min="7427" max="7427" width="17" style="154" customWidth="1"/>
    <col min="7428" max="7428" width="20.54296875" style="154" customWidth="1"/>
    <col min="7429" max="7429" width="25.7265625" style="154" customWidth="1"/>
    <col min="7430" max="7430" width="27.54296875" style="154" customWidth="1"/>
    <col min="7431" max="7678" width="9.1796875" style="154"/>
    <col min="7679" max="7679" width="32.26953125" style="154" customWidth="1"/>
    <col min="7680" max="7680" width="26.81640625" style="154" customWidth="1"/>
    <col min="7681" max="7681" width="25.453125" style="154" customWidth="1"/>
    <col min="7682" max="7682" width="24.81640625" style="154" customWidth="1"/>
    <col min="7683" max="7683" width="17" style="154" customWidth="1"/>
    <col min="7684" max="7684" width="20.54296875" style="154" customWidth="1"/>
    <col min="7685" max="7685" width="25.7265625" style="154" customWidth="1"/>
    <col min="7686" max="7686" width="27.54296875" style="154" customWidth="1"/>
    <col min="7687" max="7934" width="9.1796875" style="154"/>
    <col min="7935" max="7935" width="32.26953125" style="154" customWidth="1"/>
    <col min="7936" max="7936" width="26.81640625" style="154" customWidth="1"/>
    <col min="7937" max="7937" width="25.453125" style="154" customWidth="1"/>
    <col min="7938" max="7938" width="24.81640625" style="154" customWidth="1"/>
    <col min="7939" max="7939" width="17" style="154" customWidth="1"/>
    <col min="7940" max="7940" width="20.54296875" style="154" customWidth="1"/>
    <col min="7941" max="7941" width="25.7265625" style="154" customWidth="1"/>
    <col min="7942" max="7942" width="27.54296875" style="154" customWidth="1"/>
    <col min="7943" max="8190" width="9.1796875" style="154"/>
    <col min="8191" max="8191" width="32.26953125" style="154" customWidth="1"/>
    <col min="8192" max="8192" width="26.81640625" style="154" customWidth="1"/>
    <col min="8193" max="8193" width="25.453125" style="154" customWidth="1"/>
    <col min="8194" max="8194" width="24.81640625" style="154" customWidth="1"/>
    <col min="8195" max="8195" width="17" style="154" customWidth="1"/>
    <col min="8196" max="8196" width="20.54296875" style="154" customWidth="1"/>
    <col min="8197" max="8197" width="25.7265625" style="154" customWidth="1"/>
    <col min="8198" max="8198" width="27.54296875" style="154" customWidth="1"/>
    <col min="8199" max="8446" width="9.1796875" style="154"/>
    <col min="8447" max="8447" width="32.26953125" style="154" customWidth="1"/>
    <col min="8448" max="8448" width="26.81640625" style="154" customWidth="1"/>
    <col min="8449" max="8449" width="25.453125" style="154" customWidth="1"/>
    <col min="8450" max="8450" width="24.81640625" style="154" customWidth="1"/>
    <col min="8451" max="8451" width="17" style="154" customWidth="1"/>
    <col min="8452" max="8452" width="20.54296875" style="154" customWidth="1"/>
    <col min="8453" max="8453" width="25.7265625" style="154" customWidth="1"/>
    <col min="8454" max="8454" width="27.54296875" style="154" customWidth="1"/>
    <col min="8455" max="8702" width="9.1796875" style="154"/>
    <col min="8703" max="8703" width="32.26953125" style="154" customWidth="1"/>
    <col min="8704" max="8704" width="26.81640625" style="154" customWidth="1"/>
    <col min="8705" max="8705" width="25.453125" style="154" customWidth="1"/>
    <col min="8706" max="8706" width="24.81640625" style="154" customWidth="1"/>
    <col min="8707" max="8707" width="17" style="154" customWidth="1"/>
    <col min="8708" max="8708" width="20.54296875" style="154" customWidth="1"/>
    <col min="8709" max="8709" width="25.7265625" style="154" customWidth="1"/>
    <col min="8710" max="8710" width="27.54296875" style="154" customWidth="1"/>
    <col min="8711" max="8958" width="9.1796875" style="154"/>
    <col min="8959" max="8959" width="32.26953125" style="154" customWidth="1"/>
    <col min="8960" max="8960" width="26.81640625" style="154" customWidth="1"/>
    <col min="8961" max="8961" width="25.453125" style="154" customWidth="1"/>
    <col min="8962" max="8962" width="24.81640625" style="154" customWidth="1"/>
    <col min="8963" max="8963" width="17" style="154" customWidth="1"/>
    <col min="8964" max="8964" width="20.54296875" style="154" customWidth="1"/>
    <col min="8965" max="8965" width="25.7265625" style="154" customWidth="1"/>
    <col min="8966" max="8966" width="27.54296875" style="154" customWidth="1"/>
    <col min="8967" max="9214" width="9.1796875" style="154"/>
    <col min="9215" max="9215" width="32.26953125" style="154" customWidth="1"/>
    <col min="9216" max="9216" width="26.81640625" style="154" customWidth="1"/>
    <col min="9217" max="9217" width="25.453125" style="154" customWidth="1"/>
    <col min="9218" max="9218" width="24.81640625" style="154" customWidth="1"/>
    <col min="9219" max="9219" width="17" style="154" customWidth="1"/>
    <col min="9220" max="9220" width="20.54296875" style="154" customWidth="1"/>
    <col min="9221" max="9221" width="25.7265625" style="154" customWidth="1"/>
    <col min="9222" max="9222" width="27.54296875" style="154" customWidth="1"/>
    <col min="9223" max="9470" width="9.1796875" style="154"/>
    <col min="9471" max="9471" width="32.26953125" style="154" customWidth="1"/>
    <col min="9472" max="9472" width="26.81640625" style="154" customWidth="1"/>
    <col min="9473" max="9473" width="25.453125" style="154" customWidth="1"/>
    <col min="9474" max="9474" width="24.81640625" style="154" customWidth="1"/>
    <col min="9475" max="9475" width="17" style="154" customWidth="1"/>
    <col min="9476" max="9476" width="20.54296875" style="154" customWidth="1"/>
    <col min="9477" max="9477" width="25.7265625" style="154" customWidth="1"/>
    <col min="9478" max="9478" width="27.54296875" style="154" customWidth="1"/>
    <col min="9479" max="9726" width="9.1796875" style="154"/>
    <col min="9727" max="9727" width="32.26953125" style="154" customWidth="1"/>
    <col min="9728" max="9728" width="26.81640625" style="154" customWidth="1"/>
    <col min="9729" max="9729" width="25.453125" style="154" customWidth="1"/>
    <col min="9730" max="9730" width="24.81640625" style="154" customWidth="1"/>
    <col min="9731" max="9731" width="17" style="154" customWidth="1"/>
    <col min="9732" max="9732" width="20.54296875" style="154" customWidth="1"/>
    <col min="9733" max="9733" width="25.7265625" style="154" customWidth="1"/>
    <col min="9734" max="9734" width="27.54296875" style="154" customWidth="1"/>
    <col min="9735" max="9982" width="9.1796875" style="154"/>
    <col min="9983" max="9983" width="32.26953125" style="154" customWidth="1"/>
    <col min="9984" max="9984" width="26.81640625" style="154" customWidth="1"/>
    <col min="9985" max="9985" width="25.453125" style="154" customWidth="1"/>
    <col min="9986" max="9986" width="24.81640625" style="154" customWidth="1"/>
    <col min="9987" max="9987" width="17" style="154" customWidth="1"/>
    <col min="9988" max="9988" width="20.54296875" style="154" customWidth="1"/>
    <col min="9989" max="9989" width="25.7265625" style="154" customWidth="1"/>
    <col min="9990" max="9990" width="27.54296875" style="154" customWidth="1"/>
    <col min="9991" max="10238" width="9.1796875" style="154"/>
    <col min="10239" max="10239" width="32.26953125" style="154" customWidth="1"/>
    <col min="10240" max="10240" width="26.81640625" style="154" customWidth="1"/>
    <col min="10241" max="10241" width="25.453125" style="154" customWidth="1"/>
    <col min="10242" max="10242" width="24.81640625" style="154" customWidth="1"/>
    <col min="10243" max="10243" width="17" style="154" customWidth="1"/>
    <col min="10244" max="10244" width="20.54296875" style="154" customWidth="1"/>
    <col min="10245" max="10245" width="25.7265625" style="154" customWidth="1"/>
    <col min="10246" max="10246" width="27.54296875" style="154" customWidth="1"/>
    <col min="10247" max="10494" width="9.1796875" style="154"/>
    <col min="10495" max="10495" width="32.26953125" style="154" customWidth="1"/>
    <col min="10496" max="10496" width="26.81640625" style="154" customWidth="1"/>
    <col min="10497" max="10497" width="25.453125" style="154" customWidth="1"/>
    <col min="10498" max="10498" width="24.81640625" style="154" customWidth="1"/>
    <col min="10499" max="10499" width="17" style="154" customWidth="1"/>
    <col min="10500" max="10500" width="20.54296875" style="154" customWidth="1"/>
    <col min="10501" max="10501" width="25.7265625" style="154" customWidth="1"/>
    <col min="10502" max="10502" width="27.54296875" style="154" customWidth="1"/>
    <col min="10503" max="10750" width="9.1796875" style="154"/>
    <col min="10751" max="10751" width="32.26953125" style="154" customWidth="1"/>
    <col min="10752" max="10752" width="26.81640625" style="154" customWidth="1"/>
    <col min="10753" max="10753" width="25.453125" style="154" customWidth="1"/>
    <col min="10754" max="10754" width="24.81640625" style="154" customWidth="1"/>
    <col min="10755" max="10755" width="17" style="154" customWidth="1"/>
    <col min="10756" max="10756" width="20.54296875" style="154" customWidth="1"/>
    <col min="10757" max="10757" width="25.7265625" style="154" customWidth="1"/>
    <col min="10758" max="10758" width="27.54296875" style="154" customWidth="1"/>
    <col min="10759" max="11006" width="9.1796875" style="154"/>
    <col min="11007" max="11007" width="32.26953125" style="154" customWidth="1"/>
    <col min="11008" max="11008" width="26.81640625" style="154" customWidth="1"/>
    <col min="11009" max="11009" width="25.453125" style="154" customWidth="1"/>
    <col min="11010" max="11010" width="24.81640625" style="154" customWidth="1"/>
    <col min="11011" max="11011" width="17" style="154" customWidth="1"/>
    <col min="11012" max="11012" width="20.54296875" style="154" customWidth="1"/>
    <col min="11013" max="11013" width="25.7265625" style="154" customWidth="1"/>
    <col min="11014" max="11014" width="27.54296875" style="154" customWidth="1"/>
    <col min="11015" max="11262" width="9.1796875" style="154"/>
    <col min="11263" max="11263" width="32.26953125" style="154" customWidth="1"/>
    <col min="11264" max="11264" width="26.81640625" style="154" customWidth="1"/>
    <col min="11265" max="11265" width="25.453125" style="154" customWidth="1"/>
    <col min="11266" max="11266" width="24.81640625" style="154" customWidth="1"/>
    <col min="11267" max="11267" width="17" style="154" customWidth="1"/>
    <col min="11268" max="11268" width="20.54296875" style="154" customWidth="1"/>
    <col min="11269" max="11269" width="25.7265625" style="154" customWidth="1"/>
    <col min="11270" max="11270" width="27.54296875" style="154" customWidth="1"/>
    <col min="11271" max="11518" width="9.1796875" style="154"/>
    <col min="11519" max="11519" width="32.26953125" style="154" customWidth="1"/>
    <col min="11520" max="11520" width="26.81640625" style="154" customWidth="1"/>
    <col min="11521" max="11521" width="25.453125" style="154" customWidth="1"/>
    <col min="11522" max="11522" width="24.81640625" style="154" customWidth="1"/>
    <col min="11523" max="11523" width="17" style="154" customWidth="1"/>
    <col min="11524" max="11524" width="20.54296875" style="154" customWidth="1"/>
    <col min="11525" max="11525" width="25.7265625" style="154" customWidth="1"/>
    <col min="11526" max="11526" width="27.54296875" style="154" customWidth="1"/>
    <col min="11527" max="11774" width="9.1796875" style="154"/>
    <col min="11775" max="11775" width="32.26953125" style="154" customWidth="1"/>
    <col min="11776" max="11776" width="26.81640625" style="154" customWidth="1"/>
    <col min="11777" max="11777" width="25.453125" style="154" customWidth="1"/>
    <col min="11778" max="11778" width="24.81640625" style="154" customWidth="1"/>
    <col min="11779" max="11779" width="17" style="154" customWidth="1"/>
    <col min="11780" max="11780" width="20.54296875" style="154" customWidth="1"/>
    <col min="11781" max="11781" width="25.7265625" style="154" customWidth="1"/>
    <col min="11782" max="11782" width="27.54296875" style="154" customWidth="1"/>
    <col min="11783" max="12030" width="9.1796875" style="154"/>
    <col min="12031" max="12031" width="32.26953125" style="154" customWidth="1"/>
    <col min="12032" max="12032" width="26.81640625" style="154" customWidth="1"/>
    <col min="12033" max="12033" width="25.453125" style="154" customWidth="1"/>
    <col min="12034" max="12034" width="24.81640625" style="154" customWidth="1"/>
    <col min="12035" max="12035" width="17" style="154" customWidth="1"/>
    <col min="12036" max="12036" width="20.54296875" style="154" customWidth="1"/>
    <col min="12037" max="12037" width="25.7265625" style="154" customWidth="1"/>
    <col min="12038" max="12038" width="27.54296875" style="154" customWidth="1"/>
    <col min="12039" max="12286" width="9.1796875" style="154"/>
    <col min="12287" max="12287" width="32.26953125" style="154" customWidth="1"/>
    <col min="12288" max="12288" width="26.81640625" style="154" customWidth="1"/>
    <col min="12289" max="12289" width="25.453125" style="154" customWidth="1"/>
    <col min="12290" max="12290" width="24.81640625" style="154" customWidth="1"/>
    <col min="12291" max="12291" width="17" style="154" customWidth="1"/>
    <col min="12292" max="12292" width="20.54296875" style="154" customWidth="1"/>
    <col min="12293" max="12293" width="25.7265625" style="154" customWidth="1"/>
    <col min="12294" max="12294" width="27.54296875" style="154" customWidth="1"/>
    <col min="12295" max="12542" width="9.1796875" style="154"/>
    <col min="12543" max="12543" width="32.26953125" style="154" customWidth="1"/>
    <col min="12544" max="12544" width="26.81640625" style="154" customWidth="1"/>
    <col min="12545" max="12545" width="25.453125" style="154" customWidth="1"/>
    <col min="12546" max="12546" width="24.81640625" style="154" customWidth="1"/>
    <col min="12547" max="12547" width="17" style="154" customWidth="1"/>
    <col min="12548" max="12548" width="20.54296875" style="154" customWidth="1"/>
    <col min="12549" max="12549" width="25.7265625" style="154" customWidth="1"/>
    <col min="12550" max="12550" width="27.54296875" style="154" customWidth="1"/>
    <col min="12551" max="12798" width="9.1796875" style="154"/>
    <col min="12799" max="12799" width="32.26953125" style="154" customWidth="1"/>
    <col min="12800" max="12800" width="26.81640625" style="154" customWidth="1"/>
    <col min="12801" max="12801" width="25.453125" style="154" customWidth="1"/>
    <col min="12802" max="12802" width="24.81640625" style="154" customWidth="1"/>
    <col min="12803" max="12803" width="17" style="154" customWidth="1"/>
    <col min="12804" max="12804" width="20.54296875" style="154" customWidth="1"/>
    <col min="12805" max="12805" width="25.7265625" style="154" customWidth="1"/>
    <col min="12806" max="12806" width="27.54296875" style="154" customWidth="1"/>
    <col min="12807" max="13054" width="9.1796875" style="154"/>
    <col min="13055" max="13055" width="32.26953125" style="154" customWidth="1"/>
    <col min="13056" max="13056" width="26.81640625" style="154" customWidth="1"/>
    <col min="13057" max="13057" width="25.453125" style="154" customWidth="1"/>
    <col min="13058" max="13058" width="24.81640625" style="154" customWidth="1"/>
    <col min="13059" max="13059" width="17" style="154" customWidth="1"/>
    <col min="13060" max="13060" width="20.54296875" style="154" customWidth="1"/>
    <col min="13061" max="13061" width="25.7265625" style="154" customWidth="1"/>
    <col min="13062" max="13062" width="27.54296875" style="154" customWidth="1"/>
    <col min="13063" max="13310" width="9.1796875" style="154"/>
    <col min="13311" max="13311" width="32.26953125" style="154" customWidth="1"/>
    <col min="13312" max="13312" width="26.81640625" style="154" customWidth="1"/>
    <col min="13313" max="13313" width="25.453125" style="154" customWidth="1"/>
    <col min="13314" max="13314" width="24.81640625" style="154" customWidth="1"/>
    <col min="13315" max="13315" width="17" style="154" customWidth="1"/>
    <col min="13316" max="13316" width="20.54296875" style="154" customWidth="1"/>
    <col min="13317" max="13317" width="25.7265625" style="154" customWidth="1"/>
    <col min="13318" max="13318" width="27.54296875" style="154" customWidth="1"/>
    <col min="13319" max="13566" width="9.1796875" style="154"/>
    <col min="13567" max="13567" width="32.26953125" style="154" customWidth="1"/>
    <col min="13568" max="13568" width="26.81640625" style="154" customWidth="1"/>
    <col min="13569" max="13569" width="25.453125" style="154" customWidth="1"/>
    <col min="13570" max="13570" width="24.81640625" style="154" customWidth="1"/>
    <col min="13571" max="13571" width="17" style="154" customWidth="1"/>
    <col min="13572" max="13572" width="20.54296875" style="154" customWidth="1"/>
    <col min="13573" max="13573" width="25.7265625" style="154" customWidth="1"/>
    <col min="13574" max="13574" width="27.54296875" style="154" customWidth="1"/>
    <col min="13575" max="13822" width="9.1796875" style="154"/>
    <col min="13823" max="13823" width="32.26953125" style="154" customWidth="1"/>
    <col min="13824" max="13824" width="26.81640625" style="154" customWidth="1"/>
    <col min="13825" max="13825" width="25.453125" style="154" customWidth="1"/>
    <col min="13826" max="13826" width="24.81640625" style="154" customWidth="1"/>
    <col min="13827" max="13827" width="17" style="154" customWidth="1"/>
    <col min="13828" max="13828" width="20.54296875" style="154" customWidth="1"/>
    <col min="13829" max="13829" width="25.7265625" style="154" customWidth="1"/>
    <col min="13830" max="13830" width="27.54296875" style="154" customWidth="1"/>
    <col min="13831" max="14078" width="9.1796875" style="154"/>
    <col min="14079" max="14079" width="32.26953125" style="154" customWidth="1"/>
    <col min="14080" max="14080" width="26.81640625" style="154" customWidth="1"/>
    <col min="14081" max="14081" width="25.453125" style="154" customWidth="1"/>
    <col min="14082" max="14082" width="24.81640625" style="154" customWidth="1"/>
    <col min="14083" max="14083" width="17" style="154" customWidth="1"/>
    <col min="14084" max="14084" width="20.54296875" style="154" customWidth="1"/>
    <col min="14085" max="14085" width="25.7265625" style="154" customWidth="1"/>
    <col min="14086" max="14086" width="27.54296875" style="154" customWidth="1"/>
    <col min="14087" max="14334" width="9.1796875" style="154"/>
    <col min="14335" max="14335" width="32.26953125" style="154" customWidth="1"/>
    <col min="14336" max="14336" width="26.81640625" style="154" customWidth="1"/>
    <col min="14337" max="14337" width="25.453125" style="154" customWidth="1"/>
    <col min="14338" max="14338" width="24.81640625" style="154" customWidth="1"/>
    <col min="14339" max="14339" width="17" style="154" customWidth="1"/>
    <col min="14340" max="14340" width="20.54296875" style="154" customWidth="1"/>
    <col min="14341" max="14341" width="25.7265625" style="154" customWidth="1"/>
    <col min="14342" max="14342" width="27.54296875" style="154" customWidth="1"/>
    <col min="14343" max="14590" width="9.1796875" style="154"/>
    <col min="14591" max="14591" width="32.26953125" style="154" customWidth="1"/>
    <col min="14592" max="14592" width="26.81640625" style="154" customWidth="1"/>
    <col min="14593" max="14593" width="25.453125" style="154" customWidth="1"/>
    <col min="14594" max="14594" width="24.81640625" style="154" customWidth="1"/>
    <col min="14595" max="14595" width="17" style="154" customWidth="1"/>
    <col min="14596" max="14596" width="20.54296875" style="154" customWidth="1"/>
    <col min="14597" max="14597" width="25.7265625" style="154" customWidth="1"/>
    <col min="14598" max="14598" width="27.54296875" style="154" customWidth="1"/>
    <col min="14599" max="14846" width="9.1796875" style="154"/>
    <col min="14847" max="14847" width="32.26953125" style="154" customWidth="1"/>
    <col min="14848" max="14848" width="26.81640625" style="154" customWidth="1"/>
    <col min="14849" max="14849" width="25.453125" style="154" customWidth="1"/>
    <col min="14850" max="14850" width="24.81640625" style="154" customWidth="1"/>
    <col min="14851" max="14851" width="17" style="154" customWidth="1"/>
    <col min="14852" max="14852" width="20.54296875" style="154" customWidth="1"/>
    <col min="14853" max="14853" width="25.7265625" style="154" customWidth="1"/>
    <col min="14854" max="14854" width="27.54296875" style="154" customWidth="1"/>
    <col min="14855" max="15102" width="9.1796875" style="154"/>
    <col min="15103" max="15103" width="32.26953125" style="154" customWidth="1"/>
    <col min="15104" max="15104" width="26.81640625" style="154" customWidth="1"/>
    <col min="15105" max="15105" width="25.453125" style="154" customWidth="1"/>
    <col min="15106" max="15106" width="24.81640625" style="154" customWidth="1"/>
    <col min="15107" max="15107" width="17" style="154" customWidth="1"/>
    <col min="15108" max="15108" width="20.54296875" style="154" customWidth="1"/>
    <col min="15109" max="15109" width="25.7265625" style="154" customWidth="1"/>
    <col min="15110" max="15110" width="27.54296875" style="154" customWidth="1"/>
    <col min="15111" max="15358" width="9.1796875" style="154"/>
    <col min="15359" max="15359" width="32.26953125" style="154" customWidth="1"/>
    <col min="15360" max="15360" width="26.81640625" style="154" customWidth="1"/>
    <col min="15361" max="15361" width="25.453125" style="154" customWidth="1"/>
    <col min="15362" max="15362" width="24.81640625" style="154" customWidth="1"/>
    <col min="15363" max="15363" width="17" style="154" customWidth="1"/>
    <col min="15364" max="15364" width="20.54296875" style="154" customWidth="1"/>
    <col min="15365" max="15365" width="25.7265625" style="154" customWidth="1"/>
    <col min="15366" max="15366" width="27.54296875" style="154" customWidth="1"/>
    <col min="15367" max="15614" width="9.1796875" style="154"/>
    <col min="15615" max="15615" width="32.26953125" style="154" customWidth="1"/>
    <col min="15616" max="15616" width="26.81640625" style="154" customWidth="1"/>
    <col min="15617" max="15617" width="25.453125" style="154" customWidth="1"/>
    <col min="15618" max="15618" width="24.81640625" style="154" customWidth="1"/>
    <col min="15619" max="15619" width="17" style="154" customWidth="1"/>
    <col min="15620" max="15620" width="20.54296875" style="154" customWidth="1"/>
    <col min="15621" max="15621" width="25.7265625" style="154" customWidth="1"/>
    <col min="15622" max="15622" width="27.54296875" style="154" customWidth="1"/>
    <col min="15623" max="15870" width="9.1796875" style="154"/>
    <col min="15871" max="15871" width="32.26953125" style="154" customWidth="1"/>
    <col min="15872" max="15872" width="26.81640625" style="154" customWidth="1"/>
    <col min="15873" max="15873" width="25.453125" style="154" customWidth="1"/>
    <col min="15874" max="15874" width="24.81640625" style="154" customWidth="1"/>
    <col min="15875" max="15875" width="17" style="154" customWidth="1"/>
    <col min="15876" max="15876" width="20.54296875" style="154" customWidth="1"/>
    <col min="15877" max="15877" width="25.7265625" style="154" customWidth="1"/>
    <col min="15878" max="15878" width="27.54296875" style="154" customWidth="1"/>
    <col min="15879" max="16126" width="9.1796875" style="154"/>
    <col min="16127" max="16127" width="32.26953125" style="154" customWidth="1"/>
    <col min="16128" max="16128" width="26.81640625" style="154" customWidth="1"/>
    <col min="16129" max="16129" width="25.453125" style="154" customWidth="1"/>
    <col min="16130" max="16130" width="24.81640625" style="154" customWidth="1"/>
    <col min="16131" max="16131" width="17" style="154" customWidth="1"/>
    <col min="16132" max="16132" width="20.54296875" style="154" customWidth="1"/>
    <col min="16133" max="16133" width="25.7265625" style="154" customWidth="1"/>
    <col min="16134" max="16134" width="27.54296875" style="154" customWidth="1"/>
    <col min="16135" max="16384" width="9.1796875" style="154"/>
  </cols>
  <sheetData>
    <row r="1" spans="1:11" ht="16" thickBot="1" x14ac:dyDescent="0.4">
      <c r="A1" s="1315" t="s">
        <v>416</v>
      </c>
      <c r="B1" s="1316"/>
      <c r="C1" s="1316"/>
      <c r="D1" s="1316"/>
      <c r="E1" s="1316"/>
      <c r="F1" s="1316"/>
      <c r="G1" s="1316"/>
      <c r="H1" s="1317"/>
    </row>
    <row r="2" spans="1:11" x14ac:dyDescent="0.35">
      <c r="A2" s="502" t="s">
        <v>306</v>
      </c>
      <c r="B2" s="1293" t="s">
        <v>409</v>
      </c>
      <c r="C2" s="1294"/>
      <c r="D2" s="503" t="s">
        <v>307</v>
      </c>
      <c r="E2" s="1295" t="s">
        <v>410</v>
      </c>
      <c r="F2" s="1318"/>
      <c r="G2" s="504" t="s">
        <v>308</v>
      </c>
      <c r="H2" s="505" t="s">
        <v>417</v>
      </c>
    </row>
    <row r="3" spans="1:11" x14ac:dyDescent="0.35">
      <c r="A3" s="506" t="s">
        <v>309</v>
      </c>
      <c r="B3" s="1297" t="s">
        <v>412</v>
      </c>
      <c r="C3" s="1298"/>
      <c r="D3" s="475" t="s">
        <v>246</v>
      </c>
      <c r="E3" s="1319" t="str">
        <f>'M&amp;E Matrix'!E3:F3</f>
        <v>African Women and Youth Action for Development</v>
      </c>
      <c r="F3" s="1320"/>
      <c r="G3" s="508" t="s">
        <v>310</v>
      </c>
      <c r="H3" s="509" t="s">
        <v>411</v>
      </c>
    </row>
    <row r="4" spans="1:11" ht="15" thickBot="1" x14ac:dyDescent="0.4">
      <c r="A4" s="510" t="s">
        <v>311</v>
      </c>
      <c r="B4" s="1299" t="s">
        <v>280</v>
      </c>
      <c r="C4" s="1300"/>
      <c r="D4" s="511"/>
      <c r="E4" s="1313"/>
      <c r="F4" s="1314"/>
      <c r="G4" s="513" t="s">
        <v>312</v>
      </c>
      <c r="H4" s="514" t="s">
        <v>415</v>
      </c>
    </row>
    <row r="5" spans="1:11" ht="19" thickBot="1" x14ac:dyDescent="0.4">
      <c r="A5" s="1325" t="s">
        <v>313</v>
      </c>
      <c r="B5" s="1326"/>
      <c r="C5" s="1327"/>
      <c r="D5" s="1325" t="s">
        <v>314</v>
      </c>
      <c r="E5" s="1326"/>
      <c r="F5" s="1327"/>
      <c r="G5" s="1325" t="s">
        <v>315</v>
      </c>
      <c r="H5" s="1327"/>
    </row>
    <row r="6" spans="1:11" ht="28" customHeight="1" thickBot="1" x14ac:dyDescent="0.4">
      <c r="A6" s="476" t="s">
        <v>221</v>
      </c>
      <c r="B6" s="526" t="s">
        <v>316</v>
      </c>
      <c r="C6" s="527" t="s">
        <v>317</v>
      </c>
      <c r="D6" s="779" t="s">
        <v>318</v>
      </c>
      <c r="E6" s="780" t="s">
        <v>319</v>
      </c>
      <c r="F6" s="781" t="s">
        <v>320</v>
      </c>
      <c r="G6" s="515" t="s">
        <v>321</v>
      </c>
      <c r="H6" s="477" t="s">
        <v>322</v>
      </c>
    </row>
    <row r="7" spans="1:11" ht="24" customHeight="1" thickBot="1" x14ac:dyDescent="0.4">
      <c r="A7" s="1330" t="str">
        <f>'M&amp;E Matrix'!A7</f>
        <v>GOAL:  Increased household self-reliance and resilience among refugees and host community members in Palabek and Kyaka II refugee settlements.</v>
      </c>
      <c r="B7" s="1331"/>
      <c r="C7" s="1331"/>
      <c r="D7" s="1331"/>
      <c r="E7" s="528"/>
      <c r="F7" s="528"/>
      <c r="G7" s="528"/>
      <c r="H7" s="529"/>
    </row>
    <row r="8" spans="1:11" ht="15" thickBot="1" x14ac:dyDescent="0.4">
      <c r="A8" s="480"/>
      <c r="B8" s="530"/>
      <c r="C8" s="530"/>
      <c r="D8" s="531"/>
      <c r="E8" s="532"/>
      <c r="F8" s="533"/>
      <c r="G8" s="532"/>
      <c r="H8" s="534"/>
    </row>
    <row r="9" spans="1:11" ht="21" customHeight="1" x14ac:dyDescent="0.35">
      <c r="A9" s="1328" t="str">
        <f>'M&amp;E Matrix'!A9</f>
        <v xml:space="preserve">Outcome 1. Increased household food security and incomes among refugees and host communities </v>
      </c>
      <c r="B9" s="1329"/>
      <c r="C9" s="1329"/>
      <c r="D9" s="1329"/>
      <c r="E9" s="954"/>
      <c r="F9" s="954"/>
      <c r="G9" s="954"/>
      <c r="H9" s="955"/>
    </row>
    <row r="10" spans="1:11" ht="266.25" customHeight="1" x14ac:dyDescent="0.35">
      <c r="A10" s="863" t="str">
        <f>'M&amp;E Matrix'!A10</f>
        <v>Indicator 1.A. 1200 refugees and host communities achieve atleast 30%  increase in household food production.</v>
      </c>
      <c r="B10" s="863" t="str">
        <f>'M&amp;E Matrix'!B10</f>
        <v xml:space="preserve">30% increase in food production calculation: ((new period amount of food produced - prior period amount of food produced)/prior period amount of food produced))*100                                                                                       
ITT Calculation: Count all refugees and host communities who achieved 30% + food production a year.                                                                                                                                                                   </v>
      </c>
      <c r="C10" s="863" t="str">
        <f>'M&amp;E Matrix'!C10</f>
        <v>Unit (s): 
Men and Women (engaged in own food production)
Household</v>
      </c>
      <c r="D10" s="881">
        <v>1200</v>
      </c>
      <c r="E10" s="881">
        <v>456</v>
      </c>
      <c r="F10" s="881" t="s">
        <v>429</v>
      </c>
      <c r="G10" s="881" t="s">
        <v>430</v>
      </c>
      <c r="H10" s="881" t="s">
        <v>418</v>
      </c>
    </row>
    <row r="11" spans="1:11" ht="266.25" customHeight="1" x14ac:dyDescent="0.35">
      <c r="A11" s="863" t="str">
        <f>'M&amp;E Matrix'!A11</f>
        <v xml:space="preserve">Indicator 1.B. 800 refugees and host communities acquire atleast one productive household asset and one non-productive asset. </v>
      </c>
      <c r="B11" s="863" t="str">
        <f>'M&amp;E Matrix'!B11</f>
        <v xml:space="preserve"> ITT Calculation:  
1. Count number of women who bought a productive asset within project period.                                                                                                                                               2. Count number of women who bought a productive asset within project period.                                                                                                                                                                                                                                                                                                                                                              3. Add the number of women and men who bought a productive asset within project period.                                               A productive asset may include: Farm tools, business equipment, livestock, bodaboda, truck, land, house, etc.</v>
      </c>
      <c r="C11" s="863" t="str">
        <f>'M&amp;E Matrix'!C11</f>
        <v>Unit (s): 
Men and Women (in HH with Assets)
Household</v>
      </c>
      <c r="D11" s="881">
        <v>800</v>
      </c>
      <c r="E11" s="881">
        <v>108</v>
      </c>
      <c r="F11" s="881" t="s">
        <v>429</v>
      </c>
      <c r="G11" s="881" t="s">
        <v>430</v>
      </c>
      <c r="H11" s="881" t="s">
        <v>418</v>
      </c>
    </row>
    <row r="12" spans="1:11" ht="266.25" customHeight="1" x14ac:dyDescent="0.35">
      <c r="A12" s="863" t="str">
        <f>'M&amp;E Matrix'!A12</f>
        <v>Indicator 1.C: 800 refugees and host community members  increase their savings by atleast 50%</v>
      </c>
      <c r="B12" s="863" t="str">
        <f>'M&amp;E Matrix'!B12</f>
        <v xml:space="preserve">% increase calculation: ((new period savings value - prior period savings value)/prior period savings value))*100
ITT Calculation: Count all refugees and host community members who increased their savings by 50% + during the project period.     
Disaggregated by savings held by men and women within the household. </v>
      </c>
      <c r="C12" s="863" t="str">
        <f>'M&amp;E Matrix'!C12</f>
        <v>Unit (s): 
Men and Women (in HH with savings)
Household</v>
      </c>
      <c r="D12" s="881">
        <v>800</v>
      </c>
      <c r="E12" s="881">
        <v>108</v>
      </c>
      <c r="F12" s="881" t="s">
        <v>429</v>
      </c>
      <c r="G12" s="881" t="s">
        <v>430</v>
      </c>
      <c r="H12" s="881" t="s">
        <v>418</v>
      </c>
    </row>
    <row r="13" spans="1:11" ht="34.5" customHeight="1" thickBot="1" x14ac:dyDescent="0.4">
      <c r="A13" s="1321" t="str">
        <f>'M&amp;E Matrix'!A13</f>
        <v xml:space="preserve">OUTPUT 1.1: Targeted Refugees and their host communities have access to communty extension services </v>
      </c>
      <c r="B13" s="1322"/>
      <c r="C13" s="1322"/>
      <c r="D13" s="1322"/>
      <c r="E13" s="774"/>
      <c r="F13" s="774"/>
      <c r="G13" s="774"/>
      <c r="H13" s="775"/>
    </row>
    <row r="14" spans="1:11" ht="296" customHeight="1" thickBot="1" x14ac:dyDescent="0.4">
      <c r="A14" s="535" t="str">
        <f>'M&amp;E Matrix'!A14</f>
        <v>Indicator 1.1.a: 10 training modules (agronomy, PHH and eco-system mgt) conducted for lead/modal farmers</v>
      </c>
      <c r="B14" s="535" t="str">
        <f>'M&amp;E Matrix'!B14</f>
        <v xml:space="preserve">
Lead/Model Farmer - A refugee or host farmer is a member of the refugee/host farmer group selected by group as their peer leader/trainer. 
Farmer-to-Farmer Extension services - Refers to knowledge &amp; skills provided by the lead/model farmers to  at group level or household level during monitoring visit. 
ITT Calculation:
Count the number of lead farmers who receieved atleast 10 training modules  in Agronomy, PHH and eco-system management. 
</v>
      </c>
      <c r="C14" s="535" t="str">
        <f>'M&amp;E Matrix'!C14</f>
        <v>Lead Farmers</v>
      </c>
      <c r="D14" s="536">
        <v>60</v>
      </c>
      <c r="E14" s="537">
        <v>0</v>
      </c>
      <c r="F14" s="481" t="s">
        <v>429</v>
      </c>
      <c r="G14" s="482" t="s">
        <v>430</v>
      </c>
      <c r="H14" s="538" t="s">
        <v>431</v>
      </c>
      <c r="K14" s="154">
        <v>5</v>
      </c>
    </row>
    <row r="15" spans="1:11" ht="193.5" customHeight="1" thickBot="1" x14ac:dyDescent="0.4">
      <c r="A15" s="539" t="str">
        <f>'M&amp;E Matrix'!A15</f>
        <v>Indicator 1.1.b: 1600 refugees &amp; host communities receive extension services from lead/model farmers.</v>
      </c>
      <c r="B15" s="539" t="str">
        <f>'M&amp;E Matrix'!B15</f>
        <v xml:space="preserve">Refugee = South Sudanese nationals who have been forced to leave their country to seek asylum in Uganda(Palabek refugee settlement)
Host communities  = Ugandan nationals living in and around Palabek refugee settlement.
ITT Calculation                                              Count the number of refugee and host community farmers who recieved advice/knowledge/skills from the lead farmers. </v>
      </c>
      <c r="C15" s="539" t="str">
        <f>'M&amp;E Matrix'!C15</f>
        <v>Refugee and host community farmers</v>
      </c>
      <c r="D15" s="544">
        <v>1600</v>
      </c>
      <c r="E15" s="540">
        <v>0</v>
      </c>
      <c r="F15" s="481" t="s">
        <v>429</v>
      </c>
      <c r="G15" s="482" t="s">
        <v>430</v>
      </c>
      <c r="H15" s="538" t="s">
        <v>431</v>
      </c>
    </row>
    <row r="16" spans="1:11" ht="20.25" customHeight="1" thickBot="1" x14ac:dyDescent="0.4">
      <c r="A16" s="1323" t="str">
        <f>'M&amp;E Matrix'!A16</f>
        <v xml:space="preserve">OUTPUT 1.2: Targeted refugees and host community members have access to improved high yielding seeds. </v>
      </c>
      <c r="B16" s="1324"/>
      <c r="C16" s="1324"/>
      <c r="D16" s="1324"/>
      <c r="E16" s="542"/>
      <c r="F16" s="542"/>
      <c r="G16" s="542"/>
      <c r="H16" s="543"/>
    </row>
    <row r="17" spans="1:8" ht="186" customHeight="1" thickBot="1" x14ac:dyDescent="0.4">
      <c r="A17" s="546" t="str">
        <f>'M&amp;E Matrix'!A17</f>
        <v xml:space="preserve">Indicator 1.2.a: 1200 refugees and host community HHs receive high yeilding seeds </v>
      </c>
      <c r="B17" s="546" t="str">
        <f>'M&amp;E Matrix'!B17</f>
        <v>Agricultural seeds = high yielding varieties of OSLP, cassava, okra, spinanch, onion, egg plant, and amaranth   
Host communities  = Ugandan nationals living in and around Palabek refugee settlement. 
ITT Calculation:                                                 Count the number of refugees and Host communities  who receive the one of the the following seeds: cassava, okra, OSP.</v>
      </c>
      <c r="C17" s="546" t="str">
        <f>'M&amp;E Matrix'!C17</f>
        <v>Households</v>
      </c>
      <c r="D17" s="956">
        <v>1200</v>
      </c>
      <c r="E17" s="957">
        <v>0</v>
      </c>
      <c r="F17" s="958" t="s">
        <v>429</v>
      </c>
      <c r="G17" s="482" t="s">
        <v>430</v>
      </c>
      <c r="H17" s="541" t="s">
        <v>433</v>
      </c>
    </row>
    <row r="18" spans="1:8" ht="20.25" customHeight="1" x14ac:dyDescent="0.35">
      <c r="A18" s="961" t="str">
        <f>'M&amp;E Matrix'!A18</f>
        <v>OUTPUT 1.3: Targeted refugees engage in off-farm income generating activities.</v>
      </c>
      <c r="B18" s="961"/>
      <c r="C18" s="773"/>
      <c r="D18" s="880"/>
      <c r="E18" s="773"/>
      <c r="F18" s="959"/>
      <c r="G18" s="773"/>
      <c r="H18" s="773"/>
    </row>
    <row r="19" spans="1:8" ht="224.25" customHeight="1" x14ac:dyDescent="0.35">
      <c r="A19" s="962" t="str">
        <f>'M&amp;E Matrix'!A19</f>
        <v xml:space="preserve">Indicator 1.3. a. 200 refugees supported to establish small scale businesses. </v>
      </c>
      <c r="B19" s="962" t="str">
        <f>'M&amp;E Matrix'!B19</f>
        <v xml:space="preserve">
Small-scale business - a business that has low capital investments and does not have a high volume of sales.
ITT Calculation:
Count the number of refugees who acquired a loan from the VSLA cash grants provided by LWR. 
</v>
      </c>
      <c r="C19" s="962" t="str">
        <f>'M&amp;E Matrix'!C19</f>
        <v>Men and women operating businesses</v>
      </c>
      <c r="D19" s="963">
        <v>200</v>
      </c>
      <c r="E19" s="963">
        <v>0</v>
      </c>
      <c r="F19" s="964" t="s">
        <v>429</v>
      </c>
      <c r="G19" s="881" t="s">
        <v>430</v>
      </c>
      <c r="H19" s="965" t="s">
        <v>432</v>
      </c>
    </row>
    <row r="20" spans="1:8" ht="224.25" customHeight="1" x14ac:dyDescent="0.35">
      <c r="A20" s="962" t="str">
        <f>'M&amp;E Matrix'!A20</f>
        <v>Indicator 1.3.b. 50 refugee and host communities generating income from honey production and Marketing.</v>
      </c>
      <c r="B20" s="962" t="str">
        <f>'M&amp;E Matrix'!B20</f>
        <v xml:space="preserve">Honey  = A product of bees got from bee hives.
Honey Production: Process of getting honey from bee hives. 
Honey Marketing: A process of selling honey. 
ITT Calculation: 
Count the number of refugee and host community members producing and selling honey. </v>
      </c>
      <c r="C20" s="962" t="str">
        <f>'M&amp;E Matrix'!C20</f>
        <v>Men and women engaged in honey production and selling.</v>
      </c>
      <c r="D20" s="963">
        <v>50</v>
      </c>
      <c r="E20" s="963">
        <v>0</v>
      </c>
      <c r="F20" s="964" t="s">
        <v>429</v>
      </c>
      <c r="G20" s="881" t="s">
        <v>430</v>
      </c>
      <c r="H20" s="965" t="s">
        <v>432</v>
      </c>
    </row>
    <row r="21" spans="1:8" ht="32" customHeight="1" x14ac:dyDescent="0.35">
      <c r="A21" s="1304" t="str">
        <f>'M&amp;E Matrix'!A21</f>
        <v>OUTPUT 1.4: Targeted refugees and host community members in engage in VSLA.</v>
      </c>
      <c r="B21" s="1305"/>
      <c r="C21" s="1305"/>
      <c r="D21" s="1305"/>
      <c r="E21" s="1305"/>
      <c r="F21" s="1305"/>
      <c r="G21" s="1305"/>
      <c r="H21" s="1306"/>
    </row>
    <row r="22" spans="1:8" ht="207" customHeight="1" x14ac:dyDescent="0.35">
      <c r="A22" s="966" t="str">
        <f>'M&amp;E Matrix'!A22</f>
        <v>Indicator 1.4.a: 30 Village Savings and Lending Associations (groups) formed and strengthened</v>
      </c>
      <c r="B22" s="966" t="str">
        <f>'M&amp;E Matrix'!B22</f>
        <v>ITT Calculation: Count number of farmer gropus involved in VSLA.
Savings and Credit Group/Cooperative: Regulating fund mobilization at the community level
Formed: created
Strengthened: trained on purpose, norms</v>
      </c>
      <c r="C22" s="966" t="str">
        <f>'M&amp;E Matrix'!C22</f>
        <v xml:space="preserve">Unit: Number of Saving and Credits groups
</v>
      </c>
      <c r="D22" s="967">
        <v>30</v>
      </c>
      <c r="E22" s="962">
        <v>0</v>
      </c>
      <c r="F22" s="964" t="s">
        <v>429</v>
      </c>
      <c r="G22" s="881" t="s">
        <v>430</v>
      </c>
      <c r="H22" s="965" t="s">
        <v>432</v>
      </c>
    </row>
    <row r="23" spans="1:8" ht="207" customHeight="1" x14ac:dyDescent="0.35">
      <c r="A23" s="966" t="str">
        <f>'M&amp;E Matrix'!A23</f>
        <v xml:space="preserve">Indicator 1.4 b. 600 refugee and host community members engaged in VSLA activities (saving and borrowing). </v>
      </c>
      <c r="B23" s="966" t="str">
        <f>'M&amp;E Matrix'!B23</f>
        <v xml:space="preserve">ITT Calculation: Count number of refugees and host communities  involved in saving money into the VSLA and involved in taking loans from the group. 
Savings: Individual VSLA group member takes a stipulated amount of money to VSLA group for keeping/using on his behalf for a stipulated amount of time.
Borrowing: Involves a member taking a loan from the VSLA group with a purpose of using the money and later returning it with interest. </v>
      </c>
      <c r="C23" s="966" t="str">
        <f>'M&amp;E Matrix'!C23</f>
        <v xml:space="preserve">Unit: people (men and women)
</v>
      </c>
      <c r="D23" s="967">
        <v>600</v>
      </c>
      <c r="E23" s="960">
        <v>0</v>
      </c>
      <c r="F23" s="964" t="s">
        <v>600</v>
      </c>
      <c r="G23" s="881" t="s">
        <v>430</v>
      </c>
      <c r="H23" s="965" t="s">
        <v>432</v>
      </c>
    </row>
    <row r="24" spans="1:8" ht="35" customHeight="1" thickBot="1" x14ac:dyDescent="0.4">
      <c r="A24" s="1307" t="str">
        <f>'M&amp;E Matrix'!A24</f>
        <v>Output 1.5: Targeted refugees and host community members engage in eco-system activities that enhance agriculture productivity.</v>
      </c>
      <c r="B24" s="1308"/>
      <c r="C24" s="1308"/>
      <c r="D24" s="1308"/>
      <c r="E24" s="1308"/>
      <c r="F24" s="1308"/>
      <c r="G24" s="1308"/>
      <c r="H24" s="1309"/>
    </row>
    <row r="25" spans="1:8" ht="151" customHeight="1" x14ac:dyDescent="0.35">
      <c r="A25" s="799" t="str">
        <f>'M&amp;E Matrix'!A25</f>
        <v>Indicator 1.5.a: 1000 refugee and host community members who established woodlots.</v>
      </c>
      <c r="B25" s="799" t="str">
        <f>'M&amp;E Matrix'!B25</f>
        <v>Woodlots: 
Number of trees planted.  
ITT Calculation:
Count the number of refugees and host communities who planted trees provided by the project.  
Endline: 
3. Household survey</v>
      </c>
      <c r="C25" s="799" t="str">
        <f>'M&amp;E Matrix'!C25</f>
        <v>Refugee and host community farmers</v>
      </c>
      <c r="D25" s="799">
        <v>1000</v>
      </c>
      <c r="E25" s="799">
        <v>0</v>
      </c>
      <c r="F25" s="964" t="s">
        <v>429</v>
      </c>
      <c r="G25" s="881" t="s">
        <v>430</v>
      </c>
      <c r="H25" s="965" t="s">
        <v>432</v>
      </c>
    </row>
    <row r="26" spans="1:8" ht="151" customHeight="1" x14ac:dyDescent="0.35">
      <c r="A26" s="799" t="str">
        <f>'M&amp;E Matrix'!A26</f>
        <v xml:space="preserve">Indicator 1.5.b: 1000 of refugee and host community members who adopt use of organic manure and pesticides. </v>
      </c>
      <c r="B26" s="799" t="str">
        <f>'M&amp;E Matrix'!B26</f>
        <v xml:space="preserve">Organic Manure: 
Fermented/rotten waste materials prepared by farmers from natural plant materials and animal wastes. 
Organic Pesticide:
Fermented liquid made from natural plant materials, herbs and pepper.
ITT Calculation: 
Count number of refugee and host community members who adopt use of organic manure and pesticides. </v>
      </c>
      <c r="C26" s="799" t="str">
        <f>'M&amp;E Matrix'!C26</f>
        <v>Refugee and host community farmers</v>
      </c>
      <c r="D26" s="962">
        <v>1000</v>
      </c>
      <c r="E26" s="962">
        <v>0</v>
      </c>
      <c r="F26" s="964" t="s">
        <v>429</v>
      </c>
      <c r="G26" s="881" t="s">
        <v>430</v>
      </c>
      <c r="H26" s="965" t="s">
        <v>432</v>
      </c>
    </row>
    <row r="27" spans="1:8" ht="15" thickBot="1" x14ac:dyDescent="0.4">
      <c r="A27" s="798"/>
      <c r="B27" s="547"/>
      <c r="C27" s="547"/>
      <c r="D27" s="548"/>
      <c r="E27" s="549"/>
      <c r="F27" s="550"/>
      <c r="G27" s="549"/>
      <c r="H27" s="551"/>
    </row>
    <row r="28" spans="1:8" ht="41" customHeight="1" thickBot="1" x14ac:dyDescent="0.4">
      <c r="A28" s="552" t="str">
        <f>'M&amp;E Matrix'!A28</f>
        <v>OUTCOME 2: Increased community action towards reduction of SGBV risks, promotion of  protection, safety, dignity and fundamental human rights of vulnerable refugees and host communities.</v>
      </c>
      <c r="B28" s="553"/>
      <c r="C28" s="553"/>
      <c r="D28" s="553"/>
      <c r="E28" s="553"/>
      <c r="F28" s="553"/>
      <c r="G28" s="553"/>
      <c r="H28" s="554"/>
    </row>
    <row r="29" spans="1:8" ht="360.5" thickBot="1" x14ac:dyDescent="0.4">
      <c r="A29" s="555" t="str">
        <f>'M&amp;E Matrix'!A29</f>
        <v xml:space="preserve">Indicator 2.A: 1000  refugees and host community members  taking positive actions towards reduction of protection and SGBV risks as well as promotion  of fundamental human rights of vulnerable refugees and host communities. </v>
      </c>
      <c r="B29" s="555" t="str">
        <f>'M&amp;E Matrix'!B29</f>
        <v xml:space="preserve">Positive Actions include: Creating awarenss, advocacy, identifying risks, human rights violations and reporting geared towards prevention &amp; response to SGBV and protection concerns of vulnerable persons in the community. 
Protection &amp; SGBV Risks include: Sexual assualt, sexual harrasment, Rape, Defilement, Domestic violence, Child marriage, Child sacrifice, Child labour, Human traficking and forced marriage.  
Fundalmental human rights include: the right to life with dignity, the right to receive humanitarian assistance and the right to protection and security. 
ITT Calculation:                                             Count the number of community members who took atleast one positive action towards reduction of protection and SGBV risks as well as promotion  of fundamental human rights of vulnerable refugees and host communities. 
</v>
      </c>
      <c r="C29" s="555" t="str">
        <f>'M&amp;E Matrix'!C29</f>
        <v>Men, Women, boys and girls.</v>
      </c>
      <c r="D29" s="536">
        <v>1000</v>
      </c>
      <c r="E29" s="545">
        <v>150</v>
      </c>
      <c r="F29" s="481" t="s">
        <v>429</v>
      </c>
      <c r="G29" s="482" t="s">
        <v>430</v>
      </c>
      <c r="H29" s="538" t="s">
        <v>434</v>
      </c>
    </row>
    <row r="30" spans="1:8" x14ac:dyDescent="0.35">
      <c r="A30" s="1310" t="str">
        <f>'M&amp;E Matrix'!A30</f>
        <v>OUTPUT 2.1: Protection of all refugees are strengthened through meaningful engagement with communities, with particular attention to at-risk group</v>
      </c>
      <c r="B30" s="1311"/>
      <c r="C30" s="1311"/>
      <c r="D30" s="1311"/>
      <c r="E30" s="1311"/>
      <c r="F30" s="1311"/>
      <c r="G30" s="1311"/>
      <c r="H30" s="1312"/>
    </row>
    <row r="31" spans="1:8" ht="196" customHeight="1" x14ac:dyDescent="0.35">
      <c r="A31" s="863" t="str">
        <f>'M&amp;E Matrix'!A31</f>
        <v>Indicator 2.1.a. 820 of women in leadership structures and community groups for community self-management and empowerment</v>
      </c>
      <c r="B31" s="863" t="str">
        <f>'M&amp;E Matrix'!B31</f>
        <v xml:space="preserve">Leadership Structures: Include RWCs, Protection Committees, etc.
Community groups include livelihood groups and women groups/women own fora. 
ITT Calculation:                                             1. Count the number of women in leadership structures                                    2. Count the number of women in community groups                                        3. Add the numbers in 1 &amp; 2. </v>
      </c>
      <c r="C31" s="969" t="str">
        <f>'M&amp;E Matrix'!C31</f>
        <v>women</v>
      </c>
      <c r="D31" s="886">
        <v>820</v>
      </c>
      <c r="E31" s="886">
        <v>0</v>
      </c>
      <c r="F31" s="881" t="s">
        <v>429</v>
      </c>
      <c r="G31" s="881" t="s">
        <v>430</v>
      </c>
      <c r="H31" s="881" t="s">
        <v>434</v>
      </c>
    </row>
    <row r="32" spans="1:8" ht="196" customHeight="1" x14ac:dyDescent="0.35">
      <c r="A32" s="863" t="str">
        <f>'M&amp;E Matrix'!A32</f>
        <v>Indicator 2.1.b. 2000 of complaints addressed through effective feedback mechanisms</v>
      </c>
      <c r="B32" s="863" t="str">
        <f>'M&amp;E Matrix'!B32</f>
        <v xml:space="preserve">Complaits: Any issue of concern to the refugee or host community member that needs to be addressed. 
Feedback Mechanism: Refers to the complaits desks, and Protection committees.
ITT Calculation 
Count all received and addressed complaits that have been documented in complaits records at the complaits desks. </v>
      </c>
      <c r="C32" s="969" t="str">
        <f>'M&amp;E Matrix'!C32</f>
        <v>Complaits</v>
      </c>
      <c r="D32" s="886">
        <v>2000</v>
      </c>
      <c r="E32" s="886">
        <v>0</v>
      </c>
      <c r="F32" s="881" t="s">
        <v>429</v>
      </c>
      <c r="G32" s="881" t="s">
        <v>430</v>
      </c>
      <c r="H32" s="881" t="s">
        <v>434</v>
      </c>
    </row>
    <row r="33" spans="1:8" ht="196" customHeight="1" x14ac:dyDescent="0.35">
      <c r="A33" s="863" t="str">
        <f>'M&amp;E Matrix'!A33</f>
        <v>Indicator 2.1.C. 10,000 of persons with specific needs provided with targeted support</v>
      </c>
      <c r="B33" s="863" t="str">
        <f>'M&amp;E Matrix'!B33</f>
        <v>Pesrsons with Specific Needs (PSNS): 
include: People with disability, elderly, child headed households, terminally ill, SGBV survivors, poor pregnant mothers, poor breast feeding mothers, single mothers, school girls. 
Trageted support:
Includes any support that is given to address PSNs specific vulnerability. This support may include provision of RUMPs, Cash grants, clothing, beddings, baby kits, personal care kits, misson quilts, etc. 
Endline: 
3. Household survey</v>
      </c>
      <c r="C33" s="969" t="str">
        <f>'M&amp;E Matrix'!C33</f>
        <v>PSNs</v>
      </c>
      <c r="D33" s="970">
        <v>10000</v>
      </c>
      <c r="E33" s="886">
        <v>0</v>
      </c>
      <c r="F33" s="881" t="s">
        <v>429</v>
      </c>
      <c r="G33" s="881" t="s">
        <v>430</v>
      </c>
      <c r="H33" s="881" t="s">
        <v>434</v>
      </c>
    </row>
    <row r="34" spans="1:8" ht="39" customHeight="1" x14ac:dyDescent="0.35">
      <c r="A34" s="1301" t="str">
        <f>'M&amp;E Matrix'!A34:J34</f>
        <v xml:space="preserve">OUTPUT 2.2: Social cohesion and Peaceful co-existence among refugees and host communities strengthened </v>
      </c>
      <c r="B34" s="1302"/>
      <c r="C34" s="1302"/>
      <c r="D34" s="1302"/>
      <c r="E34" s="1302"/>
      <c r="F34" s="1302"/>
      <c r="G34" s="1302"/>
      <c r="H34" s="1303"/>
    </row>
    <row r="35" spans="1:8" ht="107.5" customHeight="1" x14ac:dyDescent="0.35">
      <c r="A35" s="863" t="str">
        <f>'M&amp;E Matrix'!A35</f>
        <v xml:space="preserve">Indicator 2.2.a. 40 incidents of conflict within refugee communities as well as between host communities and refugees documented and reported. </v>
      </c>
      <c r="B35" s="863" t="str">
        <f>'M&amp;E Matrix'!B35</f>
        <v xml:space="preserve">Conflicts: 
Missunderstandings between two parties.
ITT Calculation
Count the number of conflicts that have been recorded. </v>
      </c>
      <c r="C35" s="863" t="str">
        <f>'M&amp;E Matrix'!C35</f>
        <v>conflicts</v>
      </c>
      <c r="D35" s="886">
        <v>40</v>
      </c>
      <c r="E35" s="886">
        <v>0</v>
      </c>
      <c r="F35" s="881" t="s">
        <v>429</v>
      </c>
      <c r="G35" s="881" t="s">
        <v>430</v>
      </c>
      <c r="H35" s="881" t="s">
        <v>434</v>
      </c>
    </row>
    <row r="36" spans="1:8" ht="107.5" customHeight="1" x14ac:dyDescent="0.35">
      <c r="A36" s="863" t="str">
        <f>'M&amp;E Matrix'!A36</f>
        <v>Indicator 2.2.b. 24 dialogues conducted to resolve conflicts and promote peaceful co-existence.</v>
      </c>
      <c r="B36" s="863" t="str">
        <f>'M&amp;E Matrix'!B36</f>
        <v xml:space="preserve">Dialogues: 
Discussion between two parties to resolve pending missunderstandings between the  two parties.
ITT Calculation
Count the number of dialogues that have been conducted based on the reports. </v>
      </c>
      <c r="C36" s="863" t="str">
        <f>'M&amp;E Matrix'!C36</f>
        <v>dialogues</v>
      </c>
      <c r="D36" s="886">
        <v>24</v>
      </c>
      <c r="E36" s="886">
        <v>0</v>
      </c>
      <c r="F36" s="881" t="s">
        <v>429</v>
      </c>
      <c r="G36" s="881" t="s">
        <v>430</v>
      </c>
      <c r="H36" s="881" t="s">
        <v>434</v>
      </c>
    </row>
    <row r="37" spans="1:8" ht="107.5" customHeight="1" x14ac:dyDescent="0.35">
      <c r="A37" s="863" t="str">
        <f>'M&amp;E Matrix'!A37</f>
        <v xml:space="preserve">Indicator 2.2.C. 2000 refugees and host community engaged in social cohesion activities. </v>
      </c>
      <c r="B37" s="863" t="str">
        <f>'M&amp;E Matrix'!B37</f>
        <v xml:space="preserve">Social Cohesion Activities: 
Include community dialogues, sports activities and Music, dance and drama activities. 
ITT Calculation
Count the number of dialogues that have been conducted based on the reports. </v>
      </c>
      <c r="C37" s="863" t="str">
        <f>'M&amp;E Matrix'!C37</f>
        <v>Men, Women, boys and girls.</v>
      </c>
      <c r="D37" s="886">
        <v>2000</v>
      </c>
      <c r="E37" s="886">
        <v>0</v>
      </c>
      <c r="F37" s="881" t="s">
        <v>429</v>
      </c>
      <c r="G37" s="881" t="s">
        <v>430</v>
      </c>
      <c r="H37" s="881" t="s">
        <v>434</v>
      </c>
    </row>
    <row r="38" spans="1:8" ht="37" customHeight="1" x14ac:dyDescent="0.35">
      <c r="A38" s="1301" t="str">
        <f>'M&amp;E Matrix'!A38:J38</f>
        <v xml:space="preserve">OUTPUT 2.3: Protection systems and mechanisms SGBV prevention and response strengthened </v>
      </c>
      <c r="B38" s="1302"/>
      <c r="C38" s="1302"/>
      <c r="D38" s="1302"/>
      <c r="E38" s="1302"/>
      <c r="F38" s="1302"/>
      <c r="G38" s="1302"/>
      <c r="H38" s="1303"/>
    </row>
    <row r="39" spans="1:8" ht="80" customHeight="1" x14ac:dyDescent="0.35">
      <c r="A39" s="863" t="str">
        <f>'M&amp;E Matrix'!A39</f>
        <v xml:space="preserve">Indicator 2.3. a. 4000 refugees and host community members participate in SGBV information dissemination activities. </v>
      </c>
      <c r="B39" s="968" t="str">
        <f>'M&amp;E Matrix'!B39</f>
        <v xml:space="preserve">SGBV information dissemination activities include: awareness campaigns, FGDs, conversations, IEC, trainings, media ttalk shows.  
ITT Calculation:
Count the number of refugees and host community members who participate in atleast 1 SGBV information dissemination activity. </v>
      </c>
      <c r="C39" s="968" t="str">
        <f>'M&amp;E Matrix'!C39</f>
        <v>Men, Women, boys and girls.</v>
      </c>
      <c r="D39" s="886">
        <v>4000</v>
      </c>
      <c r="E39" s="886">
        <v>0</v>
      </c>
      <c r="F39" s="881" t="s">
        <v>429</v>
      </c>
      <c r="G39" s="881" t="s">
        <v>430</v>
      </c>
      <c r="H39" s="881" t="s">
        <v>434</v>
      </c>
    </row>
    <row r="40" spans="1:8" ht="80" customHeight="1" x14ac:dyDescent="0.35">
      <c r="A40" s="863" t="str">
        <f>'M&amp;E Matrix'!A40</f>
        <v>Indicator 2.3.b. 200 SGBV survivors identified and referred to receiving appropriate multi-sectoral support.</v>
      </c>
      <c r="B40" s="968" t="str">
        <f>'M&amp;E Matrix'!B40</f>
        <v xml:space="preserve">SGBV Survivors: 
Women, girls, boys and men who have suffered from SGBV.  
Multi-sectoral Support:
Protection support, legal, health, psycho-social and livelihoods support given to SGBV survivor.
ITT Calculation: 
Count the number of SGBV survivors who have received at least one of the multi-sectoral support listed above. </v>
      </c>
      <c r="C40" s="968" t="str">
        <f>'M&amp;E Matrix'!C40</f>
        <v>SGBV Survivors</v>
      </c>
      <c r="D40" s="886">
        <v>200</v>
      </c>
      <c r="E40" s="886">
        <v>0</v>
      </c>
      <c r="F40" s="881" t="s">
        <v>429</v>
      </c>
      <c r="G40" s="881" t="s">
        <v>430</v>
      </c>
      <c r="H40" s="881" t="s">
        <v>434</v>
      </c>
    </row>
    <row r="41" spans="1:8" ht="80" customHeight="1" x14ac:dyDescent="0.35">
      <c r="A41" s="863" t="str">
        <f>'M&amp;E Matrix'!A41</f>
        <v xml:space="preserve"> 12 functional community structures (protection committees, women own fora and men own fora) trained and able to support survivors.</v>
      </c>
      <c r="B41" s="968" t="str">
        <f>'M&amp;E Matrix'!B41</f>
        <v>ITT Calculation: Count the number of functional community structures (protection committees, women own fora and men own fora) trained and supporting SGBV survivors.</v>
      </c>
      <c r="C41" s="968" t="str">
        <f>'M&amp;E Matrix'!C41</f>
        <v>Structures</v>
      </c>
      <c r="D41" s="886">
        <v>10</v>
      </c>
      <c r="E41" s="886">
        <v>0</v>
      </c>
      <c r="F41" s="881" t="s">
        <v>429</v>
      </c>
      <c r="G41" s="881" t="s">
        <v>430</v>
      </c>
      <c r="H41" s="881" t="s">
        <v>434</v>
      </c>
    </row>
    <row r="42" spans="1:8" x14ac:dyDescent="0.35">
      <c r="A42" s="797"/>
      <c r="B42" s="797"/>
      <c r="C42" s="797"/>
      <c r="D42" s="797"/>
      <c r="E42" s="797"/>
      <c r="F42" s="797"/>
      <c r="G42" s="797"/>
      <c r="H42" s="797"/>
    </row>
  </sheetData>
  <mergeCells count="19">
    <mergeCell ref="A13:D13"/>
    <mergeCell ref="A16:D16"/>
    <mergeCell ref="A5:C5"/>
    <mergeCell ref="D5:F5"/>
    <mergeCell ref="G5:H5"/>
    <mergeCell ref="A9:D9"/>
    <mergeCell ref="A7:D7"/>
    <mergeCell ref="B4:C4"/>
    <mergeCell ref="E4:F4"/>
    <mergeCell ref="A1:H1"/>
    <mergeCell ref="B2:C2"/>
    <mergeCell ref="E2:F2"/>
    <mergeCell ref="B3:C3"/>
    <mergeCell ref="E3:F3"/>
    <mergeCell ref="A38:H38"/>
    <mergeCell ref="A21:H21"/>
    <mergeCell ref="A24:H24"/>
    <mergeCell ref="A30:H30"/>
    <mergeCell ref="A34:H3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31"/>
  <sheetViews>
    <sheetView topLeftCell="B1" workbookViewId="0">
      <selection activeCell="B15" sqref="B15"/>
    </sheetView>
  </sheetViews>
  <sheetFormatPr defaultRowHeight="14.5" x14ac:dyDescent="0.35"/>
  <cols>
    <col min="1" max="1" width="19.7265625" style="154" customWidth="1"/>
    <col min="2" max="2" width="116.26953125" style="154" customWidth="1"/>
    <col min="3" max="256" width="9.1796875" style="154"/>
    <col min="257" max="257" width="19.7265625" style="154" customWidth="1"/>
    <col min="258" max="258" width="116.26953125" style="154" customWidth="1"/>
    <col min="259" max="512" width="9.1796875" style="154"/>
    <col min="513" max="513" width="19.7265625" style="154" customWidth="1"/>
    <col min="514" max="514" width="116.26953125" style="154" customWidth="1"/>
    <col min="515" max="768" width="9.1796875" style="154"/>
    <col min="769" max="769" width="19.7265625" style="154" customWidth="1"/>
    <col min="770" max="770" width="116.26953125" style="154" customWidth="1"/>
    <col min="771" max="1024" width="9.1796875" style="154"/>
    <col min="1025" max="1025" width="19.7265625" style="154" customWidth="1"/>
    <col min="1026" max="1026" width="116.26953125" style="154" customWidth="1"/>
    <col min="1027" max="1280" width="9.1796875" style="154"/>
    <col min="1281" max="1281" width="19.7265625" style="154" customWidth="1"/>
    <col min="1282" max="1282" width="116.26953125" style="154" customWidth="1"/>
    <col min="1283" max="1536" width="9.1796875" style="154"/>
    <col min="1537" max="1537" width="19.7265625" style="154" customWidth="1"/>
    <col min="1538" max="1538" width="116.26953125" style="154" customWidth="1"/>
    <col min="1539" max="1792" width="9.1796875" style="154"/>
    <col min="1793" max="1793" width="19.7265625" style="154" customWidth="1"/>
    <col min="1794" max="1794" width="116.26953125" style="154" customWidth="1"/>
    <col min="1795" max="2048" width="9.1796875" style="154"/>
    <col min="2049" max="2049" width="19.7265625" style="154" customWidth="1"/>
    <col min="2050" max="2050" width="116.26953125" style="154" customWidth="1"/>
    <col min="2051" max="2304" width="9.1796875" style="154"/>
    <col min="2305" max="2305" width="19.7265625" style="154" customWidth="1"/>
    <col min="2306" max="2306" width="116.26953125" style="154" customWidth="1"/>
    <col min="2307" max="2560" width="9.1796875" style="154"/>
    <col min="2561" max="2561" width="19.7265625" style="154" customWidth="1"/>
    <col min="2562" max="2562" width="116.26953125" style="154" customWidth="1"/>
    <col min="2563" max="2816" width="9.1796875" style="154"/>
    <col min="2817" max="2817" width="19.7265625" style="154" customWidth="1"/>
    <col min="2818" max="2818" width="116.26953125" style="154" customWidth="1"/>
    <col min="2819" max="3072" width="9.1796875" style="154"/>
    <col min="3073" max="3073" width="19.7265625" style="154" customWidth="1"/>
    <col min="3074" max="3074" width="116.26953125" style="154" customWidth="1"/>
    <col min="3075" max="3328" width="9.1796875" style="154"/>
    <col min="3329" max="3329" width="19.7265625" style="154" customWidth="1"/>
    <col min="3330" max="3330" width="116.26953125" style="154" customWidth="1"/>
    <col min="3331" max="3584" width="9.1796875" style="154"/>
    <col min="3585" max="3585" width="19.7265625" style="154" customWidth="1"/>
    <col min="3586" max="3586" width="116.26953125" style="154" customWidth="1"/>
    <col min="3587" max="3840" width="9.1796875" style="154"/>
    <col min="3841" max="3841" width="19.7265625" style="154" customWidth="1"/>
    <col min="3842" max="3842" width="116.26953125" style="154" customWidth="1"/>
    <col min="3843" max="4096" width="9.1796875" style="154"/>
    <col min="4097" max="4097" width="19.7265625" style="154" customWidth="1"/>
    <col min="4098" max="4098" width="116.26953125" style="154" customWidth="1"/>
    <col min="4099" max="4352" width="9.1796875" style="154"/>
    <col min="4353" max="4353" width="19.7265625" style="154" customWidth="1"/>
    <col min="4354" max="4354" width="116.26953125" style="154" customWidth="1"/>
    <col min="4355" max="4608" width="9.1796875" style="154"/>
    <col min="4609" max="4609" width="19.7265625" style="154" customWidth="1"/>
    <col min="4610" max="4610" width="116.26953125" style="154" customWidth="1"/>
    <col min="4611" max="4864" width="9.1796875" style="154"/>
    <col min="4865" max="4865" width="19.7265625" style="154" customWidth="1"/>
    <col min="4866" max="4866" width="116.26953125" style="154" customWidth="1"/>
    <col min="4867" max="5120" width="9.1796875" style="154"/>
    <col min="5121" max="5121" width="19.7265625" style="154" customWidth="1"/>
    <col min="5122" max="5122" width="116.26953125" style="154" customWidth="1"/>
    <col min="5123" max="5376" width="9.1796875" style="154"/>
    <col min="5377" max="5377" width="19.7265625" style="154" customWidth="1"/>
    <col min="5378" max="5378" width="116.26953125" style="154" customWidth="1"/>
    <col min="5379" max="5632" width="9.1796875" style="154"/>
    <col min="5633" max="5633" width="19.7265625" style="154" customWidth="1"/>
    <col min="5634" max="5634" width="116.26953125" style="154" customWidth="1"/>
    <col min="5635" max="5888" width="9.1796875" style="154"/>
    <col min="5889" max="5889" width="19.7265625" style="154" customWidth="1"/>
    <col min="5890" max="5890" width="116.26953125" style="154" customWidth="1"/>
    <col min="5891" max="6144" width="9.1796875" style="154"/>
    <col min="6145" max="6145" width="19.7265625" style="154" customWidth="1"/>
    <col min="6146" max="6146" width="116.26953125" style="154" customWidth="1"/>
    <col min="6147" max="6400" width="9.1796875" style="154"/>
    <col min="6401" max="6401" width="19.7265625" style="154" customWidth="1"/>
    <col min="6402" max="6402" width="116.26953125" style="154" customWidth="1"/>
    <col min="6403" max="6656" width="9.1796875" style="154"/>
    <col min="6657" max="6657" width="19.7265625" style="154" customWidth="1"/>
    <col min="6658" max="6658" width="116.26953125" style="154" customWidth="1"/>
    <col min="6659" max="6912" width="9.1796875" style="154"/>
    <col min="6913" max="6913" width="19.7265625" style="154" customWidth="1"/>
    <col min="6914" max="6914" width="116.26953125" style="154" customWidth="1"/>
    <col min="6915" max="7168" width="9.1796875" style="154"/>
    <col min="7169" max="7169" width="19.7265625" style="154" customWidth="1"/>
    <col min="7170" max="7170" width="116.26953125" style="154" customWidth="1"/>
    <col min="7171" max="7424" width="9.1796875" style="154"/>
    <col min="7425" max="7425" width="19.7265625" style="154" customWidth="1"/>
    <col min="7426" max="7426" width="116.26953125" style="154" customWidth="1"/>
    <col min="7427" max="7680" width="9.1796875" style="154"/>
    <col min="7681" max="7681" width="19.7265625" style="154" customWidth="1"/>
    <col min="7682" max="7682" width="116.26953125" style="154" customWidth="1"/>
    <col min="7683" max="7936" width="9.1796875" style="154"/>
    <col min="7937" max="7937" width="19.7265625" style="154" customWidth="1"/>
    <col min="7938" max="7938" width="116.26953125" style="154" customWidth="1"/>
    <col min="7939" max="8192" width="9.1796875" style="154"/>
    <col min="8193" max="8193" width="19.7265625" style="154" customWidth="1"/>
    <col min="8194" max="8194" width="116.26953125" style="154" customWidth="1"/>
    <col min="8195" max="8448" width="9.1796875" style="154"/>
    <col min="8449" max="8449" width="19.7265625" style="154" customWidth="1"/>
    <col min="8450" max="8450" width="116.26953125" style="154" customWidth="1"/>
    <col min="8451" max="8704" width="9.1796875" style="154"/>
    <col min="8705" max="8705" width="19.7265625" style="154" customWidth="1"/>
    <col min="8706" max="8706" width="116.26953125" style="154" customWidth="1"/>
    <col min="8707" max="8960" width="9.1796875" style="154"/>
    <col min="8961" max="8961" width="19.7265625" style="154" customWidth="1"/>
    <col min="8962" max="8962" width="116.26953125" style="154" customWidth="1"/>
    <col min="8963" max="9216" width="9.1796875" style="154"/>
    <col min="9217" max="9217" width="19.7265625" style="154" customWidth="1"/>
    <col min="9218" max="9218" width="116.26953125" style="154" customWidth="1"/>
    <col min="9219" max="9472" width="9.1796875" style="154"/>
    <col min="9473" max="9473" width="19.7265625" style="154" customWidth="1"/>
    <col min="9474" max="9474" width="116.26953125" style="154" customWidth="1"/>
    <col min="9475" max="9728" width="9.1796875" style="154"/>
    <col min="9729" max="9729" width="19.7265625" style="154" customWidth="1"/>
    <col min="9730" max="9730" width="116.26953125" style="154" customWidth="1"/>
    <col min="9731" max="9984" width="9.1796875" style="154"/>
    <col min="9985" max="9985" width="19.7265625" style="154" customWidth="1"/>
    <col min="9986" max="9986" width="116.26953125" style="154" customWidth="1"/>
    <col min="9987" max="10240" width="9.1796875" style="154"/>
    <col min="10241" max="10241" width="19.7265625" style="154" customWidth="1"/>
    <col min="10242" max="10242" width="116.26953125" style="154" customWidth="1"/>
    <col min="10243" max="10496" width="9.1796875" style="154"/>
    <col min="10497" max="10497" width="19.7265625" style="154" customWidth="1"/>
    <col min="10498" max="10498" width="116.26953125" style="154" customWidth="1"/>
    <col min="10499" max="10752" width="9.1796875" style="154"/>
    <col min="10753" max="10753" width="19.7265625" style="154" customWidth="1"/>
    <col min="10754" max="10754" width="116.26953125" style="154" customWidth="1"/>
    <col min="10755" max="11008" width="9.1796875" style="154"/>
    <col min="11009" max="11009" width="19.7265625" style="154" customWidth="1"/>
    <col min="11010" max="11010" width="116.26953125" style="154" customWidth="1"/>
    <col min="11011" max="11264" width="9.1796875" style="154"/>
    <col min="11265" max="11265" width="19.7265625" style="154" customWidth="1"/>
    <col min="11266" max="11266" width="116.26953125" style="154" customWidth="1"/>
    <col min="11267" max="11520" width="9.1796875" style="154"/>
    <col min="11521" max="11521" width="19.7265625" style="154" customWidth="1"/>
    <col min="11522" max="11522" width="116.26953125" style="154" customWidth="1"/>
    <col min="11523" max="11776" width="9.1796875" style="154"/>
    <col min="11777" max="11777" width="19.7265625" style="154" customWidth="1"/>
    <col min="11778" max="11778" width="116.26953125" style="154" customWidth="1"/>
    <col min="11779" max="12032" width="9.1796875" style="154"/>
    <col min="12033" max="12033" width="19.7265625" style="154" customWidth="1"/>
    <col min="12034" max="12034" width="116.26953125" style="154" customWidth="1"/>
    <col min="12035" max="12288" width="9.1796875" style="154"/>
    <col min="12289" max="12289" width="19.7265625" style="154" customWidth="1"/>
    <col min="12290" max="12290" width="116.26953125" style="154" customWidth="1"/>
    <col min="12291" max="12544" width="9.1796875" style="154"/>
    <col min="12545" max="12545" width="19.7265625" style="154" customWidth="1"/>
    <col min="12546" max="12546" width="116.26953125" style="154" customWidth="1"/>
    <col min="12547" max="12800" width="9.1796875" style="154"/>
    <col min="12801" max="12801" width="19.7265625" style="154" customWidth="1"/>
    <col min="12802" max="12802" width="116.26953125" style="154" customWidth="1"/>
    <col min="12803" max="13056" width="9.1796875" style="154"/>
    <col min="13057" max="13057" width="19.7265625" style="154" customWidth="1"/>
    <col min="13058" max="13058" width="116.26953125" style="154" customWidth="1"/>
    <col min="13059" max="13312" width="9.1796875" style="154"/>
    <col min="13313" max="13313" width="19.7265625" style="154" customWidth="1"/>
    <col min="13314" max="13314" width="116.26953125" style="154" customWidth="1"/>
    <col min="13315" max="13568" width="9.1796875" style="154"/>
    <col min="13569" max="13569" width="19.7265625" style="154" customWidth="1"/>
    <col min="13570" max="13570" width="116.26953125" style="154" customWidth="1"/>
    <col min="13571" max="13824" width="9.1796875" style="154"/>
    <col min="13825" max="13825" width="19.7265625" style="154" customWidth="1"/>
    <col min="13826" max="13826" width="116.26953125" style="154" customWidth="1"/>
    <col min="13827" max="14080" width="9.1796875" style="154"/>
    <col min="14081" max="14081" width="19.7265625" style="154" customWidth="1"/>
    <col min="14082" max="14082" width="116.26953125" style="154" customWidth="1"/>
    <col min="14083" max="14336" width="9.1796875" style="154"/>
    <col min="14337" max="14337" width="19.7265625" style="154" customWidth="1"/>
    <col min="14338" max="14338" width="116.26953125" style="154" customWidth="1"/>
    <col min="14339" max="14592" width="9.1796875" style="154"/>
    <col min="14593" max="14593" width="19.7265625" style="154" customWidth="1"/>
    <col min="14594" max="14594" width="116.26953125" style="154" customWidth="1"/>
    <col min="14595" max="14848" width="9.1796875" style="154"/>
    <col min="14849" max="14849" width="19.7265625" style="154" customWidth="1"/>
    <col min="14850" max="14850" width="116.26953125" style="154" customWidth="1"/>
    <col min="14851" max="15104" width="9.1796875" style="154"/>
    <col min="15105" max="15105" width="19.7265625" style="154" customWidth="1"/>
    <col min="15106" max="15106" width="116.26953125" style="154" customWidth="1"/>
    <col min="15107" max="15360" width="9.1796875" style="154"/>
    <col min="15361" max="15361" width="19.7265625" style="154" customWidth="1"/>
    <col min="15362" max="15362" width="116.26953125" style="154" customWidth="1"/>
    <col min="15363" max="15616" width="9.1796875" style="154"/>
    <col min="15617" max="15617" width="19.7265625" style="154" customWidth="1"/>
    <col min="15618" max="15618" width="116.26953125" style="154" customWidth="1"/>
    <col min="15619" max="15872" width="9.1796875" style="154"/>
    <col min="15873" max="15873" width="19.7265625" style="154" customWidth="1"/>
    <col min="15874" max="15874" width="116.26953125" style="154" customWidth="1"/>
    <col min="15875" max="16128" width="9.1796875" style="154"/>
    <col min="16129" max="16129" width="19.7265625" style="154" customWidth="1"/>
    <col min="16130" max="16130" width="116.26953125" style="154" customWidth="1"/>
    <col min="16131" max="16384" width="9.1796875" style="154"/>
  </cols>
  <sheetData>
    <row r="1" spans="1:2" ht="18.75" customHeight="1" thickTop="1" thickBot="1" x14ac:dyDescent="0.4">
      <c r="A1" s="1332" t="s">
        <v>331</v>
      </c>
      <c r="B1" s="1333"/>
    </row>
    <row r="2" spans="1:2" s="375" customFormat="1" ht="15.5" thickBot="1" x14ac:dyDescent="0.4">
      <c r="A2" s="556" t="s">
        <v>174</v>
      </c>
      <c r="B2" s="557" t="s">
        <v>332</v>
      </c>
    </row>
    <row r="3" spans="1:2" ht="12.75" customHeight="1" x14ac:dyDescent="0.35">
      <c r="A3" s="1334" t="s">
        <v>179</v>
      </c>
      <c r="B3" s="558" t="s">
        <v>333</v>
      </c>
    </row>
    <row r="4" spans="1:2" ht="12.75" customHeight="1" x14ac:dyDescent="0.35">
      <c r="A4" s="1334"/>
      <c r="B4" s="559" t="s">
        <v>334</v>
      </c>
    </row>
    <row r="5" spans="1:2" ht="12.75" customHeight="1" x14ac:dyDescent="0.35">
      <c r="A5" s="1334"/>
      <c r="B5" s="559" t="s">
        <v>181</v>
      </c>
    </row>
    <row r="6" spans="1:2" ht="13.5" customHeight="1" x14ac:dyDescent="0.35">
      <c r="A6" s="1334"/>
      <c r="B6" s="559" t="s">
        <v>335</v>
      </c>
    </row>
    <row r="7" spans="1:2" ht="13.5" customHeight="1" x14ac:dyDescent="0.35">
      <c r="A7" s="1334"/>
      <c r="B7" s="559" t="s">
        <v>336</v>
      </c>
    </row>
    <row r="8" spans="1:2" ht="15" thickBot="1" x14ac:dyDescent="0.4">
      <c r="A8" s="1335"/>
      <c r="B8" s="560" t="s">
        <v>337</v>
      </c>
    </row>
    <row r="9" spans="1:2" ht="15.5" thickBot="1" x14ac:dyDescent="0.4">
      <c r="A9" s="561" t="s">
        <v>185</v>
      </c>
      <c r="B9" s="562" t="s">
        <v>338</v>
      </c>
    </row>
    <row r="10" spans="1:2" ht="45.75" customHeight="1" thickBot="1" x14ac:dyDescent="0.4">
      <c r="A10" s="561" t="s">
        <v>187</v>
      </c>
      <c r="B10" s="563" t="s">
        <v>339</v>
      </c>
    </row>
    <row r="11" spans="1:2" x14ac:dyDescent="0.35">
      <c r="A11" s="1336" t="s">
        <v>193</v>
      </c>
      <c r="B11" s="558" t="s">
        <v>194</v>
      </c>
    </row>
    <row r="12" spans="1:2" x14ac:dyDescent="0.35">
      <c r="A12" s="1334"/>
      <c r="B12" s="559" t="s">
        <v>340</v>
      </c>
    </row>
    <row r="13" spans="1:2" x14ac:dyDescent="0.35">
      <c r="A13" s="1334"/>
      <c r="B13" s="559" t="s">
        <v>341</v>
      </c>
    </row>
    <row r="14" spans="1:2" ht="29" x14ac:dyDescent="0.35">
      <c r="A14" s="1334"/>
      <c r="B14" s="559" t="s">
        <v>342</v>
      </c>
    </row>
    <row r="15" spans="1:2" ht="43.5" x14ac:dyDescent="0.35">
      <c r="A15" s="1334"/>
      <c r="B15" s="564" t="s">
        <v>343</v>
      </c>
    </row>
    <row r="16" spans="1:2" ht="29" x14ac:dyDescent="0.35">
      <c r="A16" s="1334"/>
      <c r="B16" s="559" t="s">
        <v>344</v>
      </c>
    </row>
    <row r="17" spans="1:2" x14ac:dyDescent="0.35">
      <c r="A17" s="1334"/>
      <c r="B17" s="565"/>
    </row>
    <row r="18" spans="1:2" x14ac:dyDescent="0.35">
      <c r="A18" s="1334"/>
      <c r="B18" s="558" t="s">
        <v>199</v>
      </c>
    </row>
    <row r="19" spans="1:2" s="566" customFormat="1" ht="30" customHeight="1" x14ac:dyDescent="0.35">
      <c r="A19" s="1334"/>
      <c r="B19" s="559" t="s">
        <v>345</v>
      </c>
    </row>
    <row r="20" spans="1:2" ht="29" x14ac:dyDescent="0.35">
      <c r="A20" s="1334"/>
      <c r="B20" s="564" t="s">
        <v>346</v>
      </c>
    </row>
    <row r="21" spans="1:2" x14ac:dyDescent="0.35">
      <c r="A21" s="1334"/>
      <c r="B21" s="564" t="s">
        <v>347</v>
      </c>
    </row>
    <row r="22" spans="1:2" x14ac:dyDescent="0.35">
      <c r="A22" s="1334"/>
      <c r="B22" s="564" t="s">
        <v>348</v>
      </c>
    </row>
    <row r="23" spans="1:2" ht="15" customHeight="1" x14ac:dyDescent="0.35">
      <c r="A23" s="1334"/>
      <c r="B23" s="567" t="s">
        <v>349</v>
      </c>
    </row>
    <row r="24" spans="1:2" ht="29" x14ac:dyDescent="0.35">
      <c r="A24" s="1334"/>
      <c r="B24" s="567" t="s">
        <v>350</v>
      </c>
    </row>
    <row r="25" spans="1:2" ht="44" thickBot="1" x14ac:dyDescent="0.4">
      <c r="A25" s="1334"/>
      <c r="B25" s="560" t="s">
        <v>351</v>
      </c>
    </row>
    <row r="26" spans="1:2" ht="13.5" customHeight="1" x14ac:dyDescent="0.35">
      <c r="A26" s="1337" t="s">
        <v>208</v>
      </c>
      <c r="B26" s="568" t="s">
        <v>352</v>
      </c>
    </row>
    <row r="27" spans="1:2" x14ac:dyDescent="0.35">
      <c r="A27" s="1338"/>
      <c r="B27" s="564" t="s">
        <v>353</v>
      </c>
    </row>
    <row r="28" spans="1:2" ht="29" x14ac:dyDescent="0.35">
      <c r="A28" s="1338"/>
      <c r="B28" s="564" t="s">
        <v>354</v>
      </c>
    </row>
    <row r="29" spans="1:2" x14ac:dyDescent="0.35">
      <c r="A29" s="1338"/>
      <c r="B29" s="559" t="s">
        <v>355</v>
      </c>
    </row>
    <row r="30" spans="1:2" ht="29" x14ac:dyDescent="0.35">
      <c r="A30" s="1338"/>
      <c r="B30" s="564" t="s">
        <v>356</v>
      </c>
    </row>
    <row r="31" spans="1:2" ht="29" x14ac:dyDescent="0.35">
      <c r="A31" s="1338"/>
      <c r="B31" s="559" t="s">
        <v>357</v>
      </c>
    </row>
  </sheetData>
  <mergeCells count="4">
    <mergeCell ref="A1:B1"/>
    <mergeCell ref="A3:A8"/>
    <mergeCell ref="A11:A25"/>
    <mergeCell ref="A26:A3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89"/>
  <sheetViews>
    <sheetView topLeftCell="A8" zoomScale="70" zoomScaleNormal="70" workbookViewId="0">
      <pane ySplit="4" topLeftCell="A55" activePane="bottomLeft" state="frozen"/>
      <selection activeCell="A8" sqref="A8"/>
      <selection pane="bottomLeft" activeCell="Y44" sqref="Y44"/>
    </sheetView>
  </sheetViews>
  <sheetFormatPr defaultRowHeight="14" x14ac:dyDescent="0.3"/>
  <cols>
    <col min="1" max="1" width="62.54296875" style="573" customWidth="1"/>
    <col min="2" max="2" width="8.453125" style="573" customWidth="1"/>
    <col min="3" max="3" width="8.81640625" style="573" customWidth="1"/>
    <col min="4" max="4" width="7.7265625" style="573" customWidth="1"/>
    <col min="5" max="5" width="7.26953125" style="573" customWidth="1"/>
    <col min="6" max="6" width="8.7265625" style="573" customWidth="1"/>
    <col min="7" max="7" width="9.26953125" style="573" customWidth="1"/>
    <col min="8" max="8" width="8.7265625" style="573" customWidth="1"/>
    <col min="9" max="10" width="8.453125" style="573" customWidth="1"/>
    <col min="11" max="11" width="8.54296875" style="573" customWidth="1"/>
    <col min="12" max="12" width="9.26953125" style="573" customWidth="1"/>
    <col min="13" max="13" width="8.7265625" style="573" customWidth="1"/>
    <col min="14" max="14" width="7.81640625" style="573" customWidth="1"/>
    <col min="15" max="15" width="8.26953125" style="573" customWidth="1"/>
    <col min="16" max="16" width="9.1796875" style="573"/>
    <col min="17" max="17" width="8" style="573" customWidth="1"/>
    <col min="18" max="18" width="9.26953125" style="573" customWidth="1"/>
    <col min="19" max="20" width="9.453125" style="573" customWidth="1"/>
    <col min="21" max="21" width="10.453125" style="702" customWidth="1"/>
    <col min="22" max="22" width="9.81640625" style="702" customWidth="1"/>
    <col min="23" max="23" width="8.7265625" style="702" customWidth="1"/>
    <col min="24" max="24" width="12.81640625" style="703" hidden="1" customWidth="1"/>
    <col min="25" max="25" width="38.1796875" style="704" customWidth="1"/>
    <col min="26" max="255" width="9.1796875" style="573"/>
    <col min="256" max="256" width="10.1796875" style="573" customWidth="1"/>
    <col min="257" max="257" width="11" style="573" customWidth="1"/>
    <col min="258" max="258" width="14.81640625" style="573" customWidth="1"/>
    <col min="259" max="259" width="8.81640625" style="573" customWidth="1"/>
    <col min="260" max="260" width="7.7265625" style="573" customWidth="1"/>
    <col min="261" max="261" width="7.26953125" style="573" customWidth="1"/>
    <col min="262" max="262" width="8.7265625" style="573" customWidth="1"/>
    <col min="263" max="263" width="9.26953125" style="573" customWidth="1"/>
    <col min="264" max="264" width="8.7265625" style="573" customWidth="1"/>
    <col min="265" max="266" width="8.453125" style="573" customWidth="1"/>
    <col min="267" max="267" width="8.54296875" style="573" customWidth="1"/>
    <col min="268" max="268" width="9.26953125" style="573" customWidth="1"/>
    <col min="269" max="269" width="8.7265625" style="573" customWidth="1"/>
    <col min="270" max="270" width="7.81640625" style="573" customWidth="1"/>
    <col min="271" max="271" width="8.26953125" style="573" customWidth="1"/>
    <col min="272" max="272" width="9.1796875" style="573"/>
    <col min="273" max="273" width="8" style="573" customWidth="1"/>
    <col min="274" max="274" width="9.26953125" style="573" customWidth="1"/>
    <col min="275" max="276" width="9.453125" style="573" customWidth="1"/>
    <col min="277" max="277" width="10.453125" style="573" customWidth="1"/>
    <col min="278" max="278" width="9.81640625" style="573" customWidth="1"/>
    <col min="279" max="279" width="8.7265625" style="573" customWidth="1"/>
    <col min="280" max="280" width="0" style="573" hidden="1" customWidth="1"/>
    <col min="281" max="281" width="21.7265625" style="573" customWidth="1"/>
    <col min="282" max="511" width="9.1796875" style="573"/>
    <col min="512" max="512" width="10.1796875" style="573" customWidth="1"/>
    <col min="513" max="513" width="11" style="573" customWidth="1"/>
    <col min="514" max="514" width="14.81640625" style="573" customWidth="1"/>
    <col min="515" max="515" width="8.81640625" style="573" customWidth="1"/>
    <col min="516" max="516" width="7.7265625" style="573" customWidth="1"/>
    <col min="517" max="517" width="7.26953125" style="573" customWidth="1"/>
    <col min="518" max="518" width="8.7265625" style="573" customWidth="1"/>
    <col min="519" max="519" width="9.26953125" style="573" customWidth="1"/>
    <col min="520" max="520" width="8.7265625" style="573" customWidth="1"/>
    <col min="521" max="522" width="8.453125" style="573" customWidth="1"/>
    <col min="523" max="523" width="8.54296875" style="573" customWidth="1"/>
    <col min="524" max="524" width="9.26953125" style="573" customWidth="1"/>
    <col min="525" max="525" width="8.7265625" style="573" customWidth="1"/>
    <col min="526" max="526" width="7.81640625" style="573" customWidth="1"/>
    <col min="527" max="527" width="8.26953125" style="573" customWidth="1"/>
    <col min="528" max="528" width="9.1796875" style="573"/>
    <col min="529" max="529" width="8" style="573" customWidth="1"/>
    <col min="530" max="530" width="9.26953125" style="573" customWidth="1"/>
    <col min="531" max="532" width="9.453125" style="573" customWidth="1"/>
    <col min="533" max="533" width="10.453125" style="573" customWidth="1"/>
    <col min="534" max="534" width="9.81640625" style="573" customWidth="1"/>
    <col min="535" max="535" width="8.7265625" style="573" customWidth="1"/>
    <col min="536" max="536" width="0" style="573" hidden="1" customWidth="1"/>
    <col min="537" max="537" width="21.7265625" style="573" customWidth="1"/>
    <col min="538" max="767" width="9.1796875" style="573"/>
    <col min="768" max="768" width="10.1796875" style="573" customWidth="1"/>
    <col min="769" max="769" width="11" style="573" customWidth="1"/>
    <col min="770" max="770" width="14.81640625" style="573" customWidth="1"/>
    <col min="771" max="771" width="8.81640625" style="573" customWidth="1"/>
    <col min="772" max="772" width="7.7265625" style="573" customWidth="1"/>
    <col min="773" max="773" width="7.26953125" style="573" customWidth="1"/>
    <col min="774" max="774" width="8.7265625" style="573" customWidth="1"/>
    <col min="775" max="775" width="9.26953125" style="573" customWidth="1"/>
    <col min="776" max="776" width="8.7265625" style="573" customWidth="1"/>
    <col min="777" max="778" width="8.453125" style="573" customWidth="1"/>
    <col min="779" max="779" width="8.54296875" style="573" customWidth="1"/>
    <col min="780" max="780" width="9.26953125" style="573" customWidth="1"/>
    <col min="781" max="781" width="8.7265625" style="573" customWidth="1"/>
    <col min="782" max="782" width="7.81640625" style="573" customWidth="1"/>
    <col min="783" max="783" width="8.26953125" style="573" customWidth="1"/>
    <col min="784" max="784" width="9.1796875" style="573"/>
    <col min="785" max="785" width="8" style="573" customWidth="1"/>
    <col min="786" max="786" width="9.26953125" style="573" customWidth="1"/>
    <col min="787" max="788" width="9.453125" style="573" customWidth="1"/>
    <col min="789" max="789" width="10.453125" style="573" customWidth="1"/>
    <col min="790" max="790" width="9.81640625" style="573" customWidth="1"/>
    <col min="791" max="791" width="8.7265625" style="573" customWidth="1"/>
    <col min="792" max="792" width="0" style="573" hidden="1" customWidth="1"/>
    <col min="793" max="793" width="21.7265625" style="573" customWidth="1"/>
    <col min="794" max="1023" width="9.1796875" style="573"/>
    <col min="1024" max="1024" width="10.1796875" style="573" customWidth="1"/>
    <col min="1025" max="1025" width="11" style="573" customWidth="1"/>
    <col min="1026" max="1026" width="14.81640625" style="573" customWidth="1"/>
    <col min="1027" max="1027" width="8.81640625" style="573" customWidth="1"/>
    <col min="1028" max="1028" width="7.7265625" style="573" customWidth="1"/>
    <col min="1029" max="1029" width="7.26953125" style="573" customWidth="1"/>
    <col min="1030" max="1030" width="8.7265625" style="573" customWidth="1"/>
    <col min="1031" max="1031" width="9.26953125" style="573" customWidth="1"/>
    <col min="1032" max="1032" width="8.7265625" style="573" customWidth="1"/>
    <col min="1033" max="1034" width="8.453125" style="573" customWidth="1"/>
    <col min="1035" max="1035" width="8.54296875" style="573" customWidth="1"/>
    <col min="1036" max="1036" width="9.26953125" style="573" customWidth="1"/>
    <col min="1037" max="1037" width="8.7265625" style="573" customWidth="1"/>
    <col min="1038" max="1038" width="7.81640625" style="573" customWidth="1"/>
    <col min="1039" max="1039" width="8.26953125" style="573" customWidth="1"/>
    <col min="1040" max="1040" width="9.1796875" style="573"/>
    <col min="1041" max="1041" width="8" style="573" customWidth="1"/>
    <col min="1042" max="1042" width="9.26953125" style="573" customWidth="1"/>
    <col min="1043" max="1044" width="9.453125" style="573" customWidth="1"/>
    <col min="1045" max="1045" width="10.453125" style="573" customWidth="1"/>
    <col min="1046" max="1046" width="9.81640625" style="573" customWidth="1"/>
    <col min="1047" max="1047" width="8.7265625" style="573" customWidth="1"/>
    <col min="1048" max="1048" width="0" style="573" hidden="1" customWidth="1"/>
    <col min="1049" max="1049" width="21.7265625" style="573" customWidth="1"/>
    <col min="1050" max="1279" width="9.1796875" style="573"/>
    <col min="1280" max="1280" width="10.1796875" style="573" customWidth="1"/>
    <col min="1281" max="1281" width="11" style="573" customWidth="1"/>
    <col min="1282" max="1282" width="14.81640625" style="573" customWidth="1"/>
    <col min="1283" max="1283" width="8.81640625" style="573" customWidth="1"/>
    <col min="1284" max="1284" width="7.7265625" style="573" customWidth="1"/>
    <col min="1285" max="1285" width="7.26953125" style="573" customWidth="1"/>
    <col min="1286" max="1286" width="8.7265625" style="573" customWidth="1"/>
    <col min="1287" max="1287" width="9.26953125" style="573" customWidth="1"/>
    <col min="1288" max="1288" width="8.7265625" style="573" customWidth="1"/>
    <col min="1289" max="1290" width="8.453125" style="573" customWidth="1"/>
    <col min="1291" max="1291" width="8.54296875" style="573" customWidth="1"/>
    <col min="1292" max="1292" width="9.26953125" style="573" customWidth="1"/>
    <col min="1293" max="1293" width="8.7265625" style="573" customWidth="1"/>
    <col min="1294" max="1294" width="7.81640625" style="573" customWidth="1"/>
    <col min="1295" max="1295" width="8.26953125" style="573" customWidth="1"/>
    <col min="1296" max="1296" width="9.1796875" style="573"/>
    <col min="1297" max="1297" width="8" style="573" customWidth="1"/>
    <col min="1298" max="1298" width="9.26953125" style="573" customWidth="1"/>
    <col min="1299" max="1300" width="9.453125" style="573" customWidth="1"/>
    <col min="1301" max="1301" width="10.453125" style="573" customWidth="1"/>
    <col min="1302" max="1302" width="9.81640625" style="573" customWidth="1"/>
    <col min="1303" max="1303" width="8.7265625" style="573" customWidth="1"/>
    <col min="1304" max="1304" width="0" style="573" hidden="1" customWidth="1"/>
    <col min="1305" max="1305" width="21.7265625" style="573" customWidth="1"/>
    <col min="1306" max="1535" width="9.1796875" style="573"/>
    <col min="1536" max="1536" width="10.1796875" style="573" customWidth="1"/>
    <col min="1537" max="1537" width="11" style="573" customWidth="1"/>
    <col min="1538" max="1538" width="14.81640625" style="573" customWidth="1"/>
    <col min="1539" max="1539" width="8.81640625" style="573" customWidth="1"/>
    <col min="1540" max="1540" width="7.7265625" style="573" customWidth="1"/>
    <col min="1541" max="1541" width="7.26953125" style="573" customWidth="1"/>
    <col min="1542" max="1542" width="8.7265625" style="573" customWidth="1"/>
    <col min="1543" max="1543" width="9.26953125" style="573" customWidth="1"/>
    <col min="1544" max="1544" width="8.7265625" style="573" customWidth="1"/>
    <col min="1545" max="1546" width="8.453125" style="573" customWidth="1"/>
    <col min="1547" max="1547" width="8.54296875" style="573" customWidth="1"/>
    <col min="1548" max="1548" width="9.26953125" style="573" customWidth="1"/>
    <col min="1549" max="1549" width="8.7265625" style="573" customWidth="1"/>
    <col min="1550" max="1550" width="7.81640625" style="573" customWidth="1"/>
    <col min="1551" max="1551" width="8.26953125" style="573" customWidth="1"/>
    <col min="1552" max="1552" width="9.1796875" style="573"/>
    <col min="1553" max="1553" width="8" style="573" customWidth="1"/>
    <col min="1554" max="1554" width="9.26953125" style="573" customWidth="1"/>
    <col min="1555" max="1556" width="9.453125" style="573" customWidth="1"/>
    <col min="1557" max="1557" width="10.453125" style="573" customWidth="1"/>
    <col min="1558" max="1558" width="9.81640625" style="573" customWidth="1"/>
    <col min="1559" max="1559" width="8.7265625" style="573" customWidth="1"/>
    <col min="1560" max="1560" width="0" style="573" hidden="1" customWidth="1"/>
    <col min="1561" max="1561" width="21.7265625" style="573" customWidth="1"/>
    <col min="1562" max="1791" width="9.1796875" style="573"/>
    <col min="1792" max="1792" width="10.1796875" style="573" customWidth="1"/>
    <col min="1793" max="1793" width="11" style="573" customWidth="1"/>
    <col min="1794" max="1794" width="14.81640625" style="573" customWidth="1"/>
    <col min="1795" max="1795" width="8.81640625" style="573" customWidth="1"/>
    <col min="1796" max="1796" width="7.7265625" style="573" customWidth="1"/>
    <col min="1797" max="1797" width="7.26953125" style="573" customWidth="1"/>
    <col min="1798" max="1798" width="8.7265625" style="573" customWidth="1"/>
    <col min="1799" max="1799" width="9.26953125" style="573" customWidth="1"/>
    <col min="1800" max="1800" width="8.7265625" style="573" customWidth="1"/>
    <col min="1801" max="1802" width="8.453125" style="573" customWidth="1"/>
    <col min="1803" max="1803" width="8.54296875" style="573" customWidth="1"/>
    <col min="1804" max="1804" width="9.26953125" style="573" customWidth="1"/>
    <col min="1805" max="1805" width="8.7265625" style="573" customWidth="1"/>
    <col min="1806" max="1806" width="7.81640625" style="573" customWidth="1"/>
    <col min="1807" max="1807" width="8.26953125" style="573" customWidth="1"/>
    <col min="1808" max="1808" width="9.1796875" style="573"/>
    <col min="1809" max="1809" width="8" style="573" customWidth="1"/>
    <col min="1810" max="1810" width="9.26953125" style="573" customWidth="1"/>
    <col min="1811" max="1812" width="9.453125" style="573" customWidth="1"/>
    <col min="1813" max="1813" width="10.453125" style="573" customWidth="1"/>
    <col min="1814" max="1814" width="9.81640625" style="573" customWidth="1"/>
    <col min="1815" max="1815" width="8.7265625" style="573" customWidth="1"/>
    <col min="1816" max="1816" width="0" style="573" hidden="1" customWidth="1"/>
    <col min="1817" max="1817" width="21.7265625" style="573" customWidth="1"/>
    <col min="1818" max="2047" width="9.1796875" style="573"/>
    <col min="2048" max="2048" width="10.1796875" style="573" customWidth="1"/>
    <col min="2049" max="2049" width="11" style="573" customWidth="1"/>
    <col min="2050" max="2050" width="14.81640625" style="573" customWidth="1"/>
    <col min="2051" max="2051" width="8.81640625" style="573" customWidth="1"/>
    <col min="2052" max="2052" width="7.7265625" style="573" customWidth="1"/>
    <col min="2053" max="2053" width="7.26953125" style="573" customWidth="1"/>
    <col min="2054" max="2054" width="8.7265625" style="573" customWidth="1"/>
    <col min="2055" max="2055" width="9.26953125" style="573" customWidth="1"/>
    <col min="2056" max="2056" width="8.7265625" style="573" customWidth="1"/>
    <col min="2057" max="2058" width="8.453125" style="573" customWidth="1"/>
    <col min="2059" max="2059" width="8.54296875" style="573" customWidth="1"/>
    <col min="2060" max="2060" width="9.26953125" style="573" customWidth="1"/>
    <col min="2061" max="2061" width="8.7265625" style="573" customWidth="1"/>
    <col min="2062" max="2062" width="7.81640625" style="573" customWidth="1"/>
    <col min="2063" max="2063" width="8.26953125" style="573" customWidth="1"/>
    <col min="2064" max="2064" width="9.1796875" style="573"/>
    <col min="2065" max="2065" width="8" style="573" customWidth="1"/>
    <col min="2066" max="2066" width="9.26953125" style="573" customWidth="1"/>
    <col min="2067" max="2068" width="9.453125" style="573" customWidth="1"/>
    <col min="2069" max="2069" width="10.453125" style="573" customWidth="1"/>
    <col min="2070" max="2070" width="9.81640625" style="573" customWidth="1"/>
    <col min="2071" max="2071" width="8.7265625" style="573" customWidth="1"/>
    <col min="2072" max="2072" width="0" style="573" hidden="1" customWidth="1"/>
    <col min="2073" max="2073" width="21.7265625" style="573" customWidth="1"/>
    <col min="2074" max="2303" width="9.1796875" style="573"/>
    <col min="2304" max="2304" width="10.1796875" style="573" customWidth="1"/>
    <col min="2305" max="2305" width="11" style="573" customWidth="1"/>
    <col min="2306" max="2306" width="14.81640625" style="573" customWidth="1"/>
    <col min="2307" max="2307" width="8.81640625" style="573" customWidth="1"/>
    <col min="2308" max="2308" width="7.7265625" style="573" customWidth="1"/>
    <col min="2309" max="2309" width="7.26953125" style="573" customWidth="1"/>
    <col min="2310" max="2310" width="8.7265625" style="573" customWidth="1"/>
    <col min="2311" max="2311" width="9.26953125" style="573" customWidth="1"/>
    <col min="2312" max="2312" width="8.7265625" style="573" customWidth="1"/>
    <col min="2313" max="2314" width="8.453125" style="573" customWidth="1"/>
    <col min="2315" max="2315" width="8.54296875" style="573" customWidth="1"/>
    <col min="2316" max="2316" width="9.26953125" style="573" customWidth="1"/>
    <col min="2317" max="2317" width="8.7265625" style="573" customWidth="1"/>
    <col min="2318" max="2318" width="7.81640625" style="573" customWidth="1"/>
    <col min="2319" max="2319" width="8.26953125" style="573" customWidth="1"/>
    <col min="2320" max="2320" width="9.1796875" style="573"/>
    <col min="2321" max="2321" width="8" style="573" customWidth="1"/>
    <col min="2322" max="2322" width="9.26953125" style="573" customWidth="1"/>
    <col min="2323" max="2324" width="9.453125" style="573" customWidth="1"/>
    <col min="2325" max="2325" width="10.453125" style="573" customWidth="1"/>
    <col min="2326" max="2326" width="9.81640625" style="573" customWidth="1"/>
    <col min="2327" max="2327" width="8.7265625" style="573" customWidth="1"/>
    <col min="2328" max="2328" width="0" style="573" hidden="1" customWidth="1"/>
    <col min="2329" max="2329" width="21.7265625" style="573" customWidth="1"/>
    <col min="2330" max="2559" width="9.1796875" style="573"/>
    <col min="2560" max="2560" width="10.1796875" style="573" customWidth="1"/>
    <col min="2561" max="2561" width="11" style="573" customWidth="1"/>
    <col min="2562" max="2562" width="14.81640625" style="573" customWidth="1"/>
    <col min="2563" max="2563" width="8.81640625" style="573" customWidth="1"/>
    <col min="2564" max="2564" width="7.7265625" style="573" customWidth="1"/>
    <col min="2565" max="2565" width="7.26953125" style="573" customWidth="1"/>
    <col min="2566" max="2566" width="8.7265625" style="573" customWidth="1"/>
    <col min="2567" max="2567" width="9.26953125" style="573" customWidth="1"/>
    <col min="2568" max="2568" width="8.7265625" style="573" customWidth="1"/>
    <col min="2569" max="2570" width="8.453125" style="573" customWidth="1"/>
    <col min="2571" max="2571" width="8.54296875" style="573" customWidth="1"/>
    <col min="2572" max="2572" width="9.26953125" style="573" customWidth="1"/>
    <col min="2573" max="2573" width="8.7265625" style="573" customWidth="1"/>
    <col min="2574" max="2574" width="7.81640625" style="573" customWidth="1"/>
    <col min="2575" max="2575" width="8.26953125" style="573" customWidth="1"/>
    <col min="2576" max="2576" width="9.1796875" style="573"/>
    <col min="2577" max="2577" width="8" style="573" customWidth="1"/>
    <col min="2578" max="2578" width="9.26953125" style="573" customWidth="1"/>
    <col min="2579" max="2580" width="9.453125" style="573" customWidth="1"/>
    <col min="2581" max="2581" width="10.453125" style="573" customWidth="1"/>
    <col min="2582" max="2582" width="9.81640625" style="573" customWidth="1"/>
    <col min="2583" max="2583" width="8.7265625" style="573" customWidth="1"/>
    <col min="2584" max="2584" width="0" style="573" hidden="1" customWidth="1"/>
    <col min="2585" max="2585" width="21.7265625" style="573" customWidth="1"/>
    <col min="2586" max="2815" width="9.1796875" style="573"/>
    <col min="2816" max="2816" width="10.1796875" style="573" customWidth="1"/>
    <col min="2817" max="2817" width="11" style="573" customWidth="1"/>
    <col min="2818" max="2818" width="14.81640625" style="573" customWidth="1"/>
    <col min="2819" max="2819" width="8.81640625" style="573" customWidth="1"/>
    <col min="2820" max="2820" width="7.7265625" style="573" customWidth="1"/>
    <col min="2821" max="2821" width="7.26953125" style="573" customWidth="1"/>
    <col min="2822" max="2822" width="8.7265625" style="573" customWidth="1"/>
    <col min="2823" max="2823" width="9.26953125" style="573" customWidth="1"/>
    <col min="2824" max="2824" width="8.7265625" style="573" customWidth="1"/>
    <col min="2825" max="2826" width="8.453125" style="573" customWidth="1"/>
    <col min="2827" max="2827" width="8.54296875" style="573" customWidth="1"/>
    <col min="2828" max="2828" width="9.26953125" style="573" customWidth="1"/>
    <col min="2829" max="2829" width="8.7265625" style="573" customWidth="1"/>
    <col min="2830" max="2830" width="7.81640625" style="573" customWidth="1"/>
    <col min="2831" max="2831" width="8.26953125" style="573" customWidth="1"/>
    <col min="2832" max="2832" width="9.1796875" style="573"/>
    <col min="2833" max="2833" width="8" style="573" customWidth="1"/>
    <col min="2834" max="2834" width="9.26953125" style="573" customWidth="1"/>
    <col min="2835" max="2836" width="9.453125" style="573" customWidth="1"/>
    <col min="2837" max="2837" width="10.453125" style="573" customWidth="1"/>
    <col min="2838" max="2838" width="9.81640625" style="573" customWidth="1"/>
    <col min="2839" max="2839" width="8.7265625" style="573" customWidth="1"/>
    <col min="2840" max="2840" width="0" style="573" hidden="1" customWidth="1"/>
    <col min="2841" max="2841" width="21.7265625" style="573" customWidth="1"/>
    <col min="2842" max="3071" width="9.1796875" style="573"/>
    <col min="3072" max="3072" width="10.1796875" style="573" customWidth="1"/>
    <col min="3073" max="3073" width="11" style="573" customWidth="1"/>
    <col min="3074" max="3074" width="14.81640625" style="573" customWidth="1"/>
    <col min="3075" max="3075" width="8.81640625" style="573" customWidth="1"/>
    <col min="3076" max="3076" width="7.7265625" style="573" customWidth="1"/>
    <col min="3077" max="3077" width="7.26953125" style="573" customWidth="1"/>
    <col min="3078" max="3078" width="8.7265625" style="573" customWidth="1"/>
    <col min="3079" max="3079" width="9.26953125" style="573" customWidth="1"/>
    <col min="3080" max="3080" width="8.7265625" style="573" customWidth="1"/>
    <col min="3081" max="3082" width="8.453125" style="573" customWidth="1"/>
    <col min="3083" max="3083" width="8.54296875" style="573" customWidth="1"/>
    <col min="3084" max="3084" width="9.26953125" style="573" customWidth="1"/>
    <col min="3085" max="3085" width="8.7265625" style="573" customWidth="1"/>
    <col min="3086" max="3086" width="7.81640625" style="573" customWidth="1"/>
    <col min="3087" max="3087" width="8.26953125" style="573" customWidth="1"/>
    <col min="3088" max="3088" width="9.1796875" style="573"/>
    <col min="3089" max="3089" width="8" style="573" customWidth="1"/>
    <col min="3090" max="3090" width="9.26953125" style="573" customWidth="1"/>
    <col min="3091" max="3092" width="9.453125" style="573" customWidth="1"/>
    <col min="3093" max="3093" width="10.453125" style="573" customWidth="1"/>
    <col min="3094" max="3094" width="9.81640625" style="573" customWidth="1"/>
    <col min="3095" max="3095" width="8.7265625" style="573" customWidth="1"/>
    <col min="3096" max="3096" width="0" style="573" hidden="1" customWidth="1"/>
    <col min="3097" max="3097" width="21.7265625" style="573" customWidth="1"/>
    <col min="3098" max="3327" width="9.1796875" style="573"/>
    <col min="3328" max="3328" width="10.1796875" style="573" customWidth="1"/>
    <col min="3329" max="3329" width="11" style="573" customWidth="1"/>
    <col min="3330" max="3330" width="14.81640625" style="573" customWidth="1"/>
    <col min="3331" max="3331" width="8.81640625" style="573" customWidth="1"/>
    <col min="3332" max="3332" width="7.7265625" style="573" customWidth="1"/>
    <col min="3333" max="3333" width="7.26953125" style="573" customWidth="1"/>
    <col min="3334" max="3334" width="8.7265625" style="573" customWidth="1"/>
    <col min="3335" max="3335" width="9.26953125" style="573" customWidth="1"/>
    <col min="3336" max="3336" width="8.7265625" style="573" customWidth="1"/>
    <col min="3337" max="3338" width="8.453125" style="573" customWidth="1"/>
    <col min="3339" max="3339" width="8.54296875" style="573" customWidth="1"/>
    <col min="3340" max="3340" width="9.26953125" style="573" customWidth="1"/>
    <col min="3341" max="3341" width="8.7265625" style="573" customWidth="1"/>
    <col min="3342" max="3342" width="7.81640625" style="573" customWidth="1"/>
    <col min="3343" max="3343" width="8.26953125" style="573" customWidth="1"/>
    <col min="3344" max="3344" width="9.1796875" style="573"/>
    <col min="3345" max="3345" width="8" style="573" customWidth="1"/>
    <col min="3346" max="3346" width="9.26953125" style="573" customWidth="1"/>
    <col min="3347" max="3348" width="9.453125" style="573" customWidth="1"/>
    <col min="3349" max="3349" width="10.453125" style="573" customWidth="1"/>
    <col min="3350" max="3350" width="9.81640625" style="573" customWidth="1"/>
    <col min="3351" max="3351" width="8.7265625" style="573" customWidth="1"/>
    <col min="3352" max="3352" width="0" style="573" hidden="1" customWidth="1"/>
    <col min="3353" max="3353" width="21.7265625" style="573" customWidth="1"/>
    <col min="3354" max="3583" width="9.1796875" style="573"/>
    <col min="3584" max="3584" width="10.1796875" style="573" customWidth="1"/>
    <col min="3585" max="3585" width="11" style="573" customWidth="1"/>
    <col min="3586" max="3586" width="14.81640625" style="573" customWidth="1"/>
    <col min="3587" max="3587" width="8.81640625" style="573" customWidth="1"/>
    <col min="3588" max="3588" width="7.7265625" style="573" customWidth="1"/>
    <col min="3589" max="3589" width="7.26953125" style="573" customWidth="1"/>
    <col min="3590" max="3590" width="8.7265625" style="573" customWidth="1"/>
    <col min="3591" max="3591" width="9.26953125" style="573" customWidth="1"/>
    <col min="3592" max="3592" width="8.7265625" style="573" customWidth="1"/>
    <col min="3593" max="3594" width="8.453125" style="573" customWidth="1"/>
    <col min="3595" max="3595" width="8.54296875" style="573" customWidth="1"/>
    <col min="3596" max="3596" width="9.26953125" style="573" customWidth="1"/>
    <col min="3597" max="3597" width="8.7265625" style="573" customWidth="1"/>
    <col min="3598" max="3598" width="7.81640625" style="573" customWidth="1"/>
    <col min="3599" max="3599" width="8.26953125" style="573" customWidth="1"/>
    <col min="3600" max="3600" width="9.1796875" style="573"/>
    <col min="3601" max="3601" width="8" style="573" customWidth="1"/>
    <col min="3602" max="3602" width="9.26953125" style="573" customWidth="1"/>
    <col min="3603" max="3604" width="9.453125" style="573" customWidth="1"/>
    <col min="3605" max="3605" width="10.453125" style="573" customWidth="1"/>
    <col min="3606" max="3606" width="9.81640625" style="573" customWidth="1"/>
    <col min="3607" max="3607" width="8.7265625" style="573" customWidth="1"/>
    <col min="3608" max="3608" width="0" style="573" hidden="1" customWidth="1"/>
    <col min="3609" max="3609" width="21.7265625" style="573" customWidth="1"/>
    <col min="3610" max="3839" width="9.1796875" style="573"/>
    <col min="3840" max="3840" width="10.1796875" style="573" customWidth="1"/>
    <col min="3841" max="3841" width="11" style="573" customWidth="1"/>
    <col min="3842" max="3842" width="14.81640625" style="573" customWidth="1"/>
    <col min="3843" max="3843" width="8.81640625" style="573" customWidth="1"/>
    <col min="3844" max="3844" width="7.7265625" style="573" customWidth="1"/>
    <col min="3845" max="3845" width="7.26953125" style="573" customWidth="1"/>
    <col min="3846" max="3846" width="8.7265625" style="573" customWidth="1"/>
    <col min="3847" max="3847" width="9.26953125" style="573" customWidth="1"/>
    <col min="3848" max="3848" width="8.7265625" style="573" customWidth="1"/>
    <col min="3849" max="3850" width="8.453125" style="573" customWidth="1"/>
    <col min="3851" max="3851" width="8.54296875" style="573" customWidth="1"/>
    <col min="3852" max="3852" width="9.26953125" style="573" customWidth="1"/>
    <col min="3853" max="3853" width="8.7265625" style="573" customWidth="1"/>
    <col min="3854" max="3854" width="7.81640625" style="573" customWidth="1"/>
    <col min="3855" max="3855" width="8.26953125" style="573" customWidth="1"/>
    <col min="3856" max="3856" width="9.1796875" style="573"/>
    <col min="3857" max="3857" width="8" style="573" customWidth="1"/>
    <col min="3858" max="3858" width="9.26953125" style="573" customWidth="1"/>
    <col min="3859" max="3860" width="9.453125" style="573" customWidth="1"/>
    <col min="3861" max="3861" width="10.453125" style="573" customWidth="1"/>
    <col min="3862" max="3862" width="9.81640625" style="573" customWidth="1"/>
    <col min="3863" max="3863" width="8.7265625" style="573" customWidth="1"/>
    <col min="3864" max="3864" width="0" style="573" hidden="1" customWidth="1"/>
    <col min="3865" max="3865" width="21.7265625" style="573" customWidth="1"/>
    <col min="3866" max="4095" width="9.1796875" style="573"/>
    <col min="4096" max="4096" width="10.1796875" style="573" customWidth="1"/>
    <col min="4097" max="4097" width="11" style="573" customWidth="1"/>
    <col min="4098" max="4098" width="14.81640625" style="573" customWidth="1"/>
    <col min="4099" max="4099" width="8.81640625" style="573" customWidth="1"/>
    <col min="4100" max="4100" width="7.7265625" style="573" customWidth="1"/>
    <col min="4101" max="4101" width="7.26953125" style="573" customWidth="1"/>
    <col min="4102" max="4102" width="8.7265625" style="573" customWidth="1"/>
    <col min="4103" max="4103" width="9.26953125" style="573" customWidth="1"/>
    <col min="4104" max="4104" width="8.7265625" style="573" customWidth="1"/>
    <col min="4105" max="4106" width="8.453125" style="573" customWidth="1"/>
    <col min="4107" max="4107" width="8.54296875" style="573" customWidth="1"/>
    <col min="4108" max="4108" width="9.26953125" style="573" customWidth="1"/>
    <col min="4109" max="4109" width="8.7265625" style="573" customWidth="1"/>
    <col min="4110" max="4110" width="7.81640625" style="573" customWidth="1"/>
    <col min="4111" max="4111" width="8.26953125" style="573" customWidth="1"/>
    <col min="4112" max="4112" width="9.1796875" style="573"/>
    <col min="4113" max="4113" width="8" style="573" customWidth="1"/>
    <col min="4114" max="4114" width="9.26953125" style="573" customWidth="1"/>
    <col min="4115" max="4116" width="9.453125" style="573" customWidth="1"/>
    <col min="4117" max="4117" width="10.453125" style="573" customWidth="1"/>
    <col min="4118" max="4118" width="9.81640625" style="573" customWidth="1"/>
    <col min="4119" max="4119" width="8.7265625" style="573" customWidth="1"/>
    <col min="4120" max="4120" width="0" style="573" hidden="1" customWidth="1"/>
    <col min="4121" max="4121" width="21.7265625" style="573" customWidth="1"/>
    <col min="4122" max="4351" width="9.1796875" style="573"/>
    <col min="4352" max="4352" width="10.1796875" style="573" customWidth="1"/>
    <col min="4353" max="4353" width="11" style="573" customWidth="1"/>
    <col min="4354" max="4354" width="14.81640625" style="573" customWidth="1"/>
    <col min="4355" max="4355" width="8.81640625" style="573" customWidth="1"/>
    <col min="4356" max="4356" width="7.7265625" style="573" customWidth="1"/>
    <col min="4357" max="4357" width="7.26953125" style="573" customWidth="1"/>
    <col min="4358" max="4358" width="8.7265625" style="573" customWidth="1"/>
    <col min="4359" max="4359" width="9.26953125" style="573" customWidth="1"/>
    <col min="4360" max="4360" width="8.7265625" style="573" customWidth="1"/>
    <col min="4361" max="4362" width="8.453125" style="573" customWidth="1"/>
    <col min="4363" max="4363" width="8.54296875" style="573" customWidth="1"/>
    <col min="4364" max="4364" width="9.26953125" style="573" customWidth="1"/>
    <col min="4365" max="4365" width="8.7265625" style="573" customWidth="1"/>
    <col min="4366" max="4366" width="7.81640625" style="573" customWidth="1"/>
    <col min="4367" max="4367" width="8.26953125" style="573" customWidth="1"/>
    <col min="4368" max="4368" width="9.1796875" style="573"/>
    <col min="4369" max="4369" width="8" style="573" customWidth="1"/>
    <col min="4370" max="4370" width="9.26953125" style="573" customWidth="1"/>
    <col min="4371" max="4372" width="9.453125" style="573" customWidth="1"/>
    <col min="4373" max="4373" width="10.453125" style="573" customWidth="1"/>
    <col min="4374" max="4374" width="9.81640625" style="573" customWidth="1"/>
    <col min="4375" max="4375" width="8.7265625" style="573" customWidth="1"/>
    <col min="4376" max="4376" width="0" style="573" hidden="1" customWidth="1"/>
    <col min="4377" max="4377" width="21.7265625" style="573" customWidth="1"/>
    <col min="4378" max="4607" width="9.1796875" style="573"/>
    <col min="4608" max="4608" width="10.1796875" style="573" customWidth="1"/>
    <col min="4609" max="4609" width="11" style="573" customWidth="1"/>
    <col min="4610" max="4610" width="14.81640625" style="573" customWidth="1"/>
    <col min="4611" max="4611" width="8.81640625" style="573" customWidth="1"/>
    <col min="4612" max="4612" width="7.7265625" style="573" customWidth="1"/>
    <col min="4613" max="4613" width="7.26953125" style="573" customWidth="1"/>
    <col min="4614" max="4614" width="8.7265625" style="573" customWidth="1"/>
    <col min="4615" max="4615" width="9.26953125" style="573" customWidth="1"/>
    <col min="4616" max="4616" width="8.7265625" style="573" customWidth="1"/>
    <col min="4617" max="4618" width="8.453125" style="573" customWidth="1"/>
    <col min="4619" max="4619" width="8.54296875" style="573" customWidth="1"/>
    <col min="4620" max="4620" width="9.26953125" style="573" customWidth="1"/>
    <col min="4621" max="4621" width="8.7265625" style="573" customWidth="1"/>
    <col min="4622" max="4622" width="7.81640625" style="573" customWidth="1"/>
    <col min="4623" max="4623" width="8.26953125" style="573" customWidth="1"/>
    <col min="4624" max="4624" width="9.1796875" style="573"/>
    <col min="4625" max="4625" width="8" style="573" customWidth="1"/>
    <col min="4626" max="4626" width="9.26953125" style="573" customWidth="1"/>
    <col min="4627" max="4628" width="9.453125" style="573" customWidth="1"/>
    <col min="4629" max="4629" width="10.453125" style="573" customWidth="1"/>
    <col min="4630" max="4630" width="9.81640625" style="573" customWidth="1"/>
    <col min="4631" max="4631" width="8.7265625" style="573" customWidth="1"/>
    <col min="4632" max="4632" width="0" style="573" hidden="1" customWidth="1"/>
    <col min="4633" max="4633" width="21.7265625" style="573" customWidth="1"/>
    <col min="4634" max="4863" width="9.1796875" style="573"/>
    <col min="4864" max="4864" width="10.1796875" style="573" customWidth="1"/>
    <col min="4865" max="4865" width="11" style="573" customWidth="1"/>
    <col min="4866" max="4866" width="14.81640625" style="573" customWidth="1"/>
    <col min="4867" max="4867" width="8.81640625" style="573" customWidth="1"/>
    <col min="4868" max="4868" width="7.7265625" style="573" customWidth="1"/>
    <col min="4869" max="4869" width="7.26953125" style="573" customWidth="1"/>
    <col min="4870" max="4870" width="8.7265625" style="573" customWidth="1"/>
    <col min="4871" max="4871" width="9.26953125" style="573" customWidth="1"/>
    <col min="4872" max="4872" width="8.7265625" style="573" customWidth="1"/>
    <col min="4873" max="4874" width="8.453125" style="573" customWidth="1"/>
    <col min="4875" max="4875" width="8.54296875" style="573" customWidth="1"/>
    <col min="4876" max="4876" width="9.26953125" style="573" customWidth="1"/>
    <col min="4877" max="4877" width="8.7265625" style="573" customWidth="1"/>
    <col min="4878" max="4878" width="7.81640625" style="573" customWidth="1"/>
    <col min="4879" max="4879" width="8.26953125" style="573" customWidth="1"/>
    <col min="4880" max="4880" width="9.1796875" style="573"/>
    <col min="4881" max="4881" width="8" style="573" customWidth="1"/>
    <col min="4882" max="4882" width="9.26953125" style="573" customWidth="1"/>
    <col min="4883" max="4884" width="9.453125" style="573" customWidth="1"/>
    <col min="4885" max="4885" width="10.453125" style="573" customWidth="1"/>
    <col min="4886" max="4886" width="9.81640625" style="573" customWidth="1"/>
    <col min="4887" max="4887" width="8.7265625" style="573" customWidth="1"/>
    <col min="4888" max="4888" width="0" style="573" hidden="1" customWidth="1"/>
    <col min="4889" max="4889" width="21.7265625" style="573" customWidth="1"/>
    <col min="4890" max="5119" width="9.1796875" style="573"/>
    <col min="5120" max="5120" width="10.1796875" style="573" customWidth="1"/>
    <col min="5121" max="5121" width="11" style="573" customWidth="1"/>
    <col min="5122" max="5122" width="14.81640625" style="573" customWidth="1"/>
    <col min="5123" max="5123" width="8.81640625" style="573" customWidth="1"/>
    <col min="5124" max="5124" width="7.7265625" style="573" customWidth="1"/>
    <col min="5125" max="5125" width="7.26953125" style="573" customWidth="1"/>
    <col min="5126" max="5126" width="8.7265625" style="573" customWidth="1"/>
    <col min="5127" max="5127" width="9.26953125" style="573" customWidth="1"/>
    <col min="5128" max="5128" width="8.7265625" style="573" customWidth="1"/>
    <col min="5129" max="5130" width="8.453125" style="573" customWidth="1"/>
    <col min="5131" max="5131" width="8.54296875" style="573" customWidth="1"/>
    <col min="5132" max="5132" width="9.26953125" style="573" customWidth="1"/>
    <col min="5133" max="5133" width="8.7265625" style="573" customWidth="1"/>
    <col min="5134" max="5134" width="7.81640625" style="573" customWidth="1"/>
    <col min="5135" max="5135" width="8.26953125" style="573" customWidth="1"/>
    <col min="5136" max="5136" width="9.1796875" style="573"/>
    <col min="5137" max="5137" width="8" style="573" customWidth="1"/>
    <col min="5138" max="5138" width="9.26953125" style="573" customWidth="1"/>
    <col min="5139" max="5140" width="9.453125" style="573" customWidth="1"/>
    <col min="5141" max="5141" width="10.453125" style="573" customWidth="1"/>
    <col min="5142" max="5142" width="9.81640625" style="573" customWidth="1"/>
    <col min="5143" max="5143" width="8.7265625" style="573" customWidth="1"/>
    <col min="5144" max="5144" width="0" style="573" hidden="1" customWidth="1"/>
    <col min="5145" max="5145" width="21.7265625" style="573" customWidth="1"/>
    <col min="5146" max="5375" width="9.1796875" style="573"/>
    <col min="5376" max="5376" width="10.1796875" style="573" customWidth="1"/>
    <col min="5377" max="5377" width="11" style="573" customWidth="1"/>
    <col min="5378" max="5378" width="14.81640625" style="573" customWidth="1"/>
    <col min="5379" max="5379" width="8.81640625" style="573" customWidth="1"/>
    <col min="5380" max="5380" width="7.7265625" style="573" customWidth="1"/>
    <col min="5381" max="5381" width="7.26953125" style="573" customWidth="1"/>
    <col min="5382" max="5382" width="8.7265625" style="573" customWidth="1"/>
    <col min="5383" max="5383" width="9.26953125" style="573" customWidth="1"/>
    <col min="5384" max="5384" width="8.7265625" style="573" customWidth="1"/>
    <col min="5385" max="5386" width="8.453125" style="573" customWidth="1"/>
    <col min="5387" max="5387" width="8.54296875" style="573" customWidth="1"/>
    <col min="5388" max="5388" width="9.26953125" style="573" customWidth="1"/>
    <col min="5389" max="5389" width="8.7265625" style="573" customWidth="1"/>
    <col min="5390" max="5390" width="7.81640625" style="573" customWidth="1"/>
    <col min="5391" max="5391" width="8.26953125" style="573" customWidth="1"/>
    <col min="5392" max="5392" width="9.1796875" style="573"/>
    <col min="5393" max="5393" width="8" style="573" customWidth="1"/>
    <col min="5394" max="5394" width="9.26953125" style="573" customWidth="1"/>
    <col min="5395" max="5396" width="9.453125" style="573" customWidth="1"/>
    <col min="5397" max="5397" width="10.453125" style="573" customWidth="1"/>
    <col min="5398" max="5398" width="9.81640625" style="573" customWidth="1"/>
    <col min="5399" max="5399" width="8.7265625" style="573" customWidth="1"/>
    <col min="5400" max="5400" width="0" style="573" hidden="1" customWidth="1"/>
    <col min="5401" max="5401" width="21.7265625" style="573" customWidth="1"/>
    <col min="5402" max="5631" width="9.1796875" style="573"/>
    <col min="5632" max="5632" width="10.1796875" style="573" customWidth="1"/>
    <col min="5633" max="5633" width="11" style="573" customWidth="1"/>
    <col min="5634" max="5634" width="14.81640625" style="573" customWidth="1"/>
    <col min="5635" max="5635" width="8.81640625" style="573" customWidth="1"/>
    <col min="5636" max="5636" width="7.7265625" style="573" customWidth="1"/>
    <col min="5637" max="5637" width="7.26953125" style="573" customWidth="1"/>
    <col min="5638" max="5638" width="8.7265625" style="573" customWidth="1"/>
    <col min="5639" max="5639" width="9.26953125" style="573" customWidth="1"/>
    <col min="5640" max="5640" width="8.7265625" style="573" customWidth="1"/>
    <col min="5641" max="5642" width="8.453125" style="573" customWidth="1"/>
    <col min="5643" max="5643" width="8.54296875" style="573" customWidth="1"/>
    <col min="5644" max="5644" width="9.26953125" style="573" customWidth="1"/>
    <col min="5645" max="5645" width="8.7265625" style="573" customWidth="1"/>
    <col min="5646" max="5646" width="7.81640625" style="573" customWidth="1"/>
    <col min="5647" max="5647" width="8.26953125" style="573" customWidth="1"/>
    <col min="5648" max="5648" width="9.1796875" style="573"/>
    <col min="5649" max="5649" width="8" style="573" customWidth="1"/>
    <col min="5650" max="5650" width="9.26953125" style="573" customWidth="1"/>
    <col min="5651" max="5652" width="9.453125" style="573" customWidth="1"/>
    <col min="5653" max="5653" width="10.453125" style="573" customWidth="1"/>
    <col min="5654" max="5654" width="9.81640625" style="573" customWidth="1"/>
    <col min="5655" max="5655" width="8.7265625" style="573" customWidth="1"/>
    <col min="5656" max="5656" width="0" style="573" hidden="1" customWidth="1"/>
    <col min="5657" max="5657" width="21.7265625" style="573" customWidth="1"/>
    <col min="5658" max="5887" width="9.1796875" style="573"/>
    <col min="5888" max="5888" width="10.1796875" style="573" customWidth="1"/>
    <col min="5889" max="5889" width="11" style="573" customWidth="1"/>
    <col min="5890" max="5890" width="14.81640625" style="573" customWidth="1"/>
    <col min="5891" max="5891" width="8.81640625" style="573" customWidth="1"/>
    <col min="5892" max="5892" width="7.7265625" style="573" customWidth="1"/>
    <col min="5893" max="5893" width="7.26953125" style="573" customWidth="1"/>
    <col min="5894" max="5894" width="8.7265625" style="573" customWidth="1"/>
    <col min="5895" max="5895" width="9.26953125" style="573" customWidth="1"/>
    <col min="5896" max="5896" width="8.7265625" style="573" customWidth="1"/>
    <col min="5897" max="5898" width="8.453125" style="573" customWidth="1"/>
    <col min="5899" max="5899" width="8.54296875" style="573" customWidth="1"/>
    <col min="5900" max="5900" width="9.26953125" style="573" customWidth="1"/>
    <col min="5901" max="5901" width="8.7265625" style="573" customWidth="1"/>
    <col min="5902" max="5902" width="7.81640625" style="573" customWidth="1"/>
    <col min="5903" max="5903" width="8.26953125" style="573" customWidth="1"/>
    <col min="5904" max="5904" width="9.1796875" style="573"/>
    <col min="5905" max="5905" width="8" style="573" customWidth="1"/>
    <col min="5906" max="5906" width="9.26953125" style="573" customWidth="1"/>
    <col min="5907" max="5908" width="9.453125" style="573" customWidth="1"/>
    <col min="5909" max="5909" width="10.453125" style="573" customWidth="1"/>
    <col min="5910" max="5910" width="9.81640625" style="573" customWidth="1"/>
    <col min="5911" max="5911" width="8.7265625" style="573" customWidth="1"/>
    <col min="5912" max="5912" width="0" style="573" hidden="1" customWidth="1"/>
    <col min="5913" max="5913" width="21.7265625" style="573" customWidth="1"/>
    <col min="5914" max="6143" width="9.1796875" style="573"/>
    <col min="6144" max="6144" width="10.1796875" style="573" customWidth="1"/>
    <col min="6145" max="6145" width="11" style="573" customWidth="1"/>
    <col min="6146" max="6146" width="14.81640625" style="573" customWidth="1"/>
    <col min="6147" max="6147" width="8.81640625" style="573" customWidth="1"/>
    <col min="6148" max="6148" width="7.7265625" style="573" customWidth="1"/>
    <col min="6149" max="6149" width="7.26953125" style="573" customWidth="1"/>
    <col min="6150" max="6150" width="8.7265625" style="573" customWidth="1"/>
    <col min="6151" max="6151" width="9.26953125" style="573" customWidth="1"/>
    <col min="6152" max="6152" width="8.7265625" style="573" customWidth="1"/>
    <col min="6153" max="6154" width="8.453125" style="573" customWidth="1"/>
    <col min="6155" max="6155" width="8.54296875" style="573" customWidth="1"/>
    <col min="6156" max="6156" width="9.26953125" style="573" customWidth="1"/>
    <col min="6157" max="6157" width="8.7265625" style="573" customWidth="1"/>
    <col min="6158" max="6158" width="7.81640625" style="573" customWidth="1"/>
    <col min="6159" max="6159" width="8.26953125" style="573" customWidth="1"/>
    <col min="6160" max="6160" width="9.1796875" style="573"/>
    <col min="6161" max="6161" width="8" style="573" customWidth="1"/>
    <col min="6162" max="6162" width="9.26953125" style="573" customWidth="1"/>
    <col min="6163" max="6164" width="9.453125" style="573" customWidth="1"/>
    <col min="6165" max="6165" width="10.453125" style="573" customWidth="1"/>
    <col min="6166" max="6166" width="9.81640625" style="573" customWidth="1"/>
    <col min="6167" max="6167" width="8.7265625" style="573" customWidth="1"/>
    <col min="6168" max="6168" width="0" style="573" hidden="1" customWidth="1"/>
    <col min="6169" max="6169" width="21.7265625" style="573" customWidth="1"/>
    <col min="6170" max="6399" width="9.1796875" style="573"/>
    <col min="6400" max="6400" width="10.1796875" style="573" customWidth="1"/>
    <col min="6401" max="6401" width="11" style="573" customWidth="1"/>
    <col min="6402" max="6402" width="14.81640625" style="573" customWidth="1"/>
    <col min="6403" max="6403" width="8.81640625" style="573" customWidth="1"/>
    <col min="6404" max="6404" width="7.7265625" style="573" customWidth="1"/>
    <col min="6405" max="6405" width="7.26953125" style="573" customWidth="1"/>
    <col min="6406" max="6406" width="8.7265625" style="573" customWidth="1"/>
    <col min="6407" max="6407" width="9.26953125" style="573" customWidth="1"/>
    <col min="6408" max="6408" width="8.7265625" style="573" customWidth="1"/>
    <col min="6409" max="6410" width="8.453125" style="573" customWidth="1"/>
    <col min="6411" max="6411" width="8.54296875" style="573" customWidth="1"/>
    <col min="6412" max="6412" width="9.26953125" style="573" customWidth="1"/>
    <col min="6413" max="6413" width="8.7265625" style="573" customWidth="1"/>
    <col min="6414" max="6414" width="7.81640625" style="573" customWidth="1"/>
    <col min="6415" max="6415" width="8.26953125" style="573" customWidth="1"/>
    <col min="6416" max="6416" width="9.1796875" style="573"/>
    <col min="6417" max="6417" width="8" style="573" customWidth="1"/>
    <col min="6418" max="6418" width="9.26953125" style="573" customWidth="1"/>
    <col min="6419" max="6420" width="9.453125" style="573" customWidth="1"/>
    <col min="6421" max="6421" width="10.453125" style="573" customWidth="1"/>
    <col min="6422" max="6422" width="9.81640625" style="573" customWidth="1"/>
    <col min="6423" max="6423" width="8.7265625" style="573" customWidth="1"/>
    <col min="6424" max="6424" width="0" style="573" hidden="1" customWidth="1"/>
    <col min="6425" max="6425" width="21.7265625" style="573" customWidth="1"/>
    <col min="6426" max="6655" width="9.1796875" style="573"/>
    <col min="6656" max="6656" width="10.1796875" style="573" customWidth="1"/>
    <col min="6657" max="6657" width="11" style="573" customWidth="1"/>
    <col min="6658" max="6658" width="14.81640625" style="573" customWidth="1"/>
    <col min="6659" max="6659" width="8.81640625" style="573" customWidth="1"/>
    <col min="6660" max="6660" width="7.7265625" style="573" customWidth="1"/>
    <col min="6661" max="6661" width="7.26953125" style="573" customWidth="1"/>
    <col min="6662" max="6662" width="8.7265625" style="573" customWidth="1"/>
    <col min="6663" max="6663" width="9.26953125" style="573" customWidth="1"/>
    <col min="6664" max="6664" width="8.7265625" style="573" customWidth="1"/>
    <col min="6665" max="6666" width="8.453125" style="573" customWidth="1"/>
    <col min="6667" max="6667" width="8.54296875" style="573" customWidth="1"/>
    <col min="6668" max="6668" width="9.26953125" style="573" customWidth="1"/>
    <col min="6669" max="6669" width="8.7265625" style="573" customWidth="1"/>
    <col min="6670" max="6670" width="7.81640625" style="573" customWidth="1"/>
    <col min="6671" max="6671" width="8.26953125" style="573" customWidth="1"/>
    <col min="6672" max="6672" width="9.1796875" style="573"/>
    <col min="6673" max="6673" width="8" style="573" customWidth="1"/>
    <col min="6674" max="6674" width="9.26953125" style="573" customWidth="1"/>
    <col min="6675" max="6676" width="9.453125" style="573" customWidth="1"/>
    <col min="6677" max="6677" width="10.453125" style="573" customWidth="1"/>
    <col min="6678" max="6678" width="9.81640625" style="573" customWidth="1"/>
    <col min="6679" max="6679" width="8.7265625" style="573" customWidth="1"/>
    <col min="6680" max="6680" width="0" style="573" hidden="1" customWidth="1"/>
    <col min="6681" max="6681" width="21.7265625" style="573" customWidth="1"/>
    <col min="6682" max="6911" width="9.1796875" style="573"/>
    <col min="6912" max="6912" width="10.1796875" style="573" customWidth="1"/>
    <col min="6913" max="6913" width="11" style="573" customWidth="1"/>
    <col min="6914" max="6914" width="14.81640625" style="573" customWidth="1"/>
    <col min="6915" max="6915" width="8.81640625" style="573" customWidth="1"/>
    <col min="6916" max="6916" width="7.7265625" style="573" customWidth="1"/>
    <col min="6917" max="6917" width="7.26953125" style="573" customWidth="1"/>
    <col min="6918" max="6918" width="8.7265625" style="573" customWidth="1"/>
    <col min="6919" max="6919" width="9.26953125" style="573" customWidth="1"/>
    <col min="6920" max="6920" width="8.7265625" style="573" customWidth="1"/>
    <col min="6921" max="6922" width="8.453125" style="573" customWidth="1"/>
    <col min="6923" max="6923" width="8.54296875" style="573" customWidth="1"/>
    <col min="6924" max="6924" width="9.26953125" style="573" customWidth="1"/>
    <col min="6925" max="6925" width="8.7265625" style="573" customWidth="1"/>
    <col min="6926" max="6926" width="7.81640625" style="573" customWidth="1"/>
    <col min="6927" max="6927" width="8.26953125" style="573" customWidth="1"/>
    <col min="6928" max="6928" width="9.1796875" style="573"/>
    <col min="6929" max="6929" width="8" style="573" customWidth="1"/>
    <col min="6930" max="6930" width="9.26953125" style="573" customWidth="1"/>
    <col min="6931" max="6932" width="9.453125" style="573" customWidth="1"/>
    <col min="6933" max="6933" width="10.453125" style="573" customWidth="1"/>
    <col min="6934" max="6934" width="9.81640625" style="573" customWidth="1"/>
    <col min="6935" max="6935" width="8.7265625" style="573" customWidth="1"/>
    <col min="6936" max="6936" width="0" style="573" hidden="1" customWidth="1"/>
    <col min="6937" max="6937" width="21.7265625" style="573" customWidth="1"/>
    <col min="6938" max="7167" width="9.1796875" style="573"/>
    <col min="7168" max="7168" width="10.1796875" style="573" customWidth="1"/>
    <col min="7169" max="7169" width="11" style="573" customWidth="1"/>
    <col min="7170" max="7170" width="14.81640625" style="573" customWidth="1"/>
    <col min="7171" max="7171" width="8.81640625" style="573" customWidth="1"/>
    <col min="7172" max="7172" width="7.7265625" style="573" customWidth="1"/>
    <col min="7173" max="7173" width="7.26953125" style="573" customWidth="1"/>
    <col min="7174" max="7174" width="8.7265625" style="573" customWidth="1"/>
    <col min="7175" max="7175" width="9.26953125" style="573" customWidth="1"/>
    <col min="7176" max="7176" width="8.7265625" style="573" customWidth="1"/>
    <col min="7177" max="7178" width="8.453125" style="573" customWidth="1"/>
    <col min="7179" max="7179" width="8.54296875" style="573" customWidth="1"/>
    <col min="7180" max="7180" width="9.26953125" style="573" customWidth="1"/>
    <col min="7181" max="7181" width="8.7265625" style="573" customWidth="1"/>
    <col min="7182" max="7182" width="7.81640625" style="573" customWidth="1"/>
    <col min="7183" max="7183" width="8.26953125" style="573" customWidth="1"/>
    <col min="7184" max="7184" width="9.1796875" style="573"/>
    <col min="7185" max="7185" width="8" style="573" customWidth="1"/>
    <col min="7186" max="7186" width="9.26953125" style="573" customWidth="1"/>
    <col min="7187" max="7188" width="9.453125" style="573" customWidth="1"/>
    <col min="7189" max="7189" width="10.453125" style="573" customWidth="1"/>
    <col min="7190" max="7190" width="9.81640625" style="573" customWidth="1"/>
    <col min="7191" max="7191" width="8.7265625" style="573" customWidth="1"/>
    <col min="7192" max="7192" width="0" style="573" hidden="1" customWidth="1"/>
    <col min="7193" max="7193" width="21.7265625" style="573" customWidth="1"/>
    <col min="7194" max="7423" width="9.1796875" style="573"/>
    <col min="7424" max="7424" width="10.1796875" style="573" customWidth="1"/>
    <col min="7425" max="7425" width="11" style="573" customWidth="1"/>
    <col min="7426" max="7426" width="14.81640625" style="573" customWidth="1"/>
    <col min="7427" max="7427" width="8.81640625" style="573" customWidth="1"/>
    <col min="7428" max="7428" width="7.7265625" style="573" customWidth="1"/>
    <col min="7429" max="7429" width="7.26953125" style="573" customWidth="1"/>
    <col min="7430" max="7430" width="8.7265625" style="573" customWidth="1"/>
    <col min="7431" max="7431" width="9.26953125" style="573" customWidth="1"/>
    <col min="7432" max="7432" width="8.7265625" style="573" customWidth="1"/>
    <col min="7433" max="7434" width="8.453125" style="573" customWidth="1"/>
    <col min="7435" max="7435" width="8.54296875" style="573" customWidth="1"/>
    <col min="7436" max="7436" width="9.26953125" style="573" customWidth="1"/>
    <col min="7437" max="7437" width="8.7265625" style="573" customWidth="1"/>
    <col min="7438" max="7438" width="7.81640625" style="573" customWidth="1"/>
    <col min="7439" max="7439" width="8.26953125" style="573" customWidth="1"/>
    <col min="7440" max="7440" width="9.1796875" style="573"/>
    <col min="7441" max="7441" width="8" style="573" customWidth="1"/>
    <col min="7442" max="7442" width="9.26953125" style="573" customWidth="1"/>
    <col min="7443" max="7444" width="9.453125" style="573" customWidth="1"/>
    <col min="7445" max="7445" width="10.453125" style="573" customWidth="1"/>
    <col min="7446" max="7446" width="9.81640625" style="573" customWidth="1"/>
    <col min="7447" max="7447" width="8.7265625" style="573" customWidth="1"/>
    <col min="7448" max="7448" width="0" style="573" hidden="1" customWidth="1"/>
    <col min="7449" max="7449" width="21.7265625" style="573" customWidth="1"/>
    <col min="7450" max="7679" width="9.1796875" style="573"/>
    <col min="7680" max="7680" width="10.1796875" style="573" customWidth="1"/>
    <col min="7681" max="7681" width="11" style="573" customWidth="1"/>
    <col min="7682" max="7682" width="14.81640625" style="573" customWidth="1"/>
    <col min="7683" max="7683" width="8.81640625" style="573" customWidth="1"/>
    <col min="7684" max="7684" width="7.7265625" style="573" customWidth="1"/>
    <col min="7685" max="7685" width="7.26953125" style="573" customWidth="1"/>
    <col min="7686" max="7686" width="8.7265625" style="573" customWidth="1"/>
    <col min="7687" max="7687" width="9.26953125" style="573" customWidth="1"/>
    <col min="7688" max="7688" width="8.7265625" style="573" customWidth="1"/>
    <col min="7689" max="7690" width="8.453125" style="573" customWidth="1"/>
    <col min="7691" max="7691" width="8.54296875" style="573" customWidth="1"/>
    <col min="7692" max="7692" width="9.26953125" style="573" customWidth="1"/>
    <col min="7693" max="7693" width="8.7265625" style="573" customWidth="1"/>
    <col min="7694" max="7694" width="7.81640625" style="573" customWidth="1"/>
    <col min="7695" max="7695" width="8.26953125" style="573" customWidth="1"/>
    <col min="7696" max="7696" width="9.1796875" style="573"/>
    <col min="7697" max="7697" width="8" style="573" customWidth="1"/>
    <col min="7698" max="7698" width="9.26953125" style="573" customWidth="1"/>
    <col min="7699" max="7700" width="9.453125" style="573" customWidth="1"/>
    <col min="7701" max="7701" width="10.453125" style="573" customWidth="1"/>
    <col min="7702" max="7702" width="9.81640625" style="573" customWidth="1"/>
    <col min="7703" max="7703" width="8.7265625" style="573" customWidth="1"/>
    <col min="7704" max="7704" width="0" style="573" hidden="1" customWidth="1"/>
    <col min="7705" max="7705" width="21.7265625" style="573" customWidth="1"/>
    <col min="7706" max="7935" width="9.1796875" style="573"/>
    <col min="7936" max="7936" width="10.1796875" style="573" customWidth="1"/>
    <col min="7937" max="7937" width="11" style="573" customWidth="1"/>
    <col min="7938" max="7938" width="14.81640625" style="573" customWidth="1"/>
    <col min="7939" max="7939" width="8.81640625" style="573" customWidth="1"/>
    <col min="7940" max="7940" width="7.7265625" style="573" customWidth="1"/>
    <col min="7941" max="7941" width="7.26953125" style="573" customWidth="1"/>
    <col min="7942" max="7942" width="8.7265625" style="573" customWidth="1"/>
    <col min="7943" max="7943" width="9.26953125" style="573" customWidth="1"/>
    <col min="7944" max="7944" width="8.7265625" style="573" customWidth="1"/>
    <col min="7945" max="7946" width="8.453125" style="573" customWidth="1"/>
    <col min="7947" max="7947" width="8.54296875" style="573" customWidth="1"/>
    <col min="7948" max="7948" width="9.26953125" style="573" customWidth="1"/>
    <col min="7949" max="7949" width="8.7265625" style="573" customWidth="1"/>
    <col min="7950" max="7950" width="7.81640625" style="573" customWidth="1"/>
    <col min="7951" max="7951" width="8.26953125" style="573" customWidth="1"/>
    <col min="7952" max="7952" width="9.1796875" style="573"/>
    <col min="7953" max="7953" width="8" style="573" customWidth="1"/>
    <col min="7954" max="7954" width="9.26953125" style="573" customWidth="1"/>
    <col min="7955" max="7956" width="9.453125" style="573" customWidth="1"/>
    <col min="7957" max="7957" width="10.453125" style="573" customWidth="1"/>
    <col min="7958" max="7958" width="9.81640625" style="573" customWidth="1"/>
    <col min="7959" max="7959" width="8.7265625" style="573" customWidth="1"/>
    <col min="7960" max="7960" width="0" style="573" hidden="1" customWidth="1"/>
    <col min="7961" max="7961" width="21.7265625" style="573" customWidth="1"/>
    <col min="7962" max="8191" width="9.1796875" style="573"/>
    <col min="8192" max="8192" width="10.1796875" style="573" customWidth="1"/>
    <col min="8193" max="8193" width="11" style="573" customWidth="1"/>
    <col min="8194" max="8194" width="14.81640625" style="573" customWidth="1"/>
    <col min="8195" max="8195" width="8.81640625" style="573" customWidth="1"/>
    <col min="8196" max="8196" width="7.7265625" style="573" customWidth="1"/>
    <col min="8197" max="8197" width="7.26953125" style="573" customWidth="1"/>
    <col min="8198" max="8198" width="8.7265625" style="573" customWidth="1"/>
    <col min="8199" max="8199" width="9.26953125" style="573" customWidth="1"/>
    <col min="8200" max="8200" width="8.7265625" style="573" customWidth="1"/>
    <col min="8201" max="8202" width="8.453125" style="573" customWidth="1"/>
    <col min="8203" max="8203" width="8.54296875" style="573" customWidth="1"/>
    <col min="8204" max="8204" width="9.26953125" style="573" customWidth="1"/>
    <col min="8205" max="8205" width="8.7265625" style="573" customWidth="1"/>
    <col min="8206" max="8206" width="7.81640625" style="573" customWidth="1"/>
    <col min="8207" max="8207" width="8.26953125" style="573" customWidth="1"/>
    <col min="8208" max="8208" width="9.1796875" style="573"/>
    <col min="8209" max="8209" width="8" style="573" customWidth="1"/>
    <col min="8210" max="8210" width="9.26953125" style="573" customWidth="1"/>
    <col min="8211" max="8212" width="9.453125" style="573" customWidth="1"/>
    <col min="8213" max="8213" width="10.453125" style="573" customWidth="1"/>
    <col min="8214" max="8214" width="9.81640625" style="573" customWidth="1"/>
    <col min="8215" max="8215" width="8.7265625" style="573" customWidth="1"/>
    <col min="8216" max="8216" width="0" style="573" hidden="1" customWidth="1"/>
    <col min="8217" max="8217" width="21.7265625" style="573" customWidth="1"/>
    <col min="8218" max="8447" width="9.1796875" style="573"/>
    <col min="8448" max="8448" width="10.1796875" style="573" customWidth="1"/>
    <col min="8449" max="8449" width="11" style="573" customWidth="1"/>
    <col min="8450" max="8450" width="14.81640625" style="573" customWidth="1"/>
    <col min="8451" max="8451" width="8.81640625" style="573" customWidth="1"/>
    <col min="8452" max="8452" width="7.7265625" style="573" customWidth="1"/>
    <col min="8453" max="8453" width="7.26953125" style="573" customWidth="1"/>
    <col min="8454" max="8454" width="8.7265625" style="573" customWidth="1"/>
    <col min="8455" max="8455" width="9.26953125" style="573" customWidth="1"/>
    <col min="8456" max="8456" width="8.7265625" style="573" customWidth="1"/>
    <col min="8457" max="8458" width="8.453125" style="573" customWidth="1"/>
    <col min="8459" max="8459" width="8.54296875" style="573" customWidth="1"/>
    <col min="8460" max="8460" width="9.26953125" style="573" customWidth="1"/>
    <col min="8461" max="8461" width="8.7265625" style="573" customWidth="1"/>
    <col min="8462" max="8462" width="7.81640625" style="573" customWidth="1"/>
    <col min="8463" max="8463" width="8.26953125" style="573" customWidth="1"/>
    <col min="8464" max="8464" width="9.1796875" style="573"/>
    <col min="8465" max="8465" width="8" style="573" customWidth="1"/>
    <col min="8466" max="8466" width="9.26953125" style="573" customWidth="1"/>
    <col min="8467" max="8468" width="9.453125" style="573" customWidth="1"/>
    <col min="8469" max="8469" width="10.453125" style="573" customWidth="1"/>
    <col min="8470" max="8470" width="9.81640625" style="573" customWidth="1"/>
    <col min="8471" max="8471" width="8.7265625" style="573" customWidth="1"/>
    <col min="8472" max="8472" width="0" style="573" hidden="1" customWidth="1"/>
    <col min="8473" max="8473" width="21.7265625" style="573" customWidth="1"/>
    <col min="8474" max="8703" width="9.1796875" style="573"/>
    <col min="8704" max="8704" width="10.1796875" style="573" customWidth="1"/>
    <col min="8705" max="8705" width="11" style="573" customWidth="1"/>
    <col min="8706" max="8706" width="14.81640625" style="573" customWidth="1"/>
    <col min="8707" max="8707" width="8.81640625" style="573" customWidth="1"/>
    <col min="8708" max="8708" width="7.7265625" style="573" customWidth="1"/>
    <col min="8709" max="8709" width="7.26953125" style="573" customWidth="1"/>
    <col min="8710" max="8710" width="8.7265625" style="573" customWidth="1"/>
    <col min="8711" max="8711" width="9.26953125" style="573" customWidth="1"/>
    <col min="8712" max="8712" width="8.7265625" style="573" customWidth="1"/>
    <col min="8713" max="8714" width="8.453125" style="573" customWidth="1"/>
    <col min="8715" max="8715" width="8.54296875" style="573" customWidth="1"/>
    <col min="8716" max="8716" width="9.26953125" style="573" customWidth="1"/>
    <col min="8717" max="8717" width="8.7265625" style="573" customWidth="1"/>
    <col min="8718" max="8718" width="7.81640625" style="573" customWidth="1"/>
    <col min="8719" max="8719" width="8.26953125" style="573" customWidth="1"/>
    <col min="8720" max="8720" width="9.1796875" style="573"/>
    <col min="8721" max="8721" width="8" style="573" customWidth="1"/>
    <col min="8722" max="8722" width="9.26953125" style="573" customWidth="1"/>
    <col min="8723" max="8724" width="9.453125" style="573" customWidth="1"/>
    <col min="8725" max="8725" width="10.453125" style="573" customWidth="1"/>
    <col min="8726" max="8726" width="9.81640625" style="573" customWidth="1"/>
    <col min="8727" max="8727" width="8.7265625" style="573" customWidth="1"/>
    <col min="8728" max="8728" width="0" style="573" hidden="1" customWidth="1"/>
    <col min="8729" max="8729" width="21.7265625" style="573" customWidth="1"/>
    <col min="8730" max="8959" width="9.1796875" style="573"/>
    <col min="8960" max="8960" width="10.1796875" style="573" customWidth="1"/>
    <col min="8961" max="8961" width="11" style="573" customWidth="1"/>
    <col min="8962" max="8962" width="14.81640625" style="573" customWidth="1"/>
    <col min="8963" max="8963" width="8.81640625" style="573" customWidth="1"/>
    <col min="8964" max="8964" width="7.7265625" style="573" customWidth="1"/>
    <col min="8965" max="8965" width="7.26953125" style="573" customWidth="1"/>
    <col min="8966" max="8966" width="8.7265625" style="573" customWidth="1"/>
    <col min="8967" max="8967" width="9.26953125" style="573" customWidth="1"/>
    <col min="8968" max="8968" width="8.7265625" style="573" customWidth="1"/>
    <col min="8969" max="8970" width="8.453125" style="573" customWidth="1"/>
    <col min="8971" max="8971" width="8.54296875" style="573" customWidth="1"/>
    <col min="8972" max="8972" width="9.26953125" style="573" customWidth="1"/>
    <col min="8973" max="8973" width="8.7265625" style="573" customWidth="1"/>
    <col min="8974" max="8974" width="7.81640625" style="573" customWidth="1"/>
    <col min="8975" max="8975" width="8.26953125" style="573" customWidth="1"/>
    <col min="8976" max="8976" width="9.1796875" style="573"/>
    <col min="8977" max="8977" width="8" style="573" customWidth="1"/>
    <col min="8978" max="8978" width="9.26953125" style="573" customWidth="1"/>
    <col min="8979" max="8980" width="9.453125" style="573" customWidth="1"/>
    <col min="8981" max="8981" width="10.453125" style="573" customWidth="1"/>
    <col min="8982" max="8982" width="9.81640625" style="573" customWidth="1"/>
    <col min="8983" max="8983" width="8.7265625" style="573" customWidth="1"/>
    <col min="8984" max="8984" width="0" style="573" hidden="1" customWidth="1"/>
    <col min="8985" max="8985" width="21.7265625" style="573" customWidth="1"/>
    <col min="8986" max="9215" width="9.1796875" style="573"/>
    <col min="9216" max="9216" width="10.1796875" style="573" customWidth="1"/>
    <col min="9217" max="9217" width="11" style="573" customWidth="1"/>
    <col min="9218" max="9218" width="14.81640625" style="573" customWidth="1"/>
    <col min="9219" max="9219" width="8.81640625" style="573" customWidth="1"/>
    <col min="9220" max="9220" width="7.7265625" style="573" customWidth="1"/>
    <col min="9221" max="9221" width="7.26953125" style="573" customWidth="1"/>
    <col min="9222" max="9222" width="8.7265625" style="573" customWidth="1"/>
    <col min="9223" max="9223" width="9.26953125" style="573" customWidth="1"/>
    <col min="9224" max="9224" width="8.7265625" style="573" customWidth="1"/>
    <col min="9225" max="9226" width="8.453125" style="573" customWidth="1"/>
    <col min="9227" max="9227" width="8.54296875" style="573" customWidth="1"/>
    <col min="9228" max="9228" width="9.26953125" style="573" customWidth="1"/>
    <col min="9229" max="9229" width="8.7265625" style="573" customWidth="1"/>
    <col min="9230" max="9230" width="7.81640625" style="573" customWidth="1"/>
    <col min="9231" max="9231" width="8.26953125" style="573" customWidth="1"/>
    <col min="9232" max="9232" width="9.1796875" style="573"/>
    <col min="9233" max="9233" width="8" style="573" customWidth="1"/>
    <col min="9234" max="9234" width="9.26953125" style="573" customWidth="1"/>
    <col min="9235" max="9236" width="9.453125" style="573" customWidth="1"/>
    <col min="9237" max="9237" width="10.453125" style="573" customWidth="1"/>
    <col min="9238" max="9238" width="9.81640625" style="573" customWidth="1"/>
    <col min="9239" max="9239" width="8.7265625" style="573" customWidth="1"/>
    <col min="9240" max="9240" width="0" style="573" hidden="1" customWidth="1"/>
    <col min="9241" max="9241" width="21.7265625" style="573" customWidth="1"/>
    <col min="9242" max="9471" width="9.1796875" style="573"/>
    <col min="9472" max="9472" width="10.1796875" style="573" customWidth="1"/>
    <col min="9473" max="9473" width="11" style="573" customWidth="1"/>
    <col min="9474" max="9474" width="14.81640625" style="573" customWidth="1"/>
    <col min="9475" max="9475" width="8.81640625" style="573" customWidth="1"/>
    <col min="9476" max="9476" width="7.7265625" style="573" customWidth="1"/>
    <col min="9477" max="9477" width="7.26953125" style="573" customWidth="1"/>
    <col min="9478" max="9478" width="8.7265625" style="573" customWidth="1"/>
    <col min="9479" max="9479" width="9.26953125" style="573" customWidth="1"/>
    <col min="9480" max="9480" width="8.7265625" style="573" customWidth="1"/>
    <col min="9481" max="9482" width="8.453125" style="573" customWidth="1"/>
    <col min="9483" max="9483" width="8.54296875" style="573" customWidth="1"/>
    <col min="9484" max="9484" width="9.26953125" style="573" customWidth="1"/>
    <col min="9485" max="9485" width="8.7265625" style="573" customWidth="1"/>
    <col min="9486" max="9486" width="7.81640625" style="573" customWidth="1"/>
    <col min="9487" max="9487" width="8.26953125" style="573" customWidth="1"/>
    <col min="9488" max="9488" width="9.1796875" style="573"/>
    <col min="9489" max="9489" width="8" style="573" customWidth="1"/>
    <col min="9490" max="9490" width="9.26953125" style="573" customWidth="1"/>
    <col min="9491" max="9492" width="9.453125" style="573" customWidth="1"/>
    <col min="9493" max="9493" width="10.453125" style="573" customWidth="1"/>
    <col min="9494" max="9494" width="9.81640625" style="573" customWidth="1"/>
    <col min="9495" max="9495" width="8.7265625" style="573" customWidth="1"/>
    <col min="9496" max="9496" width="0" style="573" hidden="1" customWidth="1"/>
    <col min="9497" max="9497" width="21.7265625" style="573" customWidth="1"/>
    <col min="9498" max="9727" width="9.1796875" style="573"/>
    <col min="9728" max="9728" width="10.1796875" style="573" customWidth="1"/>
    <col min="9729" max="9729" width="11" style="573" customWidth="1"/>
    <col min="9730" max="9730" width="14.81640625" style="573" customWidth="1"/>
    <col min="9731" max="9731" width="8.81640625" style="573" customWidth="1"/>
    <col min="9732" max="9732" width="7.7265625" style="573" customWidth="1"/>
    <col min="9733" max="9733" width="7.26953125" style="573" customWidth="1"/>
    <col min="9734" max="9734" width="8.7265625" style="573" customWidth="1"/>
    <col min="9735" max="9735" width="9.26953125" style="573" customWidth="1"/>
    <col min="9736" max="9736" width="8.7265625" style="573" customWidth="1"/>
    <col min="9737" max="9738" width="8.453125" style="573" customWidth="1"/>
    <col min="9739" max="9739" width="8.54296875" style="573" customWidth="1"/>
    <col min="9740" max="9740" width="9.26953125" style="573" customWidth="1"/>
    <col min="9741" max="9741" width="8.7265625" style="573" customWidth="1"/>
    <col min="9742" max="9742" width="7.81640625" style="573" customWidth="1"/>
    <col min="9743" max="9743" width="8.26953125" style="573" customWidth="1"/>
    <col min="9744" max="9744" width="9.1796875" style="573"/>
    <col min="9745" max="9745" width="8" style="573" customWidth="1"/>
    <col min="9746" max="9746" width="9.26953125" style="573" customWidth="1"/>
    <col min="9747" max="9748" width="9.453125" style="573" customWidth="1"/>
    <col min="9749" max="9749" width="10.453125" style="573" customWidth="1"/>
    <col min="9750" max="9750" width="9.81640625" style="573" customWidth="1"/>
    <col min="9751" max="9751" width="8.7265625" style="573" customWidth="1"/>
    <col min="9752" max="9752" width="0" style="573" hidden="1" customWidth="1"/>
    <col min="9753" max="9753" width="21.7265625" style="573" customWidth="1"/>
    <col min="9754" max="9983" width="9.1796875" style="573"/>
    <col min="9984" max="9984" width="10.1796875" style="573" customWidth="1"/>
    <col min="9985" max="9985" width="11" style="573" customWidth="1"/>
    <col min="9986" max="9986" width="14.81640625" style="573" customWidth="1"/>
    <col min="9987" max="9987" width="8.81640625" style="573" customWidth="1"/>
    <col min="9988" max="9988" width="7.7265625" style="573" customWidth="1"/>
    <col min="9989" max="9989" width="7.26953125" style="573" customWidth="1"/>
    <col min="9990" max="9990" width="8.7265625" style="573" customWidth="1"/>
    <col min="9991" max="9991" width="9.26953125" style="573" customWidth="1"/>
    <col min="9992" max="9992" width="8.7265625" style="573" customWidth="1"/>
    <col min="9993" max="9994" width="8.453125" style="573" customWidth="1"/>
    <col min="9995" max="9995" width="8.54296875" style="573" customWidth="1"/>
    <col min="9996" max="9996" width="9.26953125" style="573" customWidth="1"/>
    <col min="9997" max="9997" width="8.7265625" style="573" customWidth="1"/>
    <col min="9998" max="9998" width="7.81640625" style="573" customWidth="1"/>
    <col min="9999" max="9999" width="8.26953125" style="573" customWidth="1"/>
    <col min="10000" max="10000" width="9.1796875" style="573"/>
    <col min="10001" max="10001" width="8" style="573" customWidth="1"/>
    <col min="10002" max="10002" width="9.26953125" style="573" customWidth="1"/>
    <col min="10003" max="10004" width="9.453125" style="573" customWidth="1"/>
    <col min="10005" max="10005" width="10.453125" style="573" customWidth="1"/>
    <col min="10006" max="10006" width="9.81640625" style="573" customWidth="1"/>
    <col min="10007" max="10007" width="8.7265625" style="573" customWidth="1"/>
    <col min="10008" max="10008" width="0" style="573" hidden="1" customWidth="1"/>
    <col min="10009" max="10009" width="21.7265625" style="573" customWidth="1"/>
    <col min="10010" max="10239" width="9.1796875" style="573"/>
    <col min="10240" max="10240" width="10.1796875" style="573" customWidth="1"/>
    <col min="10241" max="10241" width="11" style="573" customWidth="1"/>
    <col min="10242" max="10242" width="14.81640625" style="573" customWidth="1"/>
    <col min="10243" max="10243" width="8.81640625" style="573" customWidth="1"/>
    <col min="10244" max="10244" width="7.7265625" style="573" customWidth="1"/>
    <col min="10245" max="10245" width="7.26953125" style="573" customWidth="1"/>
    <col min="10246" max="10246" width="8.7265625" style="573" customWidth="1"/>
    <col min="10247" max="10247" width="9.26953125" style="573" customWidth="1"/>
    <col min="10248" max="10248" width="8.7265625" style="573" customWidth="1"/>
    <col min="10249" max="10250" width="8.453125" style="573" customWidth="1"/>
    <col min="10251" max="10251" width="8.54296875" style="573" customWidth="1"/>
    <col min="10252" max="10252" width="9.26953125" style="573" customWidth="1"/>
    <col min="10253" max="10253" width="8.7265625" style="573" customWidth="1"/>
    <col min="10254" max="10254" width="7.81640625" style="573" customWidth="1"/>
    <col min="10255" max="10255" width="8.26953125" style="573" customWidth="1"/>
    <col min="10256" max="10256" width="9.1796875" style="573"/>
    <col min="10257" max="10257" width="8" style="573" customWidth="1"/>
    <col min="10258" max="10258" width="9.26953125" style="573" customWidth="1"/>
    <col min="10259" max="10260" width="9.453125" style="573" customWidth="1"/>
    <col min="10261" max="10261" width="10.453125" style="573" customWidth="1"/>
    <col min="10262" max="10262" width="9.81640625" style="573" customWidth="1"/>
    <col min="10263" max="10263" width="8.7265625" style="573" customWidth="1"/>
    <col min="10264" max="10264" width="0" style="573" hidden="1" customWidth="1"/>
    <col min="10265" max="10265" width="21.7265625" style="573" customWidth="1"/>
    <col min="10266" max="10495" width="9.1796875" style="573"/>
    <col min="10496" max="10496" width="10.1796875" style="573" customWidth="1"/>
    <col min="10497" max="10497" width="11" style="573" customWidth="1"/>
    <col min="10498" max="10498" width="14.81640625" style="573" customWidth="1"/>
    <col min="10499" max="10499" width="8.81640625" style="573" customWidth="1"/>
    <col min="10500" max="10500" width="7.7265625" style="573" customWidth="1"/>
    <col min="10501" max="10501" width="7.26953125" style="573" customWidth="1"/>
    <col min="10502" max="10502" width="8.7265625" style="573" customWidth="1"/>
    <col min="10503" max="10503" width="9.26953125" style="573" customWidth="1"/>
    <col min="10504" max="10504" width="8.7265625" style="573" customWidth="1"/>
    <col min="10505" max="10506" width="8.453125" style="573" customWidth="1"/>
    <col min="10507" max="10507" width="8.54296875" style="573" customWidth="1"/>
    <col min="10508" max="10508" width="9.26953125" style="573" customWidth="1"/>
    <col min="10509" max="10509" width="8.7265625" style="573" customWidth="1"/>
    <col min="10510" max="10510" width="7.81640625" style="573" customWidth="1"/>
    <col min="10511" max="10511" width="8.26953125" style="573" customWidth="1"/>
    <col min="10512" max="10512" width="9.1796875" style="573"/>
    <col min="10513" max="10513" width="8" style="573" customWidth="1"/>
    <col min="10514" max="10514" width="9.26953125" style="573" customWidth="1"/>
    <col min="10515" max="10516" width="9.453125" style="573" customWidth="1"/>
    <col min="10517" max="10517" width="10.453125" style="573" customWidth="1"/>
    <col min="10518" max="10518" width="9.81640625" style="573" customWidth="1"/>
    <col min="10519" max="10519" width="8.7265625" style="573" customWidth="1"/>
    <col min="10520" max="10520" width="0" style="573" hidden="1" customWidth="1"/>
    <col min="10521" max="10521" width="21.7265625" style="573" customWidth="1"/>
    <col min="10522" max="10751" width="9.1796875" style="573"/>
    <col min="10752" max="10752" width="10.1796875" style="573" customWidth="1"/>
    <col min="10753" max="10753" width="11" style="573" customWidth="1"/>
    <col min="10754" max="10754" width="14.81640625" style="573" customWidth="1"/>
    <col min="10755" max="10755" width="8.81640625" style="573" customWidth="1"/>
    <col min="10756" max="10756" width="7.7265625" style="573" customWidth="1"/>
    <col min="10757" max="10757" width="7.26953125" style="573" customWidth="1"/>
    <col min="10758" max="10758" width="8.7265625" style="573" customWidth="1"/>
    <col min="10759" max="10759" width="9.26953125" style="573" customWidth="1"/>
    <col min="10760" max="10760" width="8.7265625" style="573" customWidth="1"/>
    <col min="10761" max="10762" width="8.453125" style="573" customWidth="1"/>
    <col min="10763" max="10763" width="8.54296875" style="573" customWidth="1"/>
    <col min="10764" max="10764" width="9.26953125" style="573" customWidth="1"/>
    <col min="10765" max="10765" width="8.7265625" style="573" customWidth="1"/>
    <col min="10766" max="10766" width="7.81640625" style="573" customWidth="1"/>
    <col min="10767" max="10767" width="8.26953125" style="573" customWidth="1"/>
    <col min="10768" max="10768" width="9.1796875" style="573"/>
    <col min="10769" max="10769" width="8" style="573" customWidth="1"/>
    <col min="10770" max="10770" width="9.26953125" style="573" customWidth="1"/>
    <col min="10771" max="10772" width="9.453125" style="573" customWidth="1"/>
    <col min="10773" max="10773" width="10.453125" style="573" customWidth="1"/>
    <col min="10774" max="10774" width="9.81640625" style="573" customWidth="1"/>
    <col min="10775" max="10775" width="8.7265625" style="573" customWidth="1"/>
    <col min="10776" max="10776" width="0" style="573" hidden="1" customWidth="1"/>
    <col min="10777" max="10777" width="21.7265625" style="573" customWidth="1"/>
    <col min="10778" max="11007" width="9.1796875" style="573"/>
    <col min="11008" max="11008" width="10.1796875" style="573" customWidth="1"/>
    <col min="11009" max="11009" width="11" style="573" customWidth="1"/>
    <col min="11010" max="11010" width="14.81640625" style="573" customWidth="1"/>
    <col min="11011" max="11011" width="8.81640625" style="573" customWidth="1"/>
    <col min="11012" max="11012" width="7.7265625" style="573" customWidth="1"/>
    <col min="11013" max="11013" width="7.26953125" style="573" customWidth="1"/>
    <col min="11014" max="11014" width="8.7265625" style="573" customWidth="1"/>
    <col min="11015" max="11015" width="9.26953125" style="573" customWidth="1"/>
    <col min="11016" max="11016" width="8.7265625" style="573" customWidth="1"/>
    <col min="11017" max="11018" width="8.453125" style="573" customWidth="1"/>
    <col min="11019" max="11019" width="8.54296875" style="573" customWidth="1"/>
    <col min="11020" max="11020" width="9.26953125" style="573" customWidth="1"/>
    <col min="11021" max="11021" width="8.7265625" style="573" customWidth="1"/>
    <col min="11022" max="11022" width="7.81640625" style="573" customWidth="1"/>
    <col min="11023" max="11023" width="8.26953125" style="573" customWidth="1"/>
    <col min="11024" max="11024" width="9.1796875" style="573"/>
    <col min="11025" max="11025" width="8" style="573" customWidth="1"/>
    <col min="11026" max="11026" width="9.26953125" style="573" customWidth="1"/>
    <col min="11027" max="11028" width="9.453125" style="573" customWidth="1"/>
    <col min="11029" max="11029" width="10.453125" style="573" customWidth="1"/>
    <col min="11030" max="11030" width="9.81640625" style="573" customWidth="1"/>
    <col min="11031" max="11031" width="8.7265625" style="573" customWidth="1"/>
    <col min="11032" max="11032" width="0" style="573" hidden="1" customWidth="1"/>
    <col min="11033" max="11033" width="21.7265625" style="573" customWidth="1"/>
    <col min="11034" max="11263" width="9.1796875" style="573"/>
    <col min="11264" max="11264" width="10.1796875" style="573" customWidth="1"/>
    <col min="11265" max="11265" width="11" style="573" customWidth="1"/>
    <col min="11266" max="11266" width="14.81640625" style="573" customWidth="1"/>
    <col min="11267" max="11267" width="8.81640625" style="573" customWidth="1"/>
    <col min="11268" max="11268" width="7.7265625" style="573" customWidth="1"/>
    <col min="11269" max="11269" width="7.26953125" style="573" customWidth="1"/>
    <col min="11270" max="11270" width="8.7265625" style="573" customWidth="1"/>
    <col min="11271" max="11271" width="9.26953125" style="573" customWidth="1"/>
    <col min="11272" max="11272" width="8.7265625" style="573" customWidth="1"/>
    <col min="11273" max="11274" width="8.453125" style="573" customWidth="1"/>
    <col min="11275" max="11275" width="8.54296875" style="573" customWidth="1"/>
    <col min="11276" max="11276" width="9.26953125" style="573" customWidth="1"/>
    <col min="11277" max="11277" width="8.7265625" style="573" customWidth="1"/>
    <col min="11278" max="11278" width="7.81640625" style="573" customWidth="1"/>
    <col min="11279" max="11279" width="8.26953125" style="573" customWidth="1"/>
    <col min="11280" max="11280" width="9.1796875" style="573"/>
    <col min="11281" max="11281" width="8" style="573" customWidth="1"/>
    <col min="11282" max="11282" width="9.26953125" style="573" customWidth="1"/>
    <col min="11283" max="11284" width="9.453125" style="573" customWidth="1"/>
    <col min="11285" max="11285" width="10.453125" style="573" customWidth="1"/>
    <col min="11286" max="11286" width="9.81640625" style="573" customWidth="1"/>
    <col min="11287" max="11287" width="8.7265625" style="573" customWidth="1"/>
    <col min="11288" max="11288" width="0" style="573" hidden="1" customWidth="1"/>
    <col min="11289" max="11289" width="21.7265625" style="573" customWidth="1"/>
    <col min="11290" max="11519" width="9.1796875" style="573"/>
    <col min="11520" max="11520" width="10.1796875" style="573" customWidth="1"/>
    <col min="11521" max="11521" width="11" style="573" customWidth="1"/>
    <col min="11522" max="11522" width="14.81640625" style="573" customWidth="1"/>
    <col min="11523" max="11523" width="8.81640625" style="573" customWidth="1"/>
    <col min="11524" max="11524" width="7.7265625" style="573" customWidth="1"/>
    <col min="11525" max="11525" width="7.26953125" style="573" customWidth="1"/>
    <col min="11526" max="11526" width="8.7265625" style="573" customWidth="1"/>
    <col min="11527" max="11527" width="9.26953125" style="573" customWidth="1"/>
    <col min="11528" max="11528" width="8.7265625" style="573" customWidth="1"/>
    <col min="11529" max="11530" width="8.453125" style="573" customWidth="1"/>
    <col min="11531" max="11531" width="8.54296875" style="573" customWidth="1"/>
    <col min="11532" max="11532" width="9.26953125" style="573" customWidth="1"/>
    <col min="11533" max="11533" width="8.7265625" style="573" customWidth="1"/>
    <col min="11534" max="11534" width="7.81640625" style="573" customWidth="1"/>
    <col min="11535" max="11535" width="8.26953125" style="573" customWidth="1"/>
    <col min="11536" max="11536" width="9.1796875" style="573"/>
    <col min="11537" max="11537" width="8" style="573" customWidth="1"/>
    <col min="11538" max="11538" width="9.26953125" style="573" customWidth="1"/>
    <col min="11539" max="11540" width="9.453125" style="573" customWidth="1"/>
    <col min="11541" max="11541" width="10.453125" style="573" customWidth="1"/>
    <col min="11542" max="11542" width="9.81640625" style="573" customWidth="1"/>
    <col min="11543" max="11543" width="8.7265625" style="573" customWidth="1"/>
    <col min="11544" max="11544" width="0" style="573" hidden="1" customWidth="1"/>
    <col min="11545" max="11545" width="21.7265625" style="573" customWidth="1"/>
    <col min="11546" max="11775" width="9.1796875" style="573"/>
    <col min="11776" max="11776" width="10.1796875" style="573" customWidth="1"/>
    <col min="11777" max="11777" width="11" style="573" customWidth="1"/>
    <col min="11778" max="11778" width="14.81640625" style="573" customWidth="1"/>
    <col min="11779" max="11779" width="8.81640625" style="573" customWidth="1"/>
    <col min="11780" max="11780" width="7.7265625" style="573" customWidth="1"/>
    <col min="11781" max="11781" width="7.26953125" style="573" customWidth="1"/>
    <col min="11782" max="11782" width="8.7265625" style="573" customWidth="1"/>
    <col min="11783" max="11783" width="9.26953125" style="573" customWidth="1"/>
    <col min="11784" max="11784" width="8.7265625" style="573" customWidth="1"/>
    <col min="11785" max="11786" width="8.453125" style="573" customWidth="1"/>
    <col min="11787" max="11787" width="8.54296875" style="573" customWidth="1"/>
    <col min="11788" max="11788" width="9.26953125" style="573" customWidth="1"/>
    <col min="11789" max="11789" width="8.7265625" style="573" customWidth="1"/>
    <col min="11790" max="11790" width="7.81640625" style="573" customWidth="1"/>
    <col min="11791" max="11791" width="8.26953125" style="573" customWidth="1"/>
    <col min="11792" max="11792" width="9.1796875" style="573"/>
    <col min="11793" max="11793" width="8" style="573" customWidth="1"/>
    <col min="11794" max="11794" width="9.26953125" style="573" customWidth="1"/>
    <col min="11795" max="11796" width="9.453125" style="573" customWidth="1"/>
    <col min="11797" max="11797" width="10.453125" style="573" customWidth="1"/>
    <col min="11798" max="11798" width="9.81640625" style="573" customWidth="1"/>
    <col min="11799" max="11799" width="8.7265625" style="573" customWidth="1"/>
    <col min="11800" max="11800" width="0" style="573" hidden="1" customWidth="1"/>
    <col min="11801" max="11801" width="21.7265625" style="573" customWidth="1"/>
    <col min="11802" max="12031" width="9.1796875" style="573"/>
    <col min="12032" max="12032" width="10.1796875" style="573" customWidth="1"/>
    <col min="12033" max="12033" width="11" style="573" customWidth="1"/>
    <col min="12034" max="12034" width="14.81640625" style="573" customWidth="1"/>
    <col min="12035" max="12035" width="8.81640625" style="573" customWidth="1"/>
    <col min="12036" max="12036" width="7.7265625" style="573" customWidth="1"/>
    <col min="12037" max="12037" width="7.26953125" style="573" customWidth="1"/>
    <col min="12038" max="12038" width="8.7265625" style="573" customWidth="1"/>
    <col min="12039" max="12039" width="9.26953125" style="573" customWidth="1"/>
    <col min="12040" max="12040" width="8.7265625" style="573" customWidth="1"/>
    <col min="12041" max="12042" width="8.453125" style="573" customWidth="1"/>
    <col min="12043" max="12043" width="8.54296875" style="573" customWidth="1"/>
    <col min="12044" max="12044" width="9.26953125" style="573" customWidth="1"/>
    <col min="12045" max="12045" width="8.7265625" style="573" customWidth="1"/>
    <col min="12046" max="12046" width="7.81640625" style="573" customWidth="1"/>
    <col min="12047" max="12047" width="8.26953125" style="573" customWidth="1"/>
    <col min="12048" max="12048" width="9.1796875" style="573"/>
    <col min="12049" max="12049" width="8" style="573" customWidth="1"/>
    <col min="12050" max="12050" width="9.26953125" style="573" customWidth="1"/>
    <col min="12051" max="12052" width="9.453125" style="573" customWidth="1"/>
    <col min="12053" max="12053" width="10.453125" style="573" customWidth="1"/>
    <col min="12054" max="12054" width="9.81640625" style="573" customWidth="1"/>
    <col min="12055" max="12055" width="8.7265625" style="573" customWidth="1"/>
    <col min="12056" max="12056" width="0" style="573" hidden="1" customWidth="1"/>
    <col min="12057" max="12057" width="21.7265625" style="573" customWidth="1"/>
    <col min="12058" max="12287" width="9.1796875" style="573"/>
    <col min="12288" max="12288" width="10.1796875" style="573" customWidth="1"/>
    <col min="12289" max="12289" width="11" style="573" customWidth="1"/>
    <col min="12290" max="12290" width="14.81640625" style="573" customWidth="1"/>
    <col min="12291" max="12291" width="8.81640625" style="573" customWidth="1"/>
    <col min="12292" max="12292" width="7.7265625" style="573" customWidth="1"/>
    <col min="12293" max="12293" width="7.26953125" style="573" customWidth="1"/>
    <col min="12294" max="12294" width="8.7265625" style="573" customWidth="1"/>
    <col min="12295" max="12295" width="9.26953125" style="573" customWidth="1"/>
    <col min="12296" max="12296" width="8.7265625" style="573" customWidth="1"/>
    <col min="12297" max="12298" width="8.453125" style="573" customWidth="1"/>
    <col min="12299" max="12299" width="8.54296875" style="573" customWidth="1"/>
    <col min="12300" max="12300" width="9.26953125" style="573" customWidth="1"/>
    <col min="12301" max="12301" width="8.7265625" style="573" customWidth="1"/>
    <col min="12302" max="12302" width="7.81640625" style="573" customWidth="1"/>
    <col min="12303" max="12303" width="8.26953125" style="573" customWidth="1"/>
    <col min="12304" max="12304" width="9.1796875" style="573"/>
    <col min="12305" max="12305" width="8" style="573" customWidth="1"/>
    <col min="12306" max="12306" width="9.26953125" style="573" customWidth="1"/>
    <col min="12307" max="12308" width="9.453125" style="573" customWidth="1"/>
    <col min="12309" max="12309" width="10.453125" style="573" customWidth="1"/>
    <col min="12310" max="12310" width="9.81640625" style="573" customWidth="1"/>
    <col min="12311" max="12311" width="8.7265625" style="573" customWidth="1"/>
    <col min="12312" max="12312" width="0" style="573" hidden="1" customWidth="1"/>
    <col min="12313" max="12313" width="21.7265625" style="573" customWidth="1"/>
    <col min="12314" max="12543" width="9.1796875" style="573"/>
    <col min="12544" max="12544" width="10.1796875" style="573" customWidth="1"/>
    <col min="12545" max="12545" width="11" style="573" customWidth="1"/>
    <col min="12546" max="12546" width="14.81640625" style="573" customWidth="1"/>
    <col min="12547" max="12547" width="8.81640625" style="573" customWidth="1"/>
    <col min="12548" max="12548" width="7.7265625" style="573" customWidth="1"/>
    <col min="12549" max="12549" width="7.26953125" style="573" customWidth="1"/>
    <col min="12550" max="12550" width="8.7265625" style="573" customWidth="1"/>
    <col min="12551" max="12551" width="9.26953125" style="573" customWidth="1"/>
    <col min="12552" max="12552" width="8.7265625" style="573" customWidth="1"/>
    <col min="12553" max="12554" width="8.453125" style="573" customWidth="1"/>
    <col min="12555" max="12555" width="8.54296875" style="573" customWidth="1"/>
    <col min="12556" max="12556" width="9.26953125" style="573" customWidth="1"/>
    <col min="12557" max="12557" width="8.7265625" style="573" customWidth="1"/>
    <col min="12558" max="12558" width="7.81640625" style="573" customWidth="1"/>
    <col min="12559" max="12559" width="8.26953125" style="573" customWidth="1"/>
    <col min="12560" max="12560" width="9.1796875" style="573"/>
    <col min="12561" max="12561" width="8" style="573" customWidth="1"/>
    <col min="12562" max="12562" width="9.26953125" style="573" customWidth="1"/>
    <col min="12563" max="12564" width="9.453125" style="573" customWidth="1"/>
    <col min="12565" max="12565" width="10.453125" style="573" customWidth="1"/>
    <col min="12566" max="12566" width="9.81640625" style="573" customWidth="1"/>
    <col min="12567" max="12567" width="8.7265625" style="573" customWidth="1"/>
    <col min="12568" max="12568" width="0" style="573" hidden="1" customWidth="1"/>
    <col min="12569" max="12569" width="21.7265625" style="573" customWidth="1"/>
    <col min="12570" max="12799" width="9.1796875" style="573"/>
    <col min="12800" max="12800" width="10.1796875" style="573" customWidth="1"/>
    <col min="12801" max="12801" width="11" style="573" customWidth="1"/>
    <col min="12802" max="12802" width="14.81640625" style="573" customWidth="1"/>
    <col min="12803" max="12803" width="8.81640625" style="573" customWidth="1"/>
    <col min="12804" max="12804" width="7.7265625" style="573" customWidth="1"/>
    <col min="12805" max="12805" width="7.26953125" style="573" customWidth="1"/>
    <col min="12806" max="12806" width="8.7265625" style="573" customWidth="1"/>
    <col min="12807" max="12807" width="9.26953125" style="573" customWidth="1"/>
    <col min="12808" max="12808" width="8.7265625" style="573" customWidth="1"/>
    <col min="12809" max="12810" width="8.453125" style="573" customWidth="1"/>
    <col min="12811" max="12811" width="8.54296875" style="573" customWidth="1"/>
    <col min="12812" max="12812" width="9.26953125" style="573" customWidth="1"/>
    <col min="12813" max="12813" width="8.7265625" style="573" customWidth="1"/>
    <col min="12814" max="12814" width="7.81640625" style="573" customWidth="1"/>
    <col min="12815" max="12815" width="8.26953125" style="573" customWidth="1"/>
    <col min="12816" max="12816" width="9.1796875" style="573"/>
    <col min="12817" max="12817" width="8" style="573" customWidth="1"/>
    <col min="12818" max="12818" width="9.26953125" style="573" customWidth="1"/>
    <col min="12819" max="12820" width="9.453125" style="573" customWidth="1"/>
    <col min="12821" max="12821" width="10.453125" style="573" customWidth="1"/>
    <col min="12822" max="12822" width="9.81640625" style="573" customWidth="1"/>
    <col min="12823" max="12823" width="8.7265625" style="573" customWidth="1"/>
    <col min="12824" max="12824" width="0" style="573" hidden="1" customWidth="1"/>
    <col min="12825" max="12825" width="21.7265625" style="573" customWidth="1"/>
    <col min="12826" max="13055" width="9.1796875" style="573"/>
    <col min="13056" max="13056" width="10.1796875" style="573" customWidth="1"/>
    <col min="13057" max="13057" width="11" style="573" customWidth="1"/>
    <col min="13058" max="13058" width="14.81640625" style="573" customWidth="1"/>
    <col min="13059" max="13059" width="8.81640625" style="573" customWidth="1"/>
    <col min="13060" max="13060" width="7.7265625" style="573" customWidth="1"/>
    <col min="13061" max="13061" width="7.26953125" style="573" customWidth="1"/>
    <col min="13062" max="13062" width="8.7265625" style="573" customWidth="1"/>
    <col min="13063" max="13063" width="9.26953125" style="573" customWidth="1"/>
    <col min="13064" max="13064" width="8.7265625" style="573" customWidth="1"/>
    <col min="13065" max="13066" width="8.453125" style="573" customWidth="1"/>
    <col min="13067" max="13067" width="8.54296875" style="573" customWidth="1"/>
    <col min="13068" max="13068" width="9.26953125" style="573" customWidth="1"/>
    <col min="13069" max="13069" width="8.7265625" style="573" customWidth="1"/>
    <col min="13070" max="13070" width="7.81640625" style="573" customWidth="1"/>
    <col min="13071" max="13071" width="8.26953125" style="573" customWidth="1"/>
    <col min="13072" max="13072" width="9.1796875" style="573"/>
    <col min="13073" max="13073" width="8" style="573" customWidth="1"/>
    <col min="13074" max="13074" width="9.26953125" style="573" customWidth="1"/>
    <col min="13075" max="13076" width="9.453125" style="573" customWidth="1"/>
    <col min="13077" max="13077" width="10.453125" style="573" customWidth="1"/>
    <col min="13078" max="13078" width="9.81640625" style="573" customWidth="1"/>
    <col min="13079" max="13079" width="8.7265625" style="573" customWidth="1"/>
    <col min="13080" max="13080" width="0" style="573" hidden="1" customWidth="1"/>
    <col min="13081" max="13081" width="21.7265625" style="573" customWidth="1"/>
    <col min="13082" max="13311" width="9.1796875" style="573"/>
    <col min="13312" max="13312" width="10.1796875" style="573" customWidth="1"/>
    <col min="13313" max="13313" width="11" style="573" customWidth="1"/>
    <col min="13314" max="13314" width="14.81640625" style="573" customWidth="1"/>
    <col min="13315" max="13315" width="8.81640625" style="573" customWidth="1"/>
    <col min="13316" max="13316" width="7.7265625" style="573" customWidth="1"/>
    <col min="13317" max="13317" width="7.26953125" style="573" customWidth="1"/>
    <col min="13318" max="13318" width="8.7265625" style="573" customWidth="1"/>
    <col min="13319" max="13319" width="9.26953125" style="573" customWidth="1"/>
    <col min="13320" max="13320" width="8.7265625" style="573" customWidth="1"/>
    <col min="13321" max="13322" width="8.453125" style="573" customWidth="1"/>
    <col min="13323" max="13323" width="8.54296875" style="573" customWidth="1"/>
    <col min="13324" max="13324" width="9.26953125" style="573" customWidth="1"/>
    <col min="13325" max="13325" width="8.7265625" style="573" customWidth="1"/>
    <col min="13326" max="13326" width="7.81640625" style="573" customWidth="1"/>
    <col min="13327" max="13327" width="8.26953125" style="573" customWidth="1"/>
    <col min="13328" max="13328" width="9.1796875" style="573"/>
    <col min="13329" max="13329" width="8" style="573" customWidth="1"/>
    <col min="13330" max="13330" width="9.26953125" style="573" customWidth="1"/>
    <col min="13331" max="13332" width="9.453125" style="573" customWidth="1"/>
    <col min="13333" max="13333" width="10.453125" style="573" customWidth="1"/>
    <col min="13334" max="13334" width="9.81640625" style="573" customWidth="1"/>
    <col min="13335" max="13335" width="8.7265625" style="573" customWidth="1"/>
    <col min="13336" max="13336" width="0" style="573" hidden="1" customWidth="1"/>
    <col min="13337" max="13337" width="21.7265625" style="573" customWidth="1"/>
    <col min="13338" max="13567" width="9.1796875" style="573"/>
    <col min="13568" max="13568" width="10.1796875" style="573" customWidth="1"/>
    <col min="13569" max="13569" width="11" style="573" customWidth="1"/>
    <col min="13570" max="13570" width="14.81640625" style="573" customWidth="1"/>
    <col min="13571" max="13571" width="8.81640625" style="573" customWidth="1"/>
    <col min="13572" max="13572" width="7.7265625" style="573" customWidth="1"/>
    <col min="13573" max="13573" width="7.26953125" style="573" customWidth="1"/>
    <col min="13574" max="13574" width="8.7265625" style="573" customWidth="1"/>
    <col min="13575" max="13575" width="9.26953125" style="573" customWidth="1"/>
    <col min="13576" max="13576" width="8.7265625" style="573" customWidth="1"/>
    <col min="13577" max="13578" width="8.453125" style="573" customWidth="1"/>
    <col min="13579" max="13579" width="8.54296875" style="573" customWidth="1"/>
    <col min="13580" max="13580" width="9.26953125" style="573" customWidth="1"/>
    <col min="13581" max="13581" width="8.7265625" style="573" customWidth="1"/>
    <col min="13582" max="13582" width="7.81640625" style="573" customWidth="1"/>
    <col min="13583" max="13583" width="8.26953125" style="573" customWidth="1"/>
    <col min="13584" max="13584" width="9.1796875" style="573"/>
    <col min="13585" max="13585" width="8" style="573" customWidth="1"/>
    <col min="13586" max="13586" width="9.26953125" style="573" customWidth="1"/>
    <col min="13587" max="13588" width="9.453125" style="573" customWidth="1"/>
    <col min="13589" max="13589" width="10.453125" style="573" customWidth="1"/>
    <col min="13590" max="13590" width="9.81640625" style="573" customWidth="1"/>
    <col min="13591" max="13591" width="8.7265625" style="573" customWidth="1"/>
    <col min="13592" max="13592" width="0" style="573" hidden="1" customWidth="1"/>
    <col min="13593" max="13593" width="21.7265625" style="573" customWidth="1"/>
    <col min="13594" max="13823" width="9.1796875" style="573"/>
    <col min="13824" max="13824" width="10.1796875" style="573" customWidth="1"/>
    <col min="13825" max="13825" width="11" style="573" customWidth="1"/>
    <col min="13826" max="13826" width="14.81640625" style="573" customWidth="1"/>
    <col min="13827" max="13827" width="8.81640625" style="573" customWidth="1"/>
    <col min="13828" max="13828" width="7.7265625" style="573" customWidth="1"/>
    <col min="13829" max="13829" width="7.26953125" style="573" customWidth="1"/>
    <col min="13830" max="13830" width="8.7265625" style="573" customWidth="1"/>
    <col min="13831" max="13831" width="9.26953125" style="573" customWidth="1"/>
    <col min="13832" max="13832" width="8.7265625" style="573" customWidth="1"/>
    <col min="13833" max="13834" width="8.453125" style="573" customWidth="1"/>
    <col min="13835" max="13835" width="8.54296875" style="573" customWidth="1"/>
    <col min="13836" max="13836" width="9.26953125" style="573" customWidth="1"/>
    <col min="13837" max="13837" width="8.7265625" style="573" customWidth="1"/>
    <col min="13838" max="13838" width="7.81640625" style="573" customWidth="1"/>
    <col min="13839" max="13839" width="8.26953125" style="573" customWidth="1"/>
    <col min="13840" max="13840" width="9.1796875" style="573"/>
    <col min="13841" max="13841" width="8" style="573" customWidth="1"/>
    <col min="13842" max="13842" width="9.26953125" style="573" customWidth="1"/>
    <col min="13843" max="13844" width="9.453125" style="573" customWidth="1"/>
    <col min="13845" max="13845" width="10.453125" style="573" customWidth="1"/>
    <col min="13846" max="13846" width="9.81640625" style="573" customWidth="1"/>
    <col min="13847" max="13847" width="8.7265625" style="573" customWidth="1"/>
    <col min="13848" max="13848" width="0" style="573" hidden="1" customWidth="1"/>
    <col min="13849" max="13849" width="21.7265625" style="573" customWidth="1"/>
    <col min="13850" max="14079" width="9.1796875" style="573"/>
    <col min="14080" max="14080" width="10.1796875" style="573" customWidth="1"/>
    <col min="14081" max="14081" width="11" style="573" customWidth="1"/>
    <col min="14082" max="14082" width="14.81640625" style="573" customWidth="1"/>
    <col min="14083" max="14083" width="8.81640625" style="573" customWidth="1"/>
    <col min="14084" max="14084" width="7.7265625" style="573" customWidth="1"/>
    <col min="14085" max="14085" width="7.26953125" style="573" customWidth="1"/>
    <col min="14086" max="14086" width="8.7265625" style="573" customWidth="1"/>
    <col min="14087" max="14087" width="9.26953125" style="573" customWidth="1"/>
    <col min="14088" max="14088" width="8.7265625" style="573" customWidth="1"/>
    <col min="14089" max="14090" width="8.453125" style="573" customWidth="1"/>
    <col min="14091" max="14091" width="8.54296875" style="573" customWidth="1"/>
    <col min="14092" max="14092" width="9.26953125" style="573" customWidth="1"/>
    <col min="14093" max="14093" width="8.7265625" style="573" customWidth="1"/>
    <col min="14094" max="14094" width="7.81640625" style="573" customWidth="1"/>
    <col min="14095" max="14095" width="8.26953125" style="573" customWidth="1"/>
    <col min="14096" max="14096" width="9.1796875" style="573"/>
    <col min="14097" max="14097" width="8" style="573" customWidth="1"/>
    <col min="14098" max="14098" width="9.26953125" style="573" customWidth="1"/>
    <col min="14099" max="14100" width="9.453125" style="573" customWidth="1"/>
    <col min="14101" max="14101" width="10.453125" style="573" customWidth="1"/>
    <col min="14102" max="14102" width="9.81640625" style="573" customWidth="1"/>
    <col min="14103" max="14103" width="8.7265625" style="573" customWidth="1"/>
    <col min="14104" max="14104" width="0" style="573" hidden="1" customWidth="1"/>
    <col min="14105" max="14105" width="21.7265625" style="573" customWidth="1"/>
    <col min="14106" max="14335" width="9.1796875" style="573"/>
    <col min="14336" max="14336" width="10.1796875" style="573" customWidth="1"/>
    <col min="14337" max="14337" width="11" style="573" customWidth="1"/>
    <col min="14338" max="14338" width="14.81640625" style="573" customWidth="1"/>
    <col min="14339" max="14339" width="8.81640625" style="573" customWidth="1"/>
    <col min="14340" max="14340" width="7.7265625" style="573" customWidth="1"/>
    <col min="14341" max="14341" width="7.26953125" style="573" customWidth="1"/>
    <col min="14342" max="14342" width="8.7265625" style="573" customWidth="1"/>
    <col min="14343" max="14343" width="9.26953125" style="573" customWidth="1"/>
    <col min="14344" max="14344" width="8.7265625" style="573" customWidth="1"/>
    <col min="14345" max="14346" width="8.453125" style="573" customWidth="1"/>
    <col min="14347" max="14347" width="8.54296875" style="573" customWidth="1"/>
    <col min="14348" max="14348" width="9.26953125" style="573" customWidth="1"/>
    <col min="14349" max="14349" width="8.7265625" style="573" customWidth="1"/>
    <col min="14350" max="14350" width="7.81640625" style="573" customWidth="1"/>
    <col min="14351" max="14351" width="8.26953125" style="573" customWidth="1"/>
    <col min="14352" max="14352" width="9.1796875" style="573"/>
    <col min="14353" max="14353" width="8" style="573" customWidth="1"/>
    <col min="14354" max="14354" width="9.26953125" style="573" customWidth="1"/>
    <col min="14355" max="14356" width="9.453125" style="573" customWidth="1"/>
    <col min="14357" max="14357" width="10.453125" style="573" customWidth="1"/>
    <col min="14358" max="14358" width="9.81640625" style="573" customWidth="1"/>
    <col min="14359" max="14359" width="8.7265625" style="573" customWidth="1"/>
    <col min="14360" max="14360" width="0" style="573" hidden="1" customWidth="1"/>
    <col min="14361" max="14361" width="21.7265625" style="573" customWidth="1"/>
    <col min="14362" max="14591" width="9.1796875" style="573"/>
    <col min="14592" max="14592" width="10.1796875" style="573" customWidth="1"/>
    <col min="14593" max="14593" width="11" style="573" customWidth="1"/>
    <col min="14594" max="14594" width="14.81640625" style="573" customWidth="1"/>
    <col min="14595" max="14595" width="8.81640625" style="573" customWidth="1"/>
    <col min="14596" max="14596" width="7.7265625" style="573" customWidth="1"/>
    <col min="14597" max="14597" width="7.26953125" style="573" customWidth="1"/>
    <col min="14598" max="14598" width="8.7265625" style="573" customWidth="1"/>
    <col min="14599" max="14599" width="9.26953125" style="573" customWidth="1"/>
    <col min="14600" max="14600" width="8.7265625" style="573" customWidth="1"/>
    <col min="14601" max="14602" width="8.453125" style="573" customWidth="1"/>
    <col min="14603" max="14603" width="8.54296875" style="573" customWidth="1"/>
    <col min="14604" max="14604" width="9.26953125" style="573" customWidth="1"/>
    <col min="14605" max="14605" width="8.7265625" style="573" customWidth="1"/>
    <col min="14606" max="14606" width="7.81640625" style="573" customWidth="1"/>
    <col min="14607" max="14607" width="8.26953125" style="573" customWidth="1"/>
    <col min="14608" max="14608" width="9.1796875" style="573"/>
    <col min="14609" max="14609" width="8" style="573" customWidth="1"/>
    <col min="14610" max="14610" width="9.26953125" style="573" customWidth="1"/>
    <col min="14611" max="14612" width="9.453125" style="573" customWidth="1"/>
    <col min="14613" max="14613" width="10.453125" style="573" customWidth="1"/>
    <col min="14614" max="14614" width="9.81640625" style="573" customWidth="1"/>
    <col min="14615" max="14615" width="8.7265625" style="573" customWidth="1"/>
    <col min="14616" max="14616" width="0" style="573" hidden="1" customWidth="1"/>
    <col min="14617" max="14617" width="21.7265625" style="573" customWidth="1"/>
    <col min="14618" max="14847" width="9.1796875" style="573"/>
    <col min="14848" max="14848" width="10.1796875" style="573" customWidth="1"/>
    <col min="14849" max="14849" width="11" style="573" customWidth="1"/>
    <col min="14850" max="14850" width="14.81640625" style="573" customWidth="1"/>
    <col min="14851" max="14851" width="8.81640625" style="573" customWidth="1"/>
    <col min="14852" max="14852" width="7.7265625" style="573" customWidth="1"/>
    <col min="14853" max="14853" width="7.26953125" style="573" customWidth="1"/>
    <col min="14854" max="14854" width="8.7265625" style="573" customWidth="1"/>
    <col min="14855" max="14855" width="9.26953125" style="573" customWidth="1"/>
    <col min="14856" max="14856" width="8.7265625" style="573" customWidth="1"/>
    <col min="14857" max="14858" width="8.453125" style="573" customWidth="1"/>
    <col min="14859" max="14859" width="8.54296875" style="573" customWidth="1"/>
    <col min="14860" max="14860" width="9.26953125" style="573" customWidth="1"/>
    <col min="14861" max="14861" width="8.7265625" style="573" customWidth="1"/>
    <col min="14862" max="14862" width="7.81640625" style="573" customWidth="1"/>
    <col min="14863" max="14863" width="8.26953125" style="573" customWidth="1"/>
    <col min="14864" max="14864" width="9.1796875" style="573"/>
    <col min="14865" max="14865" width="8" style="573" customWidth="1"/>
    <col min="14866" max="14866" width="9.26953125" style="573" customWidth="1"/>
    <col min="14867" max="14868" width="9.453125" style="573" customWidth="1"/>
    <col min="14869" max="14869" width="10.453125" style="573" customWidth="1"/>
    <col min="14870" max="14870" width="9.81640625" style="573" customWidth="1"/>
    <col min="14871" max="14871" width="8.7265625" style="573" customWidth="1"/>
    <col min="14872" max="14872" width="0" style="573" hidden="1" customWidth="1"/>
    <col min="14873" max="14873" width="21.7265625" style="573" customWidth="1"/>
    <col min="14874" max="15103" width="9.1796875" style="573"/>
    <col min="15104" max="15104" width="10.1796875" style="573" customWidth="1"/>
    <col min="15105" max="15105" width="11" style="573" customWidth="1"/>
    <col min="15106" max="15106" width="14.81640625" style="573" customWidth="1"/>
    <col min="15107" max="15107" width="8.81640625" style="573" customWidth="1"/>
    <col min="15108" max="15108" width="7.7265625" style="573" customWidth="1"/>
    <col min="15109" max="15109" width="7.26953125" style="573" customWidth="1"/>
    <col min="15110" max="15110" width="8.7265625" style="573" customWidth="1"/>
    <col min="15111" max="15111" width="9.26953125" style="573" customWidth="1"/>
    <col min="15112" max="15112" width="8.7265625" style="573" customWidth="1"/>
    <col min="15113" max="15114" width="8.453125" style="573" customWidth="1"/>
    <col min="15115" max="15115" width="8.54296875" style="573" customWidth="1"/>
    <col min="15116" max="15116" width="9.26953125" style="573" customWidth="1"/>
    <col min="15117" max="15117" width="8.7265625" style="573" customWidth="1"/>
    <col min="15118" max="15118" width="7.81640625" style="573" customWidth="1"/>
    <col min="15119" max="15119" width="8.26953125" style="573" customWidth="1"/>
    <col min="15120" max="15120" width="9.1796875" style="573"/>
    <col min="15121" max="15121" width="8" style="573" customWidth="1"/>
    <col min="15122" max="15122" width="9.26953125" style="573" customWidth="1"/>
    <col min="15123" max="15124" width="9.453125" style="573" customWidth="1"/>
    <col min="15125" max="15125" width="10.453125" style="573" customWidth="1"/>
    <col min="15126" max="15126" width="9.81640625" style="573" customWidth="1"/>
    <col min="15127" max="15127" width="8.7265625" style="573" customWidth="1"/>
    <col min="15128" max="15128" width="0" style="573" hidden="1" customWidth="1"/>
    <col min="15129" max="15129" width="21.7265625" style="573" customWidth="1"/>
    <col min="15130" max="15359" width="9.1796875" style="573"/>
    <col min="15360" max="15360" width="10.1796875" style="573" customWidth="1"/>
    <col min="15361" max="15361" width="11" style="573" customWidth="1"/>
    <col min="15362" max="15362" width="14.81640625" style="573" customWidth="1"/>
    <col min="15363" max="15363" width="8.81640625" style="573" customWidth="1"/>
    <col min="15364" max="15364" width="7.7265625" style="573" customWidth="1"/>
    <col min="15365" max="15365" width="7.26953125" style="573" customWidth="1"/>
    <col min="15366" max="15366" width="8.7265625" style="573" customWidth="1"/>
    <col min="15367" max="15367" width="9.26953125" style="573" customWidth="1"/>
    <col min="15368" max="15368" width="8.7265625" style="573" customWidth="1"/>
    <col min="15369" max="15370" width="8.453125" style="573" customWidth="1"/>
    <col min="15371" max="15371" width="8.54296875" style="573" customWidth="1"/>
    <col min="15372" max="15372" width="9.26953125" style="573" customWidth="1"/>
    <col min="15373" max="15373" width="8.7265625" style="573" customWidth="1"/>
    <col min="15374" max="15374" width="7.81640625" style="573" customWidth="1"/>
    <col min="15375" max="15375" width="8.26953125" style="573" customWidth="1"/>
    <col min="15376" max="15376" width="9.1796875" style="573"/>
    <col min="15377" max="15377" width="8" style="573" customWidth="1"/>
    <col min="15378" max="15378" width="9.26953125" style="573" customWidth="1"/>
    <col min="15379" max="15380" width="9.453125" style="573" customWidth="1"/>
    <col min="15381" max="15381" width="10.453125" style="573" customWidth="1"/>
    <col min="15382" max="15382" width="9.81640625" style="573" customWidth="1"/>
    <col min="15383" max="15383" width="8.7265625" style="573" customWidth="1"/>
    <col min="15384" max="15384" width="0" style="573" hidden="1" customWidth="1"/>
    <col min="15385" max="15385" width="21.7265625" style="573" customWidth="1"/>
    <col min="15386" max="15615" width="9.1796875" style="573"/>
    <col min="15616" max="15616" width="10.1796875" style="573" customWidth="1"/>
    <col min="15617" max="15617" width="11" style="573" customWidth="1"/>
    <col min="15618" max="15618" width="14.81640625" style="573" customWidth="1"/>
    <col min="15619" max="15619" width="8.81640625" style="573" customWidth="1"/>
    <col min="15620" max="15620" width="7.7265625" style="573" customWidth="1"/>
    <col min="15621" max="15621" width="7.26953125" style="573" customWidth="1"/>
    <col min="15622" max="15622" width="8.7265625" style="573" customWidth="1"/>
    <col min="15623" max="15623" width="9.26953125" style="573" customWidth="1"/>
    <col min="15624" max="15624" width="8.7265625" style="573" customWidth="1"/>
    <col min="15625" max="15626" width="8.453125" style="573" customWidth="1"/>
    <col min="15627" max="15627" width="8.54296875" style="573" customWidth="1"/>
    <col min="15628" max="15628" width="9.26953125" style="573" customWidth="1"/>
    <col min="15629" max="15629" width="8.7265625" style="573" customWidth="1"/>
    <col min="15630" max="15630" width="7.81640625" style="573" customWidth="1"/>
    <col min="15631" max="15631" width="8.26953125" style="573" customWidth="1"/>
    <col min="15632" max="15632" width="9.1796875" style="573"/>
    <col min="15633" max="15633" width="8" style="573" customWidth="1"/>
    <col min="15634" max="15634" width="9.26953125" style="573" customWidth="1"/>
    <col min="15635" max="15636" width="9.453125" style="573" customWidth="1"/>
    <col min="15637" max="15637" width="10.453125" style="573" customWidth="1"/>
    <col min="15638" max="15638" width="9.81640625" style="573" customWidth="1"/>
    <col min="15639" max="15639" width="8.7265625" style="573" customWidth="1"/>
    <col min="15640" max="15640" width="0" style="573" hidden="1" customWidth="1"/>
    <col min="15641" max="15641" width="21.7265625" style="573" customWidth="1"/>
    <col min="15642" max="15871" width="9.1796875" style="573"/>
    <col min="15872" max="15872" width="10.1796875" style="573" customWidth="1"/>
    <col min="15873" max="15873" width="11" style="573" customWidth="1"/>
    <col min="15874" max="15874" width="14.81640625" style="573" customWidth="1"/>
    <col min="15875" max="15875" width="8.81640625" style="573" customWidth="1"/>
    <col min="15876" max="15876" width="7.7265625" style="573" customWidth="1"/>
    <col min="15877" max="15877" width="7.26953125" style="573" customWidth="1"/>
    <col min="15878" max="15878" width="8.7265625" style="573" customWidth="1"/>
    <col min="15879" max="15879" width="9.26953125" style="573" customWidth="1"/>
    <col min="15880" max="15880" width="8.7265625" style="573" customWidth="1"/>
    <col min="15881" max="15882" width="8.453125" style="573" customWidth="1"/>
    <col min="15883" max="15883" width="8.54296875" style="573" customWidth="1"/>
    <col min="15884" max="15884" width="9.26953125" style="573" customWidth="1"/>
    <col min="15885" max="15885" width="8.7265625" style="573" customWidth="1"/>
    <col min="15886" max="15886" width="7.81640625" style="573" customWidth="1"/>
    <col min="15887" max="15887" width="8.26953125" style="573" customWidth="1"/>
    <col min="15888" max="15888" width="9.1796875" style="573"/>
    <col min="15889" max="15889" width="8" style="573" customWidth="1"/>
    <col min="15890" max="15890" width="9.26953125" style="573" customWidth="1"/>
    <col min="15891" max="15892" width="9.453125" style="573" customWidth="1"/>
    <col min="15893" max="15893" width="10.453125" style="573" customWidth="1"/>
    <col min="15894" max="15894" width="9.81640625" style="573" customWidth="1"/>
    <col min="15895" max="15895" width="8.7265625" style="573" customWidth="1"/>
    <col min="15896" max="15896" width="0" style="573" hidden="1" customWidth="1"/>
    <col min="15897" max="15897" width="21.7265625" style="573" customWidth="1"/>
    <col min="15898" max="16127" width="9.1796875" style="573"/>
    <col min="16128" max="16128" width="10.1796875" style="573" customWidth="1"/>
    <col min="16129" max="16129" width="11" style="573" customWidth="1"/>
    <col min="16130" max="16130" width="14.81640625" style="573" customWidth="1"/>
    <col min="16131" max="16131" width="8.81640625" style="573" customWidth="1"/>
    <col min="16132" max="16132" width="7.7265625" style="573" customWidth="1"/>
    <col min="16133" max="16133" width="7.26953125" style="573" customWidth="1"/>
    <col min="16134" max="16134" width="8.7265625" style="573" customWidth="1"/>
    <col min="16135" max="16135" width="9.26953125" style="573" customWidth="1"/>
    <col min="16136" max="16136" width="8.7265625" style="573" customWidth="1"/>
    <col min="16137" max="16138" width="8.453125" style="573" customWidth="1"/>
    <col min="16139" max="16139" width="8.54296875" style="573" customWidth="1"/>
    <col min="16140" max="16140" width="9.26953125" style="573" customWidth="1"/>
    <col min="16141" max="16141" width="8.7265625" style="573" customWidth="1"/>
    <col min="16142" max="16142" width="7.81640625" style="573" customWidth="1"/>
    <col min="16143" max="16143" width="8.26953125" style="573" customWidth="1"/>
    <col min="16144" max="16144" width="9.1796875" style="573"/>
    <col min="16145" max="16145" width="8" style="573" customWidth="1"/>
    <col min="16146" max="16146" width="9.26953125" style="573" customWidth="1"/>
    <col min="16147" max="16148" width="9.453125" style="573" customWidth="1"/>
    <col min="16149" max="16149" width="10.453125" style="573" customWidth="1"/>
    <col min="16150" max="16150" width="9.81640625" style="573" customWidth="1"/>
    <col min="16151" max="16151" width="8.7265625" style="573" customWidth="1"/>
    <col min="16152" max="16152" width="0" style="573" hidden="1" customWidth="1"/>
    <col min="16153" max="16153" width="21.7265625" style="573" customWidth="1"/>
    <col min="16154" max="16383" width="9.1796875" style="573"/>
    <col min="16384" max="16384" width="9.1796875" style="573" customWidth="1"/>
  </cols>
  <sheetData>
    <row r="1" spans="1:25" ht="19" thickBot="1" x14ac:dyDescent="0.4">
      <c r="A1" s="1354" t="s">
        <v>358</v>
      </c>
      <c r="B1" s="1355"/>
      <c r="C1" s="1355"/>
      <c r="D1" s="1355"/>
      <c r="E1" s="1355"/>
      <c r="F1" s="1355"/>
      <c r="G1" s="1355"/>
      <c r="H1" s="1355"/>
      <c r="I1" s="1355"/>
      <c r="J1" s="1355"/>
      <c r="K1" s="1355"/>
      <c r="L1" s="1355"/>
      <c r="M1" s="1355"/>
      <c r="N1" s="1355"/>
      <c r="O1" s="1355"/>
      <c r="P1" s="1355"/>
      <c r="Q1" s="1355"/>
      <c r="R1" s="569"/>
      <c r="S1" s="1356" t="s">
        <v>359</v>
      </c>
      <c r="T1" s="1357"/>
      <c r="U1" s="1357"/>
      <c r="V1" s="1357"/>
      <c r="W1" s="570"/>
      <c r="X1" s="571"/>
      <c r="Y1" s="572"/>
    </row>
    <row r="2" spans="1:25" ht="15" thickBot="1" x14ac:dyDescent="0.4">
      <c r="A2" s="856" t="s">
        <v>242</v>
      </c>
      <c r="B2" s="1358" t="s">
        <v>409</v>
      </c>
      <c r="C2" s="1358"/>
      <c r="D2" s="1358"/>
      <c r="E2" s="1358"/>
      <c r="F2" s="1358"/>
      <c r="G2" s="1358"/>
      <c r="H2" s="1358"/>
      <c r="I2" s="1358"/>
      <c r="J2" s="1358"/>
      <c r="K2" s="1358"/>
      <c r="L2" s="1358"/>
      <c r="M2" s="1358"/>
      <c r="N2" s="1358"/>
      <c r="O2" s="1358"/>
      <c r="P2" s="1358"/>
      <c r="Q2" s="1359"/>
      <c r="R2" s="574"/>
      <c r="S2" s="575"/>
      <c r="T2" s="576" t="s">
        <v>360</v>
      </c>
      <c r="U2" s="577" t="s">
        <v>361</v>
      </c>
      <c r="V2" s="578" t="s">
        <v>362</v>
      </c>
      <c r="W2" s="579"/>
      <c r="X2" s="580"/>
      <c r="Y2" s="581"/>
    </row>
    <row r="3" spans="1:25" ht="14.5" x14ac:dyDescent="0.35">
      <c r="A3" s="857" t="s">
        <v>363</v>
      </c>
      <c r="B3" s="1360"/>
      <c r="C3" s="1360"/>
      <c r="D3" s="778"/>
      <c r="E3" s="1361" t="s">
        <v>246</v>
      </c>
      <c r="F3" s="1362"/>
      <c r="G3" s="1360" t="s">
        <v>419</v>
      </c>
      <c r="H3" s="1360"/>
      <c r="I3" s="1360"/>
      <c r="J3" s="1360"/>
      <c r="K3" s="1360"/>
      <c r="L3" s="1363" t="s">
        <v>364</v>
      </c>
      <c r="M3" s="1364"/>
      <c r="N3" s="1365" t="s">
        <v>421</v>
      </c>
      <c r="O3" s="1365"/>
      <c r="P3" s="1365"/>
      <c r="Q3" s="1365"/>
      <c r="R3" s="574"/>
      <c r="S3" s="575" t="s">
        <v>365</v>
      </c>
      <c r="T3" s="575"/>
      <c r="U3" s="583"/>
      <c r="V3" s="584">
        <f>T3+U3</f>
        <v>0</v>
      </c>
      <c r="W3" s="579"/>
      <c r="X3" s="580"/>
      <c r="Y3" s="581"/>
    </row>
    <row r="4" spans="1:25" ht="15" thickBot="1" x14ac:dyDescent="0.4">
      <c r="A4" s="857" t="s">
        <v>309</v>
      </c>
      <c r="B4" s="1341" t="s">
        <v>412</v>
      </c>
      <c r="C4" s="1341"/>
      <c r="D4" s="777"/>
      <c r="E4" s="1342" t="s">
        <v>243</v>
      </c>
      <c r="F4" s="1343"/>
      <c r="G4" s="1341" t="s">
        <v>410</v>
      </c>
      <c r="H4" s="1341"/>
      <c r="I4" s="1341"/>
      <c r="J4" s="1341"/>
      <c r="K4" s="1341"/>
      <c r="L4" s="1344" t="s">
        <v>247</v>
      </c>
      <c r="M4" s="1345"/>
      <c r="N4" s="1340" t="s">
        <v>420</v>
      </c>
      <c r="O4" s="1340"/>
      <c r="P4" s="1340"/>
      <c r="Q4" s="1340"/>
      <c r="R4" s="574"/>
      <c r="S4" s="586" t="s">
        <v>366</v>
      </c>
      <c r="T4" s="586"/>
      <c r="U4" s="587"/>
      <c r="V4" s="588">
        <f>T4+U4</f>
        <v>0</v>
      </c>
      <c r="W4" s="579"/>
      <c r="X4" s="580"/>
      <c r="Y4" s="581"/>
    </row>
    <row r="5" spans="1:25" ht="15" thickBot="1" x14ac:dyDescent="0.4">
      <c r="A5" s="858" t="s">
        <v>248</v>
      </c>
      <c r="B5" s="1348" t="s">
        <v>280</v>
      </c>
      <c r="C5" s="1348"/>
      <c r="D5" s="776"/>
      <c r="E5" s="1349"/>
      <c r="F5" s="1350"/>
      <c r="G5" s="1348"/>
      <c r="H5" s="1348"/>
      <c r="I5" s="1348"/>
      <c r="J5" s="1348"/>
      <c r="K5" s="1348"/>
      <c r="L5" s="1351" t="s">
        <v>249</v>
      </c>
      <c r="M5" s="1352"/>
      <c r="N5" s="1353" t="s">
        <v>367</v>
      </c>
      <c r="O5" s="1353"/>
      <c r="P5" s="1353"/>
      <c r="Q5" s="1353"/>
      <c r="R5" s="574"/>
      <c r="S5" s="590" t="s">
        <v>362</v>
      </c>
      <c r="T5" s="591">
        <f>T3+T4</f>
        <v>0</v>
      </c>
      <c r="U5" s="592">
        <f>U3+U4</f>
        <v>0</v>
      </c>
      <c r="V5" s="593">
        <f>T5+U5</f>
        <v>0</v>
      </c>
      <c r="W5" s="579"/>
      <c r="X5" s="580"/>
      <c r="Y5" s="581"/>
    </row>
    <row r="6" spans="1:25" ht="15" thickBot="1" x14ac:dyDescent="0.4">
      <c r="A6" s="594"/>
      <c r="B6" s="595"/>
      <c r="C6" s="574"/>
      <c r="D6" s="574"/>
      <c r="E6" s="574"/>
      <c r="F6" s="574"/>
      <c r="G6" s="574"/>
      <c r="H6" s="574"/>
      <c r="I6" s="574"/>
      <c r="J6" s="574"/>
      <c r="K6" s="574"/>
      <c r="L6" s="574"/>
      <c r="M6" s="574"/>
      <c r="N6" s="574"/>
      <c r="O6" s="596"/>
      <c r="P6" s="597"/>
      <c r="Q6" s="597"/>
      <c r="R6" s="574"/>
      <c r="S6" s="574"/>
      <c r="T6" s="574"/>
      <c r="U6" s="598"/>
      <c r="V6" s="598"/>
      <c r="W6" s="579"/>
      <c r="X6" s="580"/>
      <c r="Y6" s="581"/>
    </row>
    <row r="7" spans="1:25" ht="14.5" x14ac:dyDescent="0.35">
      <c r="A7" s="594"/>
      <c r="B7" s="595"/>
      <c r="C7" s="574"/>
      <c r="D7" s="574"/>
      <c r="E7" s="574"/>
      <c r="F7" s="574"/>
      <c r="G7" s="574"/>
      <c r="H7" s="574"/>
      <c r="I7" s="574"/>
      <c r="J7" s="574"/>
      <c r="K7" s="574"/>
      <c r="L7" s="574"/>
      <c r="M7" s="574"/>
      <c r="N7" s="574"/>
      <c r="O7" s="792"/>
      <c r="P7" s="574"/>
      <c r="Q7" s="574"/>
      <c r="R7" s="574"/>
      <c r="S7" s="574"/>
      <c r="T7" s="574"/>
      <c r="U7" s="598"/>
      <c r="V7" s="598"/>
      <c r="W7" s="579"/>
      <c r="X7" s="793"/>
      <c r="Y7" s="581"/>
    </row>
    <row r="8" spans="1:25" ht="14.5" customHeight="1" thickBot="1" x14ac:dyDescent="0.4">
      <c r="A8" s="594"/>
      <c r="B8" s="595"/>
      <c r="C8" s="574"/>
      <c r="D8" s="574"/>
      <c r="E8" s="574"/>
      <c r="F8" s="574"/>
      <c r="G8" s="574"/>
      <c r="H8" s="574"/>
      <c r="I8" s="574"/>
      <c r="J8" s="574"/>
      <c r="K8" s="574"/>
      <c r="L8" s="574"/>
      <c r="M8" s="574"/>
      <c r="N8" s="574"/>
      <c r="O8" s="792"/>
      <c r="P8" s="574"/>
      <c r="Q8" s="574"/>
      <c r="R8" s="574"/>
      <c r="S8" s="574"/>
      <c r="T8" s="574"/>
      <c r="U8" s="598"/>
      <c r="V8" s="598"/>
      <c r="W8" s="579"/>
      <c r="X8" s="793"/>
      <c r="Y8" s="581"/>
    </row>
    <row r="9" spans="1:25" ht="29.25" customHeight="1" x14ac:dyDescent="0.25">
      <c r="A9" s="1384" t="s">
        <v>368</v>
      </c>
      <c r="B9" s="1385"/>
      <c r="C9" s="1346" t="s">
        <v>369</v>
      </c>
      <c r="D9" s="1347"/>
      <c r="E9" s="1388"/>
      <c r="F9" s="1346" t="s">
        <v>425</v>
      </c>
      <c r="G9" s="1347"/>
      <c r="H9" s="1347"/>
      <c r="I9" s="1346" t="s">
        <v>426</v>
      </c>
      <c r="J9" s="1347"/>
      <c r="K9" s="1347"/>
      <c r="L9" s="1346" t="s">
        <v>427</v>
      </c>
      <c r="M9" s="1347"/>
      <c r="N9" s="1347"/>
      <c r="O9" s="1346" t="s">
        <v>428</v>
      </c>
      <c r="P9" s="1347"/>
      <c r="Q9" s="1347"/>
      <c r="R9" s="1372" t="s">
        <v>370</v>
      </c>
      <c r="S9" s="1374" t="s">
        <v>371</v>
      </c>
      <c r="T9" s="1376" t="s">
        <v>372</v>
      </c>
      <c r="U9" s="1378" t="s">
        <v>373</v>
      </c>
      <c r="V9" s="1380" t="s">
        <v>374</v>
      </c>
      <c r="W9" s="1382" t="s">
        <v>375</v>
      </c>
      <c r="X9" s="1366" t="s">
        <v>376</v>
      </c>
      <c r="Y9" s="1368" t="s">
        <v>377</v>
      </c>
    </row>
    <row r="10" spans="1:25" ht="26.5" thickBot="1" x14ac:dyDescent="0.3">
      <c r="A10" s="1386"/>
      <c r="B10" s="1387"/>
      <c r="C10" s="599" t="s">
        <v>378</v>
      </c>
      <c r="D10" s="600" t="s">
        <v>379</v>
      </c>
      <c r="E10" s="601" t="s">
        <v>380</v>
      </c>
      <c r="F10" s="602" t="s">
        <v>381</v>
      </c>
      <c r="G10" s="603" t="s">
        <v>382</v>
      </c>
      <c r="H10" s="604" t="s">
        <v>383</v>
      </c>
      <c r="I10" s="602" t="s">
        <v>381</v>
      </c>
      <c r="J10" s="603" t="s">
        <v>382</v>
      </c>
      <c r="K10" s="604" t="s">
        <v>383</v>
      </c>
      <c r="L10" s="602" t="s">
        <v>381</v>
      </c>
      <c r="M10" s="603" t="s">
        <v>382</v>
      </c>
      <c r="N10" s="604" t="s">
        <v>383</v>
      </c>
      <c r="O10" s="602" t="s">
        <v>381</v>
      </c>
      <c r="P10" s="603" t="s">
        <v>382</v>
      </c>
      <c r="Q10" s="604" t="s">
        <v>383</v>
      </c>
      <c r="R10" s="1373"/>
      <c r="S10" s="1375"/>
      <c r="T10" s="1377"/>
      <c r="U10" s="1379"/>
      <c r="V10" s="1381"/>
      <c r="W10" s="1383"/>
      <c r="X10" s="1367"/>
      <c r="Y10" s="1369"/>
    </row>
    <row r="11" spans="1:25" s="610" customFormat="1" ht="13.5" thickBot="1" x14ac:dyDescent="0.3">
      <c r="A11" s="605" t="str">
        <f>'M&amp;E Matrix'!A7</f>
        <v>GOAL:  Increased household self-reliance and resilience among refugees and host community members in Palabek and Kyaka II refugee settlements.</v>
      </c>
      <c r="B11" s="606"/>
      <c r="C11" s="607"/>
      <c r="D11" s="607"/>
      <c r="E11" s="607"/>
      <c r="F11" s="607"/>
      <c r="G11" s="607"/>
      <c r="H11" s="607"/>
      <c r="I11" s="608"/>
      <c r="J11" s="608"/>
      <c r="K11" s="608"/>
      <c r="L11" s="607"/>
      <c r="M11" s="607"/>
      <c r="N11" s="607"/>
      <c r="O11" s="607"/>
      <c r="P11" s="607"/>
      <c r="Q11" s="607"/>
      <c r="R11" s="607"/>
      <c r="S11" s="607"/>
      <c r="T11" s="607"/>
      <c r="U11" s="607"/>
      <c r="V11" s="607"/>
      <c r="W11" s="609"/>
      <c r="X11" s="609"/>
      <c r="Y11" s="609"/>
    </row>
    <row r="12" spans="1:25" s="610" customFormat="1" ht="20.5" customHeight="1" thickBot="1" x14ac:dyDescent="0.3">
      <c r="A12" s="611" t="str">
        <f>'M&amp;E Matrix'!A9</f>
        <v xml:space="preserve">Outcome 1. Increased household food security and incomes among refugees and host communities </v>
      </c>
      <c r="B12" s="612"/>
      <c r="C12" s="613"/>
      <c r="D12" s="614"/>
      <c r="E12" s="615"/>
      <c r="F12" s="613"/>
      <c r="G12" s="613"/>
      <c r="H12" s="613"/>
      <c r="I12" s="613"/>
      <c r="J12" s="613"/>
      <c r="K12" s="613"/>
      <c r="L12" s="613"/>
      <c r="M12" s="613"/>
      <c r="N12" s="613"/>
      <c r="O12" s="613"/>
      <c r="P12" s="613"/>
      <c r="Q12" s="613"/>
      <c r="R12" s="613"/>
      <c r="S12" s="613"/>
      <c r="T12" s="613"/>
      <c r="U12" s="613"/>
      <c r="V12" s="613"/>
      <c r="W12" s="616"/>
      <c r="X12" s="616"/>
      <c r="Y12" s="616"/>
    </row>
    <row r="13" spans="1:25" s="631" customFormat="1" ht="41" customHeight="1" thickBot="1" x14ac:dyDescent="0.35">
      <c r="A13" s="1001" t="str">
        <f>'M&amp;E Matrix'!A10</f>
        <v>Indicator 1.A. 1200 refugees and host communities achieve atleast 30%  increase in household food production.</v>
      </c>
      <c r="B13" s="1015"/>
      <c r="C13" s="1061" t="str">
        <f>'Baseline Table'!F10</f>
        <v>19-24th Feb 2018</v>
      </c>
      <c r="D13" s="619">
        <f>'Baseline Table'!E10</f>
        <v>456</v>
      </c>
      <c r="E13" s="620" t="s">
        <v>436</v>
      </c>
      <c r="F13" s="621">
        <v>400</v>
      </c>
      <c r="G13" s="622"/>
      <c r="H13" s="623">
        <f t="shared" ref="H13:H21" si="0">IF(F13=0,"NA",G13/F13)</f>
        <v>0</v>
      </c>
      <c r="I13" s="621">
        <v>0</v>
      </c>
      <c r="J13" s="622"/>
      <c r="K13" s="623" t="str">
        <f t="shared" ref="K13:K21" si="1">IF(I13=0,"NA",J13/I13)</f>
        <v>NA</v>
      </c>
      <c r="L13" s="621">
        <v>400</v>
      </c>
      <c r="M13" s="622"/>
      <c r="N13" s="623">
        <f t="shared" ref="N13:N21" si="2">IF(L13=0,"NA",M13/L13)</f>
        <v>0</v>
      </c>
      <c r="O13" s="621">
        <v>400</v>
      </c>
      <c r="P13" s="622"/>
      <c r="Q13" s="624">
        <f t="shared" ref="Q13:Q18" si="3">IF(O13=0,"NA",P13/O13)</f>
        <v>0</v>
      </c>
      <c r="R13" s="859">
        <f t="shared" ref="R13:S15" si="4">F13+I13+L13+O13</f>
        <v>1200</v>
      </c>
      <c r="S13" s="625">
        <f t="shared" si="4"/>
        <v>0</v>
      </c>
      <c r="T13" s="627">
        <f t="shared" ref="T13:T21" si="5">IF(R13=0,"NA",S13/R13)</f>
        <v>0</v>
      </c>
      <c r="U13" s="628">
        <f>F13+I13+L13+O13</f>
        <v>1200</v>
      </c>
      <c r="V13" s="628">
        <f>G13+J13+M13+P13</f>
        <v>0</v>
      </c>
      <c r="W13" s="629">
        <f t="shared" ref="W13:W21" si="6">IF(U13=0,"NA",V13/U13)</f>
        <v>0</v>
      </c>
      <c r="X13" s="630"/>
      <c r="Y13" s="794"/>
    </row>
    <row r="14" spans="1:25" s="641" customFormat="1" ht="14.5" x14ac:dyDescent="0.35">
      <c r="A14" s="632"/>
      <c r="B14" s="1016" t="s">
        <v>384</v>
      </c>
      <c r="C14" s="1010"/>
      <c r="D14" s="633">
        <v>119</v>
      </c>
      <c r="E14" s="634" t="s">
        <v>436</v>
      </c>
      <c r="F14" s="976">
        <v>160</v>
      </c>
      <c r="G14" s="977"/>
      <c r="H14" s="978">
        <f t="shared" si="0"/>
        <v>0</v>
      </c>
      <c r="I14" s="976">
        <v>0</v>
      </c>
      <c r="J14" s="975"/>
      <c r="K14" s="978" t="str">
        <f t="shared" si="1"/>
        <v>NA</v>
      </c>
      <c r="L14" s="976">
        <v>160</v>
      </c>
      <c r="M14" s="980"/>
      <c r="N14" s="978">
        <f t="shared" si="2"/>
        <v>0</v>
      </c>
      <c r="O14" s="976">
        <v>160</v>
      </c>
      <c r="P14" s="980"/>
      <c r="Q14" s="978">
        <f t="shared" si="3"/>
        <v>0</v>
      </c>
      <c r="R14" s="859">
        <f t="shared" si="4"/>
        <v>480</v>
      </c>
      <c r="S14" s="981">
        <f t="shared" si="4"/>
        <v>0</v>
      </c>
      <c r="T14" s="982">
        <f t="shared" si="5"/>
        <v>0</v>
      </c>
      <c r="U14" s="983">
        <f t="shared" ref="U14:U21" si="7">F14+I14+L14+O14</f>
        <v>480</v>
      </c>
      <c r="V14" s="983">
        <f t="shared" ref="V14:V21" si="8">G14+J14+M14+P14</f>
        <v>0</v>
      </c>
      <c r="W14" s="982">
        <f t="shared" si="6"/>
        <v>0</v>
      </c>
      <c r="X14" s="984"/>
      <c r="Y14" s="985"/>
    </row>
    <row r="15" spans="1:25" s="652" customFormat="1" ht="14.5" x14ac:dyDescent="0.35">
      <c r="A15" s="1007"/>
      <c r="B15" s="991" t="s">
        <v>385</v>
      </c>
      <c r="C15" s="1063"/>
      <c r="D15" s="643">
        <v>337</v>
      </c>
      <c r="E15" s="644" t="s">
        <v>436</v>
      </c>
      <c r="F15" s="808">
        <v>240</v>
      </c>
      <c r="G15" s="808"/>
      <c r="H15" s="809">
        <f t="shared" si="0"/>
        <v>0</v>
      </c>
      <c r="I15" s="808">
        <v>0</v>
      </c>
      <c r="J15" s="807"/>
      <c r="K15" s="809" t="str">
        <f t="shared" si="1"/>
        <v>NA</v>
      </c>
      <c r="L15" s="808">
        <v>240</v>
      </c>
      <c r="M15" s="808"/>
      <c r="N15" s="809">
        <f t="shared" si="2"/>
        <v>0</v>
      </c>
      <c r="O15" s="808">
        <v>240</v>
      </c>
      <c r="P15" s="808"/>
      <c r="Q15" s="809">
        <f t="shared" si="3"/>
        <v>0</v>
      </c>
      <c r="R15" s="993">
        <f t="shared" si="4"/>
        <v>720</v>
      </c>
      <c r="S15" s="811">
        <f t="shared" si="4"/>
        <v>0</v>
      </c>
      <c r="T15" s="812">
        <f t="shared" si="5"/>
        <v>0</v>
      </c>
      <c r="U15" s="813">
        <f t="shared" si="7"/>
        <v>720</v>
      </c>
      <c r="V15" s="813">
        <f t="shared" si="8"/>
        <v>0</v>
      </c>
      <c r="W15" s="812">
        <f t="shared" si="6"/>
        <v>0</v>
      </c>
      <c r="X15" s="814"/>
      <c r="Y15" s="651"/>
    </row>
    <row r="16" spans="1:25" s="652" customFormat="1" ht="26" x14ac:dyDescent="0.35">
      <c r="A16" s="1008" t="str">
        <f>'Baseline Table'!A11</f>
        <v xml:space="preserve">Indicator 1.B. 800 refugees and host communities acquire atleast one productive household asset and one non-productive asset. </v>
      </c>
      <c r="B16" s="1002"/>
      <c r="C16" s="1062" t="str">
        <f>C13</f>
        <v>19-24th Feb 2018</v>
      </c>
      <c r="D16" s="1003">
        <f>'Baseline Table'!E11</f>
        <v>108</v>
      </c>
      <c r="E16" s="1003" t="s">
        <v>436</v>
      </c>
      <c r="F16" s="1004">
        <v>200</v>
      </c>
      <c r="G16" s="1004"/>
      <c r="H16" s="809">
        <f t="shared" si="0"/>
        <v>0</v>
      </c>
      <c r="I16" s="1004">
        <v>200</v>
      </c>
      <c r="J16" s="1003"/>
      <c r="K16" s="809">
        <f t="shared" si="1"/>
        <v>0</v>
      </c>
      <c r="L16" s="1004">
        <v>200</v>
      </c>
      <c r="M16" s="1004"/>
      <c r="N16" s="809">
        <f t="shared" si="2"/>
        <v>0</v>
      </c>
      <c r="O16" s="1004">
        <v>200</v>
      </c>
      <c r="P16" s="1004"/>
      <c r="Q16" s="809">
        <f t="shared" si="3"/>
        <v>0</v>
      </c>
      <c r="R16" s="993">
        <f t="shared" ref="R16:R21" si="9">F16+I16+L16+O16</f>
        <v>800</v>
      </c>
      <c r="S16" s="811">
        <f t="shared" ref="S16:S21" si="10">G16+J16+M16+P16</f>
        <v>0</v>
      </c>
      <c r="T16" s="812">
        <f t="shared" si="5"/>
        <v>0</v>
      </c>
      <c r="U16" s="813">
        <f t="shared" si="7"/>
        <v>800</v>
      </c>
      <c r="V16" s="813">
        <f t="shared" si="8"/>
        <v>0</v>
      </c>
      <c r="W16" s="812">
        <f t="shared" si="6"/>
        <v>0</v>
      </c>
      <c r="X16" s="814"/>
      <c r="Y16" s="651"/>
    </row>
    <row r="17" spans="1:25" s="652" customFormat="1" ht="14.5" x14ac:dyDescent="0.35">
      <c r="A17" s="1009"/>
      <c r="B17" s="1016" t="s">
        <v>384</v>
      </c>
      <c r="C17" s="1011"/>
      <c r="D17" s="657">
        <v>42</v>
      </c>
      <c r="E17" s="657" t="s">
        <v>436</v>
      </c>
      <c r="F17" s="638">
        <v>80</v>
      </c>
      <c r="G17" s="638"/>
      <c r="H17" s="809">
        <f t="shared" si="0"/>
        <v>0</v>
      </c>
      <c r="I17" s="638">
        <v>80</v>
      </c>
      <c r="J17" s="657"/>
      <c r="K17" s="809">
        <f t="shared" si="1"/>
        <v>0</v>
      </c>
      <c r="L17" s="638">
        <v>80</v>
      </c>
      <c r="M17" s="638"/>
      <c r="N17" s="809">
        <f t="shared" si="2"/>
        <v>0</v>
      </c>
      <c r="O17" s="638">
        <v>80</v>
      </c>
      <c r="P17" s="638"/>
      <c r="Q17" s="809">
        <f t="shared" si="3"/>
        <v>0</v>
      </c>
      <c r="R17" s="993">
        <f t="shared" si="9"/>
        <v>320</v>
      </c>
      <c r="S17" s="811">
        <f t="shared" si="10"/>
        <v>0</v>
      </c>
      <c r="T17" s="812">
        <f t="shared" si="5"/>
        <v>0</v>
      </c>
      <c r="U17" s="813">
        <f t="shared" si="7"/>
        <v>320</v>
      </c>
      <c r="V17" s="813">
        <f t="shared" si="8"/>
        <v>0</v>
      </c>
      <c r="W17" s="812">
        <f t="shared" si="6"/>
        <v>0</v>
      </c>
      <c r="X17" s="814"/>
      <c r="Y17" s="651"/>
    </row>
    <row r="18" spans="1:25" s="652" customFormat="1" ht="14.5" x14ac:dyDescent="0.35">
      <c r="A18" s="1007"/>
      <c r="B18" s="991" t="s">
        <v>385</v>
      </c>
      <c r="C18" s="1063"/>
      <c r="D18" s="807">
        <v>66</v>
      </c>
      <c r="E18" s="807" t="s">
        <v>436</v>
      </c>
      <c r="F18" s="808">
        <v>120</v>
      </c>
      <c r="G18" s="808"/>
      <c r="H18" s="809">
        <f t="shared" si="0"/>
        <v>0</v>
      </c>
      <c r="I18" s="808">
        <v>120</v>
      </c>
      <c r="J18" s="807"/>
      <c r="K18" s="809">
        <f t="shared" si="1"/>
        <v>0</v>
      </c>
      <c r="L18" s="808">
        <v>120</v>
      </c>
      <c r="M18" s="808"/>
      <c r="N18" s="809">
        <f t="shared" si="2"/>
        <v>0</v>
      </c>
      <c r="O18" s="808">
        <v>120</v>
      </c>
      <c r="P18" s="808"/>
      <c r="Q18" s="809">
        <f t="shared" si="3"/>
        <v>0</v>
      </c>
      <c r="R18" s="993">
        <f t="shared" si="9"/>
        <v>480</v>
      </c>
      <c r="S18" s="811">
        <f t="shared" si="10"/>
        <v>0</v>
      </c>
      <c r="T18" s="812">
        <f t="shared" si="5"/>
        <v>0</v>
      </c>
      <c r="U18" s="813">
        <f t="shared" si="7"/>
        <v>480</v>
      </c>
      <c r="V18" s="813">
        <f t="shared" si="8"/>
        <v>0</v>
      </c>
      <c r="W18" s="812">
        <f t="shared" si="6"/>
        <v>0</v>
      </c>
      <c r="X18" s="814"/>
      <c r="Y18" s="651"/>
    </row>
    <row r="19" spans="1:25" s="652" customFormat="1" ht="26" x14ac:dyDescent="0.35">
      <c r="A19" s="1008" t="str">
        <f>'Baseline Table'!A12</f>
        <v>Indicator 1.C: 800 refugees and host community members  increase their savings by atleast 50%</v>
      </c>
      <c r="B19" s="1002"/>
      <c r="C19" s="1062" t="str">
        <f>C16</f>
        <v>19-24th Feb 2018</v>
      </c>
      <c r="D19" s="1003">
        <f>'Baseline Table'!E12</f>
        <v>108</v>
      </c>
      <c r="E19" s="1003" t="s">
        <v>436</v>
      </c>
      <c r="F19" s="1004">
        <v>200</v>
      </c>
      <c r="G19" s="1004"/>
      <c r="H19" s="809">
        <f t="shared" si="0"/>
        <v>0</v>
      </c>
      <c r="I19" s="1004">
        <v>200</v>
      </c>
      <c r="J19" s="1003"/>
      <c r="K19" s="809">
        <f t="shared" si="1"/>
        <v>0</v>
      </c>
      <c r="L19" s="1004">
        <v>200</v>
      </c>
      <c r="M19" s="1004"/>
      <c r="N19" s="809">
        <f t="shared" si="2"/>
        <v>0</v>
      </c>
      <c r="O19" s="1004">
        <v>200</v>
      </c>
      <c r="P19" s="1004"/>
      <c r="Q19" s="809"/>
      <c r="R19" s="993">
        <f t="shared" si="9"/>
        <v>800</v>
      </c>
      <c r="S19" s="811">
        <f t="shared" si="10"/>
        <v>0</v>
      </c>
      <c r="T19" s="812">
        <f t="shared" si="5"/>
        <v>0</v>
      </c>
      <c r="U19" s="813">
        <f t="shared" si="7"/>
        <v>800</v>
      </c>
      <c r="V19" s="813">
        <f t="shared" si="8"/>
        <v>0</v>
      </c>
      <c r="W19" s="812">
        <f t="shared" si="6"/>
        <v>0</v>
      </c>
      <c r="X19" s="814"/>
      <c r="Y19" s="651"/>
    </row>
    <row r="20" spans="1:25" s="652" customFormat="1" ht="14.5" x14ac:dyDescent="0.35">
      <c r="A20" s="1009"/>
      <c r="B20" s="1016" t="s">
        <v>384</v>
      </c>
      <c r="C20" s="1011"/>
      <c r="D20" s="657">
        <v>42</v>
      </c>
      <c r="E20" s="657" t="s">
        <v>436</v>
      </c>
      <c r="F20" s="638">
        <v>80</v>
      </c>
      <c r="G20" s="638"/>
      <c r="H20" s="809">
        <f t="shared" si="0"/>
        <v>0</v>
      </c>
      <c r="I20" s="638">
        <v>80</v>
      </c>
      <c r="J20" s="657"/>
      <c r="K20" s="809">
        <f t="shared" si="1"/>
        <v>0</v>
      </c>
      <c r="L20" s="638">
        <v>80</v>
      </c>
      <c r="M20" s="638"/>
      <c r="N20" s="809">
        <f t="shared" si="2"/>
        <v>0</v>
      </c>
      <c r="O20" s="638">
        <v>80</v>
      </c>
      <c r="P20" s="638"/>
      <c r="Q20" s="809"/>
      <c r="R20" s="993">
        <f t="shared" si="9"/>
        <v>320</v>
      </c>
      <c r="S20" s="811">
        <f t="shared" si="10"/>
        <v>0</v>
      </c>
      <c r="T20" s="812">
        <f t="shared" si="5"/>
        <v>0</v>
      </c>
      <c r="U20" s="813">
        <f t="shared" si="7"/>
        <v>320</v>
      </c>
      <c r="V20" s="813">
        <f t="shared" si="8"/>
        <v>0</v>
      </c>
      <c r="W20" s="812">
        <f t="shared" si="6"/>
        <v>0</v>
      </c>
      <c r="X20" s="814"/>
      <c r="Y20" s="651"/>
    </row>
    <row r="21" spans="1:25" s="652" customFormat="1" ht="14.5" x14ac:dyDescent="0.35">
      <c r="A21" s="1007"/>
      <c r="B21" s="991" t="s">
        <v>385</v>
      </c>
      <c r="C21" s="1063"/>
      <c r="D21" s="807">
        <v>66</v>
      </c>
      <c r="E21" s="807" t="s">
        <v>436</v>
      </c>
      <c r="F21" s="808">
        <v>120</v>
      </c>
      <c r="G21" s="808"/>
      <c r="H21" s="809">
        <f t="shared" si="0"/>
        <v>0</v>
      </c>
      <c r="I21" s="808">
        <v>120</v>
      </c>
      <c r="J21" s="807"/>
      <c r="K21" s="809">
        <f t="shared" si="1"/>
        <v>0</v>
      </c>
      <c r="L21" s="808">
        <v>120</v>
      </c>
      <c r="M21" s="808"/>
      <c r="N21" s="809">
        <f t="shared" si="2"/>
        <v>0</v>
      </c>
      <c r="O21" s="808">
        <v>120</v>
      </c>
      <c r="P21" s="808"/>
      <c r="Q21" s="809"/>
      <c r="R21" s="993">
        <f t="shared" si="9"/>
        <v>480</v>
      </c>
      <c r="S21" s="811">
        <f t="shared" si="10"/>
        <v>0</v>
      </c>
      <c r="T21" s="812">
        <f t="shared" si="5"/>
        <v>0</v>
      </c>
      <c r="U21" s="813">
        <f t="shared" si="7"/>
        <v>480</v>
      </c>
      <c r="V21" s="813">
        <f t="shared" si="8"/>
        <v>0</v>
      </c>
      <c r="W21" s="812">
        <f t="shared" si="6"/>
        <v>0</v>
      </c>
      <c r="X21" s="814"/>
      <c r="Y21" s="651"/>
    </row>
    <row r="22" spans="1:25" s="610" customFormat="1" ht="13.5" thickBot="1" x14ac:dyDescent="0.3">
      <c r="A22" s="1000" t="str">
        <f>'Baseline Table'!A13:D13</f>
        <v xml:space="preserve">OUTPUT 1.1: Targeted Refugees and their host communities have access to communty extension services </v>
      </c>
      <c r="B22" s="994"/>
      <c r="C22" s="1012"/>
      <c r="D22" s="996"/>
      <c r="E22" s="997"/>
      <c r="F22" s="995"/>
      <c r="G22" s="995"/>
      <c r="H22" s="998"/>
      <c r="I22" s="995"/>
      <c r="J22" s="995"/>
      <c r="K22" s="998"/>
      <c r="L22" s="995"/>
      <c r="M22" s="995"/>
      <c r="N22" s="998"/>
      <c r="O22" s="995"/>
      <c r="P22" s="995"/>
      <c r="Q22" s="998"/>
      <c r="R22" s="995"/>
      <c r="S22" s="995"/>
      <c r="T22" s="998"/>
      <c r="U22" s="995"/>
      <c r="V22" s="999"/>
      <c r="W22" s="998"/>
      <c r="X22" s="998"/>
      <c r="Y22" s="998"/>
    </row>
    <row r="23" spans="1:25" s="631" customFormat="1" ht="22.5" customHeight="1" thickBot="1" x14ac:dyDescent="0.35">
      <c r="A23" s="1006" t="str">
        <f>'Baseline Table'!A14</f>
        <v>Indicator 1.1.a: 10 training modules (agronomy, PHH and eco-system mgt) conducted for lead/modal farmers</v>
      </c>
      <c r="B23" s="1015"/>
      <c r="C23" s="1061" t="str">
        <f>C19</f>
        <v>19-24th Feb 2018</v>
      </c>
      <c r="D23" s="822">
        <v>0</v>
      </c>
      <c r="E23" s="971" t="s">
        <v>548</v>
      </c>
      <c r="F23" s="972">
        <v>1</v>
      </c>
      <c r="G23" s="816"/>
      <c r="H23" s="986">
        <f t="shared" ref="H23:H28" si="11">IF(F23=0,"NA",G23/F23)</f>
        <v>0</v>
      </c>
      <c r="I23" s="972">
        <v>3</v>
      </c>
      <c r="J23" s="816"/>
      <c r="K23" s="973">
        <f t="shared" ref="K23:K28" si="12">IF(I23=0,"NA",J23/I23)</f>
        <v>0</v>
      </c>
      <c r="L23" s="987">
        <v>3</v>
      </c>
      <c r="M23" s="816"/>
      <c r="N23" s="986">
        <f t="shared" ref="N23:N28" si="13">IF(L23=0,"NA",M23/L23)</f>
        <v>0</v>
      </c>
      <c r="O23" s="972">
        <v>3</v>
      </c>
      <c r="P23" s="816"/>
      <c r="Q23" s="988">
        <f t="shared" ref="Q23:Q28" si="14">IF(O23=0,"NA",P23/O23)</f>
        <v>0</v>
      </c>
      <c r="R23" s="735">
        <f t="shared" ref="R23:S28" si="15">F23+I23+L23+O23</f>
        <v>10</v>
      </c>
      <c r="S23" s="735">
        <f t="shared" si="15"/>
        <v>0</v>
      </c>
      <c r="T23" s="989">
        <f t="shared" ref="T23:T28" si="16">IF(R23=0,"NA",S23/R23)</f>
        <v>0</v>
      </c>
      <c r="U23" s="653">
        <f t="shared" ref="U23:V28" si="17">R23</f>
        <v>10</v>
      </c>
      <c r="V23" s="653">
        <f t="shared" si="17"/>
        <v>0</v>
      </c>
      <c r="W23" s="974">
        <f t="shared" ref="W23:W28" si="18">IF(U23=0,"NA",V23/U23)</f>
        <v>0</v>
      </c>
      <c r="X23" s="654"/>
      <c r="Y23" s="794"/>
    </row>
    <row r="24" spans="1:25" s="641" customFormat="1" ht="15" thickBot="1" x14ac:dyDescent="0.4">
      <c r="A24" s="655"/>
      <c r="B24" s="1016" t="s">
        <v>384</v>
      </c>
      <c r="C24" s="1011"/>
      <c r="D24" s="657">
        <v>0</v>
      </c>
      <c r="E24" s="658" t="s">
        <v>543</v>
      </c>
      <c r="F24" s="637">
        <v>0</v>
      </c>
      <c r="G24" s="638"/>
      <c r="H24" s="679" t="str">
        <f t="shared" si="11"/>
        <v>NA</v>
      </c>
      <c r="I24" s="637">
        <v>0</v>
      </c>
      <c r="J24" s="638"/>
      <c r="K24" s="636" t="str">
        <f t="shared" si="12"/>
        <v>NA</v>
      </c>
      <c r="L24" s="680">
        <v>0</v>
      </c>
      <c r="M24" s="638"/>
      <c r="N24" s="679" t="str">
        <f t="shared" si="13"/>
        <v>NA</v>
      </c>
      <c r="O24" s="637">
        <v>0</v>
      </c>
      <c r="P24" s="638"/>
      <c r="Q24" s="679" t="str">
        <f t="shared" si="14"/>
        <v>NA</v>
      </c>
      <c r="R24" s="625">
        <f t="shared" si="15"/>
        <v>0</v>
      </c>
      <c r="S24" s="625">
        <f t="shared" si="15"/>
        <v>0</v>
      </c>
      <c r="T24" s="681" t="str">
        <f t="shared" si="16"/>
        <v>NA</v>
      </c>
      <c r="U24" s="628">
        <f t="shared" si="17"/>
        <v>0</v>
      </c>
      <c r="V24" s="628">
        <f t="shared" si="17"/>
        <v>0</v>
      </c>
      <c r="W24" s="639" t="str">
        <f t="shared" si="18"/>
        <v>NA</v>
      </c>
      <c r="X24" s="682"/>
      <c r="Y24" s="640"/>
    </row>
    <row r="25" spans="1:25" s="652" customFormat="1" ht="15" thickBot="1" x14ac:dyDescent="0.4">
      <c r="A25" s="659"/>
      <c r="B25" s="991" t="s">
        <v>385</v>
      </c>
      <c r="C25" s="1013"/>
      <c r="D25" s="660">
        <v>0</v>
      </c>
      <c r="E25" s="661" t="s">
        <v>543</v>
      </c>
      <c r="F25" s="662">
        <v>0</v>
      </c>
      <c r="G25" s="648"/>
      <c r="H25" s="683" t="str">
        <f t="shared" si="11"/>
        <v>NA</v>
      </c>
      <c r="I25" s="662">
        <v>0</v>
      </c>
      <c r="J25" s="648"/>
      <c r="K25" s="663" t="str">
        <f t="shared" si="12"/>
        <v>NA</v>
      </c>
      <c r="L25" s="662">
        <v>0</v>
      </c>
      <c r="M25" s="648"/>
      <c r="N25" s="683" t="str">
        <f t="shared" si="13"/>
        <v>NA</v>
      </c>
      <c r="O25" s="662">
        <v>0</v>
      </c>
      <c r="P25" s="648"/>
      <c r="Q25" s="683" t="str">
        <f t="shared" si="14"/>
        <v>NA</v>
      </c>
      <c r="R25" s="625">
        <f t="shared" si="15"/>
        <v>0</v>
      </c>
      <c r="S25" s="625">
        <f t="shared" si="15"/>
        <v>0</v>
      </c>
      <c r="T25" s="684" t="str">
        <f t="shared" si="16"/>
        <v>NA</v>
      </c>
      <c r="U25" s="628">
        <f t="shared" si="17"/>
        <v>0</v>
      </c>
      <c r="V25" s="628">
        <f t="shared" si="17"/>
        <v>0</v>
      </c>
      <c r="W25" s="650" t="str">
        <f t="shared" si="18"/>
        <v>NA</v>
      </c>
      <c r="X25" s="685"/>
      <c r="Y25" s="664"/>
    </row>
    <row r="26" spans="1:25" s="652" customFormat="1" ht="26.5" thickBot="1" x14ac:dyDescent="0.4">
      <c r="A26" s="617" t="str">
        <f>'M&amp;E Matrix'!A15</f>
        <v>Indicator 1.1.b: 1600 refugees &amp; host communities receive extension services from lead/model farmers.</v>
      </c>
      <c r="B26" s="1015"/>
      <c r="C26" s="1064" t="str">
        <f>C23</f>
        <v>19-24th Feb 2018</v>
      </c>
      <c r="D26" s="619">
        <v>0</v>
      </c>
      <c r="E26" s="620" t="s">
        <v>436</v>
      </c>
      <c r="F26" s="621">
        <v>200</v>
      </c>
      <c r="G26" s="622"/>
      <c r="H26" s="674">
        <f t="shared" si="11"/>
        <v>0</v>
      </c>
      <c r="I26" s="675">
        <v>200</v>
      </c>
      <c r="J26" s="622"/>
      <c r="K26" s="623">
        <f t="shared" si="12"/>
        <v>0</v>
      </c>
      <c r="L26" s="675">
        <v>800</v>
      </c>
      <c r="M26" s="622"/>
      <c r="N26" s="674">
        <f t="shared" si="13"/>
        <v>0</v>
      </c>
      <c r="O26" s="621">
        <v>400</v>
      </c>
      <c r="P26" s="622"/>
      <c r="Q26" s="676">
        <f t="shared" si="14"/>
        <v>0</v>
      </c>
      <c r="R26" s="625">
        <f t="shared" si="15"/>
        <v>1600</v>
      </c>
      <c r="S26" s="625">
        <f t="shared" si="15"/>
        <v>0</v>
      </c>
      <c r="T26" s="677">
        <f t="shared" si="16"/>
        <v>0</v>
      </c>
      <c r="U26" s="628">
        <f t="shared" si="17"/>
        <v>1600</v>
      </c>
      <c r="V26" s="628">
        <f t="shared" si="17"/>
        <v>0</v>
      </c>
      <c r="W26" s="629">
        <f t="shared" si="18"/>
        <v>0</v>
      </c>
      <c r="X26" s="654"/>
      <c r="Y26" s="678"/>
    </row>
    <row r="27" spans="1:25" s="652" customFormat="1" ht="15" thickBot="1" x14ac:dyDescent="0.4">
      <c r="A27" s="655"/>
      <c r="B27" s="1016" t="s">
        <v>384</v>
      </c>
      <c r="C27" s="1011"/>
      <c r="D27" s="657">
        <v>0</v>
      </c>
      <c r="E27" s="658" t="s">
        <v>436</v>
      </c>
      <c r="F27" s="637">
        <v>80</v>
      </c>
      <c r="G27" s="638"/>
      <c r="H27" s="679">
        <f t="shared" si="11"/>
        <v>0</v>
      </c>
      <c r="I27" s="637">
        <v>80</v>
      </c>
      <c r="J27" s="638"/>
      <c r="K27" s="636">
        <f t="shared" si="12"/>
        <v>0</v>
      </c>
      <c r="L27" s="680">
        <v>320</v>
      </c>
      <c r="M27" s="638"/>
      <c r="N27" s="679">
        <f t="shared" si="13"/>
        <v>0</v>
      </c>
      <c r="O27" s="637">
        <v>160</v>
      </c>
      <c r="P27" s="638"/>
      <c r="Q27" s="679">
        <f t="shared" si="14"/>
        <v>0</v>
      </c>
      <c r="R27" s="625">
        <f t="shared" si="15"/>
        <v>640</v>
      </c>
      <c r="S27" s="625">
        <f t="shared" si="15"/>
        <v>0</v>
      </c>
      <c r="T27" s="681">
        <f t="shared" si="16"/>
        <v>0</v>
      </c>
      <c r="U27" s="628">
        <f t="shared" si="17"/>
        <v>640</v>
      </c>
      <c r="V27" s="628">
        <f t="shared" si="17"/>
        <v>0</v>
      </c>
      <c r="W27" s="639">
        <f t="shared" si="18"/>
        <v>0</v>
      </c>
      <c r="X27" s="682"/>
      <c r="Y27" s="640"/>
    </row>
    <row r="28" spans="1:25" s="652" customFormat="1" ht="15" thickBot="1" x14ac:dyDescent="0.4">
      <c r="A28" s="659"/>
      <c r="B28" s="991" t="s">
        <v>385</v>
      </c>
      <c r="C28" s="1013"/>
      <c r="D28" s="660">
        <v>0</v>
      </c>
      <c r="E28" s="661" t="s">
        <v>436</v>
      </c>
      <c r="F28" s="662">
        <v>120</v>
      </c>
      <c r="G28" s="648"/>
      <c r="H28" s="683">
        <f t="shared" si="11"/>
        <v>0</v>
      </c>
      <c r="I28" s="662">
        <v>120</v>
      </c>
      <c r="J28" s="648"/>
      <c r="K28" s="663">
        <f t="shared" si="12"/>
        <v>0</v>
      </c>
      <c r="L28" s="686">
        <v>480</v>
      </c>
      <c r="M28" s="648"/>
      <c r="N28" s="683">
        <f t="shared" si="13"/>
        <v>0</v>
      </c>
      <c r="O28" s="662">
        <v>240</v>
      </c>
      <c r="P28" s="648"/>
      <c r="Q28" s="683">
        <f t="shared" si="14"/>
        <v>0</v>
      </c>
      <c r="R28" s="625">
        <f t="shared" si="15"/>
        <v>960</v>
      </c>
      <c r="S28" s="625">
        <f t="shared" si="15"/>
        <v>0</v>
      </c>
      <c r="T28" s="684">
        <f t="shared" si="16"/>
        <v>0</v>
      </c>
      <c r="U28" s="628">
        <f t="shared" si="17"/>
        <v>960</v>
      </c>
      <c r="V28" s="628">
        <f t="shared" si="17"/>
        <v>0</v>
      </c>
      <c r="W28" s="650">
        <f t="shared" si="18"/>
        <v>0</v>
      </c>
      <c r="X28" s="685"/>
      <c r="Y28" s="664"/>
    </row>
    <row r="29" spans="1:25" s="610" customFormat="1" ht="13.5" thickBot="1" x14ac:dyDescent="0.3">
      <c r="A29" s="665" t="str">
        <f>'M&amp;E Matrix'!A16</f>
        <v xml:space="preserve">OUTPUT 1.2: Targeted refugees and host community members have access to improved high yielding seeds. </v>
      </c>
      <c r="B29" s="994"/>
      <c r="C29" s="667"/>
      <c r="D29" s="668"/>
      <c r="E29" s="669"/>
      <c r="F29" s="667"/>
      <c r="G29" s="667"/>
      <c r="H29" s="670"/>
      <c r="I29" s="667"/>
      <c r="J29" s="667"/>
      <c r="K29" s="670"/>
      <c r="L29" s="667"/>
      <c r="M29" s="667"/>
      <c r="N29" s="670"/>
      <c r="O29" s="667"/>
      <c r="P29" s="667"/>
      <c r="Q29" s="670"/>
      <c r="R29" s="667"/>
      <c r="S29" s="667"/>
      <c r="T29" s="670"/>
      <c r="U29" s="667"/>
      <c r="V29" s="672"/>
      <c r="W29" s="673"/>
      <c r="X29" s="673"/>
      <c r="Y29" s="673"/>
    </row>
    <row r="30" spans="1:25" s="652" customFormat="1" ht="26.5" thickBot="1" x14ac:dyDescent="0.4">
      <c r="A30" s="617" t="str">
        <f>'M&amp;E Matrix'!A17</f>
        <v xml:space="preserve">Indicator 1.2.a: 1200 refugees and host community HHs receive high yeilding seeds </v>
      </c>
      <c r="B30" s="1015"/>
      <c r="C30" s="1065" t="str">
        <f>C26</f>
        <v>19-24th Feb 2018</v>
      </c>
      <c r="D30" s="687">
        <v>0</v>
      </c>
      <c r="E30" s="620" t="s">
        <v>436</v>
      </c>
      <c r="F30" s="621">
        <v>0</v>
      </c>
      <c r="G30" s="622"/>
      <c r="H30" s="674" t="str">
        <f>IF(F30=0,"NA",G30/F30)</f>
        <v>NA</v>
      </c>
      <c r="I30" s="675">
        <v>0</v>
      </c>
      <c r="J30" s="622"/>
      <c r="K30" s="623" t="str">
        <f>IF(I30=0,"NA",J30/I30)</f>
        <v>NA</v>
      </c>
      <c r="L30" s="675">
        <v>1200</v>
      </c>
      <c r="M30" s="622"/>
      <c r="N30" s="674">
        <f>IF(L30=0,"NA",M30/L30)</f>
        <v>0</v>
      </c>
      <c r="O30" s="621">
        <v>0</v>
      </c>
      <c r="P30" s="622"/>
      <c r="Q30" s="676" t="str">
        <f>IF(O30=0,"NA",P30/O30)</f>
        <v>NA</v>
      </c>
      <c r="R30" s="625">
        <f t="shared" ref="R30:S32" si="19">F30+I30+L30+O30</f>
        <v>1200</v>
      </c>
      <c r="S30" s="626">
        <f t="shared" si="19"/>
        <v>0</v>
      </c>
      <c r="T30" s="677">
        <f>IF(R30=0,"NA",S30/R30)</f>
        <v>0</v>
      </c>
      <c r="U30" s="628">
        <f t="shared" ref="U30:V32" si="20">R30</f>
        <v>1200</v>
      </c>
      <c r="V30" s="628">
        <f t="shared" si="20"/>
        <v>0</v>
      </c>
      <c r="W30" s="629">
        <f>IF(U30=0,"NA",V30/U30)</f>
        <v>0</v>
      </c>
      <c r="X30" s="654"/>
      <c r="Y30" s="678"/>
    </row>
    <row r="31" spans="1:25" s="652" customFormat="1" ht="14.5" x14ac:dyDescent="0.35">
      <c r="A31" s="1018"/>
      <c r="B31" s="1019" t="s">
        <v>384</v>
      </c>
      <c r="C31" s="1020"/>
      <c r="D31" s="1021">
        <v>0</v>
      </c>
      <c r="E31" s="1022" t="s">
        <v>436</v>
      </c>
      <c r="F31" s="1021">
        <v>0</v>
      </c>
      <c r="G31" s="980"/>
      <c r="H31" s="1023" t="str">
        <f>IF(F31=0,"NA",G31/F31)</f>
        <v>NA</v>
      </c>
      <c r="I31" s="1024">
        <v>0</v>
      </c>
      <c r="J31" s="980"/>
      <c r="K31" s="978" t="str">
        <f>IF(I31=0,"NA",J31/I31)</f>
        <v>NA</v>
      </c>
      <c r="L31" s="1024">
        <v>480</v>
      </c>
      <c r="M31" s="980"/>
      <c r="N31" s="1023">
        <f>IF(L31=0,"NA",M31/L31)</f>
        <v>0</v>
      </c>
      <c r="O31" s="979">
        <v>0</v>
      </c>
      <c r="P31" s="980"/>
      <c r="Q31" s="1023" t="str">
        <f>IF(O31=0,"NA",P31/O31)</f>
        <v>NA</v>
      </c>
      <c r="R31" s="981">
        <f t="shared" si="19"/>
        <v>480</v>
      </c>
      <c r="S31" s="803">
        <f t="shared" si="19"/>
        <v>0</v>
      </c>
      <c r="T31" s="1025">
        <f>IF(R31=0,"NA",S31/R31)</f>
        <v>0</v>
      </c>
      <c r="U31" s="983">
        <f t="shared" si="20"/>
        <v>480</v>
      </c>
      <c r="V31" s="983">
        <f t="shared" si="20"/>
        <v>0</v>
      </c>
      <c r="W31" s="1026">
        <f>IF(U31=0,"NA",V31/U31)</f>
        <v>0</v>
      </c>
      <c r="X31" s="1027"/>
      <c r="Y31" s="985"/>
    </row>
    <row r="32" spans="1:25" s="652" customFormat="1" ht="14.5" x14ac:dyDescent="0.35">
      <c r="A32" s="990"/>
      <c r="B32" s="991" t="s">
        <v>385</v>
      </c>
      <c r="C32" s="1017"/>
      <c r="D32" s="806">
        <v>0</v>
      </c>
      <c r="E32" s="807" t="s">
        <v>436</v>
      </c>
      <c r="F32" s="806">
        <v>0</v>
      </c>
      <c r="G32" s="808"/>
      <c r="H32" s="809" t="str">
        <f>IF(F32=0,"NA",G32/F32)</f>
        <v>NA</v>
      </c>
      <c r="I32" s="808">
        <v>0</v>
      </c>
      <c r="J32" s="808"/>
      <c r="K32" s="809" t="str">
        <f>IF(I32=0,"NA",J32/I32)</f>
        <v>NA</v>
      </c>
      <c r="L32" s="808">
        <v>720</v>
      </c>
      <c r="M32" s="808"/>
      <c r="N32" s="809">
        <f>IF(L32=0,"NA",M32/L32)</f>
        <v>0</v>
      </c>
      <c r="O32" s="808">
        <v>0</v>
      </c>
      <c r="P32" s="808"/>
      <c r="Q32" s="809" t="str">
        <f>IF(O32=0,"NA",P32/O32)</f>
        <v>NA</v>
      </c>
      <c r="R32" s="811">
        <f t="shared" si="19"/>
        <v>720</v>
      </c>
      <c r="S32" s="811">
        <f t="shared" si="19"/>
        <v>0</v>
      </c>
      <c r="T32" s="812">
        <f>IF(R32=0,"NA",S32/R32)</f>
        <v>0</v>
      </c>
      <c r="U32" s="813">
        <f t="shared" si="20"/>
        <v>720</v>
      </c>
      <c r="V32" s="813">
        <f t="shared" si="20"/>
        <v>0</v>
      </c>
      <c r="W32" s="1033">
        <f>IF(U32=0,"NA",V32/U32)</f>
        <v>0</v>
      </c>
      <c r="X32" s="814"/>
      <c r="Y32" s="651"/>
    </row>
    <row r="33" spans="1:25" s="652" customFormat="1" ht="13.5" thickBot="1" x14ac:dyDescent="0.3">
      <c r="A33" s="1000" t="str">
        <f>'M&amp;E Matrix'!A18</f>
        <v>OUTPUT 1.3: Targeted refugees engage in off-farm income generating activities.</v>
      </c>
      <c r="B33" s="1028"/>
      <c r="C33" s="671"/>
      <c r="D33" s="1043"/>
      <c r="E33" s="1044"/>
      <c r="F33" s="671"/>
      <c r="G33" s="671"/>
      <c r="H33" s="1030"/>
      <c r="I33" s="671"/>
      <c r="J33" s="671"/>
      <c r="K33" s="1030"/>
      <c r="L33" s="671"/>
      <c r="M33" s="671"/>
      <c r="N33" s="1030"/>
      <c r="O33" s="671"/>
      <c r="P33" s="671"/>
      <c r="Q33" s="1030"/>
      <c r="R33" s="701"/>
      <c r="S33" s="1030"/>
      <c r="T33" s="1030"/>
      <c r="U33" s="701"/>
      <c r="V33" s="1031"/>
      <c r="W33" s="1032"/>
      <c r="X33" s="1032"/>
      <c r="Y33" s="1032"/>
    </row>
    <row r="34" spans="1:25" s="652" customFormat="1" ht="26.5" thickBot="1" x14ac:dyDescent="0.4">
      <c r="A34" s="617" t="str">
        <f>'M&amp;E Matrix'!A19</f>
        <v xml:space="preserve">Indicator 1.3. a. 200 refugees supported to establish small scale businesses. </v>
      </c>
      <c r="B34" s="1015"/>
      <c r="C34" s="1066" t="str">
        <f>C30</f>
        <v>19-24th Feb 2018</v>
      </c>
      <c r="D34" s="1034">
        <v>0</v>
      </c>
      <c r="E34" s="1003" t="s">
        <v>436</v>
      </c>
      <c r="F34" s="1004">
        <v>50</v>
      </c>
      <c r="G34" s="1004"/>
      <c r="H34" s="674">
        <f t="shared" ref="H34:H39" si="21">IF(F34=0,"NA",G34/F34)</f>
        <v>0</v>
      </c>
      <c r="I34" s="1004">
        <v>50</v>
      </c>
      <c r="J34" s="1004"/>
      <c r="K34" s="674">
        <f t="shared" ref="K34:K39" si="22">IF(I34=0,"NA",J34/I34)</f>
        <v>0</v>
      </c>
      <c r="L34" s="1004">
        <v>50</v>
      </c>
      <c r="M34" s="1004"/>
      <c r="N34" s="679">
        <f t="shared" ref="N34:N39" si="23">IF(L34=0,"NA",M34/L34)</f>
        <v>0</v>
      </c>
      <c r="O34" s="1004">
        <v>50</v>
      </c>
      <c r="P34" s="1004"/>
      <c r="Q34" s="676">
        <f t="shared" ref="Q34:Q39" si="24">IF(O34=0,"NA",P34/O34)</f>
        <v>0</v>
      </c>
      <c r="R34" s="1071">
        <f>F34+I34+L34+O34</f>
        <v>200</v>
      </c>
      <c r="S34" s="1072">
        <f>G34+J34+M34+P34</f>
        <v>0</v>
      </c>
      <c r="T34" s="677">
        <f t="shared" ref="T34:T39" si="25">IF(R34=0,"NA",S34/R34)</f>
        <v>0</v>
      </c>
      <c r="U34" s="628">
        <f t="shared" ref="U34:V39" si="26">R34</f>
        <v>200</v>
      </c>
      <c r="V34" s="628">
        <f t="shared" si="26"/>
        <v>0</v>
      </c>
      <c r="W34" s="629">
        <f t="shared" ref="W34:W39" si="27">IF(U34=0,"NA",V34/U34)</f>
        <v>0</v>
      </c>
      <c r="X34" s="654"/>
      <c r="Y34" s="678"/>
    </row>
    <row r="35" spans="1:25" s="652" customFormat="1" ht="14.5" x14ac:dyDescent="0.35">
      <c r="A35" s="655"/>
      <c r="B35" s="1016" t="s">
        <v>384</v>
      </c>
      <c r="C35" s="992"/>
      <c r="D35" s="688">
        <v>0</v>
      </c>
      <c r="E35" s="657" t="s">
        <v>436</v>
      </c>
      <c r="F35" s="638">
        <v>20</v>
      </c>
      <c r="G35" s="638"/>
      <c r="H35" s="1023">
        <f t="shared" si="21"/>
        <v>0</v>
      </c>
      <c r="I35" s="638">
        <v>20</v>
      </c>
      <c r="J35" s="638"/>
      <c r="K35" s="1023">
        <f t="shared" si="22"/>
        <v>0</v>
      </c>
      <c r="L35" s="638">
        <v>20</v>
      </c>
      <c r="M35" s="638"/>
      <c r="N35" s="1023">
        <f t="shared" si="23"/>
        <v>0</v>
      </c>
      <c r="O35" s="638">
        <v>20</v>
      </c>
      <c r="P35" s="638"/>
      <c r="Q35" s="1023">
        <f t="shared" si="24"/>
        <v>0</v>
      </c>
      <c r="R35" s="859">
        <f>F35+I35+L35+O35</f>
        <v>80</v>
      </c>
      <c r="S35" s="1073">
        <f t="shared" ref="S35:S53" si="28">G35+J35+M35+P35</f>
        <v>0</v>
      </c>
      <c r="T35" s="1025">
        <f t="shared" si="25"/>
        <v>0</v>
      </c>
      <c r="U35" s="983">
        <f t="shared" si="26"/>
        <v>80</v>
      </c>
      <c r="V35" s="983">
        <f t="shared" si="26"/>
        <v>0</v>
      </c>
      <c r="W35" s="982">
        <f t="shared" si="27"/>
        <v>0</v>
      </c>
      <c r="X35" s="1027"/>
      <c r="Y35" s="985"/>
    </row>
    <row r="36" spans="1:25" s="631" customFormat="1" ht="14.5" x14ac:dyDescent="0.35">
      <c r="A36" s="990"/>
      <c r="B36" s="991" t="s">
        <v>385</v>
      </c>
      <c r="C36" s="1017"/>
      <c r="D36" s="806">
        <v>0</v>
      </c>
      <c r="E36" s="807" t="s">
        <v>436</v>
      </c>
      <c r="F36" s="808">
        <v>30</v>
      </c>
      <c r="G36" s="808"/>
      <c r="H36" s="809">
        <f t="shared" si="21"/>
        <v>0</v>
      </c>
      <c r="I36" s="808">
        <v>30</v>
      </c>
      <c r="J36" s="808"/>
      <c r="K36" s="809">
        <f t="shared" si="22"/>
        <v>0</v>
      </c>
      <c r="L36" s="808">
        <v>30</v>
      </c>
      <c r="M36" s="808"/>
      <c r="N36" s="809">
        <f t="shared" si="23"/>
        <v>0</v>
      </c>
      <c r="O36" s="808">
        <v>30</v>
      </c>
      <c r="P36" s="808"/>
      <c r="Q36" s="809">
        <f t="shared" si="24"/>
        <v>0</v>
      </c>
      <c r="R36" s="993">
        <f>F36+I36+L36+O36</f>
        <v>120</v>
      </c>
      <c r="S36" s="993">
        <f t="shared" si="28"/>
        <v>0</v>
      </c>
      <c r="T36" s="812">
        <f t="shared" si="25"/>
        <v>0</v>
      </c>
      <c r="U36" s="813">
        <f t="shared" si="26"/>
        <v>120</v>
      </c>
      <c r="V36" s="813">
        <f t="shared" si="26"/>
        <v>0</v>
      </c>
      <c r="W36" s="812">
        <f t="shared" si="27"/>
        <v>0</v>
      </c>
      <c r="X36" s="814"/>
      <c r="Y36" s="651"/>
    </row>
    <row r="37" spans="1:25" s="631" customFormat="1" ht="27.5" customHeight="1" x14ac:dyDescent="0.35">
      <c r="A37" s="1015" t="str">
        <f>'Baseline Table'!A20</f>
        <v>Indicator 1.3.b. 50 refugee and host communities generating income from honey production and Marketing.</v>
      </c>
      <c r="B37" s="1002"/>
      <c r="C37" s="1066" t="str">
        <f>C34</f>
        <v>19-24th Feb 2018</v>
      </c>
      <c r="D37" s="1034">
        <v>0</v>
      </c>
      <c r="E37" s="1003" t="s">
        <v>436</v>
      </c>
      <c r="F37" s="1004">
        <v>10</v>
      </c>
      <c r="G37" s="1004"/>
      <c r="H37" s="809">
        <f t="shared" si="21"/>
        <v>0</v>
      </c>
      <c r="I37" s="1004">
        <v>20</v>
      </c>
      <c r="J37" s="1004"/>
      <c r="K37" s="809">
        <f t="shared" si="22"/>
        <v>0</v>
      </c>
      <c r="L37" s="1004">
        <v>10</v>
      </c>
      <c r="M37" s="1004"/>
      <c r="N37" s="809">
        <f t="shared" si="23"/>
        <v>0</v>
      </c>
      <c r="O37" s="1004">
        <v>10</v>
      </c>
      <c r="P37" s="1004"/>
      <c r="Q37" s="809">
        <f t="shared" si="24"/>
        <v>0</v>
      </c>
      <c r="R37" s="993">
        <f>F37+I37+L37+O37</f>
        <v>50</v>
      </c>
      <c r="S37" s="993">
        <f t="shared" si="28"/>
        <v>0</v>
      </c>
      <c r="T37" s="812">
        <f t="shared" si="25"/>
        <v>0</v>
      </c>
      <c r="U37" s="813">
        <f t="shared" si="26"/>
        <v>50</v>
      </c>
      <c r="V37" s="813">
        <f t="shared" si="26"/>
        <v>0</v>
      </c>
      <c r="W37" s="812">
        <f t="shared" si="27"/>
        <v>0</v>
      </c>
      <c r="X37" s="814"/>
      <c r="Y37" s="651"/>
    </row>
    <row r="38" spans="1:25" s="631" customFormat="1" ht="14.5" x14ac:dyDescent="0.35">
      <c r="A38" s="1005"/>
      <c r="B38" s="1016" t="s">
        <v>384</v>
      </c>
      <c r="C38" s="1037"/>
      <c r="D38" s="688">
        <v>0</v>
      </c>
      <c r="E38" s="657" t="s">
        <v>436</v>
      </c>
      <c r="F38" s="638">
        <v>4</v>
      </c>
      <c r="G38" s="638"/>
      <c r="H38" s="809">
        <f t="shared" si="21"/>
        <v>0</v>
      </c>
      <c r="I38" s="638">
        <v>8</v>
      </c>
      <c r="J38" s="638"/>
      <c r="K38" s="809">
        <f t="shared" si="22"/>
        <v>0</v>
      </c>
      <c r="L38" s="638">
        <v>4</v>
      </c>
      <c r="M38" s="638"/>
      <c r="N38" s="809">
        <f t="shared" si="23"/>
        <v>0</v>
      </c>
      <c r="O38" s="638">
        <v>4</v>
      </c>
      <c r="P38" s="638"/>
      <c r="Q38" s="809">
        <f t="shared" si="24"/>
        <v>0</v>
      </c>
      <c r="R38" s="993">
        <f>F38+I38+L38+O38</f>
        <v>20</v>
      </c>
      <c r="S38" s="993">
        <f t="shared" si="28"/>
        <v>0</v>
      </c>
      <c r="T38" s="812">
        <f t="shared" si="25"/>
        <v>0</v>
      </c>
      <c r="U38" s="813">
        <f t="shared" si="26"/>
        <v>20</v>
      </c>
      <c r="V38" s="813">
        <f t="shared" si="26"/>
        <v>0</v>
      </c>
      <c r="W38" s="812">
        <f t="shared" si="27"/>
        <v>0</v>
      </c>
      <c r="X38" s="814"/>
      <c r="Y38" s="651"/>
    </row>
    <row r="39" spans="1:25" s="631" customFormat="1" ht="14.5" x14ac:dyDescent="0.35">
      <c r="A39" s="990"/>
      <c r="B39" s="991" t="s">
        <v>385</v>
      </c>
      <c r="C39" s="1017"/>
      <c r="D39" s="806">
        <v>0</v>
      </c>
      <c r="E39" s="807" t="s">
        <v>436</v>
      </c>
      <c r="F39" s="808">
        <v>6</v>
      </c>
      <c r="G39" s="808"/>
      <c r="H39" s="809">
        <f t="shared" si="21"/>
        <v>0</v>
      </c>
      <c r="I39" s="808">
        <v>12</v>
      </c>
      <c r="J39" s="808"/>
      <c r="K39" s="809">
        <f t="shared" si="22"/>
        <v>0</v>
      </c>
      <c r="L39" s="808">
        <v>6</v>
      </c>
      <c r="M39" s="808"/>
      <c r="N39" s="809">
        <f t="shared" si="23"/>
        <v>0</v>
      </c>
      <c r="O39" s="808">
        <v>6</v>
      </c>
      <c r="P39" s="808"/>
      <c r="Q39" s="809">
        <f t="shared" si="24"/>
        <v>0</v>
      </c>
      <c r="R39" s="993">
        <f>F39+I39+L39+O39</f>
        <v>30</v>
      </c>
      <c r="S39" s="993">
        <f t="shared" si="28"/>
        <v>0</v>
      </c>
      <c r="T39" s="812">
        <f t="shared" si="25"/>
        <v>0</v>
      </c>
      <c r="U39" s="813">
        <f t="shared" si="26"/>
        <v>30</v>
      </c>
      <c r="V39" s="813">
        <f t="shared" si="26"/>
        <v>0</v>
      </c>
      <c r="W39" s="812">
        <f t="shared" si="27"/>
        <v>0</v>
      </c>
      <c r="X39" s="814"/>
      <c r="Y39" s="651"/>
    </row>
    <row r="40" spans="1:25" s="631" customFormat="1" ht="14.25" customHeight="1" thickBot="1" x14ac:dyDescent="0.3">
      <c r="A40" s="1391" t="str">
        <f>'Baseline Table'!A21:H21</f>
        <v>OUTPUT 1.4: Targeted refugees and host community members in engage in VSLA.</v>
      </c>
      <c r="B40" s="1392"/>
      <c r="C40" s="1392"/>
      <c r="D40" s="1392"/>
      <c r="E40" s="1392"/>
      <c r="F40" s="1392"/>
      <c r="G40" s="1392"/>
      <c r="H40" s="1393"/>
      <c r="I40" s="1392"/>
      <c r="J40" s="1392"/>
      <c r="K40" s="1393"/>
      <c r="L40" s="1392"/>
      <c r="M40" s="1392"/>
      <c r="N40" s="1393"/>
      <c r="O40" s="1392"/>
      <c r="P40" s="1392"/>
      <c r="Q40" s="1393"/>
      <c r="R40" s="1393"/>
      <c r="S40" s="1393"/>
      <c r="T40" s="1393"/>
      <c r="U40" s="1393"/>
      <c r="V40" s="1393"/>
      <c r="W40" s="1393"/>
      <c r="X40" s="1393"/>
      <c r="Y40" s="1394"/>
    </row>
    <row r="41" spans="1:25" s="820" customFormat="1" ht="26" x14ac:dyDescent="0.35">
      <c r="A41" s="1036" t="str">
        <f>'Baseline Table'!A22</f>
        <v>Indicator 1.4.a: 30 Village Savings and Lending Associations (groups) formed and strengthened</v>
      </c>
      <c r="B41" s="1041"/>
      <c r="C41" s="1067" t="str">
        <f>C37</f>
        <v>19-24th Feb 2018</v>
      </c>
      <c r="D41" s="1034">
        <v>0</v>
      </c>
      <c r="E41" s="1003" t="s">
        <v>549</v>
      </c>
      <c r="F41" s="1042">
        <v>10</v>
      </c>
      <c r="G41" s="1042"/>
      <c r="H41" s="815">
        <f t="shared" ref="H41:H46" si="29">IF(F41=0,"NA",G41/F41)</f>
        <v>0</v>
      </c>
      <c r="I41" s="1004">
        <v>10</v>
      </c>
      <c r="J41" s="1004"/>
      <c r="K41" s="815">
        <f t="shared" ref="K41:K46" si="30">IF(I41=0,"NA",J41/I41)</f>
        <v>0</v>
      </c>
      <c r="L41" s="1004">
        <v>5</v>
      </c>
      <c r="M41" s="1004"/>
      <c r="N41" s="815">
        <f t="shared" ref="N41:N46" si="31">IF(L41=0,"NA",M41/L41)</f>
        <v>0</v>
      </c>
      <c r="O41" s="1004">
        <v>5</v>
      </c>
      <c r="P41" s="1004"/>
      <c r="Q41" s="815">
        <f t="shared" ref="Q41:Q46" si="32">IF(O41=0,"NA",P41/O41)</f>
        <v>0</v>
      </c>
      <c r="R41" s="1075">
        <f>F41+I41+L41+O41</f>
        <v>30</v>
      </c>
      <c r="S41" s="1075">
        <f t="shared" si="28"/>
        <v>0</v>
      </c>
      <c r="T41" s="817">
        <f t="shared" ref="T41:T46" si="33">IF(R41=0,"NA",S41/R41)</f>
        <v>0</v>
      </c>
      <c r="U41" s="1076">
        <f t="shared" ref="U41:V46" si="34">R41</f>
        <v>30</v>
      </c>
      <c r="V41" s="1076">
        <f t="shared" si="34"/>
        <v>0</v>
      </c>
      <c r="W41" s="817">
        <f t="shared" ref="W41:W46" si="35">IF(U41=0,"NA",V41/U41)</f>
        <v>0</v>
      </c>
      <c r="X41" s="818"/>
      <c r="Y41" s="819"/>
    </row>
    <row r="42" spans="1:25" s="641" customFormat="1" ht="14.5" x14ac:dyDescent="0.35">
      <c r="A42" s="823"/>
      <c r="B42" s="1016" t="s">
        <v>437</v>
      </c>
      <c r="C42" s="1011"/>
      <c r="D42" s="688">
        <v>0</v>
      </c>
      <c r="E42" s="657" t="s">
        <v>543</v>
      </c>
      <c r="F42" s="638">
        <v>0</v>
      </c>
      <c r="G42" s="638"/>
      <c r="H42" s="824" t="str">
        <f t="shared" si="29"/>
        <v>NA</v>
      </c>
      <c r="I42" s="638">
        <v>0</v>
      </c>
      <c r="J42" s="638"/>
      <c r="K42" s="824" t="str">
        <f t="shared" si="30"/>
        <v>NA</v>
      </c>
      <c r="L42" s="638">
        <v>0</v>
      </c>
      <c r="M42" s="638"/>
      <c r="N42" s="824" t="str">
        <f t="shared" si="31"/>
        <v>NA</v>
      </c>
      <c r="O42" s="638">
        <v>0</v>
      </c>
      <c r="P42" s="638"/>
      <c r="Q42" s="824" t="str">
        <f t="shared" si="32"/>
        <v>NA</v>
      </c>
      <c r="R42" s="993">
        <f t="shared" ref="R42:R53" si="36">F42+I42+L42+O42</f>
        <v>0</v>
      </c>
      <c r="S42" s="993">
        <f t="shared" si="28"/>
        <v>0</v>
      </c>
      <c r="T42" s="825" t="str">
        <f t="shared" si="33"/>
        <v>NA</v>
      </c>
      <c r="U42" s="1076">
        <f t="shared" si="34"/>
        <v>0</v>
      </c>
      <c r="V42" s="1077">
        <f t="shared" si="34"/>
        <v>0</v>
      </c>
      <c r="W42" s="825" t="str">
        <f t="shared" si="35"/>
        <v>NA</v>
      </c>
      <c r="X42" s="826"/>
      <c r="Y42" s="827"/>
    </row>
    <row r="43" spans="1:25" s="631" customFormat="1" ht="14.5" x14ac:dyDescent="0.35">
      <c r="A43" s="1035"/>
      <c r="B43" s="991" t="s">
        <v>385</v>
      </c>
      <c r="C43" s="1038"/>
      <c r="D43" s="806">
        <v>0</v>
      </c>
      <c r="E43" s="807" t="s">
        <v>543</v>
      </c>
      <c r="F43" s="808">
        <v>0</v>
      </c>
      <c r="G43" s="808"/>
      <c r="H43" s="809" t="str">
        <f t="shared" si="29"/>
        <v>NA</v>
      </c>
      <c r="I43" s="808">
        <v>0</v>
      </c>
      <c r="J43" s="808"/>
      <c r="K43" s="809" t="str">
        <f t="shared" si="30"/>
        <v>NA</v>
      </c>
      <c r="L43" s="808">
        <v>0</v>
      </c>
      <c r="M43" s="808"/>
      <c r="N43" s="809" t="str">
        <f t="shared" si="31"/>
        <v>NA</v>
      </c>
      <c r="O43" s="808">
        <v>0</v>
      </c>
      <c r="P43" s="808"/>
      <c r="Q43" s="809" t="str">
        <f t="shared" si="32"/>
        <v>NA</v>
      </c>
      <c r="R43" s="993">
        <f t="shared" si="36"/>
        <v>0</v>
      </c>
      <c r="S43" s="993">
        <f t="shared" si="28"/>
        <v>0</v>
      </c>
      <c r="T43" s="812" t="str">
        <f t="shared" si="33"/>
        <v>NA</v>
      </c>
      <c r="U43" s="1077">
        <f t="shared" si="34"/>
        <v>0</v>
      </c>
      <c r="V43" s="1077">
        <f t="shared" si="34"/>
        <v>0</v>
      </c>
      <c r="W43" s="812" t="str">
        <f t="shared" si="35"/>
        <v>NA</v>
      </c>
      <c r="X43" s="814"/>
      <c r="Y43" s="651"/>
    </row>
    <row r="44" spans="1:25" s="631" customFormat="1" ht="24.5" customHeight="1" x14ac:dyDescent="0.35">
      <c r="A44" s="1151" t="str">
        <f>'Baseline Table'!A23</f>
        <v xml:space="preserve">Indicator 1.4 b. 600 refugee and host community members engaged in VSLA activities (saving and borrowing). </v>
      </c>
      <c r="B44" s="1002"/>
      <c r="C44" s="1067" t="str">
        <f>C41</f>
        <v>19-24th Feb 2018</v>
      </c>
      <c r="D44" s="1034">
        <v>0</v>
      </c>
      <c r="E44" s="1003" t="s">
        <v>436</v>
      </c>
      <c r="F44" s="1004">
        <v>300</v>
      </c>
      <c r="G44" s="1004"/>
      <c r="H44" s="809">
        <f t="shared" si="29"/>
        <v>0</v>
      </c>
      <c r="I44" s="1004">
        <v>0</v>
      </c>
      <c r="J44" s="1004"/>
      <c r="K44" s="809" t="str">
        <f t="shared" si="30"/>
        <v>NA</v>
      </c>
      <c r="L44" s="1004">
        <v>0</v>
      </c>
      <c r="M44" s="1004"/>
      <c r="N44" s="809" t="str">
        <f t="shared" si="31"/>
        <v>NA</v>
      </c>
      <c r="O44" s="1004">
        <v>300</v>
      </c>
      <c r="P44" s="1004"/>
      <c r="Q44" s="809">
        <f t="shared" si="32"/>
        <v>0</v>
      </c>
      <c r="R44" s="993">
        <f t="shared" si="36"/>
        <v>600</v>
      </c>
      <c r="S44" s="993">
        <f t="shared" si="28"/>
        <v>0</v>
      </c>
      <c r="T44" s="812">
        <f t="shared" si="33"/>
        <v>0</v>
      </c>
      <c r="U44" s="1077">
        <f t="shared" si="34"/>
        <v>600</v>
      </c>
      <c r="V44" s="1077">
        <f t="shared" si="34"/>
        <v>0</v>
      </c>
      <c r="W44" s="812">
        <f t="shared" si="35"/>
        <v>0</v>
      </c>
      <c r="X44" s="814"/>
      <c r="Y44" s="651"/>
    </row>
    <row r="45" spans="1:25" s="631" customFormat="1" ht="14.5" x14ac:dyDescent="0.35">
      <c r="A45" s="1152"/>
      <c r="B45" s="1016" t="s">
        <v>437</v>
      </c>
      <c r="C45" s="992"/>
      <c r="D45" s="688">
        <v>0</v>
      </c>
      <c r="E45" s="657" t="s">
        <v>601</v>
      </c>
      <c r="F45" s="638">
        <v>120</v>
      </c>
      <c r="G45" s="638"/>
      <c r="H45" s="809">
        <f t="shared" si="29"/>
        <v>0</v>
      </c>
      <c r="I45" s="638">
        <v>0</v>
      </c>
      <c r="J45" s="638"/>
      <c r="K45" s="809" t="str">
        <f t="shared" si="30"/>
        <v>NA</v>
      </c>
      <c r="L45" s="638">
        <v>0</v>
      </c>
      <c r="M45" s="638"/>
      <c r="N45" s="809" t="str">
        <f t="shared" si="31"/>
        <v>NA</v>
      </c>
      <c r="O45" s="638">
        <v>120</v>
      </c>
      <c r="P45" s="638"/>
      <c r="Q45" s="809">
        <f t="shared" si="32"/>
        <v>0</v>
      </c>
      <c r="R45" s="993">
        <f t="shared" si="36"/>
        <v>240</v>
      </c>
      <c r="S45" s="993">
        <f t="shared" si="28"/>
        <v>0</v>
      </c>
      <c r="T45" s="812">
        <f t="shared" si="33"/>
        <v>0</v>
      </c>
      <c r="U45" s="1077">
        <f t="shared" si="34"/>
        <v>240</v>
      </c>
      <c r="V45" s="1077">
        <f t="shared" si="34"/>
        <v>0</v>
      </c>
      <c r="W45" s="812">
        <f t="shared" si="35"/>
        <v>0</v>
      </c>
      <c r="X45" s="814"/>
      <c r="Y45" s="651"/>
    </row>
    <row r="46" spans="1:25" s="631" customFormat="1" ht="14.5" x14ac:dyDescent="0.35">
      <c r="A46" s="1035"/>
      <c r="B46" s="991" t="s">
        <v>385</v>
      </c>
      <c r="C46" s="1038"/>
      <c r="D46" s="806">
        <v>0</v>
      </c>
      <c r="E46" s="807" t="s">
        <v>435</v>
      </c>
      <c r="F46" s="808">
        <v>180</v>
      </c>
      <c r="G46" s="808"/>
      <c r="H46" s="809">
        <f t="shared" si="29"/>
        <v>0</v>
      </c>
      <c r="I46" s="808">
        <v>0</v>
      </c>
      <c r="J46" s="808"/>
      <c r="K46" s="809" t="str">
        <f t="shared" si="30"/>
        <v>NA</v>
      </c>
      <c r="L46" s="808">
        <v>0</v>
      </c>
      <c r="M46" s="808"/>
      <c r="N46" s="809" t="str">
        <f t="shared" si="31"/>
        <v>NA</v>
      </c>
      <c r="O46" s="808">
        <v>180</v>
      </c>
      <c r="P46" s="808"/>
      <c r="Q46" s="809">
        <f t="shared" si="32"/>
        <v>0</v>
      </c>
      <c r="R46" s="993">
        <f t="shared" si="36"/>
        <v>360</v>
      </c>
      <c r="S46" s="993">
        <f t="shared" si="28"/>
        <v>0</v>
      </c>
      <c r="T46" s="812">
        <f t="shared" si="33"/>
        <v>0</v>
      </c>
      <c r="U46" s="1077">
        <f t="shared" si="34"/>
        <v>360</v>
      </c>
      <c r="V46" s="1077">
        <f t="shared" si="34"/>
        <v>0</v>
      </c>
      <c r="W46" s="812">
        <f t="shared" si="35"/>
        <v>0</v>
      </c>
      <c r="X46" s="814"/>
      <c r="Y46" s="651"/>
    </row>
    <row r="47" spans="1:25" s="631" customFormat="1" ht="15" customHeight="1" x14ac:dyDescent="0.25">
      <c r="A47" s="1339" t="str">
        <f>'Baseline Table'!A24:H24</f>
        <v>Output 1.5: Targeted refugees and host community members engage in eco-system activities that enhance agriculture productivity.</v>
      </c>
      <c r="B47" s="1339"/>
      <c r="C47" s="1339"/>
      <c r="D47" s="1339"/>
      <c r="E47" s="1339"/>
      <c r="F47" s="1339"/>
      <c r="G47" s="1339"/>
      <c r="H47" s="1339"/>
      <c r="I47" s="1339"/>
      <c r="J47" s="1339"/>
      <c r="K47" s="1339"/>
      <c r="L47" s="1339"/>
      <c r="M47" s="1339"/>
      <c r="N47" s="1339"/>
      <c r="O47" s="1339"/>
      <c r="P47" s="1339"/>
      <c r="Q47" s="1339"/>
      <c r="R47" s="1339"/>
      <c r="S47" s="1339"/>
      <c r="T47" s="1339"/>
      <c r="U47" s="1339"/>
      <c r="V47" s="1339"/>
      <c r="W47" s="1339"/>
      <c r="X47" s="1339"/>
      <c r="Y47" s="1339"/>
    </row>
    <row r="48" spans="1:25" s="820" customFormat="1" ht="27" customHeight="1" x14ac:dyDescent="0.35">
      <c r="A48" s="1389" t="str">
        <f>'Baseline Table'!A25</f>
        <v>Indicator 1.5.a: 1000 refugee and host community members who established woodlots.</v>
      </c>
      <c r="B48" s="1390"/>
      <c r="C48" s="1068" t="str">
        <f>C41</f>
        <v>19-24th Feb 2018</v>
      </c>
      <c r="D48" s="821">
        <v>0</v>
      </c>
      <c r="E48" s="822" t="s">
        <v>436</v>
      </c>
      <c r="F48" s="816">
        <v>0</v>
      </c>
      <c r="G48" s="816"/>
      <c r="H48" s="815" t="str">
        <f t="shared" ref="H48:H53" si="37">IF(F48=0,"NA",G48/F48)</f>
        <v>NA</v>
      </c>
      <c r="I48" s="816">
        <v>0</v>
      </c>
      <c r="J48" s="1039"/>
      <c r="K48" s="815" t="str">
        <f t="shared" ref="K48:K53" si="38">IF(I48=0,"NA",J48/I48)</f>
        <v>NA</v>
      </c>
      <c r="L48" s="816">
        <v>1000</v>
      </c>
      <c r="M48" s="816"/>
      <c r="N48" s="815">
        <f t="shared" ref="N48:N53" si="39">IF(L48=0,"NA",M48/L48)</f>
        <v>0</v>
      </c>
      <c r="O48" s="816">
        <v>0</v>
      </c>
      <c r="P48" s="816"/>
      <c r="Q48" s="815" t="str">
        <f t="shared" ref="Q48:Q53" si="40">IF(O48=0,"NA",P48/O48)</f>
        <v>NA</v>
      </c>
      <c r="R48" s="1075">
        <f t="shared" si="36"/>
        <v>1000</v>
      </c>
      <c r="S48" s="1075">
        <f t="shared" si="28"/>
        <v>0</v>
      </c>
      <c r="T48" s="817">
        <f t="shared" ref="T48:T53" si="41">IF(R48=0,"NA",S48/R48)</f>
        <v>0</v>
      </c>
      <c r="U48" s="1076">
        <f t="shared" ref="U48:V53" si="42">R48</f>
        <v>1000</v>
      </c>
      <c r="V48" s="1076">
        <f t="shared" si="42"/>
        <v>0</v>
      </c>
      <c r="W48" s="817">
        <f t="shared" ref="W48:W53" si="43">IF(U48=0,"NA",V48/U48)</f>
        <v>0</v>
      </c>
      <c r="X48" s="818"/>
      <c r="Y48" s="819"/>
    </row>
    <row r="49" spans="1:25" s="641" customFormat="1" ht="14.5" x14ac:dyDescent="0.35">
      <c r="A49" s="828"/>
      <c r="B49" s="1016" t="s">
        <v>437</v>
      </c>
      <c r="C49" s="656"/>
      <c r="D49" s="688">
        <v>0</v>
      </c>
      <c r="E49" s="657" t="s">
        <v>436</v>
      </c>
      <c r="F49" s="638">
        <v>0</v>
      </c>
      <c r="G49" s="638"/>
      <c r="H49" s="824" t="str">
        <f t="shared" si="37"/>
        <v>NA</v>
      </c>
      <c r="I49" s="638">
        <v>0</v>
      </c>
      <c r="J49" s="796"/>
      <c r="K49" s="824" t="str">
        <f t="shared" si="38"/>
        <v>NA</v>
      </c>
      <c r="L49" s="638">
        <v>400</v>
      </c>
      <c r="M49" s="638"/>
      <c r="N49" s="824">
        <f t="shared" si="39"/>
        <v>0</v>
      </c>
      <c r="O49" s="638">
        <v>0</v>
      </c>
      <c r="P49" s="638"/>
      <c r="Q49" s="824" t="str">
        <f t="shared" si="40"/>
        <v>NA</v>
      </c>
      <c r="R49" s="993">
        <f t="shared" si="36"/>
        <v>400</v>
      </c>
      <c r="S49" s="993">
        <f t="shared" si="28"/>
        <v>0</v>
      </c>
      <c r="T49" s="825">
        <f t="shared" si="41"/>
        <v>0</v>
      </c>
      <c r="U49" s="1077">
        <f t="shared" si="42"/>
        <v>400</v>
      </c>
      <c r="V49" s="1077">
        <f t="shared" si="42"/>
        <v>0</v>
      </c>
      <c r="W49" s="825">
        <f t="shared" si="43"/>
        <v>0</v>
      </c>
      <c r="X49" s="826"/>
      <c r="Y49" s="827"/>
    </row>
    <row r="50" spans="1:25" s="631" customFormat="1" ht="14.5" x14ac:dyDescent="0.35">
      <c r="A50" s="990"/>
      <c r="B50" s="991" t="s">
        <v>385</v>
      </c>
      <c r="C50" s="1038"/>
      <c r="D50" s="806">
        <v>0</v>
      </c>
      <c r="E50" s="807" t="s">
        <v>436</v>
      </c>
      <c r="F50" s="808">
        <v>0</v>
      </c>
      <c r="G50" s="808"/>
      <c r="H50" s="809" t="str">
        <f t="shared" si="37"/>
        <v>NA</v>
      </c>
      <c r="I50" s="808">
        <v>0</v>
      </c>
      <c r="J50" s="810"/>
      <c r="K50" s="809" t="str">
        <f t="shared" si="38"/>
        <v>NA</v>
      </c>
      <c r="L50" s="808">
        <v>6000</v>
      </c>
      <c r="M50" s="808"/>
      <c r="N50" s="809">
        <f t="shared" si="39"/>
        <v>0</v>
      </c>
      <c r="O50" s="808">
        <v>0</v>
      </c>
      <c r="P50" s="808"/>
      <c r="Q50" s="809" t="str">
        <f t="shared" si="40"/>
        <v>NA</v>
      </c>
      <c r="R50" s="993">
        <f t="shared" si="36"/>
        <v>6000</v>
      </c>
      <c r="S50" s="993">
        <f t="shared" si="28"/>
        <v>0</v>
      </c>
      <c r="T50" s="812">
        <f t="shared" si="41"/>
        <v>0</v>
      </c>
      <c r="U50" s="1077">
        <f t="shared" si="42"/>
        <v>6000</v>
      </c>
      <c r="V50" s="1077">
        <f t="shared" si="42"/>
        <v>0</v>
      </c>
      <c r="W50" s="812">
        <f t="shared" si="43"/>
        <v>0</v>
      </c>
      <c r="X50" s="814"/>
      <c r="Y50" s="651"/>
    </row>
    <row r="51" spans="1:25" s="631" customFormat="1" ht="26" x14ac:dyDescent="0.35">
      <c r="A51" s="1015" t="str">
        <f>'Baseline Table'!A26</f>
        <v xml:space="preserve">Indicator 1.5.b: 1000 of refugee and host community members who adopt use of organic manure and pesticides. </v>
      </c>
      <c r="B51" s="1002"/>
      <c r="C51" s="1067" t="str">
        <f>C48</f>
        <v>19-24th Feb 2018</v>
      </c>
      <c r="D51" s="1034">
        <v>0</v>
      </c>
      <c r="E51" s="1003" t="s">
        <v>436</v>
      </c>
      <c r="F51" s="1004">
        <v>200</v>
      </c>
      <c r="G51" s="1004"/>
      <c r="H51" s="809">
        <f t="shared" si="37"/>
        <v>0</v>
      </c>
      <c r="I51" s="1004">
        <v>200</v>
      </c>
      <c r="J51" s="1040"/>
      <c r="K51" s="809">
        <f t="shared" si="38"/>
        <v>0</v>
      </c>
      <c r="L51" s="1004">
        <v>300</v>
      </c>
      <c r="M51" s="1004"/>
      <c r="N51" s="809">
        <f t="shared" si="39"/>
        <v>0</v>
      </c>
      <c r="O51" s="1004">
        <v>300</v>
      </c>
      <c r="P51" s="1004"/>
      <c r="Q51" s="809">
        <f t="shared" si="40"/>
        <v>0</v>
      </c>
      <c r="R51" s="993">
        <f t="shared" si="36"/>
        <v>1000</v>
      </c>
      <c r="S51" s="993">
        <f t="shared" si="28"/>
        <v>0</v>
      </c>
      <c r="T51" s="812">
        <f t="shared" si="41"/>
        <v>0</v>
      </c>
      <c r="U51" s="1077">
        <f t="shared" si="42"/>
        <v>1000</v>
      </c>
      <c r="V51" s="1077">
        <f t="shared" si="42"/>
        <v>0</v>
      </c>
      <c r="W51" s="812">
        <f t="shared" si="43"/>
        <v>0</v>
      </c>
      <c r="X51" s="814"/>
      <c r="Y51" s="651"/>
    </row>
    <row r="52" spans="1:25" s="631" customFormat="1" ht="14.5" x14ac:dyDescent="0.35">
      <c r="A52" s="1005"/>
      <c r="B52" s="1016" t="s">
        <v>437</v>
      </c>
      <c r="C52" s="992"/>
      <c r="D52" s="688">
        <v>0</v>
      </c>
      <c r="E52" s="657" t="s">
        <v>436</v>
      </c>
      <c r="F52" s="638">
        <v>80</v>
      </c>
      <c r="G52" s="638"/>
      <c r="H52" s="809">
        <f t="shared" si="37"/>
        <v>0</v>
      </c>
      <c r="I52" s="638">
        <v>80</v>
      </c>
      <c r="J52" s="796"/>
      <c r="K52" s="809">
        <f t="shared" si="38"/>
        <v>0</v>
      </c>
      <c r="L52" s="638">
        <v>120</v>
      </c>
      <c r="M52" s="638"/>
      <c r="N52" s="809">
        <f t="shared" si="39"/>
        <v>0</v>
      </c>
      <c r="O52" s="638">
        <v>120</v>
      </c>
      <c r="P52" s="638"/>
      <c r="Q52" s="809">
        <f t="shared" si="40"/>
        <v>0</v>
      </c>
      <c r="R52" s="993">
        <f t="shared" si="36"/>
        <v>400</v>
      </c>
      <c r="S52" s="993">
        <f t="shared" si="28"/>
        <v>0</v>
      </c>
      <c r="T52" s="812">
        <f t="shared" si="41"/>
        <v>0</v>
      </c>
      <c r="U52" s="1077">
        <f t="shared" si="42"/>
        <v>400</v>
      </c>
      <c r="V52" s="1077">
        <f t="shared" si="42"/>
        <v>0</v>
      </c>
      <c r="W52" s="812">
        <f t="shared" si="43"/>
        <v>0</v>
      </c>
      <c r="X52" s="814"/>
      <c r="Y52" s="651"/>
    </row>
    <row r="53" spans="1:25" s="631" customFormat="1" ht="14.5" x14ac:dyDescent="0.35">
      <c r="A53" s="990"/>
      <c r="B53" s="991" t="s">
        <v>385</v>
      </c>
      <c r="C53" s="1038"/>
      <c r="D53" s="806">
        <v>0</v>
      </c>
      <c r="E53" s="807" t="s">
        <v>436</v>
      </c>
      <c r="F53" s="808">
        <v>120</v>
      </c>
      <c r="G53" s="808"/>
      <c r="H53" s="809">
        <f t="shared" si="37"/>
        <v>0</v>
      </c>
      <c r="I53" s="808">
        <v>120</v>
      </c>
      <c r="J53" s="810"/>
      <c r="K53" s="809">
        <f t="shared" si="38"/>
        <v>0</v>
      </c>
      <c r="L53" s="808">
        <v>180</v>
      </c>
      <c r="M53" s="808"/>
      <c r="N53" s="809">
        <f t="shared" si="39"/>
        <v>0</v>
      </c>
      <c r="O53" s="808">
        <v>180</v>
      </c>
      <c r="P53" s="808"/>
      <c r="Q53" s="809">
        <f t="shared" si="40"/>
        <v>0</v>
      </c>
      <c r="R53" s="993">
        <f t="shared" si="36"/>
        <v>600</v>
      </c>
      <c r="S53" s="993">
        <f t="shared" si="28"/>
        <v>0</v>
      </c>
      <c r="T53" s="812">
        <f t="shared" si="41"/>
        <v>0</v>
      </c>
      <c r="U53" s="1077">
        <f t="shared" si="42"/>
        <v>600</v>
      </c>
      <c r="V53" s="1077">
        <f t="shared" si="42"/>
        <v>0</v>
      </c>
      <c r="W53" s="812">
        <f t="shared" si="43"/>
        <v>0</v>
      </c>
      <c r="X53" s="814"/>
      <c r="Y53" s="651"/>
    </row>
    <row r="54" spans="1:25" s="631" customFormat="1" ht="15" thickBot="1" x14ac:dyDescent="0.4">
      <c r="A54" s="1370"/>
      <c r="B54" s="1371"/>
      <c r="C54" s="1371"/>
      <c r="D54" s="1371"/>
      <c r="E54" s="1371"/>
      <c r="F54" s="1371"/>
      <c r="G54" s="1371"/>
      <c r="H54" s="1371"/>
      <c r="I54" s="1371"/>
      <c r="J54" s="1371"/>
      <c r="K54" s="1371"/>
      <c r="L54" s="1371"/>
      <c r="M54" s="1371"/>
      <c r="N54" s="1371"/>
      <c r="O54" s="1371"/>
      <c r="P54" s="1371"/>
      <c r="Q54" s="1371"/>
      <c r="R54" s="574"/>
      <c r="S54" s="574"/>
      <c r="T54" s="574"/>
      <c r="U54" s="598"/>
      <c r="V54" s="598"/>
      <c r="W54" s="579"/>
      <c r="X54" s="689"/>
      <c r="Y54" s="690"/>
    </row>
    <row r="55" spans="1:25" s="631" customFormat="1" ht="13.5" thickBot="1" x14ac:dyDescent="0.3">
      <c r="A55" s="693" t="str">
        <f>'M&amp;E Matrix'!A28</f>
        <v>OUTCOME 2: Increased community action towards reduction of SGBV risks, promotion of  protection, safety, dignity and fundamental human rights of vulnerable refugees and host communities.</v>
      </c>
      <c r="B55" s="694"/>
      <c r="C55" s="695"/>
      <c r="D55" s="695"/>
      <c r="E55" s="695"/>
      <c r="F55" s="695"/>
      <c r="G55" s="695"/>
      <c r="H55" s="695"/>
      <c r="I55" s="695"/>
      <c r="J55" s="695"/>
      <c r="K55" s="695"/>
      <c r="L55" s="695"/>
      <c r="M55" s="695"/>
      <c r="N55" s="695"/>
      <c r="O55" s="695"/>
      <c r="P55" s="695"/>
      <c r="Q55" s="695"/>
      <c r="R55" s="695"/>
      <c r="S55" s="695"/>
      <c r="T55" s="695"/>
      <c r="U55" s="695"/>
      <c r="V55" s="695"/>
      <c r="W55" s="696"/>
      <c r="X55" s="696"/>
      <c r="Y55" s="696"/>
    </row>
    <row r="56" spans="1:25" s="631" customFormat="1" ht="39.5" thickBot="1" x14ac:dyDescent="0.4">
      <c r="A56" s="1006" t="str">
        <f>'M&amp;E Matrix'!A29</f>
        <v xml:space="preserve">Indicator 2.A: 1000  refugees and host community members  taking positive actions towards reduction of protection and SGBV risks as well as promotion  of fundamental human rights of vulnerable refugees and host communities. </v>
      </c>
      <c r="B56" s="618"/>
      <c r="C56" s="844" t="str">
        <f>C51</f>
        <v>19-24th Feb 2018</v>
      </c>
      <c r="D56" s="619">
        <f>'Baseline Table'!E29</f>
        <v>150</v>
      </c>
      <c r="E56" s="620" t="s">
        <v>436</v>
      </c>
      <c r="F56" s="621">
        <v>100</v>
      </c>
      <c r="G56" s="622"/>
      <c r="H56" s="674">
        <f>IF(F56=0,"NA",G56/F56)</f>
        <v>0</v>
      </c>
      <c r="I56" s="621">
        <v>200</v>
      </c>
      <c r="J56" s="622"/>
      <c r="K56" s="674">
        <f>IF(I56=0,"NA",J56/I56)</f>
        <v>0</v>
      </c>
      <c r="L56" s="621">
        <v>300</v>
      </c>
      <c r="M56" s="622"/>
      <c r="N56" s="674">
        <f>IF(L56=0,"NA",M56/L56)</f>
        <v>0</v>
      </c>
      <c r="O56" s="621">
        <v>400</v>
      </c>
      <c r="P56" s="622"/>
      <c r="Q56" s="676">
        <f>IF(O56=0,"NA",P56/O56)</f>
        <v>0</v>
      </c>
      <c r="R56" s="625">
        <f t="shared" ref="R56:S58" si="44">F56+I56+L56+O56</f>
        <v>1000</v>
      </c>
      <c r="S56" s="626">
        <f t="shared" si="44"/>
        <v>0</v>
      </c>
      <c r="T56" s="677">
        <f>IF(R56=0,"NA",S56/R56)</f>
        <v>0</v>
      </c>
      <c r="U56" s="628">
        <f t="shared" ref="U56:V58" si="45">R56</f>
        <v>1000</v>
      </c>
      <c r="V56" s="628">
        <f t="shared" si="45"/>
        <v>0</v>
      </c>
      <c r="W56" s="629">
        <f>IF(U56=0,"NA",V56/U56)</f>
        <v>0</v>
      </c>
      <c r="X56" s="689"/>
      <c r="Y56" s="678"/>
    </row>
    <row r="57" spans="1:25" s="641" customFormat="1" ht="15" thickBot="1" x14ac:dyDescent="0.4">
      <c r="A57" s="655"/>
      <c r="B57" s="1016" t="s">
        <v>437</v>
      </c>
      <c r="C57" s="656"/>
      <c r="D57" s="657">
        <v>60</v>
      </c>
      <c r="E57" s="658" t="s">
        <v>436</v>
      </c>
      <c r="F57" s="637">
        <v>40</v>
      </c>
      <c r="G57" s="638"/>
      <c r="H57" s="679">
        <f>IF(F57=0,"NA",G57/F57)</f>
        <v>0</v>
      </c>
      <c r="I57" s="637">
        <v>80</v>
      </c>
      <c r="J57" s="638"/>
      <c r="K57" s="679">
        <f>IF(I57=0,"NA",J57/I57)</f>
        <v>0</v>
      </c>
      <c r="L57" s="637">
        <v>120</v>
      </c>
      <c r="M57" s="638"/>
      <c r="N57" s="679">
        <f>IF(L57=0,"NA",M57/L57)</f>
        <v>0</v>
      </c>
      <c r="O57" s="637">
        <v>160</v>
      </c>
      <c r="P57" s="638"/>
      <c r="Q57" s="679">
        <f>IF(O57=0,"NA",P57/O57)</f>
        <v>0</v>
      </c>
      <c r="R57" s="993">
        <f t="shared" si="44"/>
        <v>400</v>
      </c>
      <c r="S57" s="626">
        <f t="shared" si="44"/>
        <v>0</v>
      </c>
      <c r="T57" s="681">
        <f>IF(R57=0,"NA",S57/R57)</f>
        <v>0</v>
      </c>
      <c r="U57" s="1078">
        <f t="shared" si="45"/>
        <v>400</v>
      </c>
      <c r="V57" s="628">
        <f t="shared" si="45"/>
        <v>0</v>
      </c>
      <c r="W57" s="639">
        <f>IF(U57=0,"NA",V57/U57)</f>
        <v>0</v>
      </c>
      <c r="X57" s="697"/>
      <c r="Y57" s="698"/>
    </row>
    <row r="58" spans="1:25" s="652" customFormat="1" ht="15" thickBot="1" x14ac:dyDescent="0.4">
      <c r="A58" s="659"/>
      <c r="B58" s="991" t="s">
        <v>385</v>
      </c>
      <c r="C58" s="843"/>
      <c r="D58" s="660">
        <v>90</v>
      </c>
      <c r="E58" s="661" t="s">
        <v>436</v>
      </c>
      <c r="F58" s="662">
        <v>60</v>
      </c>
      <c r="G58" s="648"/>
      <c r="H58" s="683">
        <f>IF(F58=0,"NA",G58/F58)</f>
        <v>0</v>
      </c>
      <c r="I58" s="662">
        <v>120</v>
      </c>
      <c r="J58" s="648"/>
      <c r="K58" s="683">
        <f>IF(I58=0,"NA",J58/I58)</f>
        <v>0</v>
      </c>
      <c r="L58" s="662">
        <v>180</v>
      </c>
      <c r="M58" s="648"/>
      <c r="N58" s="683">
        <f>IF(L58=0,"NA",M58/L58)</f>
        <v>0</v>
      </c>
      <c r="O58" s="662">
        <v>240</v>
      </c>
      <c r="P58" s="648"/>
      <c r="Q58" s="683">
        <f>IF(O58=0,"NA",P58/O58)</f>
        <v>0</v>
      </c>
      <c r="R58" s="1074">
        <f t="shared" si="44"/>
        <v>600</v>
      </c>
      <c r="S58" s="626">
        <f t="shared" si="44"/>
        <v>0</v>
      </c>
      <c r="T58" s="684">
        <f>IF(R58=0,"NA",S58/R58)</f>
        <v>0</v>
      </c>
      <c r="U58" s="1079">
        <f t="shared" si="45"/>
        <v>600</v>
      </c>
      <c r="V58" s="628">
        <f t="shared" si="45"/>
        <v>0</v>
      </c>
      <c r="W58" s="650">
        <f>IF(U58=0,"NA",V58/U58)</f>
        <v>0</v>
      </c>
      <c r="X58" s="699"/>
      <c r="Y58" s="700"/>
    </row>
    <row r="59" spans="1:25" s="631" customFormat="1" ht="13.5" thickBot="1" x14ac:dyDescent="0.3">
      <c r="A59" s="665" t="str">
        <f>'M&amp;E Matrix'!A30</f>
        <v>OUTPUT 2.1: Protection of all refugees are strengthened through meaningful engagement with communities, with particular attention to at-risk group</v>
      </c>
      <c r="B59" s="666"/>
      <c r="C59" s="667"/>
      <c r="D59" s="669"/>
      <c r="E59" s="669"/>
      <c r="F59" s="667"/>
      <c r="G59" s="667"/>
      <c r="H59" s="670"/>
      <c r="I59" s="667"/>
      <c r="J59" s="667"/>
      <c r="K59" s="670"/>
      <c r="L59" s="667"/>
      <c r="M59" s="667"/>
      <c r="N59" s="670"/>
      <c r="O59" s="667"/>
      <c r="P59" s="667"/>
      <c r="Q59" s="670"/>
      <c r="R59" s="667"/>
      <c r="S59" s="667"/>
      <c r="T59" s="670"/>
      <c r="U59" s="628"/>
      <c r="V59" s="672"/>
      <c r="W59" s="673"/>
      <c r="X59" s="673"/>
      <c r="Y59" s="673"/>
    </row>
    <row r="60" spans="1:25" s="854" customFormat="1" ht="26.5" thickBot="1" x14ac:dyDescent="0.4">
      <c r="A60" s="1006" t="str">
        <f>'M&amp;E Matrix'!A31</f>
        <v>Indicator 2.1.a. 820 of women in leadership structures and community groups for community self-management and empowerment</v>
      </c>
      <c r="B60" s="618"/>
      <c r="C60" s="844" t="str">
        <f>C56</f>
        <v>19-24th Feb 2018</v>
      </c>
      <c r="D60" s="619">
        <v>0</v>
      </c>
      <c r="E60" s="620" t="s">
        <v>435</v>
      </c>
      <c r="F60" s="621">
        <v>200</v>
      </c>
      <c r="G60" s="622"/>
      <c r="H60" s="846">
        <f t="shared" ref="H60:H65" si="46">IF(F60=0,"NA",G60/F60)</f>
        <v>0</v>
      </c>
      <c r="I60" s="621">
        <v>200</v>
      </c>
      <c r="J60" s="622"/>
      <c r="K60" s="846">
        <f t="shared" ref="K60:K68" si="47">IF(I60=0,"NA",J60/I60)</f>
        <v>0</v>
      </c>
      <c r="L60" s="621">
        <v>200</v>
      </c>
      <c r="M60" s="622"/>
      <c r="N60" s="846">
        <f t="shared" ref="N60:N68" si="48">IF(L60=0,"NA",M60/L60)</f>
        <v>0</v>
      </c>
      <c r="O60" s="845">
        <v>220</v>
      </c>
      <c r="P60" s="845"/>
      <c r="Q60" s="847">
        <f t="shared" ref="Q60:Q68" si="49">IF(O60=0,"NA",P60/O60)</f>
        <v>0</v>
      </c>
      <c r="R60" s="848">
        <f>F60+I60+L60+O60</f>
        <v>820</v>
      </c>
      <c r="S60" s="849">
        <f>G60+J60+M60+P60</f>
        <v>0</v>
      </c>
      <c r="T60" s="850">
        <f t="shared" ref="T60:T68" si="50">IF(R60=0,"NA",S60/R60)</f>
        <v>0</v>
      </c>
      <c r="U60" s="851">
        <f>R60</f>
        <v>820</v>
      </c>
      <c r="V60" s="851">
        <f>S60</f>
        <v>0</v>
      </c>
      <c r="W60" s="852">
        <f t="shared" ref="W60:W68" si="51">IF(U60=0,"NA",V60/U60)</f>
        <v>0</v>
      </c>
      <c r="X60" s="853"/>
      <c r="Y60" s="678"/>
    </row>
    <row r="61" spans="1:25" ht="15" thickBot="1" x14ac:dyDescent="0.4">
      <c r="A61" s="655"/>
      <c r="B61" s="1016" t="s">
        <v>384</v>
      </c>
      <c r="C61" s="1011"/>
      <c r="D61" s="657">
        <v>0</v>
      </c>
      <c r="E61" s="658" t="s">
        <v>543</v>
      </c>
      <c r="F61" s="637"/>
      <c r="G61" s="638"/>
      <c r="H61" s="679" t="str">
        <f t="shared" si="46"/>
        <v>NA</v>
      </c>
      <c r="I61" s="637"/>
      <c r="J61" s="638"/>
      <c r="K61" s="679" t="str">
        <f t="shared" si="47"/>
        <v>NA</v>
      </c>
      <c r="L61" s="637"/>
      <c r="M61" s="638"/>
      <c r="N61" s="679" t="str">
        <f t="shared" si="48"/>
        <v>NA</v>
      </c>
      <c r="O61" s="637"/>
      <c r="P61" s="637"/>
      <c r="Q61" s="679" t="str">
        <f t="shared" si="49"/>
        <v>NA</v>
      </c>
      <c r="R61" s="993">
        <f t="shared" ref="R61:R68" si="52">F61+I61+L61+O61</f>
        <v>0</v>
      </c>
      <c r="S61" s="626">
        <f t="shared" ref="S61:S68" si="53">G61+J61+M61+P61</f>
        <v>0</v>
      </c>
      <c r="T61" s="681" t="str">
        <f t="shared" si="50"/>
        <v>NA</v>
      </c>
      <c r="U61" s="851">
        <f t="shared" ref="U61:U68" si="54">R61</f>
        <v>0</v>
      </c>
      <c r="V61" s="851">
        <f t="shared" ref="V61:V68" si="55">S61</f>
        <v>0</v>
      </c>
      <c r="W61" s="639" t="str">
        <f t="shared" si="51"/>
        <v>NA</v>
      </c>
      <c r="X61" s="697"/>
      <c r="Y61" s="698"/>
    </row>
    <row r="62" spans="1:25" ht="15" thickBot="1" x14ac:dyDescent="0.4">
      <c r="A62" s="642"/>
      <c r="B62" s="1046" t="s">
        <v>385</v>
      </c>
      <c r="C62" s="1047"/>
      <c r="D62" s="643">
        <v>0</v>
      </c>
      <c r="E62" s="644" t="s">
        <v>435</v>
      </c>
      <c r="F62" s="645">
        <v>200</v>
      </c>
      <c r="G62" s="646"/>
      <c r="H62" s="801">
        <f t="shared" si="46"/>
        <v>0</v>
      </c>
      <c r="I62" s="645">
        <v>200</v>
      </c>
      <c r="J62" s="646"/>
      <c r="K62" s="801">
        <f t="shared" si="47"/>
        <v>0</v>
      </c>
      <c r="L62" s="645">
        <v>200</v>
      </c>
      <c r="M62" s="646"/>
      <c r="N62" s="801">
        <f t="shared" si="48"/>
        <v>0</v>
      </c>
      <c r="O62" s="645">
        <v>220</v>
      </c>
      <c r="P62" s="645"/>
      <c r="Q62" s="801">
        <f t="shared" si="49"/>
        <v>0</v>
      </c>
      <c r="R62" s="859">
        <f t="shared" si="52"/>
        <v>820</v>
      </c>
      <c r="S62" s="803">
        <f t="shared" si="53"/>
        <v>0</v>
      </c>
      <c r="T62" s="804">
        <f t="shared" si="50"/>
        <v>0</v>
      </c>
      <c r="U62" s="1048">
        <f t="shared" si="54"/>
        <v>820</v>
      </c>
      <c r="V62" s="1048">
        <f t="shared" si="55"/>
        <v>0</v>
      </c>
      <c r="W62" s="649">
        <f t="shared" si="51"/>
        <v>0</v>
      </c>
      <c r="X62" s="699"/>
      <c r="Y62" s="1049"/>
    </row>
    <row r="63" spans="1:25" ht="26.5" thickBot="1" x14ac:dyDescent="0.4">
      <c r="A63" s="1015" t="str">
        <f>'Baseline Table'!A32</f>
        <v>Indicator 2.1.b. 2000 of complaints addressed through effective feedback mechanisms</v>
      </c>
      <c r="B63" s="1002"/>
      <c r="C63" s="1067" t="str">
        <f>C60</f>
        <v>19-24th Feb 2018</v>
      </c>
      <c r="D63" s="1003">
        <v>0</v>
      </c>
      <c r="E63" s="1003" t="s">
        <v>544</v>
      </c>
      <c r="F63" s="1004">
        <v>500</v>
      </c>
      <c r="G63" s="1004"/>
      <c r="H63" s="801">
        <f t="shared" si="46"/>
        <v>0</v>
      </c>
      <c r="I63" s="1004">
        <v>500</v>
      </c>
      <c r="J63" s="1004"/>
      <c r="K63" s="801">
        <f t="shared" si="47"/>
        <v>0</v>
      </c>
      <c r="L63" s="1004">
        <v>500</v>
      </c>
      <c r="M63" s="1004"/>
      <c r="N63" s="801">
        <f t="shared" si="48"/>
        <v>0</v>
      </c>
      <c r="O63" s="1004">
        <v>500</v>
      </c>
      <c r="P63" s="1004"/>
      <c r="Q63" s="801">
        <f t="shared" si="49"/>
        <v>0</v>
      </c>
      <c r="R63" s="859">
        <f t="shared" si="52"/>
        <v>2000</v>
      </c>
      <c r="S63" s="803">
        <f t="shared" si="53"/>
        <v>0</v>
      </c>
      <c r="T63" s="804">
        <f t="shared" si="50"/>
        <v>0</v>
      </c>
      <c r="U63" s="1048">
        <f t="shared" si="54"/>
        <v>2000</v>
      </c>
      <c r="V63" s="1048">
        <f t="shared" si="55"/>
        <v>0</v>
      </c>
      <c r="W63" s="649">
        <f t="shared" si="51"/>
        <v>0</v>
      </c>
      <c r="X63" s="1050"/>
      <c r="Y63" s="651"/>
    </row>
    <row r="64" spans="1:25" ht="15" thickBot="1" x14ac:dyDescent="0.4">
      <c r="A64" s="990"/>
      <c r="B64" s="1016" t="s">
        <v>384</v>
      </c>
      <c r="C64" s="1038"/>
      <c r="D64" s="807" t="s">
        <v>543</v>
      </c>
      <c r="E64" s="807"/>
      <c r="F64" s="808"/>
      <c r="G64" s="808"/>
      <c r="H64" s="801" t="str">
        <f t="shared" si="46"/>
        <v>NA</v>
      </c>
      <c r="I64" s="808"/>
      <c r="J64" s="808"/>
      <c r="K64" s="801" t="str">
        <f t="shared" si="47"/>
        <v>NA</v>
      </c>
      <c r="L64" s="808"/>
      <c r="M64" s="808"/>
      <c r="N64" s="801" t="str">
        <f t="shared" si="48"/>
        <v>NA</v>
      </c>
      <c r="O64" s="808"/>
      <c r="P64" s="808"/>
      <c r="Q64" s="801" t="str">
        <f t="shared" si="49"/>
        <v>NA</v>
      </c>
      <c r="R64" s="859">
        <f t="shared" si="52"/>
        <v>0</v>
      </c>
      <c r="S64" s="803">
        <f t="shared" si="53"/>
        <v>0</v>
      </c>
      <c r="T64" s="804" t="str">
        <f t="shared" si="50"/>
        <v>NA</v>
      </c>
      <c r="U64" s="1048">
        <f t="shared" si="54"/>
        <v>0</v>
      </c>
      <c r="V64" s="1048">
        <f t="shared" si="55"/>
        <v>0</v>
      </c>
      <c r="W64" s="649" t="str">
        <f t="shared" si="51"/>
        <v>NA</v>
      </c>
      <c r="X64" s="1050"/>
      <c r="Y64" s="651"/>
    </row>
    <row r="65" spans="1:25" ht="15" thickBot="1" x14ac:dyDescent="0.4">
      <c r="A65" s="990"/>
      <c r="B65" s="1046" t="s">
        <v>385</v>
      </c>
      <c r="C65" s="1038"/>
      <c r="D65" s="807" t="s">
        <v>543</v>
      </c>
      <c r="E65" s="807"/>
      <c r="F65" s="808"/>
      <c r="G65" s="808"/>
      <c r="H65" s="801" t="str">
        <f t="shared" si="46"/>
        <v>NA</v>
      </c>
      <c r="I65" s="808"/>
      <c r="J65" s="808"/>
      <c r="K65" s="801" t="str">
        <f t="shared" si="47"/>
        <v>NA</v>
      </c>
      <c r="L65" s="808"/>
      <c r="M65" s="808"/>
      <c r="N65" s="801" t="str">
        <f t="shared" si="48"/>
        <v>NA</v>
      </c>
      <c r="O65" s="808"/>
      <c r="P65" s="808"/>
      <c r="Q65" s="801" t="str">
        <f t="shared" si="49"/>
        <v>NA</v>
      </c>
      <c r="R65" s="859">
        <f t="shared" si="52"/>
        <v>0</v>
      </c>
      <c r="S65" s="803">
        <f t="shared" si="53"/>
        <v>0</v>
      </c>
      <c r="T65" s="804" t="str">
        <f t="shared" si="50"/>
        <v>NA</v>
      </c>
      <c r="U65" s="1048">
        <f t="shared" si="54"/>
        <v>0</v>
      </c>
      <c r="V65" s="1048">
        <f t="shared" si="55"/>
        <v>0</v>
      </c>
      <c r="W65" s="649" t="str">
        <f t="shared" si="51"/>
        <v>NA</v>
      </c>
      <c r="X65" s="1050"/>
      <c r="Y65" s="651"/>
    </row>
    <row r="66" spans="1:25" ht="29.5" customHeight="1" thickBot="1" x14ac:dyDescent="0.4">
      <c r="A66" s="1015" t="str">
        <f>'Baseline Table'!A33</f>
        <v>Indicator 2.1.C. 10,000 of persons with specific needs provided with targeted support</v>
      </c>
      <c r="B66" s="1002"/>
      <c r="C66" s="1067" t="str">
        <f>C63</f>
        <v>19-24th Feb 2018</v>
      </c>
      <c r="D66" s="1003">
        <v>0</v>
      </c>
      <c r="E66" s="1003" t="s">
        <v>436</v>
      </c>
      <c r="F66" s="1004">
        <v>2500</v>
      </c>
      <c r="G66" s="1004"/>
      <c r="H66" s="801">
        <f>IF(F66=0,"NA",G66/F66)</f>
        <v>0</v>
      </c>
      <c r="I66" s="1004">
        <v>2500</v>
      </c>
      <c r="J66" s="1004"/>
      <c r="K66" s="801">
        <f t="shared" si="47"/>
        <v>0</v>
      </c>
      <c r="L66" s="1004">
        <v>2500</v>
      </c>
      <c r="M66" s="1004"/>
      <c r="N66" s="801">
        <f t="shared" si="48"/>
        <v>0</v>
      </c>
      <c r="O66" s="1004">
        <v>2500</v>
      </c>
      <c r="P66" s="1004"/>
      <c r="Q66" s="801">
        <f t="shared" si="49"/>
        <v>0</v>
      </c>
      <c r="R66" s="859">
        <f t="shared" si="52"/>
        <v>10000</v>
      </c>
      <c r="S66" s="803">
        <f t="shared" si="53"/>
        <v>0</v>
      </c>
      <c r="T66" s="804">
        <f t="shared" si="50"/>
        <v>0</v>
      </c>
      <c r="U66" s="1048">
        <f t="shared" si="54"/>
        <v>10000</v>
      </c>
      <c r="V66" s="1048">
        <f t="shared" si="55"/>
        <v>0</v>
      </c>
      <c r="W66" s="649">
        <f t="shared" si="51"/>
        <v>0</v>
      </c>
      <c r="X66" s="1050"/>
      <c r="Y66" s="651"/>
    </row>
    <row r="67" spans="1:25" ht="15" thickBot="1" x14ac:dyDescent="0.4">
      <c r="A67" s="990"/>
      <c r="B67" s="1016" t="s">
        <v>384</v>
      </c>
      <c r="C67" s="1038"/>
      <c r="D67" s="807">
        <v>0</v>
      </c>
      <c r="E67" s="807" t="s">
        <v>436</v>
      </c>
      <c r="F67" s="808">
        <v>0</v>
      </c>
      <c r="G67" s="808"/>
      <c r="H67" s="801" t="str">
        <f>IF(F67=0,"NA",G67/F67)</f>
        <v>NA</v>
      </c>
      <c r="I67" s="808">
        <v>0</v>
      </c>
      <c r="J67" s="808"/>
      <c r="K67" s="801" t="str">
        <f t="shared" si="47"/>
        <v>NA</v>
      </c>
      <c r="L67" s="808">
        <v>0</v>
      </c>
      <c r="M67" s="808"/>
      <c r="N67" s="801" t="str">
        <f t="shared" si="48"/>
        <v>NA</v>
      </c>
      <c r="O67" s="808">
        <v>0</v>
      </c>
      <c r="P67" s="808"/>
      <c r="Q67" s="801" t="str">
        <f t="shared" si="49"/>
        <v>NA</v>
      </c>
      <c r="R67" s="859">
        <f t="shared" si="52"/>
        <v>0</v>
      </c>
      <c r="S67" s="803">
        <f t="shared" si="53"/>
        <v>0</v>
      </c>
      <c r="T67" s="804" t="str">
        <f t="shared" si="50"/>
        <v>NA</v>
      </c>
      <c r="U67" s="1048">
        <f t="shared" si="54"/>
        <v>0</v>
      </c>
      <c r="V67" s="1048">
        <f t="shared" si="55"/>
        <v>0</v>
      </c>
      <c r="W67" s="649" t="str">
        <f t="shared" si="51"/>
        <v>NA</v>
      </c>
      <c r="X67" s="1050"/>
      <c r="Y67" s="651"/>
    </row>
    <row r="68" spans="1:25" ht="14.5" x14ac:dyDescent="0.35">
      <c r="A68" s="990"/>
      <c r="B68" s="1046" t="s">
        <v>385</v>
      </c>
      <c r="C68" s="1038"/>
      <c r="D68" s="807">
        <v>0</v>
      </c>
      <c r="E68" s="807" t="s">
        <v>436</v>
      </c>
      <c r="F68" s="808">
        <v>2500</v>
      </c>
      <c r="G68" s="808"/>
      <c r="H68" s="801">
        <f>IF(F68=0,"NA",G68/F68)</f>
        <v>0</v>
      </c>
      <c r="I68" s="808">
        <v>2500</v>
      </c>
      <c r="J68" s="808"/>
      <c r="K68" s="801">
        <f t="shared" si="47"/>
        <v>0</v>
      </c>
      <c r="L68" s="808">
        <v>2500</v>
      </c>
      <c r="M68" s="808"/>
      <c r="N68" s="801">
        <f t="shared" si="48"/>
        <v>0</v>
      </c>
      <c r="O68" s="808">
        <v>2500</v>
      </c>
      <c r="P68" s="808"/>
      <c r="Q68" s="801">
        <f t="shared" si="49"/>
        <v>0</v>
      </c>
      <c r="R68" s="859">
        <f t="shared" si="52"/>
        <v>10000</v>
      </c>
      <c r="S68" s="803">
        <f t="shared" si="53"/>
        <v>0</v>
      </c>
      <c r="T68" s="804">
        <f t="shared" si="50"/>
        <v>0</v>
      </c>
      <c r="U68" s="1048">
        <f t="shared" si="54"/>
        <v>10000</v>
      </c>
      <c r="V68" s="1048">
        <f t="shared" si="55"/>
        <v>0</v>
      </c>
      <c r="W68" s="649">
        <f t="shared" si="51"/>
        <v>0</v>
      </c>
      <c r="X68" s="1050"/>
      <c r="Y68" s="651"/>
    </row>
    <row r="69" spans="1:25" s="631" customFormat="1" ht="13.5" thickBot="1" x14ac:dyDescent="0.3">
      <c r="A69" s="1000" t="str">
        <f>'M&amp;E Matrix'!A34:J34</f>
        <v xml:space="preserve">OUTPUT 2.2: Social cohesion and Peaceful co-existence among refugees and host communities strengthened </v>
      </c>
      <c r="B69" s="1045"/>
      <c r="C69" s="701"/>
      <c r="D69" s="1029"/>
      <c r="E69" s="1029"/>
      <c r="F69" s="701"/>
      <c r="G69" s="701"/>
      <c r="H69" s="1030"/>
      <c r="I69" s="701"/>
      <c r="J69" s="701"/>
      <c r="K69" s="1030"/>
      <c r="L69" s="701"/>
      <c r="M69" s="701"/>
      <c r="N69" s="1030"/>
      <c r="O69" s="701"/>
      <c r="P69" s="701"/>
      <c r="Q69" s="1030"/>
      <c r="R69" s="701"/>
      <c r="S69" s="701"/>
      <c r="T69" s="1030"/>
      <c r="U69" s="635"/>
      <c r="V69" s="1031"/>
      <c r="W69" s="1032"/>
      <c r="X69" s="1032"/>
      <c r="Y69" s="1032"/>
    </row>
    <row r="70" spans="1:25" ht="26.5" thickBot="1" x14ac:dyDescent="0.4">
      <c r="A70" s="1006" t="str">
        <f>'M&amp;E Matrix'!A35</f>
        <v xml:space="preserve">Indicator 2.2.a. 40 incidents of conflict within refugee communities as well as between host communities and refugees documented and reported. </v>
      </c>
      <c r="B70" s="618"/>
      <c r="C70" s="844" t="str">
        <f>C66</f>
        <v>19-24th Feb 2018</v>
      </c>
      <c r="D70" s="619">
        <v>0</v>
      </c>
      <c r="E70" s="620" t="s">
        <v>517</v>
      </c>
      <c r="F70" s="621">
        <v>10</v>
      </c>
      <c r="G70" s="622"/>
      <c r="H70" s="674">
        <f>IF(F70=0,"NA",G70/F70)</f>
        <v>0</v>
      </c>
      <c r="I70" s="621">
        <v>10</v>
      </c>
      <c r="J70" s="622"/>
      <c r="K70" s="623">
        <f>IF(I70=0,"NA",J70/I70)</f>
        <v>0</v>
      </c>
      <c r="L70" s="675">
        <v>10</v>
      </c>
      <c r="M70" s="622"/>
      <c r="N70" s="674">
        <f>IF(L70=0,"NA",M70/L70)</f>
        <v>0</v>
      </c>
      <c r="O70" s="621">
        <v>10</v>
      </c>
      <c r="P70" s="622"/>
      <c r="Q70" s="676">
        <f>IF(O70=0,"NA",P70/O70)</f>
        <v>0</v>
      </c>
      <c r="R70" s="1071">
        <f>F70+I70+L70+O70</f>
        <v>40</v>
      </c>
      <c r="S70" s="1072">
        <f t="shared" ref="S70:S78" si="56">G70+J70+M70+P70</f>
        <v>0</v>
      </c>
      <c r="T70" s="677">
        <f>IF(R70=0,"NA",S70/R70)</f>
        <v>0</v>
      </c>
      <c r="U70" s="628">
        <f t="shared" ref="U70:V78" si="57">R70</f>
        <v>40</v>
      </c>
      <c r="V70" s="628">
        <f t="shared" si="57"/>
        <v>0</v>
      </c>
      <c r="W70" s="629">
        <f>IF(U70=0,"NA",V70/U70)</f>
        <v>0</v>
      </c>
      <c r="X70" s="689"/>
      <c r="Y70" s="678"/>
    </row>
    <row r="71" spans="1:25" ht="15" thickBot="1" x14ac:dyDescent="0.4">
      <c r="A71" s="655"/>
      <c r="B71" s="1016" t="s">
        <v>384</v>
      </c>
      <c r="C71" s="1011"/>
      <c r="D71" s="657" t="s">
        <v>543</v>
      </c>
      <c r="E71" s="658"/>
      <c r="F71" s="637">
        <v>0</v>
      </c>
      <c r="G71" s="638"/>
      <c r="H71" s="679" t="str">
        <f>IF(F71=0,"NA",G71/F71)</f>
        <v>NA</v>
      </c>
      <c r="I71" s="637">
        <v>0</v>
      </c>
      <c r="J71" s="638"/>
      <c r="K71" s="636" t="str">
        <f>IF(I71=0,"NA",J71/I71)</f>
        <v>NA</v>
      </c>
      <c r="L71" s="680">
        <v>0</v>
      </c>
      <c r="M71" s="638"/>
      <c r="N71" s="679" t="str">
        <f>IF(L71=0,"NA",M71/L71)</f>
        <v>NA</v>
      </c>
      <c r="O71" s="637">
        <v>0</v>
      </c>
      <c r="P71" s="638"/>
      <c r="Q71" s="679" t="str">
        <f>IF(O71=0,"NA",P71/O71)</f>
        <v>NA</v>
      </c>
      <c r="R71" s="993">
        <f t="shared" ref="R71:R78" si="58">F71+I71+L71+O71</f>
        <v>0</v>
      </c>
      <c r="S71" s="1072">
        <f t="shared" si="56"/>
        <v>0</v>
      </c>
      <c r="T71" s="681" t="str">
        <f>IF(R71=0,"NA",S71/R71)</f>
        <v>NA</v>
      </c>
      <c r="U71" s="628">
        <f t="shared" si="57"/>
        <v>0</v>
      </c>
      <c r="V71" s="628">
        <f t="shared" si="57"/>
        <v>0</v>
      </c>
      <c r="W71" s="639" t="str">
        <f>IF(U71=0,"NA",V71/U71)</f>
        <v>NA</v>
      </c>
      <c r="X71" s="697"/>
      <c r="Y71" s="640"/>
    </row>
    <row r="72" spans="1:25" ht="15" thickBot="1" x14ac:dyDescent="0.4">
      <c r="A72" s="642"/>
      <c r="B72" s="1046" t="s">
        <v>385</v>
      </c>
      <c r="C72" s="1047"/>
      <c r="D72" s="643" t="s">
        <v>543</v>
      </c>
      <c r="E72" s="644"/>
      <c r="F72" s="645">
        <v>0</v>
      </c>
      <c r="G72" s="646"/>
      <c r="H72" s="801" t="str">
        <f>IF(F72=0,"NA",G72/F72)</f>
        <v>NA</v>
      </c>
      <c r="I72" s="645">
        <v>0</v>
      </c>
      <c r="J72" s="646"/>
      <c r="K72" s="647" t="str">
        <f>IF(I72=0,"NA",J72/I72)</f>
        <v>NA</v>
      </c>
      <c r="L72" s="802">
        <v>0</v>
      </c>
      <c r="M72" s="646"/>
      <c r="N72" s="801" t="str">
        <f>IF(L72=0,"NA",M72/L72)</f>
        <v>NA</v>
      </c>
      <c r="O72" s="645">
        <v>0</v>
      </c>
      <c r="P72" s="646"/>
      <c r="Q72" s="801" t="str">
        <f>IF(O72=0,"NA",P72/O72)</f>
        <v>NA</v>
      </c>
      <c r="R72" s="859">
        <f t="shared" si="58"/>
        <v>0</v>
      </c>
      <c r="S72" s="1073">
        <f t="shared" si="56"/>
        <v>0</v>
      </c>
      <c r="T72" s="804" t="str">
        <f>IF(R72=0,"NA",S72/R72)</f>
        <v>NA</v>
      </c>
      <c r="U72" s="983">
        <f t="shared" si="57"/>
        <v>0</v>
      </c>
      <c r="V72" s="983">
        <f t="shared" si="57"/>
        <v>0</v>
      </c>
      <c r="W72" s="649" t="str">
        <f>IF(U72=0,"NA",V72/U72)</f>
        <v>NA</v>
      </c>
      <c r="X72" s="699"/>
      <c r="Y72" s="805"/>
    </row>
    <row r="73" spans="1:25" ht="26.5" thickBot="1" x14ac:dyDescent="0.4">
      <c r="A73" s="1015" t="str">
        <f>'Baseline Table'!A36</f>
        <v>Indicator 2.2.b. 24 dialogues conducted to resolve conflicts and promote peaceful co-existence.</v>
      </c>
      <c r="B73" s="1002"/>
      <c r="C73" s="1067" t="str">
        <f>C70</f>
        <v>19-24th Feb 2018</v>
      </c>
      <c r="D73" s="1003">
        <v>0</v>
      </c>
      <c r="E73" s="1003" t="s">
        <v>516</v>
      </c>
      <c r="F73" s="1004">
        <v>6</v>
      </c>
      <c r="G73" s="1004"/>
      <c r="H73" s="801">
        <f t="shared" ref="H73:H78" si="59">IF(F73=0,"NA",G73/F73)</f>
        <v>0</v>
      </c>
      <c r="I73" s="1004">
        <v>6</v>
      </c>
      <c r="J73" s="1004"/>
      <c r="K73" s="647">
        <f t="shared" ref="K73:K78" si="60">IF(I73=0,"NA",J73/I73)</f>
        <v>0</v>
      </c>
      <c r="L73" s="1004">
        <v>6</v>
      </c>
      <c r="M73" s="1004"/>
      <c r="N73" s="801">
        <f t="shared" ref="N73:N78" si="61">IF(L73=0,"NA",M73/L73)</f>
        <v>0</v>
      </c>
      <c r="O73" s="1004">
        <v>6</v>
      </c>
      <c r="P73" s="1004"/>
      <c r="Q73" s="801">
        <f t="shared" ref="Q73:Q78" si="62">IF(O73=0,"NA",P73/O73)</f>
        <v>0</v>
      </c>
      <c r="R73" s="859">
        <f t="shared" si="58"/>
        <v>24</v>
      </c>
      <c r="S73" s="1073">
        <f t="shared" si="56"/>
        <v>0</v>
      </c>
      <c r="T73" s="804">
        <f t="shared" ref="T73:T78" si="63">IF(R73=0,"NA",S73/R73)</f>
        <v>0</v>
      </c>
      <c r="U73" s="983">
        <f t="shared" si="57"/>
        <v>24</v>
      </c>
      <c r="V73" s="983">
        <f t="shared" si="57"/>
        <v>0</v>
      </c>
      <c r="W73" s="649">
        <f t="shared" ref="W73:W78" si="64">IF(U73=0,"NA",V73/U73)</f>
        <v>0</v>
      </c>
      <c r="X73" s="1050"/>
      <c r="Y73" s="651"/>
    </row>
    <row r="74" spans="1:25" ht="15" thickBot="1" x14ac:dyDescent="0.4">
      <c r="A74" s="1005"/>
      <c r="B74" s="1016" t="s">
        <v>384</v>
      </c>
      <c r="C74" s="992"/>
      <c r="D74" s="657" t="s">
        <v>543</v>
      </c>
      <c r="E74" s="657"/>
      <c r="F74" s="638">
        <v>0</v>
      </c>
      <c r="G74" s="638"/>
      <c r="H74" s="801" t="str">
        <f t="shared" si="59"/>
        <v>NA</v>
      </c>
      <c r="I74" s="638">
        <v>0</v>
      </c>
      <c r="J74" s="638"/>
      <c r="K74" s="647" t="str">
        <f t="shared" si="60"/>
        <v>NA</v>
      </c>
      <c r="L74" s="638">
        <v>0</v>
      </c>
      <c r="M74" s="638"/>
      <c r="N74" s="801" t="str">
        <f t="shared" si="61"/>
        <v>NA</v>
      </c>
      <c r="O74" s="638">
        <v>0</v>
      </c>
      <c r="P74" s="638"/>
      <c r="Q74" s="801" t="str">
        <f t="shared" si="62"/>
        <v>NA</v>
      </c>
      <c r="R74" s="859">
        <f t="shared" si="58"/>
        <v>0</v>
      </c>
      <c r="S74" s="1073">
        <f t="shared" si="56"/>
        <v>0</v>
      </c>
      <c r="T74" s="804" t="str">
        <f t="shared" si="63"/>
        <v>NA</v>
      </c>
      <c r="U74" s="983">
        <f t="shared" si="57"/>
        <v>0</v>
      </c>
      <c r="V74" s="983">
        <f t="shared" si="57"/>
        <v>0</v>
      </c>
      <c r="W74" s="649" t="str">
        <f t="shared" si="64"/>
        <v>NA</v>
      </c>
      <c r="X74" s="1050"/>
      <c r="Y74" s="651"/>
    </row>
    <row r="75" spans="1:25" ht="15" thickBot="1" x14ac:dyDescent="0.4">
      <c r="A75" s="990"/>
      <c r="B75" s="1046" t="s">
        <v>385</v>
      </c>
      <c r="C75" s="1038"/>
      <c r="D75" s="807" t="s">
        <v>543</v>
      </c>
      <c r="E75" s="807"/>
      <c r="F75" s="808">
        <v>0</v>
      </c>
      <c r="G75" s="808"/>
      <c r="H75" s="801" t="str">
        <f t="shared" si="59"/>
        <v>NA</v>
      </c>
      <c r="I75" s="808">
        <v>0</v>
      </c>
      <c r="J75" s="808"/>
      <c r="K75" s="647" t="str">
        <f t="shared" si="60"/>
        <v>NA</v>
      </c>
      <c r="L75" s="808">
        <v>0</v>
      </c>
      <c r="M75" s="808"/>
      <c r="N75" s="801" t="str">
        <f t="shared" si="61"/>
        <v>NA</v>
      </c>
      <c r="O75" s="808">
        <v>0</v>
      </c>
      <c r="P75" s="808"/>
      <c r="Q75" s="801" t="str">
        <f t="shared" si="62"/>
        <v>NA</v>
      </c>
      <c r="R75" s="859">
        <f t="shared" si="58"/>
        <v>0</v>
      </c>
      <c r="S75" s="1073">
        <f t="shared" si="56"/>
        <v>0</v>
      </c>
      <c r="T75" s="804" t="str">
        <f t="shared" si="63"/>
        <v>NA</v>
      </c>
      <c r="U75" s="983">
        <f t="shared" si="57"/>
        <v>0</v>
      </c>
      <c r="V75" s="983">
        <f t="shared" si="57"/>
        <v>0</v>
      </c>
      <c r="W75" s="649" t="str">
        <f t="shared" si="64"/>
        <v>NA</v>
      </c>
      <c r="X75" s="1050"/>
      <c r="Y75" s="651"/>
    </row>
    <row r="76" spans="1:25" ht="26.5" thickBot="1" x14ac:dyDescent="0.4">
      <c r="A76" s="1015" t="str">
        <f>'Baseline Table'!A37</f>
        <v xml:space="preserve">Indicator 2.2.C. 2000 refugees and host community engaged in social cohesion activities. </v>
      </c>
      <c r="B76" s="1002"/>
      <c r="C76" s="1067" t="str">
        <f>C73</f>
        <v>19-24th Feb 2018</v>
      </c>
      <c r="D76" s="1003">
        <v>0</v>
      </c>
      <c r="E76" s="1003" t="s">
        <v>436</v>
      </c>
      <c r="F76" s="1004">
        <v>500</v>
      </c>
      <c r="G76" s="1004"/>
      <c r="H76" s="801">
        <f t="shared" si="59"/>
        <v>0</v>
      </c>
      <c r="I76" s="1004">
        <v>500</v>
      </c>
      <c r="J76" s="1004"/>
      <c r="K76" s="647">
        <f t="shared" si="60"/>
        <v>0</v>
      </c>
      <c r="L76" s="1004">
        <v>500</v>
      </c>
      <c r="M76" s="1004"/>
      <c r="N76" s="801">
        <f t="shared" si="61"/>
        <v>0</v>
      </c>
      <c r="O76" s="1004">
        <v>500</v>
      </c>
      <c r="P76" s="1004"/>
      <c r="Q76" s="801">
        <f t="shared" si="62"/>
        <v>0</v>
      </c>
      <c r="R76" s="859">
        <f t="shared" si="58"/>
        <v>2000</v>
      </c>
      <c r="S76" s="1073">
        <f t="shared" si="56"/>
        <v>0</v>
      </c>
      <c r="T76" s="804">
        <f t="shared" si="63"/>
        <v>0</v>
      </c>
      <c r="U76" s="983">
        <f t="shared" si="57"/>
        <v>2000</v>
      </c>
      <c r="V76" s="983">
        <f t="shared" si="57"/>
        <v>0</v>
      </c>
      <c r="W76" s="649">
        <f t="shared" si="64"/>
        <v>0</v>
      </c>
      <c r="X76" s="1050"/>
      <c r="Y76" s="651"/>
    </row>
    <row r="77" spans="1:25" ht="15" thickBot="1" x14ac:dyDescent="0.4">
      <c r="A77" s="1005"/>
      <c r="B77" s="1016" t="s">
        <v>384</v>
      </c>
      <c r="C77" s="992"/>
      <c r="D77" s="657">
        <v>0</v>
      </c>
      <c r="E77" s="657" t="s">
        <v>436</v>
      </c>
      <c r="F77" s="638">
        <v>200</v>
      </c>
      <c r="G77" s="638"/>
      <c r="H77" s="801">
        <f t="shared" si="59"/>
        <v>0</v>
      </c>
      <c r="I77" s="638">
        <v>200</v>
      </c>
      <c r="J77" s="638"/>
      <c r="K77" s="647">
        <f t="shared" si="60"/>
        <v>0</v>
      </c>
      <c r="L77" s="638">
        <v>200</v>
      </c>
      <c r="M77" s="638"/>
      <c r="N77" s="801">
        <f t="shared" si="61"/>
        <v>0</v>
      </c>
      <c r="O77" s="638">
        <v>200</v>
      </c>
      <c r="P77" s="638"/>
      <c r="Q77" s="801">
        <f t="shared" si="62"/>
        <v>0</v>
      </c>
      <c r="R77" s="859">
        <f t="shared" si="58"/>
        <v>800</v>
      </c>
      <c r="S77" s="1073">
        <f t="shared" si="56"/>
        <v>0</v>
      </c>
      <c r="T77" s="804">
        <f t="shared" si="63"/>
        <v>0</v>
      </c>
      <c r="U77" s="983">
        <f t="shared" si="57"/>
        <v>800</v>
      </c>
      <c r="V77" s="983">
        <f t="shared" si="57"/>
        <v>0</v>
      </c>
      <c r="W77" s="649">
        <f t="shared" si="64"/>
        <v>0</v>
      </c>
      <c r="X77" s="1050"/>
      <c r="Y77" s="651"/>
    </row>
    <row r="78" spans="1:25" ht="14.5" x14ac:dyDescent="0.35">
      <c r="A78" s="990"/>
      <c r="B78" s="1046" t="s">
        <v>385</v>
      </c>
      <c r="C78" s="1038"/>
      <c r="D78" s="807">
        <v>0</v>
      </c>
      <c r="E78" s="807" t="s">
        <v>436</v>
      </c>
      <c r="F78" s="808">
        <v>300</v>
      </c>
      <c r="G78" s="808"/>
      <c r="H78" s="801">
        <f t="shared" si="59"/>
        <v>0</v>
      </c>
      <c r="I78" s="808">
        <v>300</v>
      </c>
      <c r="J78" s="808"/>
      <c r="K78" s="647">
        <f t="shared" si="60"/>
        <v>0</v>
      </c>
      <c r="L78" s="808">
        <v>300</v>
      </c>
      <c r="M78" s="808"/>
      <c r="N78" s="801">
        <f t="shared" si="61"/>
        <v>0</v>
      </c>
      <c r="O78" s="808">
        <v>300</v>
      </c>
      <c r="P78" s="808"/>
      <c r="Q78" s="801">
        <f t="shared" si="62"/>
        <v>0</v>
      </c>
      <c r="R78" s="859">
        <f t="shared" si="58"/>
        <v>1200</v>
      </c>
      <c r="S78" s="1073">
        <f t="shared" si="56"/>
        <v>0</v>
      </c>
      <c r="T78" s="804">
        <f t="shared" si="63"/>
        <v>0</v>
      </c>
      <c r="U78" s="983">
        <f t="shared" si="57"/>
        <v>1200</v>
      </c>
      <c r="V78" s="983">
        <f t="shared" si="57"/>
        <v>0</v>
      </c>
      <c r="W78" s="649">
        <f t="shared" si="64"/>
        <v>0</v>
      </c>
      <c r="X78" s="1050"/>
      <c r="Y78" s="651"/>
    </row>
    <row r="79" spans="1:25" s="631" customFormat="1" ht="13.5" thickBot="1" x14ac:dyDescent="0.3">
      <c r="A79" s="1000" t="str">
        <f>'M&amp;E Matrix'!A38:J38</f>
        <v xml:space="preserve">OUTPUT 2.3: Protection systems and mechanisms SGBV prevention and response strengthened </v>
      </c>
      <c r="B79" s="1045"/>
      <c r="C79" s="701"/>
      <c r="D79" s="1029"/>
      <c r="E79" s="1029"/>
      <c r="F79" s="701"/>
      <c r="G79" s="701"/>
      <c r="H79" s="1030"/>
      <c r="I79" s="701"/>
      <c r="J79" s="701"/>
      <c r="K79" s="1030"/>
      <c r="L79" s="701"/>
      <c r="M79" s="701"/>
      <c r="N79" s="1030"/>
      <c r="O79" s="701"/>
      <c r="P79" s="701"/>
      <c r="Q79" s="1030"/>
      <c r="R79" s="701"/>
      <c r="S79" s="701"/>
      <c r="T79" s="1030"/>
      <c r="U79" s="635"/>
      <c r="V79" s="1031"/>
      <c r="W79" s="1032"/>
      <c r="X79" s="1032"/>
      <c r="Y79" s="1032"/>
    </row>
    <row r="80" spans="1:25" ht="26.5" thickBot="1" x14ac:dyDescent="0.4">
      <c r="A80" s="1006" t="str">
        <f>'M&amp;E Matrix'!A39</f>
        <v xml:space="preserve">Indicator 2.3. a. 4000 refugees and host community members participate in SGBV information dissemination activities. </v>
      </c>
      <c r="B80" s="618"/>
      <c r="C80" s="1069" t="str">
        <f>C76</f>
        <v>19-24th Feb 2018</v>
      </c>
      <c r="D80" s="687">
        <v>0</v>
      </c>
      <c r="E80" s="620" t="s">
        <v>436</v>
      </c>
      <c r="F80" s="621">
        <v>1000</v>
      </c>
      <c r="G80" s="622"/>
      <c r="H80" s="674">
        <f t="shared" ref="H80:H88" si="65">IF(F80=0,"NA",G80/F80)</f>
        <v>0</v>
      </c>
      <c r="I80" s="621">
        <v>1000</v>
      </c>
      <c r="J80" s="622"/>
      <c r="K80" s="623">
        <f t="shared" ref="K80:K88" si="66">IF(I80=0,"NA",J80/I80)</f>
        <v>0</v>
      </c>
      <c r="L80" s="621">
        <v>1000</v>
      </c>
      <c r="M80" s="621"/>
      <c r="N80" s="674">
        <f t="shared" ref="N80:N88" si="67">IF(L80=0,"NA",M80/L80)</f>
        <v>0</v>
      </c>
      <c r="O80" s="621">
        <v>1000</v>
      </c>
      <c r="P80" s="622"/>
      <c r="Q80" s="676">
        <f t="shared" ref="Q80:Q88" si="68">IF(O80=0,"NA",P80/O80)</f>
        <v>0</v>
      </c>
      <c r="R80" s="1071">
        <f>F80+I80+L80+O80</f>
        <v>4000</v>
      </c>
      <c r="S80" s="1072">
        <f>M80+P80</f>
        <v>0</v>
      </c>
      <c r="T80" s="627">
        <f t="shared" ref="T80:T88" si="69">IF(R80=0,"NA",S80/R80)</f>
        <v>0</v>
      </c>
      <c r="U80" s="628">
        <f t="shared" ref="U80:V88" si="70">R80</f>
        <v>4000</v>
      </c>
      <c r="V80" s="628">
        <f t="shared" si="70"/>
        <v>0</v>
      </c>
      <c r="W80" s="629">
        <f t="shared" ref="W80:W88" si="71">IF(U80=0,"NA",V80/U80)</f>
        <v>0</v>
      </c>
      <c r="X80" s="689"/>
      <c r="Y80" s="678"/>
    </row>
    <row r="81" spans="1:25" ht="15" thickBot="1" x14ac:dyDescent="0.4">
      <c r="A81" s="829"/>
      <c r="B81" s="1016" t="s">
        <v>384</v>
      </c>
      <c r="C81" s="1011"/>
      <c r="D81" s="688">
        <v>0</v>
      </c>
      <c r="E81" s="658" t="s">
        <v>436</v>
      </c>
      <c r="F81" s="637">
        <v>400</v>
      </c>
      <c r="G81" s="638"/>
      <c r="H81" s="679">
        <f t="shared" si="65"/>
        <v>0</v>
      </c>
      <c r="I81" s="637">
        <v>400</v>
      </c>
      <c r="J81" s="638"/>
      <c r="K81" s="636">
        <f t="shared" si="66"/>
        <v>0</v>
      </c>
      <c r="L81" s="637">
        <v>400</v>
      </c>
      <c r="M81" s="637"/>
      <c r="N81" s="679">
        <f t="shared" si="67"/>
        <v>0</v>
      </c>
      <c r="O81" s="637">
        <v>400</v>
      </c>
      <c r="P81" s="638"/>
      <c r="Q81" s="679">
        <f t="shared" si="68"/>
        <v>0</v>
      </c>
      <c r="R81" s="993">
        <f t="shared" ref="R81:R88" si="72">F81+I81+L81+O81</f>
        <v>1600</v>
      </c>
      <c r="S81" s="1072">
        <f t="shared" ref="S81:S88" si="73">M81+P81</f>
        <v>0</v>
      </c>
      <c r="T81" s="639">
        <f t="shared" si="69"/>
        <v>0</v>
      </c>
      <c r="U81" s="628">
        <f t="shared" si="70"/>
        <v>1600</v>
      </c>
      <c r="V81" s="628">
        <f t="shared" si="70"/>
        <v>0</v>
      </c>
      <c r="W81" s="639">
        <f t="shared" si="71"/>
        <v>0</v>
      </c>
      <c r="X81" s="697"/>
      <c r="Y81" s="640"/>
    </row>
    <row r="82" spans="1:25" ht="15" thickBot="1" x14ac:dyDescent="0.4">
      <c r="A82" s="1051"/>
      <c r="B82" s="1046" t="s">
        <v>385</v>
      </c>
      <c r="C82" s="1014"/>
      <c r="D82" s="800">
        <v>0</v>
      </c>
      <c r="E82" s="644" t="s">
        <v>436</v>
      </c>
      <c r="F82" s="645">
        <v>600</v>
      </c>
      <c r="G82" s="646"/>
      <c r="H82" s="801">
        <f t="shared" si="65"/>
        <v>0</v>
      </c>
      <c r="I82" s="645">
        <v>600</v>
      </c>
      <c r="J82" s="646"/>
      <c r="K82" s="647">
        <f t="shared" si="66"/>
        <v>0</v>
      </c>
      <c r="L82" s="645">
        <v>600</v>
      </c>
      <c r="M82" s="645"/>
      <c r="N82" s="801">
        <f t="shared" si="67"/>
        <v>0</v>
      </c>
      <c r="O82" s="645">
        <v>600</v>
      </c>
      <c r="P82" s="646"/>
      <c r="Q82" s="801">
        <f t="shared" si="68"/>
        <v>0</v>
      </c>
      <c r="R82" s="859">
        <f t="shared" si="72"/>
        <v>2400</v>
      </c>
      <c r="S82" s="1073">
        <f t="shared" si="73"/>
        <v>0</v>
      </c>
      <c r="T82" s="649">
        <f t="shared" si="69"/>
        <v>0</v>
      </c>
      <c r="U82" s="983">
        <f t="shared" si="70"/>
        <v>2400</v>
      </c>
      <c r="V82" s="983">
        <f t="shared" si="70"/>
        <v>0</v>
      </c>
      <c r="W82" s="649">
        <f t="shared" si="71"/>
        <v>0</v>
      </c>
      <c r="X82" s="699"/>
      <c r="Y82" s="805"/>
    </row>
    <row r="83" spans="1:25" ht="26.5" thickBot="1" x14ac:dyDescent="0.4">
      <c r="A83" s="1015" t="str">
        <f>'Baseline Table'!A40</f>
        <v>Indicator 2.3.b. 200 SGBV survivors identified and referred to receiving appropriate multi-sectoral support.</v>
      </c>
      <c r="B83" s="1002"/>
      <c r="C83" s="1066" t="str">
        <f>C80</f>
        <v>19-24th Feb 2018</v>
      </c>
      <c r="D83" s="1034">
        <v>0</v>
      </c>
      <c r="E83" s="1003" t="s">
        <v>436</v>
      </c>
      <c r="F83" s="1004">
        <v>50</v>
      </c>
      <c r="G83" s="1004"/>
      <c r="H83" s="801">
        <f t="shared" si="65"/>
        <v>0</v>
      </c>
      <c r="I83" s="1004">
        <v>50</v>
      </c>
      <c r="J83" s="1004"/>
      <c r="K83" s="647">
        <f t="shared" si="66"/>
        <v>0</v>
      </c>
      <c r="L83" s="1004">
        <v>50</v>
      </c>
      <c r="M83" s="1004"/>
      <c r="N83" s="801">
        <f t="shared" si="67"/>
        <v>0</v>
      </c>
      <c r="O83" s="1004">
        <v>50</v>
      </c>
      <c r="P83" s="1004"/>
      <c r="Q83" s="801">
        <f t="shared" si="68"/>
        <v>0</v>
      </c>
      <c r="R83" s="859">
        <f t="shared" si="72"/>
        <v>200</v>
      </c>
      <c r="S83" s="1073">
        <f t="shared" si="73"/>
        <v>0</v>
      </c>
      <c r="T83" s="649">
        <f t="shared" si="69"/>
        <v>0</v>
      </c>
      <c r="U83" s="983">
        <f t="shared" si="70"/>
        <v>200</v>
      </c>
      <c r="V83" s="983">
        <f t="shared" si="70"/>
        <v>0</v>
      </c>
      <c r="W83" s="649">
        <f t="shared" si="71"/>
        <v>0</v>
      </c>
      <c r="X83" s="1050"/>
      <c r="Y83" s="651"/>
    </row>
    <row r="84" spans="1:25" ht="15" thickBot="1" x14ac:dyDescent="0.4">
      <c r="A84" s="1056"/>
      <c r="B84" s="1016" t="s">
        <v>384</v>
      </c>
      <c r="C84" s="1037"/>
      <c r="D84" s="688">
        <v>0</v>
      </c>
      <c r="E84" s="657" t="s">
        <v>436</v>
      </c>
      <c r="F84" s="638">
        <v>10</v>
      </c>
      <c r="G84" s="638"/>
      <c r="H84" s="801">
        <f t="shared" si="65"/>
        <v>0</v>
      </c>
      <c r="I84" s="638">
        <v>10</v>
      </c>
      <c r="J84" s="638"/>
      <c r="K84" s="647">
        <f t="shared" si="66"/>
        <v>0</v>
      </c>
      <c r="L84" s="638">
        <v>10</v>
      </c>
      <c r="M84" s="638"/>
      <c r="N84" s="801">
        <f t="shared" si="67"/>
        <v>0</v>
      </c>
      <c r="O84" s="638">
        <v>10</v>
      </c>
      <c r="P84" s="638"/>
      <c r="Q84" s="801">
        <f t="shared" si="68"/>
        <v>0</v>
      </c>
      <c r="R84" s="859">
        <f t="shared" si="72"/>
        <v>40</v>
      </c>
      <c r="S84" s="1073">
        <f t="shared" si="73"/>
        <v>0</v>
      </c>
      <c r="T84" s="649">
        <f t="shared" si="69"/>
        <v>0</v>
      </c>
      <c r="U84" s="983">
        <f t="shared" si="70"/>
        <v>40</v>
      </c>
      <c r="V84" s="983">
        <f t="shared" si="70"/>
        <v>0</v>
      </c>
      <c r="W84" s="649">
        <f t="shared" si="71"/>
        <v>0</v>
      </c>
      <c r="X84" s="1050"/>
      <c r="Y84" s="651"/>
    </row>
    <row r="85" spans="1:25" ht="15" thickBot="1" x14ac:dyDescent="0.4">
      <c r="A85" s="1052"/>
      <c r="B85" s="1046" t="s">
        <v>385</v>
      </c>
      <c r="C85" s="1017"/>
      <c r="D85" s="806">
        <v>0</v>
      </c>
      <c r="E85" s="807" t="s">
        <v>436</v>
      </c>
      <c r="F85" s="808">
        <v>40</v>
      </c>
      <c r="G85" s="808"/>
      <c r="H85" s="801">
        <f t="shared" si="65"/>
        <v>0</v>
      </c>
      <c r="I85" s="808">
        <v>40</v>
      </c>
      <c r="J85" s="808"/>
      <c r="K85" s="647">
        <f t="shared" si="66"/>
        <v>0</v>
      </c>
      <c r="L85" s="808">
        <v>40</v>
      </c>
      <c r="M85" s="808"/>
      <c r="N85" s="801">
        <f t="shared" si="67"/>
        <v>0</v>
      </c>
      <c r="O85" s="808">
        <v>40</v>
      </c>
      <c r="P85" s="808"/>
      <c r="Q85" s="801">
        <f t="shared" si="68"/>
        <v>0</v>
      </c>
      <c r="R85" s="859">
        <f t="shared" si="72"/>
        <v>160</v>
      </c>
      <c r="S85" s="1073">
        <f t="shared" si="73"/>
        <v>0</v>
      </c>
      <c r="T85" s="649">
        <f t="shared" si="69"/>
        <v>0</v>
      </c>
      <c r="U85" s="983">
        <f t="shared" si="70"/>
        <v>160</v>
      </c>
      <c r="V85" s="983">
        <f t="shared" si="70"/>
        <v>0</v>
      </c>
      <c r="W85" s="649">
        <f t="shared" si="71"/>
        <v>0</v>
      </c>
      <c r="X85" s="1050"/>
      <c r="Y85" s="651"/>
    </row>
    <row r="86" spans="1:25" ht="26.5" thickBot="1" x14ac:dyDescent="0.4">
      <c r="A86" s="1015" t="str">
        <f>'Baseline Table'!A41</f>
        <v xml:space="preserve"> 12 functional community structures (protection committees, women own fora and men own fora) trained and able to support survivors.</v>
      </c>
      <c r="B86" s="1002"/>
      <c r="C86" s="1066" t="str">
        <f>C83</f>
        <v>19-24th Feb 2018</v>
      </c>
      <c r="D86" s="1034">
        <v>0</v>
      </c>
      <c r="E86" s="1003" t="s">
        <v>545</v>
      </c>
      <c r="F86" s="1004">
        <v>3</v>
      </c>
      <c r="G86" s="1004"/>
      <c r="H86" s="801">
        <f t="shared" si="65"/>
        <v>0</v>
      </c>
      <c r="I86" s="1004">
        <v>3</v>
      </c>
      <c r="J86" s="1004"/>
      <c r="K86" s="647">
        <f t="shared" si="66"/>
        <v>0</v>
      </c>
      <c r="L86" s="1004">
        <v>3</v>
      </c>
      <c r="M86" s="1004"/>
      <c r="N86" s="801">
        <f t="shared" si="67"/>
        <v>0</v>
      </c>
      <c r="O86" s="1004">
        <v>3</v>
      </c>
      <c r="P86" s="1004"/>
      <c r="Q86" s="801">
        <f t="shared" si="68"/>
        <v>0</v>
      </c>
      <c r="R86" s="859">
        <f t="shared" si="72"/>
        <v>12</v>
      </c>
      <c r="S86" s="1073">
        <f t="shared" si="73"/>
        <v>0</v>
      </c>
      <c r="T86" s="649">
        <f t="shared" si="69"/>
        <v>0</v>
      </c>
      <c r="U86" s="983">
        <f t="shared" si="70"/>
        <v>12</v>
      </c>
      <c r="V86" s="983">
        <f t="shared" si="70"/>
        <v>0</v>
      </c>
      <c r="W86" s="649">
        <f t="shared" si="71"/>
        <v>0</v>
      </c>
      <c r="X86" s="1050"/>
      <c r="Y86" s="651"/>
    </row>
    <row r="87" spans="1:25" ht="15" thickBot="1" x14ac:dyDescent="0.4">
      <c r="A87" s="1056"/>
      <c r="B87" s="1016" t="s">
        <v>384</v>
      </c>
      <c r="C87" s="1037"/>
      <c r="D87" s="688" t="s">
        <v>543</v>
      </c>
      <c r="E87" s="657"/>
      <c r="F87" s="638">
        <v>0</v>
      </c>
      <c r="G87" s="638"/>
      <c r="H87" s="801" t="str">
        <f t="shared" si="65"/>
        <v>NA</v>
      </c>
      <c r="I87" s="638">
        <v>0</v>
      </c>
      <c r="J87" s="638"/>
      <c r="K87" s="647" t="str">
        <f t="shared" si="66"/>
        <v>NA</v>
      </c>
      <c r="L87" s="638">
        <v>0</v>
      </c>
      <c r="M87" s="638"/>
      <c r="N87" s="801" t="str">
        <f t="shared" si="67"/>
        <v>NA</v>
      </c>
      <c r="O87" s="638">
        <v>0</v>
      </c>
      <c r="P87" s="638"/>
      <c r="Q87" s="801" t="str">
        <f t="shared" si="68"/>
        <v>NA</v>
      </c>
      <c r="R87" s="859">
        <f t="shared" si="72"/>
        <v>0</v>
      </c>
      <c r="S87" s="1073">
        <f t="shared" si="73"/>
        <v>0</v>
      </c>
      <c r="T87" s="649" t="str">
        <f t="shared" si="69"/>
        <v>NA</v>
      </c>
      <c r="U87" s="983">
        <f t="shared" si="70"/>
        <v>0</v>
      </c>
      <c r="V87" s="983">
        <f t="shared" si="70"/>
        <v>0</v>
      </c>
      <c r="W87" s="649" t="str">
        <f t="shared" si="71"/>
        <v>NA</v>
      </c>
      <c r="X87" s="1050"/>
      <c r="Y87" s="651"/>
    </row>
    <row r="88" spans="1:25" x14ac:dyDescent="0.3">
      <c r="A88" s="1053"/>
      <c r="B88" s="991" t="s">
        <v>385</v>
      </c>
      <c r="C88" s="1053"/>
      <c r="D88" s="1070" t="s">
        <v>543</v>
      </c>
      <c r="E88" s="1053"/>
      <c r="F88" s="1070">
        <v>0</v>
      </c>
      <c r="G88" s="1053"/>
      <c r="H88" s="801" t="str">
        <f t="shared" si="65"/>
        <v>NA</v>
      </c>
      <c r="I88" s="1070">
        <v>0</v>
      </c>
      <c r="J88" s="1053"/>
      <c r="K88" s="647" t="str">
        <f t="shared" si="66"/>
        <v>NA</v>
      </c>
      <c r="L88" s="1070">
        <v>0</v>
      </c>
      <c r="M88" s="1053"/>
      <c r="N88" s="801" t="str">
        <f t="shared" si="67"/>
        <v>NA</v>
      </c>
      <c r="O88" s="1070">
        <v>0</v>
      </c>
      <c r="P88" s="1053"/>
      <c r="Q88" s="801" t="str">
        <f t="shared" si="68"/>
        <v>NA</v>
      </c>
      <c r="R88" s="859">
        <f t="shared" si="72"/>
        <v>0</v>
      </c>
      <c r="S88" s="1073">
        <f t="shared" si="73"/>
        <v>0</v>
      </c>
      <c r="T88" s="649" t="str">
        <f t="shared" si="69"/>
        <v>NA</v>
      </c>
      <c r="U88" s="983">
        <f t="shared" si="70"/>
        <v>0</v>
      </c>
      <c r="V88" s="983">
        <f t="shared" si="70"/>
        <v>0</v>
      </c>
      <c r="W88" s="649" t="str">
        <f t="shared" si="71"/>
        <v>NA</v>
      </c>
      <c r="X88" s="1054"/>
      <c r="Y88" s="1055"/>
    </row>
    <row r="89" spans="1:25" ht="7.5" customHeight="1" x14ac:dyDescent="0.3">
      <c r="A89" s="1057"/>
      <c r="B89" s="1057"/>
      <c r="C89" s="1057"/>
      <c r="D89" s="1057"/>
      <c r="E89" s="1057"/>
      <c r="F89" s="1057"/>
      <c r="G89" s="1057"/>
      <c r="H89" s="1057"/>
      <c r="I89" s="1057"/>
      <c r="J89" s="1057"/>
      <c r="K89" s="1057"/>
      <c r="L89" s="1057"/>
      <c r="M89" s="1057"/>
      <c r="N89" s="1057"/>
      <c r="O89" s="1057"/>
      <c r="P89" s="1057"/>
      <c r="Q89" s="1057"/>
      <c r="R89" s="1057"/>
      <c r="S89" s="1057"/>
      <c r="T89" s="1057"/>
      <c r="U89" s="1058"/>
      <c r="V89" s="1058"/>
      <c r="W89" s="1058"/>
      <c r="X89" s="1059"/>
      <c r="Y89" s="1060"/>
    </row>
  </sheetData>
  <mergeCells count="36">
    <mergeCell ref="A54:Q54"/>
    <mergeCell ref="R9:R10"/>
    <mergeCell ref="S9:S10"/>
    <mergeCell ref="T9:T10"/>
    <mergeCell ref="U9:U10"/>
    <mergeCell ref="A9:B10"/>
    <mergeCell ref="C9:E9"/>
    <mergeCell ref="F9:H9"/>
    <mergeCell ref="I9:K9"/>
    <mergeCell ref="L9:N9"/>
    <mergeCell ref="A48:B48"/>
    <mergeCell ref="A40:Y40"/>
    <mergeCell ref="A1:Q1"/>
    <mergeCell ref="S1:V1"/>
    <mergeCell ref="B2:Q2"/>
    <mergeCell ref="B3:C3"/>
    <mergeCell ref="E3:F3"/>
    <mergeCell ref="G3:K3"/>
    <mergeCell ref="L3:M3"/>
    <mergeCell ref="N3:Q3"/>
    <mergeCell ref="A47:Y47"/>
    <mergeCell ref="N4:Q4"/>
    <mergeCell ref="B4:C4"/>
    <mergeCell ref="E4:F4"/>
    <mergeCell ref="G4:K4"/>
    <mergeCell ref="L4:M4"/>
    <mergeCell ref="O9:Q9"/>
    <mergeCell ref="B5:C5"/>
    <mergeCell ref="E5:F5"/>
    <mergeCell ref="G5:K5"/>
    <mergeCell ref="L5:M5"/>
    <mergeCell ref="N5:Q5"/>
    <mergeCell ref="X9:X10"/>
    <mergeCell ref="Y9:Y10"/>
    <mergeCell ref="V9:V10"/>
    <mergeCell ref="W9:W10"/>
  </mergeCells>
  <conditionalFormatting sqref="H13:H21 K13:K21 N13:N21 Q13:Q21 T13:T21 W13:W21 H30:H32 K30:K32 N30:N32 Q30:Q32 T30:T32 W30:W32">
    <cfRule type="cellIs" dxfId="63" priority="55" operator="equal">
      <formula>0</formula>
    </cfRule>
    <cfRule type="cellIs" dxfId="62" priority="56" operator="equal">
      <formula>0</formula>
    </cfRule>
    <cfRule type="cellIs" dxfId="61" priority="54" operator="greaterThan">
      <formula>1.25</formula>
    </cfRule>
    <cfRule type="cellIs" dxfId="60" priority="53" operator="lessThan">
      <formula>0.75</formula>
    </cfRule>
    <cfRule type="cellIs" dxfId="59" priority="52" operator="between">
      <formula>0.75</formula>
      <formula>1.25</formula>
    </cfRule>
    <cfRule type="cellIs" dxfId="58" priority="51" operator="equal">
      <formula>"NA"</formula>
    </cfRule>
    <cfRule type="cellIs" dxfId="57" priority="49" operator="equal">
      <formula>"NA"</formula>
    </cfRule>
    <cfRule type="cellIs" dxfId="56" priority="50" operator="equal">
      <formula>"NA"</formula>
    </cfRule>
  </conditionalFormatting>
  <conditionalFormatting sqref="H23:H28 K23:K28 N23:N28 Q23:Q28 T23:T28 W23:W28">
    <cfRule type="cellIs" dxfId="55" priority="40" operator="between">
      <formula>0.75</formula>
      <formula>1.25</formula>
    </cfRule>
    <cfRule type="cellIs" dxfId="54" priority="38" operator="equal">
      <formula>"NA"</formula>
    </cfRule>
    <cfRule type="cellIs" dxfId="53" priority="39" operator="equal">
      <formula>"NA"</formula>
    </cfRule>
    <cfRule type="cellIs" dxfId="52" priority="37" operator="equal">
      <formula>"NA"</formula>
    </cfRule>
    <cfRule type="cellIs" dxfId="51" priority="44" operator="equal">
      <formula>0</formula>
    </cfRule>
    <cfRule type="cellIs" dxfId="50" priority="43" operator="equal">
      <formula>0</formula>
    </cfRule>
    <cfRule type="cellIs" dxfId="49" priority="42" operator="greaterThan">
      <formula>1.25</formula>
    </cfRule>
    <cfRule type="cellIs" dxfId="48" priority="41" operator="lessThan">
      <formula>0.75</formula>
    </cfRule>
  </conditionalFormatting>
  <conditionalFormatting sqref="H34:H39 K34:K39 N34:N39 Q34:Q39 T34:T39 W34:W39 K41:K46 N41:N46 Q41:Q46 T41:T46 W41:W46 H48:H53 K48:K53 N48:N53 Q48:Q53 T48:T53 W48:W53">
    <cfRule type="cellIs" dxfId="47" priority="33" operator="lessThan">
      <formula>0.75</formula>
    </cfRule>
    <cfRule type="cellIs" dxfId="46" priority="34" operator="greaterThan">
      <formula>1.25</formula>
    </cfRule>
    <cfRule type="cellIs" dxfId="45" priority="35" operator="equal">
      <formula>0</formula>
    </cfRule>
    <cfRule type="cellIs" dxfId="44" priority="36" operator="equal">
      <formula>0</formula>
    </cfRule>
    <cfRule type="cellIs" dxfId="43" priority="29" operator="equal">
      <formula>"NA"</formula>
    </cfRule>
    <cfRule type="cellIs" dxfId="42" priority="30" operator="equal">
      <formula>"NA"</formula>
    </cfRule>
    <cfRule type="cellIs" dxfId="41" priority="31" operator="equal">
      <formula>"NA"</formula>
    </cfRule>
    <cfRule type="cellIs" dxfId="40" priority="32" operator="between">
      <formula>0.75</formula>
      <formula>1.25</formula>
    </cfRule>
  </conditionalFormatting>
  <conditionalFormatting sqref="H41:H46">
    <cfRule type="cellIs" dxfId="39" priority="17" operator="equal">
      <formula>"NA"</formula>
    </cfRule>
    <cfRule type="cellIs" dxfId="38" priority="24" operator="equal">
      <formula>0</formula>
    </cfRule>
    <cfRule type="cellIs" dxfId="37" priority="22" operator="greaterThan">
      <formula>1.25</formula>
    </cfRule>
    <cfRule type="cellIs" dxfId="36" priority="23" operator="equal">
      <formula>0</formula>
    </cfRule>
    <cfRule type="cellIs" dxfId="35" priority="21" operator="lessThan">
      <formula>0.75</formula>
    </cfRule>
    <cfRule type="cellIs" dxfId="34" priority="20" operator="between">
      <formula>0.75</formula>
      <formula>1.25</formula>
    </cfRule>
    <cfRule type="cellIs" dxfId="33" priority="19" operator="equal">
      <formula>"NA"</formula>
    </cfRule>
    <cfRule type="cellIs" dxfId="32" priority="18" operator="equal">
      <formula>"NA"</formula>
    </cfRule>
  </conditionalFormatting>
  <conditionalFormatting sqref="H56:H58 K56:K58 N56:N58 Q56:Q58 T56:T58 W56:W58">
    <cfRule type="cellIs" dxfId="31" priority="45" operator="equal">
      <formula>"NA"</formula>
    </cfRule>
    <cfRule type="cellIs" dxfId="30" priority="46" operator="between">
      <formula>0.75</formula>
      <formula>1.25</formula>
    </cfRule>
    <cfRule type="cellIs" dxfId="29" priority="47" operator="lessThan">
      <formula>0.75</formula>
    </cfRule>
    <cfRule type="cellIs" dxfId="28" priority="48" operator="greaterThan">
      <formula>1.25</formula>
    </cfRule>
  </conditionalFormatting>
  <conditionalFormatting sqref="H60:H68 K60:K68 N60:N68 Q60:Q68 T60:T68 W60:W68">
    <cfRule type="cellIs" dxfId="27" priority="2" operator="between">
      <formula>0.75</formula>
      <formula>1.25</formula>
    </cfRule>
    <cfRule type="cellIs" dxfId="26" priority="3" operator="lessThan">
      <formula>0.75</formula>
    </cfRule>
    <cfRule type="cellIs" dxfId="25" priority="4" operator="greaterThan">
      <formula>1.25</formula>
    </cfRule>
    <cfRule type="cellIs" dxfId="24" priority="1" operator="equal">
      <formula>"NA"</formula>
    </cfRule>
  </conditionalFormatting>
  <conditionalFormatting sqref="H70:H78 K70:K78 N70:N78 Q70:Q78 T70:T78 W70:W78">
    <cfRule type="cellIs" dxfId="23" priority="11" operator="lessThan">
      <formula>0.75</formula>
    </cfRule>
    <cfRule type="cellIs" dxfId="22" priority="12" operator="greaterThan">
      <formula>1.25</formula>
    </cfRule>
    <cfRule type="cellIs" dxfId="21" priority="10" operator="between">
      <formula>0.75</formula>
      <formula>1.25</formula>
    </cfRule>
    <cfRule type="cellIs" dxfId="20" priority="9" operator="equal">
      <formula>"NA"</formula>
    </cfRule>
  </conditionalFormatting>
  <conditionalFormatting sqref="H80:H88 K80:K88 N80:N88 Q80:Q88 T80:T88 W80:W88">
    <cfRule type="cellIs" dxfId="19" priority="16" operator="greaterThan">
      <formula>1.25</formula>
    </cfRule>
    <cfRule type="cellIs" dxfId="18" priority="15" operator="lessThan">
      <formula>0.75</formula>
    </cfRule>
    <cfRule type="cellIs" dxfId="17" priority="14" operator="between">
      <formula>0.75</formula>
      <formula>1.25</formula>
    </cfRule>
    <cfRule type="cellIs" dxfId="16" priority="13" operator="equal">
      <formula>"NA"</formula>
    </cfRule>
  </conditionalFormatting>
  <pageMargins left="0.7" right="0.7" top="0.75" bottom="0.75" header="0.3" footer="0.3"/>
  <pageSetup orientation="portrait" horizontalDpi="4294967295" verticalDpi="4294967295"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tint="-0.499984740745262"/>
  </sheetPr>
  <dimension ref="A1:AE1541"/>
  <sheetViews>
    <sheetView view="pageBreakPreview" zoomScale="80" zoomScaleNormal="100" zoomScaleSheetLayoutView="80" workbookViewId="0">
      <pane ySplit="2" topLeftCell="A3" activePane="bottomLeft" state="frozen"/>
      <selection pane="bottomLeft" activeCell="C18" sqref="C18"/>
    </sheetView>
  </sheetViews>
  <sheetFormatPr defaultColWidth="8.81640625" defaultRowHeight="13" x14ac:dyDescent="0.35"/>
  <cols>
    <col min="1" max="1" width="10.1796875" style="4" customWidth="1"/>
    <col min="2" max="2" width="7.7265625" style="102" customWidth="1"/>
    <col min="3" max="3" width="62.54296875" style="7" customWidth="1"/>
    <col min="4" max="12" width="5" style="3" bestFit="1" customWidth="1"/>
    <col min="13" max="15" width="4" style="3" customWidth="1"/>
    <col min="16" max="27" width="3.26953125" style="3" bestFit="1" customWidth="1"/>
    <col min="28" max="28" width="20.1796875" style="3" customWidth="1"/>
    <col min="29" max="29" width="23" style="19" customWidth="1"/>
    <col min="30" max="30" width="18.81640625" style="2" customWidth="1"/>
    <col min="31" max="31" width="33.453125" style="2" customWidth="1"/>
    <col min="32" max="32" width="14.7265625" style="2" customWidth="1"/>
    <col min="33" max="33" width="3.453125" style="2" customWidth="1"/>
    <col min="34" max="16384" width="8.81640625" style="2"/>
  </cols>
  <sheetData>
    <row r="1" spans="1:31" ht="14.15" customHeight="1" x14ac:dyDescent="0.35">
      <c r="A1" s="20"/>
      <c r="B1" s="103"/>
      <c r="C1" s="1395" t="s">
        <v>17</v>
      </c>
      <c r="D1" s="1397" t="s">
        <v>16</v>
      </c>
      <c r="E1" s="1398"/>
      <c r="F1" s="1398"/>
      <c r="G1" s="1398"/>
      <c r="H1" s="1398"/>
      <c r="I1" s="1398"/>
      <c r="J1" s="1398"/>
      <c r="K1" s="1398"/>
      <c r="L1" s="1398"/>
      <c r="M1" s="1398"/>
      <c r="N1" s="1398"/>
      <c r="O1" s="1399"/>
      <c r="P1" s="1400" t="s">
        <v>6</v>
      </c>
      <c r="Q1" s="1401"/>
      <c r="R1" s="1401"/>
      <c r="S1" s="1402"/>
      <c r="T1" s="1403" t="s">
        <v>14</v>
      </c>
      <c r="U1" s="1401"/>
      <c r="V1" s="1401"/>
      <c r="W1" s="1404"/>
      <c r="X1" s="1400" t="s">
        <v>15</v>
      </c>
      <c r="Y1" s="1401"/>
      <c r="Z1" s="1401"/>
      <c r="AA1" s="1402"/>
      <c r="AB1" s="1407" t="s">
        <v>5</v>
      </c>
      <c r="AC1" s="1405" t="s">
        <v>18</v>
      </c>
      <c r="AD1" s="1405" t="s">
        <v>20</v>
      </c>
      <c r="AE1" s="1405" t="s">
        <v>21</v>
      </c>
    </row>
    <row r="2" spans="1:31" ht="17" thickBot="1" x14ac:dyDescent="0.4">
      <c r="A2" s="20"/>
      <c r="B2" s="104"/>
      <c r="C2" s="1396"/>
      <c r="D2" s="315">
        <v>1</v>
      </c>
      <c r="E2" s="316">
        <v>2</v>
      </c>
      <c r="F2" s="316">
        <v>3</v>
      </c>
      <c r="G2" s="316">
        <v>4</v>
      </c>
      <c r="H2" s="316">
        <v>5</v>
      </c>
      <c r="I2" s="316">
        <v>6</v>
      </c>
      <c r="J2" s="316">
        <v>7</v>
      </c>
      <c r="K2" s="316">
        <v>8</v>
      </c>
      <c r="L2" s="316">
        <v>9</v>
      </c>
      <c r="M2" s="317">
        <v>10</v>
      </c>
      <c r="N2" s="317">
        <v>11</v>
      </c>
      <c r="O2" s="318">
        <v>12</v>
      </c>
      <c r="P2" s="319" t="s">
        <v>1</v>
      </c>
      <c r="Q2" s="317" t="s">
        <v>2</v>
      </c>
      <c r="R2" s="317" t="s">
        <v>3</v>
      </c>
      <c r="S2" s="320" t="s">
        <v>4</v>
      </c>
      <c r="T2" s="321" t="s">
        <v>1</v>
      </c>
      <c r="U2" s="317" t="s">
        <v>2</v>
      </c>
      <c r="V2" s="317" t="s">
        <v>3</v>
      </c>
      <c r="W2" s="318" t="s">
        <v>4</v>
      </c>
      <c r="X2" s="319" t="s">
        <v>1</v>
      </c>
      <c r="Y2" s="317" t="s">
        <v>2</v>
      </c>
      <c r="Z2" s="317" t="s">
        <v>3</v>
      </c>
      <c r="AA2" s="1117" t="s">
        <v>4</v>
      </c>
      <c r="AB2" s="1408"/>
      <c r="AC2" s="1406"/>
      <c r="AD2" s="1406"/>
      <c r="AE2" s="1406"/>
    </row>
    <row r="3" spans="1:31" ht="46" customHeight="1" thickBot="1" x14ac:dyDescent="0.4">
      <c r="A3" s="322" t="str">
        <f>'d. LogFrame'!A3</f>
        <v>GOAL:</v>
      </c>
      <c r="B3" s="323"/>
      <c r="C3" s="1082" t="s">
        <v>552</v>
      </c>
      <c r="D3" s="21"/>
      <c r="E3" s="22"/>
      <c r="F3" s="22"/>
      <c r="G3" s="22"/>
      <c r="H3" s="22"/>
      <c r="I3" s="22"/>
      <c r="J3" s="22"/>
      <c r="K3" s="22"/>
      <c r="L3" s="22"/>
      <c r="M3" s="22"/>
      <c r="N3" s="22"/>
      <c r="O3" s="23"/>
      <c r="P3" s="24"/>
      <c r="Q3" s="22"/>
      <c r="R3" s="22"/>
      <c r="S3" s="25"/>
      <c r="T3" s="21"/>
      <c r="U3" s="22"/>
      <c r="V3" s="22"/>
      <c r="W3" s="23"/>
      <c r="X3" s="24"/>
      <c r="Y3" s="22"/>
      <c r="Z3" s="22"/>
      <c r="AA3" s="1118"/>
      <c r="AB3" s="26" t="s">
        <v>580</v>
      </c>
      <c r="AC3" s="364" t="s">
        <v>581</v>
      </c>
      <c r="AD3" s="365" t="s">
        <v>582</v>
      </c>
      <c r="AE3" s="365" t="s">
        <v>582</v>
      </c>
    </row>
    <row r="4" spans="1:31" ht="48.65" customHeight="1" x14ac:dyDescent="0.35">
      <c r="A4" s="324" t="str">
        <f>'d. LogFrame'!A4</f>
        <v>Outcome</v>
      </c>
      <c r="B4" s="325">
        <f>'d. LogFrame'!B4</f>
        <v>1</v>
      </c>
      <c r="C4" s="1081" t="s">
        <v>553</v>
      </c>
      <c r="D4" s="27"/>
      <c r="E4" s="28"/>
      <c r="F4" s="28"/>
      <c r="G4" s="28"/>
      <c r="H4" s="28"/>
      <c r="I4" s="28"/>
      <c r="J4" s="28"/>
      <c r="K4" s="28"/>
      <c r="L4" s="28"/>
      <c r="M4" s="28"/>
      <c r="N4" s="28"/>
      <c r="O4" s="29"/>
      <c r="P4" s="30"/>
      <c r="Q4" s="28"/>
      <c r="R4" s="28"/>
      <c r="S4" s="31"/>
      <c r="T4" s="27"/>
      <c r="U4" s="28"/>
      <c r="V4" s="28"/>
      <c r="W4" s="29"/>
      <c r="X4" s="30"/>
      <c r="Y4" s="28"/>
      <c r="Z4" s="28"/>
      <c r="AA4" s="1119"/>
      <c r="AB4" s="32"/>
      <c r="AC4" s="366"/>
      <c r="AD4" s="367"/>
      <c r="AE4" s="366"/>
    </row>
    <row r="5" spans="1:31" ht="38.5" customHeight="1" thickBot="1" x14ac:dyDescent="0.4">
      <c r="A5" s="1084" t="str">
        <f>'d. LogFrame'!A5</f>
        <v>Output</v>
      </c>
      <c r="B5" s="1085">
        <f>'d. LogFrame'!B5</f>
        <v>1.1000000000000001</v>
      </c>
      <c r="C5" s="1083" t="s">
        <v>554</v>
      </c>
      <c r="D5" s="106"/>
      <c r="E5" s="107"/>
      <c r="F5" s="107"/>
      <c r="G5" s="107"/>
      <c r="H5" s="107"/>
      <c r="I5" s="107"/>
      <c r="J5" s="107"/>
      <c r="K5" s="107"/>
      <c r="L5" s="107"/>
      <c r="M5" s="107"/>
      <c r="N5" s="107"/>
      <c r="O5" s="108"/>
      <c r="P5" s="109"/>
      <c r="Q5" s="110"/>
      <c r="R5" s="110"/>
      <c r="S5" s="111"/>
      <c r="T5" s="106"/>
      <c r="U5" s="110"/>
      <c r="V5" s="110"/>
      <c r="W5" s="108"/>
      <c r="X5" s="109"/>
      <c r="Y5" s="110"/>
      <c r="Z5" s="110"/>
      <c r="AA5" s="110"/>
      <c r="AB5" s="112"/>
      <c r="AC5" s="368"/>
      <c r="AD5" s="369"/>
      <c r="AE5" s="368"/>
    </row>
    <row r="6" spans="1:31" ht="31" x14ac:dyDescent="0.35">
      <c r="A6" s="328" t="s">
        <v>0</v>
      </c>
      <c r="B6" s="329" t="str">
        <f>'d. LogFrame'!B6</f>
        <v>1.1.A.</v>
      </c>
      <c r="C6" s="330" t="s">
        <v>556</v>
      </c>
      <c r="D6" s="33"/>
      <c r="E6" s="34"/>
      <c r="F6" s="34"/>
      <c r="G6" s="34"/>
      <c r="H6" s="34"/>
      <c r="I6" s="392"/>
      <c r="J6" s="392"/>
      <c r="K6" s="392"/>
      <c r="L6" s="392"/>
      <c r="M6" s="392"/>
      <c r="N6" s="392"/>
      <c r="O6" s="393"/>
      <c r="P6" s="36"/>
      <c r="Q6" s="37"/>
      <c r="R6" s="37"/>
      <c r="S6" s="38"/>
      <c r="T6" s="33"/>
      <c r="U6" s="37"/>
      <c r="V6" s="37"/>
      <c r="W6" s="35"/>
      <c r="X6" s="36"/>
      <c r="Y6" s="37"/>
      <c r="Z6" s="37"/>
      <c r="AA6" s="37"/>
      <c r="AB6" s="39"/>
      <c r="AC6" s="40"/>
      <c r="AD6" s="167"/>
      <c r="AE6" s="162"/>
    </row>
    <row r="7" spans="1:31" ht="31" x14ac:dyDescent="0.35">
      <c r="A7" s="328" t="s">
        <v>0</v>
      </c>
      <c r="B7" s="329" t="str">
        <f>'d. LogFrame'!B7</f>
        <v>1.1.B.</v>
      </c>
      <c r="C7" s="1090" t="s">
        <v>557</v>
      </c>
      <c r="D7" s="33"/>
      <c r="E7" s="34"/>
      <c r="F7" s="34"/>
      <c r="G7" s="34"/>
      <c r="H7" s="34"/>
      <c r="I7" s="392"/>
      <c r="J7" s="392"/>
      <c r="K7" s="392"/>
      <c r="L7" s="392"/>
      <c r="M7" s="392"/>
      <c r="N7" s="392"/>
      <c r="O7" s="393"/>
      <c r="P7" s="36"/>
      <c r="Q7" s="37"/>
      <c r="R7" s="37"/>
      <c r="S7" s="38"/>
      <c r="T7" s="33"/>
      <c r="U7" s="37"/>
      <c r="V7" s="37"/>
      <c r="W7" s="35"/>
      <c r="X7" s="36"/>
      <c r="Y7" s="37"/>
      <c r="Z7" s="37"/>
      <c r="AA7" s="37"/>
      <c r="AB7" s="39"/>
      <c r="AC7" s="40"/>
      <c r="AD7" s="167"/>
      <c r="AE7" s="162"/>
    </row>
    <row r="8" spans="1:31" ht="31.5" thickBot="1" x14ac:dyDescent="0.4">
      <c r="A8" s="328" t="s">
        <v>0</v>
      </c>
      <c r="B8" s="329" t="str">
        <f>'d. LogFrame'!B8</f>
        <v>1.1.C.</v>
      </c>
      <c r="C8" s="330" t="str">
        <f>'d. LogFrame'!E8</f>
        <v>Conduct regular field visits to host community farmers and Refugees HHs</v>
      </c>
      <c r="D8" s="1131"/>
      <c r="E8" s="1132"/>
      <c r="F8" s="392"/>
      <c r="G8" s="392"/>
      <c r="H8" s="392"/>
      <c r="I8" s="392"/>
      <c r="J8" s="392"/>
      <c r="K8" s="392"/>
      <c r="L8" s="392"/>
      <c r="M8" s="392"/>
      <c r="N8" s="392"/>
      <c r="O8" s="393"/>
      <c r="P8" s="36"/>
      <c r="Q8" s="37"/>
      <c r="R8" s="37"/>
      <c r="S8" s="38"/>
      <c r="T8" s="33"/>
      <c r="U8" s="37"/>
      <c r="V8" s="37"/>
      <c r="W8" s="35"/>
      <c r="X8" s="36"/>
      <c r="Y8" s="37"/>
      <c r="Z8" s="37"/>
      <c r="AA8" s="37"/>
      <c r="AB8" s="39"/>
      <c r="AC8" s="40"/>
      <c r="AD8" s="167"/>
      <c r="AE8" s="162"/>
    </row>
    <row r="9" spans="1:31" ht="40.5" customHeight="1" thickBot="1" x14ac:dyDescent="0.4">
      <c r="A9" s="326" t="str">
        <f>'d. LogFrame'!A9</f>
        <v>Output</v>
      </c>
      <c r="B9" s="327">
        <f>'d. LogFrame'!B9</f>
        <v>1.2000000000000002</v>
      </c>
      <c r="C9" s="1086" t="s">
        <v>467</v>
      </c>
      <c r="D9" s="106"/>
      <c r="E9" s="107"/>
      <c r="F9" s="107"/>
      <c r="G9" s="107"/>
      <c r="H9" s="107"/>
      <c r="I9" s="107"/>
      <c r="J9" s="107"/>
      <c r="K9" s="107"/>
      <c r="L9" s="107"/>
      <c r="M9" s="107"/>
      <c r="N9" s="107"/>
      <c r="O9" s="108"/>
      <c r="P9" s="109"/>
      <c r="Q9" s="110"/>
      <c r="R9" s="110"/>
      <c r="S9" s="111"/>
      <c r="T9" s="106"/>
      <c r="U9" s="110"/>
      <c r="V9" s="110"/>
      <c r="W9" s="108"/>
      <c r="X9" s="109"/>
      <c r="Y9" s="110"/>
      <c r="Z9" s="110"/>
      <c r="AA9" s="110"/>
      <c r="AB9" s="112"/>
      <c r="AC9" s="368"/>
      <c r="AD9" s="369"/>
      <c r="AE9" s="368"/>
    </row>
    <row r="10" spans="1:31" ht="31" x14ac:dyDescent="0.35">
      <c r="A10" s="328" t="s">
        <v>0</v>
      </c>
      <c r="B10" s="329" t="str">
        <f>'d. LogFrame'!B11</f>
        <v>1.2.B.</v>
      </c>
      <c r="C10" s="1089" t="s">
        <v>555</v>
      </c>
      <c r="D10" s="33"/>
      <c r="E10" s="34"/>
      <c r="F10" s="34"/>
      <c r="G10" s="34"/>
      <c r="H10" s="34"/>
      <c r="I10" s="392"/>
      <c r="J10" s="392"/>
      <c r="K10" s="392"/>
      <c r="L10" s="34"/>
      <c r="M10" s="34"/>
      <c r="N10" s="34"/>
      <c r="O10" s="35"/>
      <c r="P10" s="36"/>
      <c r="Q10" s="37"/>
      <c r="R10" s="37"/>
      <c r="S10" s="38"/>
      <c r="T10" s="33"/>
      <c r="U10" s="37"/>
      <c r="V10" s="37"/>
      <c r="W10" s="35"/>
      <c r="X10" s="36"/>
      <c r="Y10" s="37"/>
      <c r="Z10" s="37"/>
      <c r="AA10" s="37"/>
      <c r="AB10" s="39"/>
      <c r="AC10" s="40"/>
      <c r="AD10" s="167"/>
      <c r="AE10" s="162"/>
    </row>
    <row r="11" spans="1:31" ht="29" x14ac:dyDescent="0.35">
      <c r="A11" s="326" t="str">
        <f>'d. LogFrame'!A13</f>
        <v>Output</v>
      </c>
      <c r="B11" s="327">
        <f>'d. LogFrame'!B13</f>
        <v>1.3000000000000003</v>
      </c>
      <c r="C11" s="1087" t="s">
        <v>531</v>
      </c>
      <c r="D11" s="106"/>
      <c r="E11" s="107"/>
      <c r="F11" s="107"/>
      <c r="G11" s="107"/>
      <c r="H11" s="107"/>
      <c r="I11" s="107"/>
      <c r="J11" s="107"/>
      <c r="K11" s="107"/>
      <c r="L11" s="107"/>
      <c r="M11" s="107"/>
      <c r="N11" s="107"/>
      <c r="O11" s="113"/>
      <c r="P11" s="109"/>
      <c r="Q11" s="110"/>
      <c r="R11" s="110"/>
      <c r="S11" s="111"/>
      <c r="T11" s="106"/>
      <c r="U11" s="110"/>
      <c r="V11" s="110"/>
      <c r="W11" s="108"/>
      <c r="X11" s="109"/>
      <c r="Y11" s="110"/>
      <c r="Z11" s="110"/>
      <c r="AA11" s="110"/>
      <c r="AB11" s="112"/>
      <c r="AC11" s="368"/>
      <c r="AD11" s="369"/>
      <c r="AE11" s="368"/>
    </row>
    <row r="12" spans="1:31" ht="15.5" x14ac:dyDescent="0.35">
      <c r="A12" s="328" t="s">
        <v>0</v>
      </c>
      <c r="B12" s="329" t="str">
        <f>'d. LogFrame'!B14</f>
        <v>1.3.A.</v>
      </c>
      <c r="C12" s="1091" t="s">
        <v>558</v>
      </c>
      <c r="D12" s="33"/>
      <c r="E12" s="34"/>
      <c r="F12" s="34"/>
      <c r="G12" s="34"/>
      <c r="H12" s="392"/>
      <c r="I12" s="392"/>
      <c r="J12" s="392"/>
      <c r="K12" s="392"/>
      <c r="L12" s="34"/>
      <c r="M12" s="34"/>
      <c r="N12" s="34"/>
      <c r="O12" s="35"/>
      <c r="P12" s="36"/>
      <c r="Q12" s="37"/>
      <c r="R12" s="37"/>
      <c r="S12" s="38"/>
      <c r="T12" s="33"/>
      <c r="U12" s="37"/>
      <c r="V12" s="37"/>
      <c r="W12" s="35"/>
      <c r="X12" s="36"/>
      <c r="Y12" s="37"/>
      <c r="Z12" s="37"/>
      <c r="AA12" s="37"/>
      <c r="AB12" s="39"/>
      <c r="AC12" s="40"/>
      <c r="AD12" s="167"/>
      <c r="AE12" s="162"/>
    </row>
    <row r="13" spans="1:31" ht="15.5" x14ac:dyDescent="0.35">
      <c r="A13" s="328" t="s">
        <v>0</v>
      </c>
      <c r="B13" s="329" t="str">
        <f>'d. LogFrame'!B15</f>
        <v>1.3.B.</v>
      </c>
      <c r="C13" s="1091" t="s">
        <v>559</v>
      </c>
      <c r="D13" s="33"/>
      <c r="E13" s="34"/>
      <c r="F13" s="34"/>
      <c r="G13" s="34"/>
      <c r="H13" s="392"/>
      <c r="I13" s="392"/>
      <c r="J13" s="34"/>
      <c r="K13" s="34"/>
      <c r="L13" s="34"/>
      <c r="M13" s="34"/>
      <c r="N13" s="34"/>
      <c r="O13" s="35"/>
      <c r="P13" s="36"/>
      <c r="Q13" s="37"/>
      <c r="R13" s="37"/>
      <c r="S13" s="38"/>
      <c r="T13" s="33"/>
      <c r="U13" s="37"/>
      <c r="V13" s="37"/>
      <c r="W13" s="35"/>
      <c r="X13" s="36"/>
      <c r="Y13" s="37"/>
      <c r="Z13" s="37"/>
      <c r="AA13" s="37"/>
      <c r="AB13" s="39"/>
      <c r="AC13" s="40"/>
      <c r="AD13" s="167"/>
      <c r="AE13" s="162"/>
    </row>
    <row r="14" spans="1:31" ht="31" x14ac:dyDescent="0.35">
      <c r="A14" s="328" t="s">
        <v>0</v>
      </c>
      <c r="B14" s="329" t="str">
        <f>'d. LogFrame'!B16</f>
        <v>1.3.C.</v>
      </c>
      <c r="C14" s="1091" t="s">
        <v>560</v>
      </c>
      <c r="D14" s="33"/>
      <c r="E14" s="34"/>
      <c r="F14" s="34"/>
      <c r="G14" s="34"/>
      <c r="H14" s="34"/>
      <c r="I14" s="34"/>
      <c r="J14" s="392"/>
      <c r="K14" s="392"/>
      <c r="L14" s="34"/>
      <c r="M14" s="34"/>
      <c r="N14" s="34"/>
      <c r="O14" s="35"/>
      <c r="P14" s="36"/>
      <c r="Q14" s="37"/>
      <c r="R14" s="37"/>
      <c r="S14" s="38"/>
      <c r="T14" s="33"/>
      <c r="U14" s="37"/>
      <c r="V14" s="37"/>
      <c r="W14" s="35"/>
      <c r="X14" s="36"/>
      <c r="Y14" s="37"/>
      <c r="Z14" s="37"/>
      <c r="AA14" s="37"/>
      <c r="AB14" s="39"/>
      <c r="AC14" s="162"/>
      <c r="AD14" s="167"/>
      <c r="AE14" s="162"/>
    </row>
    <row r="15" spans="1:31" ht="29" x14ac:dyDescent="0.35">
      <c r="A15" s="326" t="s">
        <v>438</v>
      </c>
      <c r="B15" s="327">
        <v>1.4</v>
      </c>
      <c r="C15" s="1088" t="s">
        <v>534</v>
      </c>
      <c r="D15" s="106"/>
      <c r="E15" s="107"/>
      <c r="F15" s="107"/>
      <c r="G15" s="107"/>
      <c r="H15" s="107"/>
      <c r="I15" s="107"/>
      <c r="J15" s="107"/>
      <c r="K15" s="107"/>
      <c r="L15" s="107"/>
      <c r="M15" s="107"/>
      <c r="N15" s="107"/>
      <c r="O15" s="113"/>
      <c r="P15" s="109"/>
      <c r="Q15" s="110"/>
      <c r="R15" s="110"/>
      <c r="S15" s="111"/>
      <c r="T15" s="106"/>
      <c r="U15" s="110"/>
      <c r="V15" s="110"/>
      <c r="W15" s="108"/>
      <c r="X15" s="109"/>
      <c r="Y15" s="110"/>
      <c r="Z15" s="110"/>
      <c r="AA15" s="110"/>
      <c r="AB15" s="112"/>
      <c r="AC15" s="368"/>
      <c r="AD15" s="369"/>
      <c r="AE15" s="368"/>
    </row>
    <row r="16" spans="1:31" ht="15.5" x14ac:dyDescent="0.35">
      <c r="A16" s="328" t="s">
        <v>0</v>
      </c>
      <c r="B16" s="329" t="s">
        <v>439</v>
      </c>
      <c r="C16" s="1092" t="s">
        <v>451</v>
      </c>
      <c r="D16" s="36"/>
      <c r="E16" s="34"/>
      <c r="F16" s="34"/>
      <c r="G16" s="34"/>
      <c r="H16" s="392"/>
      <c r="I16" s="392"/>
      <c r="J16" s="392"/>
      <c r="K16" s="392"/>
      <c r="L16" s="34"/>
      <c r="M16" s="34"/>
      <c r="N16" s="34"/>
      <c r="O16" s="35"/>
      <c r="P16" s="36"/>
      <c r="Q16" s="37"/>
      <c r="R16" s="37"/>
      <c r="S16" s="38"/>
      <c r="T16" s="33"/>
      <c r="U16" s="37"/>
      <c r="V16" s="37"/>
      <c r="W16" s="35"/>
      <c r="X16" s="36"/>
      <c r="Y16" s="37"/>
      <c r="Z16" s="37"/>
      <c r="AA16" s="37"/>
      <c r="AB16" s="39"/>
      <c r="AC16" s="162"/>
      <c r="AD16" s="167"/>
      <c r="AE16" s="162"/>
    </row>
    <row r="17" spans="1:31" ht="15.5" x14ac:dyDescent="0.35">
      <c r="A17" s="328" t="s">
        <v>0</v>
      </c>
      <c r="B17" s="329" t="s">
        <v>440</v>
      </c>
      <c r="C17" s="1093" t="s">
        <v>602</v>
      </c>
      <c r="D17" s="36"/>
      <c r="E17" s="34"/>
      <c r="F17" s="34"/>
      <c r="G17" s="34"/>
      <c r="H17" s="392"/>
      <c r="I17" s="392"/>
      <c r="J17" s="392"/>
      <c r="K17" s="392"/>
      <c r="L17" s="34"/>
      <c r="M17" s="34"/>
      <c r="N17" s="34"/>
      <c r="O17" s="35"/>
      <c r="P17" s="36"/>
      <c r="Q17" s="37"/>
      <c r="R17" s="37"/>
      <c r="S17" s="38"/>
      <c r="T17" s="33"/>
      <c r="U17" s="37"/>
      <c r="V17" s="37"/>
      <c r="W17" s="35"/>
      <c r="X17" s="36"/>
      <c r="Y17" s="37"/>
      <c r="Z17" s="37"/>
      <c r="AA17" s="37"/>
      <c r="AB17" s="39"/>
      <c r="AC17" s="40"/>
      <c r="AD17" s="167"/>
      <c r="AE17" s="162"/>
    </row>
    <row r="18" spans="1:31" ht="29" x14ac:dyDescent="0.35">
      <c r="A18" s="326" t="s">
        <v>438</v>
      </c>
      <c r="B18" s="327">
        <v>1.5</v>
      </c>
      <c r="C18" s="1088" t="s">
        <v>536</v>
      </c>
      <c r="D18" s="106"/>
      <c r="E18" s="107"/>
      <c r="F18" s="107"/>
      <c r="G18" s="107"/>
      <c r="H18" s="107"/>
      <c r="I18" s="107"/>
      <c r="J18" s="107"/>
      <c r="K18" s="107"/>
      <c r="L18" s="107"/>
      <c r="M18" s="107"/>
      <c r="N18" s="107"/>
      <c r="O18" s="113"/>
      <c r="P18" s="109"/>
      <c r="Q18" s="110"/>
      <c r="R18" s="110"/>
      <c r="S18" s="111"/>
      <c r="T18" s="106"/>
      <c r="U18" s="110"/>
      <c r="V18" s="110"/>
      <c r="W18" s="108"/>
      <c r="X18" s="109"/>
      <c r="Y18" s="110"/>
      <c r="Z18" s="110"/>
      <c r="AA18" s="110"/>
      <c r="AB18" s="112"/>
      <c r="AC18" s="368"/>
      <c r="AD18" s="369"/>
      <c r="AE18" s="368"/>
    </row>
    <row r="19" spans="1:31" ht="33.75" customHeight="1" x14ac:dyDescent="0.35">
      <c r="A19" s="383" t="s">
        <v>0</v>
      </c>
      <c r="B19" s="331" t="s">
        <v>441</v>
      </c>
      <c r="C19" s="1091" t="s">
        <v>561</v>
      </c>
      <c r="D19" s="386"/>
      <c r="E19" s="384"/>
      <c r="F19" s="384"/>
      <c r="G19" s="384"/>
      <c r="H19" s="384"/>
      <c r="I19" s="1133"/>
      <c r="J19" s="1133"/>
      <c r="K19" s="1133"/>
      <c r="L19" s="384"/>
      <c r="M19" s="384"/>
      <c r="N19" s="384"/>
      <c r="O19" s="385"/>
      <c r="P19" s="386"/>
      <c r="Q19" s="387"/>
      <c r="R19" s="387"/>
      <c r="S19" s="388"/>
      <c r="T19" s="105"/>
      <c r="U19" s="387"/>
      <c r="V19" s="387"/>
      <c r="W19" s="385"/>
      <c r="X19" s="386"/>
      <c r="Y19" s="387"/>
      <c r="Z19" s="387"/>
      <c r="AA19" s="37"/>
      <c r="AB19" s="389"/>
      <c r="AC19" s="390"/>
      <c r="AD19" s="391"/>
      <c r="AE19" s="390"/>
    </row>
    <row r="20" spans="1:31" ht="33.75" customHeight="1" thickBot="1" x14ac:dyDescent="0.4">
      <c r="A20" s="383" t="s">
        <v>0</v>
      </c>
      <c r="B20" s="331" t="s">
        <v>563</v>
      </c>
      <c r="C20" s="1091" t="s">
        <v>562</v>
      </c>
      <c r="D20" s="386"/>
      <c r="E20" s="384"/>
      <c r="F20" s="384"/>
      <c r="G20" s="1133"/>
      <c r="H20" s="1133"/>
      <c r="I20" s="384"/>
      <c r="J20" s="384"/>
      <c r="K20" s="384"/>
      <c r="L20" s="384"/>
      <c r="M20" s="384"/>
      <c r="N20" s="384"/>
      <c r="O20" s="385"/>
      <c r="P20" s="386"/>
      <c r="Q20" s="387"/>
      <c r="R20" s="387"/>
      <c r="S20" s="388"/>
      <c r="T20" s="105"/>
      <c r="U20" s="387"/>
      <c r="V20" s="387"/>
      <c r="W20" s="385"/>
      <c r="X20" s="386"/>
      <c r="Y20" s="387"/>
      <c r="Z20" s="387"/>
      <c r="AA20" s="37"/>
      <c r="AB20" s="389"/>
      <c r="AC20" s="390"/>
      <c r="AD20" s="391"/>
      <c r="AE20" s="390"/>
    </row>
    <row r="21" spans="1:31" s="1" customFormat="1" ht="44" thickBot="1" x14ac:dyDescent="0.4">
      <c r="A21" s="332" t="str">
        <f>'d. LogFrame'!A17</f>
        <v>Outcome</v>
      </c>
      <c r="B21" s="333">
        <f>'d. LogFrame'!B17</f>
        <v>2</v>
      </c>
      <c r="C21" s="1094" t="s">
        <v>564</v>
      </c>
      <c r="D21" s="41"/>
      <c r="E21" s="42"/>
      <c r="F21" s="42"/>
      <c r="G21" s="42"/>
      <c r="H21" s="42"/>
      <c r="I21" s="42"/>
      <c r="J21" s="42"/>
      <c r="K21" s="42"/>
      <c r="L21" s="42"/>
      <c r="M21" s="42"/>
      <c r="N21" s="42"/>
      <c r="O21" s="43"/>
      <c r="P21" s="44"/>
      <c r="Q21" s="42"/>
      <c r="R21" s="42"/>
      <c r="S21" s="45"/>
      <c r="T21" s="41"/>
      <c r="U21" s="42"/>
      <c r="V21" s="42"/>
      <c r="W21" s="43"/>
      <c r="X21" s="44"/>
      <c r="Y21" s="42"/>
      <c r="Z21" s="42"/>
      <c r="AA21" s="1120"/>
      <c r="AB21" s="46"/>
      <c r="AC21" s="370"/>
      <c r="AD21" s="371"/>
      <c r="AE21" s="370"/>
    </row>
    <row r="22" spans="1:31" ht="43.5" x14ac:dyDescent="0.35">
      <c r="A22" s="334" t="str">
        <f>'d. LogFrame'!A18</f>
        <v>Output</v>
      </c>
      <c r="B22" s="335">
        <f>'d. LogFrame'!B18</f>
        <v>2.1</v>
      </c>
      <c r="C22" s="1095" t="s">
        <v>504</v>
      </c>
      <c r="D22" s="1096"/>
      <c r="E22" s="1097"/>
      <c r="F22" s="1097"/>
      <c r="G22" s="1097"/>
      <c r="H22" s="1097"/>
      <c r="I22" s="1097"/>
      <c r="J22" s="115"/>
      <c r="K22" s="115"/>
      <c r="L22" s="115"/>
      <c r="M22" s="115"/>
      <c r="N22" s="115"/>
      <c r="O22" s="116"/>
      <c r="P22" s="117"/>
      <c r="Q22" s="115"/>
      <c r="R22" s="115"/>
      <c r="S22" s="118"/>
      <c r="T22" s="114"/>
      <c r="U22" s="115"/>
      <c r="V22" s="115"/>
      <c r="W22" s="116"/>
      <c r="X22" s="117"/>
      <c r="Y22" s="115"/>
      <c r="Z22" s="115"/>
      <c r="AA22" s="115"/>
      <c r="AB22" s="119"/>
      <c r="AC22" s="368"/>
      <c r="AD22" s="369"/>
      <c r="AE22" s="368"/>
    </row>
    <row r="23" spans="1:31" ht="31" x14ac:dyDescent="0.35">
      <c r="A23" s="336" t="s">
        <v>0</v>
      </c>
      <c r="B23" s="337" t="str">
        <f>'d. LogFrame'!B19</f>
        <v>2.1.A.</v>
      </c>
      <c r="C23" s="1098" t="s">
        <v>565</v>
      </c>
      <c r="D23" s="1099"/>
      <c r="E23" s="1135" t="s">
        <v>566</v>
      </c>
      <c r="F23" s="1135" t="s">
        <v>566</v>
      </c>
      <c r="G23" s="1135" t="s">
        <v>566</v>
      </c>
      <c r="H23" s="1135" t="s">
        <v>566</v>
      </c>
      <c r="I23" s="392"/>
      <c r="J23" s="392"/>
      <c r="K23" s="392"/>
      <c r="L23" s="392"/>
      <c r="M23" s="392"/>
      <c r="N23" s="392"/>
      <c r="O23" s="49"/>
      <c r="P23" s="50"/>
      <c r="Q23" s="48"/>
      <c r="R23" s="48"/>
      <c r="S23" s="51"/>
      <c r="T23" s="47"/>
      <c r="U23" s="48"/>
      <c r="V23" s="48"/>
      <c r="W23" s="49"/>
      <c r="X23" s="50"/>
      <c r="Y23" s="48"/>
      <c r="Z23" s="48"/>
      <c r="AA23" s="48"/>
      <c r="AB23" s="52"/>
      <c r="AC23" s="53"/>
      <c r="AD23" s="168"/>
      <c r="AE23" s="163"/>
    </row>
    <row r="24" spans="1:31" ht="15.5" x14ac:dyDescent="0.35">
      <c r="A24" s="336" t="s">
        <v>0</v>
      </c>
      <c r="B24" s="337" t="str">
        <f>'d. LogFrame'!B20</f>
        <v>2.1.B.</v>
      </c>
      <c r="C24" s="1098" t="s">
        <v>567</v>
      </c>
      <c r="D24" s="1134"/>
      <c r="E24" s="1134"/>
      <c r="F24" s="1099"/>
      <c r="G24" s="1099"/>
      <c r="H24" s="1099"/>
      <c r="I24" s="133"/>
      <c r="J24" s="133"/>
      <c r="K24" s="133"/>
      <c r="L24" s="133"/>
      <c r="M24" s="133"/>
      <c r="N24" s="133"/>
      <c r="O24" s="49"/>
      <c r="P24" s="50"/>
      <c r="Q24" s="48"/>
      <c r="R24" s="48"/>
      <c r="S24" s="51"/>
      <c r="T24" s="47"/>
      <c r="U24" s="48"/>
      <c r="V24" s="48"/>
      <c r="W24" s="49"/>
      <c r="X24" s="50"/>
      <c r="Y24" s="48"/>
      <c r="Z24" s="48"/>
      <c r="AA24" s="48"/>
      <c r="AB24" s="52"/>
      <c r="AC24" s="53"/>
      <c r="AD24" s="168"/>
      <c r="AE24" s="163"/>
    </row>
    <row r="25" spans="1:31" ht="46.5" x14ac:dyDescent="0.35">
      <c r="A25" s="336" t="s">
        <v>0</v>
      </c>
      <c r="B25" s="337" t="str">
        <f>'d. LogFrame'!B21</f>
        <v>2.1.C.</v>
      </c>
      <c r="C25" s="1098" t="s">
        <v>568</v>
      </c>
      <c r="D25" s="1099"/>
      <c r="E25" s="1134"/>
      <c r="F25" s="1099"/>
      <c r="G25" s="1099"/>
      <c r="H25" s="1099"/>
      <c r="I25" s="133"/>
      <c r="J25" s="133"/>
      <c r="K25" s="133"/>
      <c r="L25" s="133"/>
      <c r="M25" s="133"/>
      <c r="N25" s="133"/>
      <c r="O25" s="49"/>
      <c r="P25" s="50"/>
      <c r="Q25" s="48"/>
      <c r="R25" s="48"/>
      <c r="S25" s="51"/>
      <c r="T25" s="47"/>
      <c r="U25" s="48"/>
      <c r="V25" s="48"/>
      <c r="W25" s="49"/>
      <c r="X25" s="50"/>
      <c r="Y25" s="48"/>
      <c r="Z25" s="48"/>
      <c r="AA25" s="48"/>
      <c r="AB25" s="52"/>
      <c r="AC25" s="163"/>
      <c r="AD25" s="168"/>
      <c r="AE25" s="163"/>
    </row>
    <row r="26" spans="1:31" ht="31" x14ac:dyDescent="0.35">
      <c r="A26" s="336" t="s">
        <v>0</v>
      </c>
      <c r="B26" s="337" t="s">
        <v>572</v>
      </c>
      <c r="C26" s="1098" t="s">
        <v>569</v>
      </c>
      <c r="D26" s="1099"/>
      <c r="E26" s="1134"/>
      <c r="F26" s="1099"/>
      <c r="G26" s="1099"/>
      <c r="H26" s="1099"/>
      <c r="I26" s="133"/>
      <c r="J26" s="133"/>
      <c r="K26" s="133"/>
      <c r="L26" s="133"/>
      <c r="M26" s="133"/>
      <c r="N26" s="133"/>
      <c r="O26" s="49"/>
      <c r="P26" s="50"/>
      <c r="Q26" s="48"/>
      <c r="R26" s="48"/>
      <c r="S26" s="51"/>
      <c r="T26" s="47"/>
      <c r="U26" s="48"/>
      <c r="V26" s="48"/>
      <c r="W26" s="49"/>
      <c r="X26" s="50"/>
      <c r="Y26" s="48"/>
      <c r="Z26" s="48"/>
      <c r="AA26" s="48"/>
      <c r="AB26" s="52"/>
      <c r="AC26" s="163"/>
      <c r="AD26" s="168"/>
      <c r="AE26" s="163"/>
    </row>
    <row r="27" spans="1:31" ht="15.5" x14ac:dyDescent="0.35">
      <c r="A27" s="336" t="s">
        <v>0</v>
      </c>
      <c r="B27" s="337" t="s">
        <v>573</v>
      </c>
      <c r="C27" s="1098" t="s">
        <v>570</v>
      </c>
      <c r="D27" s="1099"/>
      <c r="E27" s="1099"/>
      <c r="F27" s="1099"/>
      <c r="G27" s="1099"/>
      <c r="H27" s="1099"/>
      <c r="I27" s="133"/>
      <c r="J27" s="392"/>
      <c r="K27" s="392"/>
      <c r="L27" s="392"/>
      <c r="M27" s="392"/>
      <c r="N27" s="133"/>
      <c r="O27" s="49"/>
      <c r="P27" s="50"/>
      <c r="Q27" s="48"/>
      <c r="R27" s="48"/>
      <c r="S27" s="51"/>
      <c r="T27" s="47"/>
      <c r="U27" s="48"/>
      <c r="V27" s="48"/>
      <c r="W27" s="49"/>
      <c r="X27" s="50"/>
      <c r="Y27" s="48"/>
      <c r="Z27" s="48"/>
      <c r="AA27" s="51"/>
      <c r="AB27" s="52"/>
      <c r="AC27" s="163"/>
      <c r="AD27" s="168"/>
      <c r="AE27" s="163"/>
    </row>
    <row r="28" spans="1:31" ht="15.5" x14ac:dyDescent="0.35">
      <c r="A28" s="336" t="s">
        <v>0</v>
      </c>
      <c r="B28" s="337" t="s">
        <v>574</v>
      </c>
      <c r="C28" s="1098" t="s">
        <v>571</v>
      </c>
      <c r="D28" s="1099"/>
      <c r="E28" s="1099"/>
      <c r="F28" s="1099"/>
      <c r="G28" s="1099"/>
      <c r="H28" s="1099"/>
      <c r="I28" s="133"/>
      <c r="J28" s="392"/>
      <c r="K28" s="392"/>
      <c r="L28" s="392"/>
      <c r="M28" s="392"/>
      <c r="N28" s="133"/>
      <c r="O28" s="49"/>
      <c r="P28" s="50"/>
      <c r="Q28" s="48"/>
      <c r="R28" s="48"/>
      <c r="S28" s="51"/>
      <c r="T28" s="47"/>
      <c r="U28" s="48"/>
      <c r="V28" s="48"/>
      <c r="W28" s="49"/>
      <c r="X28" s="50"/>
      <c r="Y28" s="48"/>
      <c r="Z28" s="48"/>
      <c r="AA28" s="51"/>
      <c r="AB28" s="52"/>
      <c r="AC28" s="163"/>
      <c r="AD28" s="168"/>
      <c r="AE28" s="163"/>
    </row>
    <row r="29" spans="1:31" ht="29.5" customHeight="1" x14ac:dyDescent="0.35">
      <c r="A29" s="334" t="str">
        <f>'d. LogFrame'!A22</f>
        <v>Output</v>
      </c>
      <c r="B29" s="335">
        <f>'d. LogFrame'!B22</f>
        <v>2.2000000000000002</v>
      </c>
      <c r="C29" s="1100" t="s">
        <v>508</v>
      </c>
      <c r="D29" s="1100"/>
      <c r="E29" s="1100"/>
      <c r="F29" s="1100"/>
      <c r="G29" s="1100"/>
      <c r="H29" s="1100"/>
      <c r="I29" s="1100"/>
      <c r="J29" s="1100"/>
      <c r="K29" s="1100"/>
      <c r="L29" s="1100"/>
      <c r="M29" s="115"/>
      <c r="N29" s="115"/>
      <c r="O29" s="116"/>
      <c r="P29" s="117"/>
      <c r="Q29" s="115"/>
      <c r="R29" s="115"/>
      <c r="S29" s="118"/>
      <c r="T29" s="114"/>
      <c r="U29" s="115"/>
      <c r="V29" s="115"/>
      <c r="W29" s="116"/>
      <c r="X29" s="117"/>
      <c r="Y29" s="115"/>
      <c r="Z29" s="115"/>
      <c r="AA29" s="118"/>
      <c r="AB29" s="119"/>
      <c r="AC29" s="368"/>
      <c r="AD29" s="369"/>
      <c r="AE29" s="368"/>
    </row>
    <row r="30" spans="1:31" ht="29" x14ac:dyDescent="0.35">
      <c r="A30" s="336" t="s">
        <v>0</v>
      </c>
      <c r="B30" s="337" t="s">
        <v>68</v>
      </c>
      <c r="C30" s="1114" t="s">
        <v>576</v>
      </c>
      <c r="D30" s="1136" t="s">
        <v>566</v>
      </c>
      <c r="E30" s="1136" t="s">
        <v>566</v>
      </c>
      <c r="F30" s="133"/>
      <c r="G30" s="133"/>
      <c r="H30" s="133"/>
      <c r="I30" s="133"/>
      <c r="J30" s="133"/>
      <c r="K30" s="133"/>
      <c r="L30" s="133"/>
      <c r="M30" s="133"/>
      <c r="N30" s="133"/>
      <c r="O30" s="49"/>
      <c r="P30" s="50"/>
      <c r="Q30" s="48"/>
      <c r="R30" s="48"/>
      <c r="S30" s="51"/>
      <c r="T30" s="47"/>
      <c r="U30" s="48"/>
      <c r="V30" s="48"/>
      <c r="W30" s="49"/>
      <c r="X30" s="50"/>
      <c r="Y30" s="48"/>
      <c r="Z30" s="48"/>
      <c r="AA30" s="51"/>
      <c r="AB30" s="52"/>
      <c r="AC30" s="53"/>
      <c r="AD30" s="168"/>
      <c r="AE30" s="163"/>
    </row>
    <row r="31" spans="1:31" ht="15.5" x14ac:dyDescent="0.35">
      <c r="A31" s="336" t="s">
        <v>0</v>
      </c>
      <c r="B31" s="337" t="s">
        <v>69</v>
      </c>
      <c r="C31" s="1114" t="s">
        <v>577</v>
      </c>
      <c r="D31" s="1115"/>
      <c r="E31" s="1115"/>
      <c r="F31" s="133"/>
      <c r="G31" s="392"/>
      <c r="H31" s="133"/>
      <c r="I31" s="133"/>
      <c r="J31" s="133"/>
      <c r="K31" s="133"/>
      <c r="L31" s="133"/>
      <c r="M31" s="133"/>
      <c r="N31" s="133"/>
      <c r="O31" s="49"/>
      <c r="P31" s="50"/>
      <c r="Q31" s="48"/>
      <c r="R31" s="48"/>
      <c r="S31" s="51"/>
      <c r="T31" s="47"/>
      <c r="U31" s="48"/>
      <c r="V31" s="48"/>
      <c r="W31" s="49"/>
      <c r="X31" s="50"/>
      <c r="Y31" s="48"/>
      <c r="Z31" s="48"/>
      <c r="AA31" s="51"/>
      <c r="AB31" s="52"/>
      <c r="AC31" s="53"/>
      <c r="AD31" s="168"/>
      <c r="AE31" s="163"/>
    </row>
    <row r="32" spans="1:31" ht="29" x14ac:dyDescent="0.35">
      <c r="A32" s="336" t="s">
        <v>0</v>
      </c>
      <c r="B32" s="337" t="s">
        <v>70</v>
      </c>
      <c r="C32" s="1114" t="s">
        <v>578</v>
      </c>
      <c r="D32" s="1137"/>
      <c r="E32" s="1137"/>
      <c r="F32" s="1133"/>
      <c r="G32" s="1133"/>
      <c r="H32" s="1133"/>
      <c r="I32" s="1133"/>
      <c r="J32" s="1133"/>
      <c r="K32" s="1133"/>
      <c r="L32" s="1133"/>
      <c r="M32" s="1133"/>
      <c r="N32" s="1133"/>
      <c r="O32" s="1138"/>
      <c r="P32" s="1105"/>
      <c r="Q32" s="1106"/>
      <c r="R32" s="1106"/>
      <c r="S32" s="1107"/>
      <c r="T32" s="1102"/>
      <c r="U32" s="1106"/>
      <c r="V32" s="1106"/>
      <c r="W32" s="1104"/>
      <c r="X32" s="1105"/>
      <c r="Y32" s="1106"/>
      <c r="Z32" s="1106"/>
      <c r="AA32" s="1107"/>
      <c r="AB32" s="1108"/>
      <c r="AC32" s="1109"/>
      <c r="AD32" s="1110"/>
      <c r="AE32" s="1109"/>
    </row>
    <row r="33" spans="1:31" ht="29" x14ac:dyDescent="0.35">
      <c r="A33" s="336" t="s">
        <v>0</v>
      </c>
      <c r="B33" s="337" t="s">
        <v>575</v>
      </c>
      <c r="C33" s="1114" t="s">
        <v>579</v>
      </c>
      <c r="D33" s="1137"/>
      <c r="E33" s="1137"/>
      <c r="F33" s="1133"/>
      <c r="G33" s="1133"/>
      <c r="H33" s="1133"/>
      <c r="I33" s="1133"/>
      <c r="J33" s="1133"/>
      <c r="K33" s="1133"/>
      <c r="L33" s="1133"/>
      <c r="M33" s="1133"/>
      <c r="N33" s="1133"/>
      <c r="O33" s="1138"/>
      <c r="P33" s="1105"/>
      <c r="Q33" s="1106"/>
      <c r="R33" s="1106"/>
      <c r="S33" s="1107"/>
      <c r="T33" s="1102"/>
      <c r="U33" s="1106"/>
      <c r="V33" s="1106"/>
      <c r="W33" s="1104"/>
      <c r="X33" s="1105"/>
      <c r="Y33" s="1106"/>
      <c r="Z33" s="1106"/>
      <c r="AA33" s="1107"/>
      <c r="AB33" s="1108"/>
      <c r="AC33" s="1109"/>
      <c r="AD33" s="1110"/>
      <c r="AE33" s="1109"/>
    </row>
    <row r="34" spans="1:31" ht="29" x14ac:dyDescent="0.35">
      <c r="A34" s="1130" t="s">
        <v>13</v>
      </c>
      <c r="B34" s="1121">
        <v>2.2999999999999998</v>
      </c>
      <c r="C34" s="1100" t="s">
        <v>583</v>
      </c>
      <c r="D34" s="1122"/>
      <c r="E34" s="1122"/>
      <c r="F34" s="1122"/>
      <c r="G34" s="1122"/>
      <c r="H34" s="1122"/>
      <c r="I34" s="1122"/>
      <c r="J34" s="1122"/>
      <c r="K34" s="1122"/>
      <c r="L34" s="1122"/>
      <c r="M34" s="1123"/>
      <c r="N34" s="1123"/>
      <c r="O34" s="1124"/>
      <c r="P34" s="1125"/>
      <c r="Q34" s="1126"/>
      <c r="R34" s="1126"/>
      <c r="S34" s="1127"/>
      <c r="T34" s="1128"/>
      <c r="U34" s="1126"/>
      <c r="V34" s="1126"/>
      <c r="W34" s="1124"/>
      <c r="X34" s="1125"/>
      <c r="Y34" s="1126"/>
      <c r="Z34" s="1126"/>
      <c r="AA34" s="1127"/>
      <c r="AB34" s="1129"/>
      <c r="AC34" s="1109"/>
      <c r="AD34" s="1110"/>
      <c r="AE34" s="1109"/>
    </row>
    <row r="35" spans="1:31" ht="29" x14ac:dyDescent="0.35">
      <c r="A35" s="336" t="s">
        <v>0</v>
      </c>
      <c r="B35" s="1101" t="s">
        <v>589</v>
      </c>
      <c r="C35" s="1114" t="s">
        <v>584</v>
      </c>
      <c r="D35" s="1137"/>
      <c r="E35" s="1139"/>
      <c r="F35" s="1133"/>
      <c r="G35" s="1133"/>
      <c r="H35" s="1133"/>
      <c r="I35" s="1133"/>
      <c r="J35" s="1133"/>
      <c r="K35" s="1133"/>
      <c r="L35" s="1133"/>
      <c r="M35" s="1133"/>
      <c r="N35" s="1133"/>
      <c r="O35" s="1138"/>
      <c r="P35" s="1105"/>
      <c r="Q35" s="1106"/>
      <c r="R35" s="1106"/>
      <c r="S35" s="1107"/>
      <c r="T35" s="1102"/>
      <c r="U35" s="1106"/>
      <c r="V35" s="1106"/>
      <c r="W35" s="1104"/>
      <c r="X35" s="1105"/>
      <c r="Y35" s="1106"/>
      <c r="Z35" s="1106"/>
      <c r="AA35" s="1107"/>
      <c r="AB35" s="1108"/>
      <c r="AC35" s="1109"/>
      <c r="AD35" s="1110"/>
      <c r="AE35" s="1109"/>
    </row>
    <row r="36" spans="1:31" ht="29" x14ac:dyDescent="0.35">
      <c r="A36" s="336" t="s">
        <v>0</v>
      </c>
      <c r="B36" s="1101" t="s">
        <v>590</v>
      </c>
      <c r="C36" s="1114" t="s">
        <v>585</v>
      </c>
      <c r="D36" s="1137"/>
      <c r="E36" s="1116"/>
      <c r="F36" s="1103"/>
      <c r="G36" s="1103"/>
      <c r="H36" s="1103"/>
      <c r="I36" s="1103"/>
      <c r="J36" s="1103"/>
      <c r="K36" s="1103"/>
      <c r="L36" s="1103"/>
      <c r="M36" s="1103"/>
      <c r="N36" s="1103"/>
      <c r="O36" s="1104"/>
      <c r="P36" s="1105"/>
      <c r="Q36" s="1106"/>
      <c r="R36" s="1106"/>
      <c r="S36" s="1107"/>
      <c r="T36" s="1102"/>
      <c r="U36" s="1106"/>
      <c r="V36" s="1106"/>
      <c r="W36" s="1104"/>
      <c r="X36" s="1105"/>
      <c r="Y36" s="1106"/>
      <c r="Z36" s="1106"/>
      <c r="AA36" s="1107"/>
      <c r="AB36" s="1108"/>
      <c r="AC36" s="1109"/>
      <c r="AD36" s="1110"/>
      <c r="AE36" s="1109"/>
    </row>
    <row r="37" spans="1:31" ht="29" x14ac:dyDescent="0.35">
      <c r="A37" s="336" t="s">
        <v>0</v>
      </c>
      <c r="B37" s="1101" t="s">
        <v>591</v>
      </c>
      <c r="C37" s="1114" t="s">
        <v>586</v>
      </c>
      <c r="D37" s="1115"/>
      <c r="E37" s="1139"/>
      <c r="F37" s="1103"/>
      <c r="G37" s="1103"/>
      <c r="H37" s="1103"/>
      <c r="I37" s="1103"/>
      <c r="J37" s="1103"/>
      <c r="K37" s="1103"/>
      <c r="L37" s="1103"/>
      <c r="M37" s="1103"/>
      <c r="N37" s="1103"/>
      <c r="O37" s="1104"/>
      <c r="P37" s="1105"/>
      <c r="Q37" s="1106"/>
      <c r="R37" s="1106"/>
      <c r="S37" s="1107"/>
      <c r="T37" s="1102"/>
      <c r="U37" s="1106"/>
      <c r="V37" s="1106"/>
      <c r="W37" s="1104"/>
      <c r="X37" s="1105"/>
      <c r="Y37" s="1106"/>
      <c r="Z37" s="1106"/>
      <c r="AA37" s="1107"/>
      <c r="AB37" s="1108"/>
      <c r="AC37" s="1109"/>
      <c r="AD37" s="1110"/>
      <c r="AE37" s="1109"/>
    </row>
    <row r="38" spans="1:31" ht="43.5" x14ac:dyDescent="0.35">
      <c r="A38" s="336" t="s">
        <v>0</v>
      </c>
      <c r="B38" s="1101" t="s">
        <v>592</v>
      </c>
      <c r="C38" s="1114" t="s">
        <v>587</v>
      </c>
      <c r="D38" s="1115"/>
      <c r="E38" s="1139"/>
      <c r="F38" s="1103"/>
      <c r="G38" s="1133"/>
      <c r="H38" s="1103"/>
      <c r="I38" s="1133"/>
      <c r="J38" s="1103"/>
      <c r="K38" s="1133"/>
      <c r="L38" s="1103"/>
      <c r="M38" s="1133"/>
      <c r="N38" s="1103"/>
      <c r="O38" s="1138"/>
      <c r="P38" s="1105"/>
      <c r="Q38" s="1106"/>
      <c r="R38" s="1106"/>
      <c r="S38" s="1107"/>
      <c r="T38" s="1102"/>
      <c r="U38" s="1106"/>
      <c r="V38" s="1106"/>
      <c r="W38" s="1104"/>
      <c r="X38" s="1105"/>
      <c r="Y38" s="1106"/>
      <c r="Z38" s="1106"/>
      <c r="AA38" s="1107"/>
      <c r="AB38" s="1108"/>
      <c r="AC38" s="1109"/>
      <c r="AD38" s="1110"/>
      <c r="AE38" s="1109"/>
    </row>
    <row r="39" spans="1:31" ht="29.5" thickBot="1" x14ac:dyDescent="0.4">
      <c r="A39" s="336" t="s">
        <v>0</v>
      </c>
      <c r="B39" s="1101" t="s">
        <v>593</v>
      </c>
      <c r="C39" s="1115" t="s">
        <v>588</v>
      </c>
      <c r="D39" s="1137" t="s">
        <v>566</v>
      </c>
      <c r="E39" s="1139"/>
      <c r="F39" s="1133"/>
      <c r="G39" s="1133"/>
      <c r="H39" s="1133"/>
      <c r="I39" s="1133"/>
      <c r="J39" s="1133"/>
      <c r="K39" s="1133"/>
      <c r="L39" s="1133"/>
      <c r="M39" s="1133"/>
      <c r="N39" s="1133"/>
      <c r="O39" s="1138"/>
      <c r="P39" s="1105"/>
      <c r="Q39" s="1106"/>
      <c r="R39" s="1106"/>
      <c r="S39" s="1107"/>
      <c r="T39" s="1102"/>
      <c r="U39" s="1106"/>
      <c r="V39" s="1106"/>
      <c r="W39" s="1104"/>
      <c r="X39" s="1105"/>
      <c r="Y39" s="1106"/>
      <c r="Z39" s="1106"/>
      <c r="AA39" s="1107"/>
      <c r="AB39" s="1108"/>
      <c r="AC39" s="1109"/>
      <c r="AD39" s="1110"/>
      <c r="AE39" s="1109"/>
    </row>
    <row r="40" spans="1:31" s="1" customFormat="1" ht="15.5" x14ac:dyDescent="0.35">
      <c r="A40" s="338" t="str">
        <f>'d. LogFrame'!A26</f>
        <v>Outcome</v>
      </c>
      <c r="B40" s="339">
        <f>'d. LogFrame'!B26</f>
        <v>3</v>
      </c>
      <c r="C40" s="1111"/>
      <c r="D40" s="1112"/>
      <c r="E40" s="1113"/>
      <c r="F40" s="55"/>
      <c r="G40" s="55"/>
      <c r="H40" s="55"/>
      <c r="I40" s="55"/>
      <c r="J40" s="55"/>
      <c r="K40" s="55"/>
      <c r="L40" s="55"/>
      <c r="M40" s="55"/>
      <c r="N40" s="55"/>
      <c r="O40" s="56"/>
      <c r="P40" s="57"/>
      <c r="Q40" s="58"/>
      <c r="R40" s="58"/>
      <c r="S40" s="59"/>
      <c r="T40" s="54"/>
      <c r="U40" s="58"/>
      <c r="V40" s="58"/>
      <c r="W40" s="60"/>
      <c r="X40" s="57"/>
      <c r="Y40" s="58"/>
      <c r="Z40" s="58"/>
      <c r="AA40" s="59"/>
      <c r="AB40" s="61"/>
      <c r="AC40" s="372"/>
      <c r="AD40" s="373"/>
      <c r="AE40" s="372"/>
    </row>
    <row r="41" spans="1:31" ht="15.5" x14ac:dyDescent="0.35">
      <c r="A41" s="340" t="str">
        <f>'d. LogFrame'!A27</f>
        <v>Output</v>
      </c>
      <c r="B41" s="341">
        <f>'d. LogFrame'!B27</f>
        <v>3.1</v>
      </c>
      <c r="C41" s="342"/>
      <c r="D41" s="131"/>
      <c r="E41" s="126"/>
      <c r="F41" s="126"/>
      <c r="G41" s="126"/>
      <c r="H41" s="126"/>
      <c r="I41" s="126"/>
      <c r="J41" s="126"/>
      <c r="K41" s="126"/>
      <c r="L41" s="126"/>
      <c r="M41" s="126"/>
      <c r="N41" s="126"/>
      <c r="O41" s="135"/>
      <c r="P41" s="128"/>
      <c r="Q41" s="129"/>
      <c r="R41" s="129"/>
      <c r="S41" s="130"/>
      <c r="T41" s="131"/>
      <c r="U41" s="129"/>
      <c r="V41" s="129"/>
      <c r="W41" s="127"/>
      <c r="X41" s="128"/>
      <c r="Y41" s="129"/>
      <c r="Z41" s="129"/>
      <c r="AA41" s="130"/>
      <c r="AB41" s="132"/>
      <c r="AC41" s="368"/>
      <c r="AD41" s="369"/>
      <c r="AE41" s="368"/>
    </row>
    <row r="42" spans="1:31" ht="15.75" customHeight="1" x14ac:dyDescent="0.35">
      <c r="A42" s="343" t="s">
        <v>0</v>
      </c>
      <c r="B42" s="344" t="s">
        <v>71</v>
      </c>
      <c r="C42" s="345"/>
      <c r="D42" s="62"/>
      <c r="E42" s="63"/>
      <c r="F42" s="63"/>
      <c r="G42" s="63"/>
      <c r="H42" s="63"/>
      <c r="I42" s="63"/>
      <c r="J42" s="63"/>
      <c r="K42" s="63"/>
      <c r="L42" s="63"/>
      <c r="M42" s="63"/>
      <c r="N42" s="63"/>
      <c r="O42" s="67"/>
      <c r="P42" s="64"/>
      <c r="Q42" s="65"/>
      <c r="R42" s="65"/>
      <c r="S42" s="66"/>
      <c r="T42" s="62"/>
      <c r="U42" s="65"/>
      <c r="V42" s="65"/>
      <c r="W42" s="67"/>
      <c r="X42" s="64"/>
      <c r="Y42" s="65"/>
      <c r="Z42" s="65"/>
      <c r="AA42" s="66"/>
      <c r="AB42" s="68"/>
      <c r="AC42" s="69"/>
      <c r="AD42" s="169"/>
      <c r="AE42" s="164"/>
    </row>
    <row r="43" spans="1:31" ht="15.5" x14ac:dyDescent="0.35">
      <c r="A43" s="343" t="s">
        <v>0</v>
      </c>
      <c r="B43" s="830" t="s">
        <v>444</v>
      </c>
      <c r="C43" s="831"/>
      <c r="D43" s="832"/>
      <c r="E43" s="833"/>
      <c r="F43" s="833"/>
      <c r="G43" s="833"/>
      <c r="H43" s="833"/>
      <c r="I43" s="833"/>
      <c r="J43" s="833"/>
      <c r="K43" s="833"/>
      <c r="L43" s="833"/>
      <c r="M43" s="833"/>
      <c r="N43" s="833"/>
      <c r="O43" s="834"/>
      <c r="P43" s="835"/>
      <c r="Q43" s="836"/>
      <c r="R43" s="836"/>
      <c r="S43" s="837"/>
      <c r="T43" s="832"/>
      <c r="U43" s="836"/>
      <c r="V43" s="836"/>
      <c r="W43" s="834"/>
      <c r="X43" s="835"/>
      <c r="Y43" s="836"/>
      <c r="Z43" s="836"/>
      <c r="AA43" s="837"/>
      <c r="AB43" s="838"/>
      <c r="AC43" s="839"/>
      <c r="AD43" s="840"/>
      <c r="AE43" s="839"/>
    </row>
    <row r="44" spans="1:31" ht="15.5" x14ac:dyDescent="0.35">
      <c r="A44" s="343" t="s">
        <v>0</v>
      </c>
      <c r="B44" s="830" t="s">
        <v>445</v>
      </c>
      <c r="C44" s="831"/>
      <c r="D44" s="832"/>
      <c r="E44" s="833"/>
      <c r="F44" s="833"/>
      <c r="G44" s="833"/>
      <c r="H44" s="833"/>
      <c r="I44" s="833"/>
      <c r="J44" s="833"/>
      <c r="K44" s="833"/>
      <c r="L44" s="833"/>
      <c r="M44" s="833"/>
      <c r="N44" s="833"/>
      <c r="O44" s="834"/>
      <c r="P44" s="835"/>
      <c r="Q44" s="836"/>
      <c r="R44" s="836"/>
      <c r="S44" s="837"/>
      <c r="T44" s="832"/>
      <c r="U44" s="836"/>
      <c r="V44" s="836"/>
      <c r="W44" s="834"/>
      <c r="X44" s="835"/>
      <c r="Y44" s="836"/>
      <c r="Z44" s="836"/>
      <c r="AA44" s="837"/>
      <c r="AB44" s="838"/>
      <c r="AC44" s="839"/>
      <c r="AD44" s="840"/>
      <c r="AE44" s="839"/>
    </row>
    <row r="45" spans="1:31" ht="15.5" x14ac:dyDescent="0.35">
      <c r="A45" s="340" t="str">
        <f>'d. LogFrame'!A31</f>
        <v>Output</v>
      </c>
      <c r="B45" s="341">
        <v>3.2</v>
      </c>
      <c r="C45" s="342"/>
      <c r="D45" s="131"/>
      <c r="E45" s="126"/>
      <c r="F45" s="126"/>
      <c r="G45" s="126"/>
      <c r="H45" s="126"/>
      <c r="I45" s="126"/>
      <c r="J45" s="126"/>
      <c r="K45" s="126"/>
      <c r="L45" s="126"/>
      <c r="M45" s="126"/>
      <c r="N45" s="126"/>
      <c r="O45" s="135"/>
      <c r="P45" s="128"/>
      <c r="Q45" s="129"/>
      <c r="R45" s="129"/>
      <c r="S45" s="130"/>
      <c r="T45" s="131"/>
      <c r="U45" s="129"/>
      <c r="V45" s="129"/>
      <c r="W45" s="127"/>
      <c r="X45" s="128"/>
      <c r="Y45" s="129"/>
      <c r="Z45" s="129"/>
      <c r="AA45" s="130"/>
      <c r="AB45" s="132"/>
      <c r="AC45" s="368"/>
      <c r="AD45" s="369"/>
      <c r="AE45" s="368"/>
    </row>
    <row r="46" spans="1:31" ht="15.5" x14ac:dyDescent="0.35">
      <c r="A46" s="343" t="s">
        <v>0</v>
      </c>
      <c r="B46" s="344" t="s">
        <v>446</v>
      </c>
      <c r="C46" s="345"/>
      <c r="D46" s="62"/>
      <c r="E46" s="63"/>
      <c r="F46" s="63"/>
      <c r="G46" s="63"/>
      <c r="H46" s="63"/>
      <c r="I46" s="63"/>
      <c r="J46" s="63"/>
      <c r="K46" s="63"/>
      <c r="L46" s="63"/>
      <c r="M46" s="63"/>
      <c r="N46" s="63"/>
      <c r="O46" s="67"/>
      <c r="P46" s="64"/>
      <c r="Q46" s="65"/>
      <c r="R46" s="65"/>
      <c r="S46" s="66"/>
      <c r="T46" s="62"/>
      <c r="U46" s="65"/>
      <c r="V46" s="65"/>
      <c r="W46" s="67"/>
      <c r="X46" s="64"/>
      <c r="Y46" s="65"/>
      <c r="Z46" s="65"/>
      <c r="AA46" s="66"/>
      <c r="AB46" s="68"/>
      <c r="AC46" s="164"/>
      <c r="AD46" s="169"/>
      <c r="AE46" s="164"/>
    </row>
    <row r="47" spans="1:31" ht="15.5" x14ac:dyDescent="0.35">
      <c r="A47" s="343" t="s">
        <v>0</v>
      </c>
      <c r="B47" s="830" t="s">
        <v>442</v>
      </c>
      <c r="C47" s="831"/>
      <c r="D47" s="832"/>
      <c r="E47" s="833"/>
      <c r="F47" s="833"/>
      <c r="G47" s="833"/>
      <c r="H47" s="833"/>
      <c r="I47" s="833"/>
      <c r="J47" s="833"/>
      <c r="K47" s="833"/>
      <c r="L47" s="833"/>
      <c r="M47" s="833"/>
      <c r="N47" s="833"/>
      <c r="O47" s="834"/>
      <c r="P47" s="835"/>
      <c r="Q47" s="836"/>
      <c r="R47" s="836"/>
      <c r="S47" s="837"/>
      <c r="T47" s="832"/>
      <c r="U47" s="836"/>
      <c r="V47" s="836"/>
      <c r="W47" s="834"/>
      <c r="X47" s="835"/>
      <c r="Y47" s="836"/>
      <c r="Z47" s="836"/>
      <c r="AA47" s="837"/>
      <c r="AB47" s="838"/>
      <c r="AC47" s="839"/>
      <c r="AD47" s="840"/>
      <c r="AE47" s="839"/>
    </row>
    <row r="48" spans="1:31" ht="15.5" x14ac:dyDescent="0.35">
      <c r="A48" s="343" t="s">
        <v>0</v>
      </c>
      <c r="B48" s="830" t="s">
        <v>443</v>
      </c>
      <c r="C48" s="831"/>
      <c r="D48" s="832"/>
      <c r="E48" s="833"/>
      <c r="F48" s="833"/>
      <c r="G48" s="833"/>
      <c r="H48" s="833"/>
      <c r="I48" s="833"/>
      <c r="J48" s="833"/>
      <c r="K48" s="833"/>
      <c r="L48" s="833"/>
      <c r="M48" s="833"/>
      <c r="N48" s="833"/>
      <c r="O48" s="834"/>
      <c r="P48" s="835"/>
      <c r="Q48" s="836"/>
      <c r="R48" s="836"/>
      <c r="S48" s="837"/>
      <c r="T48" s="832"/>
      <c r="U48" s="836"/>
      <c r="V48" s="836"/>
      <c r="W48" s="834"/>
      <c r="X48" s="835"/>
      <c r="Y48" s="836"/>
      <c r="Z48" s="836"/>
      <c r="AA48" s="837"/>
      <c r="AB48" s="838"/>
      <c r="AC48" s="839"/>
      <c r="AD48" s="840"/>
      <c r="AE48" s="839"/>
    </row>
    <row r="49" spans="1:31" ht="15.5" x14ac:dyDescent="0.35">
      <c r="A49" s="340" t="str">
        <f>'d. LogFrame'!A35</f>
        <v>Output</v>
      </c>
      <c r="B49" s="341">
        <v>3.3</v>
      </c>
      <c r="C49" s="342"/>
      <c r="D49" s="131"/>
      <c r="E49" s="126"/>
      <c r="F49" s="126"/>
      <c r="G49" s="126"/>
      <c r="H49" s="126"/>
      <c r="I49" s="126"/>
      <c r="J49" s="126"/>
      <c r="K49" s="126"/>
      <c r="L49" s="126"/>
      <c r="M49" s="126"/>
      <c r="N49" s="126"/>
      <c r="O49" s="135"/>
      <c r="P49" s="128"/>
      <c r="Q49" s="129"/>
      <c r="R49" s="129"/>
      <c r="S49" s="130"/>
      <c r="T49" s="131"/>
      <c r="U49" s="129"/>
      <c r="V49" s="129"/>
      <c r="W49" s="127"/>
      <c r="X49" s="128"/>
      <c r="Y49" s="129"/>
      <c r="Z49" s="129"/>
      <c r="AA49" s="130"/>
      <c r="AB49" s="132"/>
      <c r="AC49" s="368"/>
      <c r="AD49" s="369"/>
      <c r="AE49" s="368"/>
    </row>
    <row r="50" spans="1:31" ht="15.5" x14ac:dyDescent="0.35">
      <c r="A50" s="343" t="s">
        <v>0</v>
      </c>
      <c r="B50" s="344" t="s">
        <v>447</v>
      </c>
      <c r="C50" s="345"/>
      <c r="D50" s="62"/>
      <c r="E50" s="63"/>
      <c r="F50" s="63"/>
      <c r="G50" s="63"/>
      <c r="H50" s="63"/>
      <c r="I50" s="63"/>
      <c r="J50" s="63"/>
      <c r="K50" s="63"/>
      <c r="L50" s="63"/>
      <c r="M50" s="63"/>
      <c r="N50" s="63"/>
      <c r="O50" s="67"/>
      <c r="P50" s="64"/>
      <c r="Q50" s="65"/>
      <c r="R50" s="65"/>
      <c r="S50" s="66"/>
      <c r="T50" s="62"/>
      <c r="U50" s="65"/>
      <c r="V50" s="65"/>
      <c r="W50" s="67"/>
      <c r="X50" s="64"/>
      <c r="Y50" s="65"/>
      <c r="Z50" s="65"/>
      <c r="AA50" s="66"/>
      <c r="AB50" s="68"/>
      <c r="AC50" s="164"/>
      <c r="AD50" s="169"/>
      <c r="AE50" s="164"/>
    </row>
    <row r="51" spans="1:31" ht="16" thickBot="1" x14ac:dyDescent="0.4">
      <c r="A51" s="343" t="s">
        <v>0</v>
      </c>
      <c r="B51" s="830" t="s">
        <v>448</v>
      </c>
      <c r="C51" s="831"/>
      <c r="D51" s="832"/>
      <c r="E51" s="833"/>
      <c r="F51" s="833"/>
      <c r="G51" s="833"/>
      <c r="H51" s="833"/>
      <c r="I51" s="833"/>
      <c r="J51" s="833"/>
      <c r="K51" s="833"/>
      <c r="L51" s="833"/>
      <c r="M51" s="833"/>
      <c r="N51" s="833"/>
      <c r="O51" s="834"/>
      <c r="P51" s="835"/>
      <c r="Q51" s="836"/>
      <c r="R51" s="836"/>
      <c r="S51" s="837"/>
      <c r="T51" s="832"/>
      <c r="U51" s="836"/>
      <c r="V51" s="836"/>
      <c r="W51" s="834"/>
      <c r="X51" s="835"/>
      <c r="Y51" s="836"/>
      <c r="Z51" s="836"/>
      <c r="AA51" s="837"/>
      <c r="AB51" s="838"/>
      <c r="AC51" s="839"/>
      <c r="AD51" s="840"/>
      <c r="AE51" s="839"/>
    </row>
    <row r="52" spans="1:31" s="1" customFormat="1" ht="15.5" x14ac:dyDescent="0.35">
      <c r="A52" s="346" t="str">
        <f>'d. LogFrame'!A30</f>
        <v>Outcome</v>
      </c>
      <c r="B52" s="347">
        <f>'d. LogFrame'!B30</f>
        <v>4</v>
      </c>
      <c r="C52" s="348">
        <f>'d. LogFrame'!E30</f>
        <v>0</v>
      </c>
      <c r="D52" s="136"/>
      <c r="E52" s="137"/>
      <c r="F52" s="137"/>
      <c r="G52" s="137"/>
      <c r="H52" s="137"/>
      <c r="I52" s="137"/>
      <c r="J52" s="137"/>
      <c r="K52" s="137"/>
      <c r="L52" s="137"/>
      <c r="M52" s="137"/>
      <c r="N52" s="137"/>
      <c r="O52" s="138"/>
      <c r="P52" s="139"/>
      <c r="Q52" s="137"/>
      <c r="R52" s="137"/>
      <c r="S52" s="140"/>
      <c r="T52" s="136"/>
      <c r="U52" s="137"/>
      <c r="V52" s="137"/>
      <c r="W52" s="138"/>
      <c r="X52" s="139"/>
      <c r="Y52" s="137"/>
      <c r="Z52" s="137"/>
      <c r="AA52" s="140"/>
      <c r="AB52" s="141"/>
      <c r="AC52" s="372"/>
      <c r="AD52" s="373"/>
      <c r="AE52" s="372"/>
    </row>
    <row r="53" spans="1:31" ht="15.5" x14ac:dyDescent="0.35">
      <c r="A53" s="349" t="str">
        <f>'d. LogFrame'!A31</f>
        <v>Output</v>
      </c>
      <c r="B53" s="350">
        <f>'d. LogFrame'!B31</f>
        <v>4.0999999999999996</v>
      </c>
      <c r="C53" s="351">
        <f>'d. LogFrame'!E31</f>
        <v>0</v>
      </c>
      <c r="D53" s="124"/>
      <c r="E53" s="122"/>
      <c r="F53" s="122"/>
      <c r="G53" s="122"/>
      <c r="H53" s="122"/>
      <c r="I53" s="122"/>
      <c r="J53" s="122"/>
      <c r="K53" s="122"/>
      <c r="L53" s="122"/>
      <c r="M53" s="122"/>
      <c r="N53" s="122"/>
      <c r="O53" s="120"/>
      <c r="P53" s="121"/>
      <c r="Q53" s="122"/>
      <c r="R53" s="122"/>
      <c r="S53" s="123"/>
      <c r="T53" s="124"/>
      <c r="U53" s="122"/>
      <c r="V53" s="122"/>
      <c r="W53" s="120"/>
      <c r="X53" s="121"/>
      <c r="Y53" s="122"/>
      <c r="Z53" s="122"/>
      <c r="AA53" s="123"/>
      <c r="AB53" s="125"/>
      <c r="AC53" s="368"/>
      <c r="AD53" s="369"/>
      <c r="AE53" s="368"/>
    </row>
    <row r="54" spans="1:31" ht="16" thickBot="1" x14ac:dyDescent="0.4">
      <c r="A54" s="352" t="s">
        <v>0</v>
      </c>
      <c r="B54" s="353" t="s">
        <v>73</v>
      </c>
      <c r="C54" s="354">
        <f>'d. LogFrame'!E32</f>
        <v>0</v>
      </c>
      <c r="D54" s="70"/>
      <c r="E54" s="134"/>
      <c r="F54" s="134"/>
      <c r="G54" s="134"/>
      <c r="H54" s="134"/>
      <c r="I54" s="134"/>
      <c r="J54" s="134"/>
      <c r="K54" s="134"/>
      <c r="L54" s="134"/>
      <c r="M54" s="134"/>
      <c r="N54" s="134"/>
      <c r="O54" s="72"/>
      <c r="P54" s="73"/>
      <c r="Q54" s="71"/>
      <c r="R54" s="71"/>
      <c r="S54" s="74"/>
      <c r="T54" s="70"/>
      <c r="U54" s="71"/>
      <c r="V54" s="71"/>
      <c r="W54" s="72"/>
      <c r="X54" s="73"/>
      <c r="Y54" s="71"/>
      <c r="Z54" s="71"/>
      <c r="AA54" s="74"/>
      <c r="AB54" s="75"/>
      <c r="AC54" s="76"/>
      <c r="AD54" s="170"/>
      <c r="AE54" s="165"/>
    </row>
    <row r="55" spans="1:31" s="1" customFormat="1" ht="15.5" x14ac:dyDescent="0.35">
      <c r="A55" s="355" t="str">
        <f>'d. LogFrame'!A34</f>
        <v>Outcome</v>
      </c>
      <c r="B55" s="356">
        <f>'d. LogFrame'!B34</f>
        <v>5</v>
      </c>
      <c r="C55" s="357">
        <f>'d. LogFrame'!E34</f>
        <v>0</v>
      </c>
      <c r="D55" s="77"/>
      <c r="E55" s="78"/>
      <c r="F55" s="78"/>
      <c r="G55" s="78"/>
      <c r="H55" s="78"/>
      <c r="I55" s="78"/>
      <c r="J55" s="78"/>
      <c r="K55" s="78"/>
      <c r="L55" s="78"/>
      <c r="M55" s="78"/>
      <c r="N55" s="78"/>
      <c r="O55" s="79"/>
      <c r="P55" s="80"/>
      <c r="Q55" s="78"/>
      <c r="R55" s="78"/>
      <c r="S55" s="81"/>
      <c r="T55" s="77"/>
      <c r="U55" s="78"/>
      <c r="V55" s="78"/>
      <c r="W55" s="79"/>
      <c r="X55" s="80"/>
      <c r="Y55" s="78"/>
      <c r="Z55" s="78"/>
      <c r="AA55" s="81"/>
      <c r="AB55" s="82"/>
      <c r="AC55" s="372"/>
      <c r="AD55" s="373"/>
      <c r="AE55" s="372"/>
    </row>
    <row r="56" spans="1:31" ht="15.5" x14ac:dyDescent="0.35">
      <c r="A56" s="358" t="str">
        <f>'d. LogFrame'!A35</f>
        <v>Output</v>
      </c>
      <c r="B56" s="359">
        <f>'d. LogFrame'!B35</f>
        <v>5.0999999999999996</v>
      </c>
      <c r="C56" s="360">
        <f>'d. LogFrame'!E35</f>
        <v>0</v>
      </c>
      <c r="D56" s="142"/>
      <c r="E56" s="143"/>
      <c r="F56" s="143"/>
      <c r="G56" s="143"/>
      <c r="H56" s="143"/>
      <c r="I56" s="143"/>
      <c r="J56" s="143"/>
      <c r="K56" s="143"/>
      <c r="L56" s="143"/>
      <c r="M56" s="143"/>
      <c r="N56" s="143"/>
      <c r="O56" s="144"/>
      <c r="P56" s="145"/>
      <c r="Q56" s="143"/>
      <c r="R56" s="143"/>
      <c r="S56" s="146"/>
      <c r="T56" s="142"/>
      <c r="U56" s="143"/>
      <c r="V56" s="143"/>
      <c r="W56" s="144"/>
      <c r="X56" s="145"/>
      <c r="Y56" s="143"/>
      <c r="Z56" s="143"/>
      <c r="AA56" s="146"/>
      <c r="AB56" s="147"/>
      <c r="AC56" s="368"/>
      <c r="AD56" s="369"/>
      <c r="AE56" s="368"/>
    </row>
    <row r="57" spans="1:31" ht="15.5" x14ac:dyDescent="0.35">
      <c r="A57" s="361" t="s">
        <v>0</v>
      </c>
      <c r="B57" s="362" t="s">
        <v>75</v>
      </c>
      <c r="C57" s="363">
        <f>'d. LogFrame'!E36</f>
        <v>0</v>
      </c>
      <c r="D57" s="148"/>
      <c r="E57" s="149"/>
      <c r="F57" s="149"/>
      <c r="G57" s="149"/>
      <c r="H57" s="149"/>
      <c r="I57" s="149"/>
      <c r="J57" s="149"/>
      <c r="K57" s="149"/>
      <c r="L57" s="149"/>
      <c r="M57" s="149"/>
      <c r="N57" s="149"/>
      <c r="O57" s="150"/>
      <c r="P57" s="151"/>
      <c r="Q57" s="152"/>
      <c r="R57" s="152"/>
      <c r="S57" s="153"/>
      <c r="T57" s="148"/>
      <c r="U57" s="152"/>
      <c r="V57" s="152"/>
      <c r="W57" s="150"/>
      <c r="X57" s="151"/>
      <c r="Y57" s="152"/>
      <c r="Z57" s="152"/>
      <c r="AA57" s="153"/>
      <c r="AB57" s="83"/>
      <c r="AC57" s="84"/>
      <c r="AD57" s="171"/>
      <c r="AE57" s="166"/>
    </row>
    <row r="65" spans="7:29" x14ac:dyDescent="0.35">
      <c r="G65" s="2"/>
      <c r="H65" s="2"/>
      <c r="I65" s="2"/>
      <c r="J65" s="2"/>
      <c r="K65" s="2"/>
      <c r="L65" s="2"/>
      <c r="M65" s="2"/>
      <c r="N65" s="2"/>
      <c r="O65" s="2"/>
      <c r="P65" s="2"/>
      <c r="Q65" s="2"/>
      <c r="R65" s="2"/>
      <c r="S65" s="2"/>
      <c r="T65" s="2"/>
      <c r="U65" s="2"/>
      <c r="V65" s="2"/>
      <c r="W65" s="2"/>
      <c r="X65" s="2"/>
      <c r="Y65" s="2"/>
      <c r="Z65" s="2"/>
      <c r="AA65" s="2"/>
      <c r="AB65" s="2"/>
      <c r="AC65" s="2"/>
    </row>
    <row r="66" spans="7:29" x14ac:dyDescent="0.35">
      <c r="G66" s="2"/>
      <c r="H66" s="2"/>
      <c r="I66" s="2"/>
      <c r="J66" s="2"/>
      <c r="K66" s="2"/>
      <c r="L66" s="2"/>
      <c r="M66" s="2"/>
      <c r="N66" s="2"/>
      <c r="O66" s="2"/>
      <c r="P66" s="2"/>
      <c r="Q66" s="2"/>
      <c r="R66" s="2"/>
      <c r="S66" s="2"/>
      <c r="T66" s="2"/>
      <c r="U66" s="2"/>
      <c r="V66" s="2"/>
      <c r="W66" s="2"/>
      <c r="X66" s="2"/>
      <c r="Y66" s="2"/>
      <c r="Z66" s="2"/>
      <c r="AA66" s="2"/>
      <c r="AB66" s="2"/>
      <c r="AC66" s="2"/>
    </row>
    <row r="67" spans="7:29" x14ac:dyDescent="0.35">
      <c r="G67" s="2"/>
      <c r="H67" s="2"/>
      <c r="I67" s="2"/>
      <c r="J67" s="2"/>
      <c r="K67" s="2"/>
      <c r="L67" s="2"/>
      <c r="M67" s="2"/>
      <c r="N67" s="2"/>
      <c r="O67" s="2"/>
      <c r="P67" s="2"/>
      <c r="Q67" s="2"/>
      <c r="R67" s="2"/>
      <c r="S67" s="2"/>
      <c r="T67" s="2"/>
      <c r="U67" s="2"/>
      <c r="V67" s="2"/>
      <c r="W67" s="2"/>
      <c r="X67" s="2"/>
      <c r="Y67" s="2"/>
      <c r="Z67" s="2"/>
      <c r="AA67" s="2"/>
      <c r="AB67" s="2"/>
      <c r="AC67" s="2"/>
    </row>
    <row r="68" spans="7:29" x14ac:dyDescent="0.35">
      <c r="G68" s="2"/>
      <c r="H68" s="2"/>
      <c r="I68" s="2"/>
      <c r="J68" s="2"/>
      <c r="K68" s="2"/>
      <c r="L68" s="2"/>
      <c r="M68" s="2"/>
      <c r="N68" s="2"/>
      <c r="O68" s="2"/>
      <c r="P68" s="2"/>
      <c r="Q68" s="2"/>
      <c r="R68" s="2"/>
      <c r="S68" s="2"/>
      <c r="T68" s="2"/>
      <c r="U68" s="2"/>
      <c r="V68" s="2"/>
      <c r="W68" s="2"/>
      <c r="X68" s="2"/>
      <c r="Y68" s="2"/>
      <c r="Z68" s="2"/>
      <c r="AA68" s="2"/>
      <c r="AB68" s="2"/>
      <c r="AC68" s="2"/>
    </row>
    <row r="69" spans="7:29" x14ac:dyDescent="0.35">
      <c r="G69" s="2"/>
      <c r="H69" s="2"/>
      <c r="I69" s="2"/>
      <c r="J69" s="2"/>
      <c r="K69" s="2"/>
      <c r="L69" s="2"/>
      <c r="M69" s="2"/>
      <c r="N69" s="2"/>
      <c r="O69" s="2"/>
      <c r="P69" s="2"/>
      <c r="Q69" s="2"/>
      <c r="R69" s="2"/>
      <c r="S69" s="2"/>
      <c r="T69" s="2"/>
      <c r="U69" s="2"/>
      <c r="V69" s="2"/>
      <c r="W69" s="2"/>
      <c r="X69" s="2"/>
      <c r="Y69" s="2"/>
      <c r="Z69" s="2"/>
      <c r="AA69" s="2"/>
      <c r="AB69" s="2"/>
      <c r="AC69" s="2"/>
    </row>
    <row r="70" spans="7:29" x14ac:dyDescent="0.35">
      <c r="G70" s="2"/>
      <c r="H70" s="2"/>
      <c r="I70" s="2"/>
      <c r="J70" s="2"/>
      <c r="K70" s="2"/>
      <c r="L70" s="2"/>
      <c r="M70" s="2"/>
      <c r="N70" s="2"/>
      <c r="O70" s="2"/>
      <c r="P70" s="2"/>
      <c r="Q70" s="2"/>
      <c r="R70" s="2"/>
      <c r="S70" s="2"/>
      <c r="T70" s="2"/>
      <c r="U70" s="2"/>
      <c r="V70" s="2"/>
      <c r="W70" s="2"/>
      <c r="X70" s="2"/>
      <c r="Y70" s="2"/>
      <c r="Z70" s="2"/>
      <c r="AA70" s="2"/>
      <c r="AB70" s="2"/>
      <c r="AC70" s="2"/>
    </row>
    <row r="71" spans="7:29" x14ac:dyDescent="0.35">
      <c r="G71" s="2"/>
      <c r="H71" s="2"/>
      <c r="I71" s="2"/>
      <c r="J71" s="2"/>
      <c r="K71" s="2"/>
      <c r="L71" s="2"/>
      <c r="M71" s="2"/>
      <c r="N71" s="2"/>
      <c r="O71" s="2"/>
      <c r="P71" s="2"/>
      <c r="Q71" s="2"/>
      <c r="R71" s="2"/>
      <c r="S71" s="2"/>
      <c r="T71" s="2"/>
      <c r="U71" s="2"/>
      <c r="V71" s="2"/>
      <c r="W71" s="2"/>
      <c r="X71" s="2"/>
      <c r="Y71" s="2"/>
      <c r="Z71" s="2"/>
      <c r="AA71" s="2"/>
      <c r="AB71" s="2"/>
      <c r="AC71" s="2"/>
    </row>
    <row r="72" spans="7:29" x14ac:dyDescent="0.35">
      <c r="G72" s="2"/>
      <c r="H72" s="2"/>
      <c r="I72" s="2"/>
      <c r="J72" s="2"/>
      <c r="K72" s="2"/>
      <c r="L72" s="2"/>
      <c r="M72" s="2"/>
      <c r="N72" s="2"/>
      <c r="O72" s="2"/>
      <c r="P72" s="2"/>
      <c r="Q72" s="2"/>
      <c r="R72" s="2"/>
      <c r="S72" s="2"/>
      <c r="T72" s="2"/>
      <c r="U72" s="2"/>
      <c r="V72" s="2"/>
      <c r="W72" s="2"/>
      <c r="X72" s="2"/>
      <c r="Y72" s="2"/>
      <c r="Z72" s="2"/>
      <c r="AA72" s="2"/>
      <c r="AB72" s="2"/>
      <c r="AC72" s="2"/>
    </row>
    <row r="73" spans="7:29" x14ac:dyDescent="0.35">
      <c r="G73" s="2"/>
      <c r="H73" s="2"/>
      <c r="I73" s="2"/>
      <c r="J73" s="2"/>
      <c r="K73" s="2"/>
      <c r="L73" s="2"/>
      <c r="M73" s="2"/>
      <c r="N73" s="2"/>
      <c r="O73" s="2"/>
      <c r="P73" s="2"/>
      <c r="Q73" s="2"/>
      <c r="R73" s="2"/>
      <c r="S73" s="2"/>
      <c r="T73" s="2"/>
      <c r="U73" s="2"/>
      <c r="V73" s="2"/>
      <c r="W73" s="2"/>
      <c r="X73" s="2"/>
      <c r="Y73" s="2"/>
      <c r="Z73" s="2"/>
      <c r="AA73" s="2"/>
      <c r="AB73" s="2"/>
      <c r="AC73" s="2"/>
    </row>
    <row r="74" spans="7:29" x14ac:dyDescent="0.35">
      <c r="G74" s="2"/>
      <c r="H74" s="2"/>
      <c r="I74" s="2"/>
      <c r="J74" s="2"/>
      <c r="K74" s="2"/>
      <c r="L74" s="2"/>
      <c r="M74" s="2"/>
      <c r="N74" s="2"/>
      <c r="O74" s="2"/>
      <c r="P74" s="2"/>
      <c r="Q74" s="2"/>
      <c r="R74" s="2"/>
      <c r="S74" s="2"/>
      <c r="T74" s="2"/>
      <c r="U74" s="2"/>
      <c r="V74" s="2"/>
      <c r="W74" s="2"/>
      <c r="X74" s="2"/>
      <c r="Y74" s="2"/>
      <c r="Z74" s="2"/>
      <c r="AA74" s="2"/>
      <c r="AB74" s="2"/>
      <c r="AC74" s="2"/>
    </row>
    <row r="75" spans="7:29" x14ac:dyDescent="0.35">
      <c r="G75" s="2"/>
      <c r="H75" s="2"/>
      <c r="I75" s="2"/>
      <c r="J75" s="2"/>
      <c r="K75" s="2"/>
      <c r="L75" s="2"/>
      <c r="M75" s="2"/>
      <c r="N75" s="2"/>
      <c r="O75" s="2"/>
      <c r="P75" s="2"/>
      <c r="Q75" s="2"/>
      <c r="R75" s="2"/>
      <c r="S75" s="2"/>
      <c r="T75" s="2"/>
      <c r="U75" s="2"/>
      <c r="V75" s="2"/>
      <c r="W75" s="2"/>
      <c r="X75" s="2"/>
      <c r="Y75" s="2"/>
      <c r="Z75" s="2"/>
      <c r="AA75" s="2"/>
      <c r="AB75" s="2"/>
      <c r="AC75" s="2"/>
    </row>
    <row r="76" spans="7:29" x14ac:dyDescent="0.35">
      <c r="G76" s="2"/>
      <c r="H76" s="2"/>
      <c r="I76" s="2"/>
      <c r="J76" s="2"/>
      <c r="K76" s="2"/>
      <c r="L76" s="2"/>
      <c r="M76" s="2"/>
      <c r="N76" s="2"/>
      <c r="O76" s="2"/>
      <c r="P76" s="2"/>
      <c r="Q76" s="2"/>
      <c r="R76" s="2"/>
      <c r="S76" s="2"/>
      <c r="T76" s="2"/>
      <c r="U76" s="2"/>
      <c r="V76" s="2"/>
      <c r="W76" s="2"/>
      <c r="X76" s="2"/>
      <c r="Y76" s="2"/>
      <c r="Z76" s="2"/>
      <c r="AA76" s="2"/>
      <c r="AB76" s="2"/>
      <c r="AC76" s="2"/>
    </row>
    <row r="77" spans="7:29" x14ac:dyDescent="0.35">
      <c r="G77" s="2"/>
      <c r="H77" s="2"/>
      <c r="I77" s="2"/>
      <c r="J77" s="2"/>
      <c r="K77" s="2"/>
      <c r="L77" s="2"/>
      <c r="M77" s="2"/>
      <c r="N77" s="2"/>
      <c r="O77" s="2"/>
      <c r="P77" s="2"/>
      <c r="Q77" s="2"/>
      <c r="R77" s="2"/>
      <c r="S77" s="2"/>
      <c r="T77" s="2"/>
      <c r="U77" s="2"/>
      <c r="V77" s="2"/>
      <c r="W77" s="2"/>
      <c r="X77" s="2"/>
      <c r="Y77" s="2"/>
      <c r="Z77" s="2"/>
      <c r="AA77" s="2"/>
      <c r="AB77" s="2"/>
      <c r="AC77" s="2"/>
    </row>
    <row r="78" spans="7:29" x14ac:dyDescent="0.35">
      <c r="G78" s="2"/>
      <c r="H78" s="2"/>
      <c r="I78" s="2"/>
      <c r="J78" s="2"/>
      <c r="K78" s="2"/>
      <c r="L78" s="2"/>
      <c r="M78" s="2"/>
      <c r="N78" s="2"/>
      <c r="O78" s="2"/>
      <c r="P78" s="2"/>
      <c r="Q78" s="2"/>
      <c r="R78" s="2"/>
      <c r="S78" s="2"/>
      <c r="T78" s="2"/>
      <c r="U78" s="2"/>
      <c r="V78" s="2"/>
      <c r="W78" s="2"/>
      <c r="X78" s="2"/>
      <c r="Y78" s="2"/>
      <c r="Z78" s="2"/>
      <c r="AA78" s="2"/>
      <c r="AB78" s="2"/>
      <c r="AC78" s="2"/>
    </row>
    <row r="79" spans="7:29" x14ac:dyDescent="0.35">
      <c r="G79" s="2"/>
      <c r="H79" s="2"/>
      <c r="I79" s="2"/>
      <c r="J79" s="2"/>
      <c r="K79" s="2"/>
      <c r="L79" s="2"/>
      <c r="M79" s="2"/>
      <c r="N79" s="2"/>
      <c r="O79" s="2"/>
      <c r="P79" s="2"/>
      <c r="Q79" s="2"/>
      <c r="R79" s="2"/>
      <c r="S79" s="2"/>
      <c r="T79" s="2"/>
      <c r="U79" s="2"/>
      <c r="V79" s="2"/>
      <c r="W79" s="2"/>
      <c r="X79" s="2"/>
      <c r="Y79" s="2"/>
      <c r="Z79" s="2"/>
      <c r="AA79" s="2"/>
      <c r="AB79" s="2"/>
      <c r="AC79" s="2"/>
    </row>
    <row r="80" spans="7:29" x14ac:dyDescent="0.35">
      <c r="G80" s="2"/>
      <c r="H80" s="2"/>
      <c r="I80" s="2"/>
      <c r="J80" s="2"/>
      <c r="K80" s="2"/>
      <c r="L80" s="2"/>
      <c r="M80" s="2"/>
      <c r="N80" s="2"/>
      <c r="O80" s="2"/>
      <c r="P80" s="2"/>
      <c r="Q80" s="2"/>
      <c r="R80" s="2"/>
      <c r="S80" s="2"/>
      <c r="T80" s="2"/>
      <c r="U80" s="2"/>
      <c r="V80" s="2"/>
      <c r="W80" s="2"/>
      <c r="X80" s="2"/>
      <c r="Y80" s="2"/>
      <c r="Z80" s="2"/>
      <c r="AA80" s="2"/>
      <c r="AB80" s="2"/>
      <c r="AC80" s="2"/>
    </row>
    <row r="81" spans="7:29" x14ac:dyDescent="0.35">
      <c r="G81" s="2"/>
      <c r="H81" s="2"/>
      <c r="I81" s="2"/>
      <c r="J81" s="2"/>
      <c r="K81" s="2"/>
      <c r="L81" s="2"/>
      <c r="M81" s="2"/>
      <c r="N81" s="2"/>
      <c r="O81" s="2"/>
      <c r="P81" s="2"/>
      <c r="Q81" s="2"/>
      <c r="R81" s="2"/>
      <c r="S81" s="2"/>
      <c r="T81" s="2"/>
      <c r="U81" s="2"/>
      <c r="V81" s="2"/>
      <c r="W81" s="2"/>
      <c r="X81" s="2"/>
      <c r="Y81" s="2"/>
      <c r="Z81" s="2"/>
      <c r="AA81" s="2"/>
      <c r="AB81" s="2"/>
      <c r="AC81" s="2"/>
    </row>
    <row r="82" spans="7:29" x14ac:dyDescent="0.35">
      <c r="G82" s="2"/>
      <c r="H82" s="2"/>
      <c r="I82" s="2"/>
      <c r="J82" s="2"/>
      <c r="K82" s="2"/>
      <c r="L82" s="2"/>
      <c r="M82" s="2"/>
      <c r="N82" s="2"/>
      <c r="O82" s="2"/>
      <c r="P82" s="2"/>
      <c r="Q82" s="2"/>
      <c r="R82" s="2"/>
      <c r="S82" s="2"/>
      <c r="T82" s="2"/>
      <c r="U82" s="2"/>
      <c r="V82" s="2"/>
      <c r="W82" s="2"/>
      <c r="X82" s="2"/>
      <c r="Y82" s="2"/>
      <c r="Z82" s="2"/>
      <c r="AA82" s="2"/>
      <c r="AB82" s="2"/>
      <c r="AC82" s="2"/>
    </row>
    <row r="83" spans="7:29" x14ac:dyDescent="0.35">
      <c r="G83" s="2"/>
      <c r="H83" s="2"/>
      <c r="I83" s="2"/>
      <c r="J83" s="2"/>
      <c r="K83" s="2"/>
      <c r="L83" s="2"/>
      <c r="M83" s="2"/>
      <c r="N83" s="2"/>
      <c r="O83" s="2"/>
      <c r="P83" s="2"/>
      <c r="Q83" s="2"/>
      <c r="R83" s="2"/>
      <c r="S83" s="2"/>
      <c r="T83" s="2"/>
      <c r="U83" s="2"/>
      <c r="V83" s="2"/>
      <c r="W83" s="2"/>
      <c r="X83" s="2"/>
      <c r="Y83" s="2"/>
      <c r="Z83" s="2"/>
      <c r="AA83" s="2"/>
      <c r="AB83" s="2"/>
      <c r="AC83" s="2"/>
    </row>
    <row r="84" spans="7:29" x14ac:dyDescent="0.35">
      <c r="G84" s="2"/>
      <c r="H84" s="2"/>
      <c r="I84" s="2"/>
      <c r="J84" s="2"/>
      <c r="K84" s="2"/>
      <c r="L84" s="2"/>
      <c r="M84" s="2"/>
      <c r="N84" s="2"/>
      <c r="O84" s="2"/>
      <c r="P84" s="2"/>
      <c r="Q84" s="2"/>
      <c r="R84" s="2"/>
      <c r="S84" s="2"/>
      <c r="T84" s="2"/>
      <c r="U84" s="2"/>
      <c r="V84" s="2"/>
      <c r="W84" s="2"/>
      <c r="X84" s="2"/>
      <c r="Y84" s="2"/>
      <c r="Z84" s="2"/>
      <c r="AA84" s="2"/>
      <c r="AB84" s="2"/>
      <c r="AC84" s="2"/>
    </row>
    <row r="85" spans="7:29" x14ac:dyDescent="0.35">
      <c r="G85" s="2"/>
      <c r="H85" s="2"/>
      <c r="I85" s="2"/>
      <c r="J85" s="2"/>
      <c r="K85" s="2"/>
      <c r="L85" s="2"/>
      <c r="M85" s="2"/>
      <c r="N85" s="2"/>
      <c r="O85" s="2"/>
      <c r="P85" s="2"/>
      <c r="Q85" s="2"/>
      <c r="R85" s="2"/>
      <c r="S85" s="2"/>
      <c r="T85" s="2"/>
      <c r="U85" s="2"/>
      <c r="V85" s="2"/>
      <c r="W85" s="2"/>
      <c r="X85" s="2"/>
      <c r="Y85" s="2"/>
      <c r="Z85" s="2"/>
      <c r="AA85" s="2"/>
      <c r="AB85" s="2"/>
      <c r="AC85" s="2"/>
    </row>
    <row r="86" spans="7:29" x14ac:dyDescent="0.35">
      <c r="G86" s="2"/>
      <c r="H86" s="2"/>
      <c r="I86" s="2"/>
      <c r="J86" s="2"/>
      <c r="K86" s="2"/>
      <c r="L86" s="2"/>
      <c r="M86" s="2"/>
      <c r="N86" s="2"/>
      <c r="O86" s="2"/>
      <c r="P86" s="2"/>
      <c r="Q86" s="2"/>
      <c r="R86" s="2"/>
      <c r="S86" s="2"/>
      <c r="T86" s="2"/>
      <c r="U86" s="2"/>
      <c r="V86" s="2"/>
      <c r="W86" s="2"/>
      <c r="X86" s="2"/>
      <c r="Y86" s="2"/>
      <c r="Z86" s="2"/>
      <c r="AA86" s="2"/>
      <c r="AB86" s="2"/>
      <c r="AC86" s="2"/>
    </row>
    <row r="87" spans="7:29" x14ac:dyDescent="0.35">
      <c r="G87" s="2"/>
      <c r="H87" s="2"/>
      <c r="I87" s="2"/>
      <c r="J87" s="2"/>
      <c r="K87" s="2"/>
      <c r="L87" s="2"/>
      <c r="M87" s="2"/>
      <c r="N87" s="2"/>
      <c r="O87" s="2"/>
      <c r="P87" s="2"/>
      <c r="Q87" s="2"/>
      <c r="R87" s="2"/>
      <c r="S87" s="2"/>
      <c r="T87" s="2"/>
      <c r="U87" s="2"/>
      <c r="V87" s="2"/>
      <c r="W87" s="2"/>
      <c r="X87" s="2"/>
      <c r="Y87" s="2"/>
      <c r="Z87" s="2"/>
      <c r="AA87" s="2"/>
      <c r="AB87" s="2"/>
      <c r="AC87" s="2"/>
    </row>
    <row r="88" spans="7:29" x14ac:dyDescent="0.35">
      <c r="G88" s="2"/>
      <c r="H88" s="2"/>
      <c r="I88" s="2"/>
      <c r="J88" s="2"/>
      <c r="K88" s="2"/>
      <c r="L88" s="2"/>
      <c r="M88" s="2"/>
      <c r="N88" s="2"/>
      <c r="O88" s="2"/>
      <c r="P88" s="2"/>
      <c r="Q88" s="2"/>
      <c r="R88" s="2"/>
      <c r="S88" s="2"/>
      <c r="T88" s="2"/>
      <c r="U88" s="2"/>
      <c r="V88" s="2"/>
      <c r="W88" s="2"/>
      <c r="X88" s="2"/>
      <c r="Y88" s="2"/>
      <c r="Z88" s="2"/>
      <c r="AA88" s="2"/>
      <c r="AB88" s="2"/>
      <c r="AC88" s="2"/>
    </row>
    <row r="89" spans="7:29" x14ac:dyDescent="0.35">
      <c r="G89" s="2"/>
      <c r="H89" s="2"/>
      <c r="I89" s="2"/>
      <c r="J89" s="2"/>
      <c r="K89" s="2"/>
      <c r="L89" s="2"/>
      <c r="M89" s="2"/>
      <c r="N89" s="2"/>
      <c r="O89" s="2"/>
      <c r="P89" s="2"/>
      <c r="Q89" s="2"/>
      <c r="R89" s="2"/>
      <c r="S89" s="2"/>
      <c r="T89" s="2"/>
      <c r="U89" s="2"/>
      <c r="V89" s="2"/>
      <c r="W89" s="2"/>
      <c r="X89" s="2"/>
      <c r="Y89" s="2"/>
      <c r="Z89" s="2"/>
      <c r="AA89" s="2"/>
      <c r="AB89" s="2"/>
      <c r="AC89" s="2"/>
    </row>
    <row r="90" spans="7:29" x14ac:dyDescent="0.35">
      <c r="G90" s="2"/>
      <c r="H90" s="2"/>
      <c r="I90" s="2"/>
      <c r="J90" s="2"/>
      <c r="K90" s="2"/>
      <c r="L90" s="2"/>
      <c r="M90" s="2"/>
      <c r="N90" s="2"/>
      <c r="O90" s="2"/>
      <c r="P90" s="2"/>
      <c r="Q90" s="2"/>
      <c r="R90" s="2"/>
      <c r="S90" s="2"/>
      <c r="T90" s="2"/>
      <c r="U90" s="2"/>
      <c r="V90" s="2"/>
      <c r="W90" s="2"/>
      <c r="X90" s="2"/>
      <c r="Y90" s="2"/>
      <c r="Z90" s="2"/>
      <c r="AA90" s="2"/>
      <c r="AB90" s="2"/>
      <c r="AC90" s="2"/>
    </row>
    <row r="91" spans="7:29" x14ac:dyDescent="0.35">
      <c r="G91" s="2"/>
      <c r="H91" s="2"/>
      <c r="I91" s="2"/>
      <c r="J91" s="2"/>
      <c r="K91" s="2"/>
      <c r="L91" s="2"/>
      <c r="M91" s="2"/>
      <c r="N91" s="2"/>
      <c r="O91" s="2"/>
      <c r="P91" s="2"/>
      <c r="Q91" s="2"/>
      <c r="R91" s="2"/>
      <c r="S91" s="2"/>
      <c r="T91" s="2"/>
      <c r="U91" s="2"/>
      <c r="V91" s="2"/>
      <c r="W91" s="2"/>
      <c r="X91" s="2"/>
      <c r="Y91" s="2"/>
      <c r="Z91" s="2"/>
      <c r="AA91" s="2"/>
      <c r="AB91" s="2"/>
      <c r="AC91" s="2"/>
    </row>
    <row r="92" spans="7:29" x14ac:dyDescent="0.35">
      <c r="G92" s="2"/>
      <c r="H92" s="2"/>
      <c r="I92" s="2"/>
      <c r="J92" s="2"/>
      <c r="K92" s="2"/>
      <c r="L92" s="2"/>
      <c r="M92" s="2"/>
      <c r="N92" s="2"/>
      <c r="O92" s="2"/>
      <c r="P92" s="2"/>
      <c r="Q92" s="2"/>
      <c r="R92" s="2"/>
      <c r="S92" s="2"/>
      <c r="T92" s="2"/>
      <c r="U92" s="2"/>
      <c r="V92" s="2"/>
      <c r="W92" s="2"/>
      <c r="X92" s="2"/>
      <c r="Y92" s="2"/>
      <c r="Z92" s="2"/>
      <c r="AA92" s="2"/>
      <c r="AB92" s="2"/>
      <c r="AC92" s="2"/>
    </row>
    <row r="93" spans="7:29" x14ac:dyDescent="0.35">
      <c r="G93" s="2"/>
      <c r="H93" s="2"/>
      <c r="I93" s="2"/>
      <c r="J93" s="2"/>
      <c r="K93" s="2"/>
      <c r="L93" s="2"/>
      <c r="M93" s="2"/>
      <c r="N93" s="2"/>
      <c r="O93" s="2"/>
      <c r="P93" s="2"/>
      <c r="Q93" s="2"/>
      <c r="R93" s="2"/>
      <c r="S93" s="2"/>
      <c r="T93" s="2"/>
      <c r="U93" s="2"/>
      <c r="V93" s="2"/>
      <c r="W93" s="2"/>
      <c r="X93" s="2"/>
      <c r="Y93" s="2"/>
      <c r="Z93" s="2"/>
      <c r="AA93" s="2"/>
      <c r="AB93" s="2"/>
      <c r="AC93" s="2"/>
    </row>
    <row r="94" spans="7:29" x14ac:dyDescent="0.35">
      <c r="G94" s="2"/>
      <c r="H94" s="2"/>
      <c r="I94" s="2"/>
      <c r="J94" s="2"/>
      <c r="K94" s="2"/>
      <c r="L94" s="2"/>
      <c r="M94" s="2"/>
      <c r="N94" s="2"/>
      <c r="O94" s="2"/>
      <c r="P94" s="2"/>
      <c r="Q94" s="2"/>
      <c r="R94" s="2"/>
      <c r="S94" s="2"/>
      <c r="T94" s="2"/>
      <c r="U94" s="2"/>
      <c r="V94" s="2"/>
      <c r="W94" s="2"/>
      <c r="X94" s="2"/>
      <c r="Y94" s="2"/>
      <c r="Z94" s="2"/>
      <c r="AA94" s="2"/>
      <c r="AB94" s="2"/>
      <c r="AC94" s="2"/>
    </row>
    <row r="95" spans="7:29" x14ac:dyDescent="0.35">
      <c r="G95" s="2"/>
      <c r="H95" s="2"/>
      <c r="I95" s="2"/>
      <c r="J95" s="2"/>
      <c r="K95" s="2"/>
      <c r="L95" s="2"/>
      <c r="M95" s="2"/>
      <c r="N95" s="2"/>
      <c r="O95" s="2"/>
      <c r="P95" s="2"/>
      <c r="Q95" s="2"/>
      <c r="R95" s="2"/>
      <c r="S95" s="2"/>
      <c r="T95" s="2"/>
      <c r="U95" s="2"/>
      <c r="V95" s="2"/>
      <c r="W95" s="2"/>
      <c r="X95" s="2"/>
      <c r="Y95" s="2"/>
      <c r="Z95" s="2"/>
      <c r="AA95" s="2"/>
      <c r="AB95" s="2"/>
      <c r="AC95" s="2"/>
    </row>
    <row r="96" spans="7:29" x14ac:dyDescent="0.35">
      <c r="G96" s="2"/>
      <c r="H96" s="2"/>
      <c r="I96" s="2"/>
      <c r="J96" s="2"/>
      <c r="K96" s="2"/>
      <c r="L96" s="2"/>
      <c r="M96" s="2"/>
      <c r="N96" s="2"/>
      <c r="O96" s="2"/>
      <c r="P96" s="2"/>
      <c r="Q96" s="2"/>
      <c r="R96" s="2"/>
      <c r="S96" s="2"/>
      <c r="T96" s="2"/>
      <c r="U96" s="2"/>
      <c r="V96" s="2"/>
      <c r="W96" s="2"/>
      <c r="X96" s="2"/>
      <c r="Y96" s="2"/>
      <c r="Z96" s="2"/>
      <c r="AA96" s="2"/>
      <c r="AB96" s="2"/>
      <c r="AC96" s="2"/>
    </row>
    <row r="97" spans="7:29" x14ac:dyDescent="0.35">
      <c r="G97" s="2"/>
      <c r="H97" s="2"/>
      <c r="I97" s="2"/>
      <c r="J97" s="2"/>
      <c r="K97" s="2"/>
      <c r="L97" s="2"/>
      <c r="M97" s="2"/>
      <c r="N97" s="2"/>
      <c r="O97" s="2"/>
      <c r="P97" s="2"/>
      <c r="Q97" s="2"/>
      <c r="R97" s="2"/>
      <c r="S97" s="2"/>
      <c r="T97" s="2"/>
      <c r="U97" s="2"/>
      <c r="V97" s="2"/>
      <c r="W97" s="2"/>
      <c r="X97" s="2"/>
      <c r="Y97" s="2"/>
      <c r="Z97" s="2"/>
      <c r="AA97" s="2"/>
      <c r="AB97" s="2"/>
      <c r="AC97" s="2"/>
    </row>
    <row r="98" spans="7:29" x14ac:dyDescent="0.35">
      <c r="G98" s="2"/>
      <c r="H98" s="2"/>
      <c r="I98" s="2"/>
      <c r="J98" s="2"/>
      <c r="K98" s="2"/>
      <c r="L98" s="2"/>
      <c r="M98" s="2"/>
      <c r="N98" s="2"/>
      <c r="O98" s="2"/>
      <c r="P98" s="2"/>
      <c r="Q98" s="2"/>
      <c r="R98" s="2"/>
      <c r="S98" s="2"/>
      <c r="T98" s="2"/>
      <c r="U98" s="2"/>
      <c r="V98" s="2"/>
      <c r="W98" s="2"/>
      <c r="X98" s="2"/>
      <c r="Y98" s="2"/>
      <c r="Z98" s="2"/>
      <c r="AA98" s="2"/>
      <c r="AB98" s="2"/>
      <c r="AC98" s="2"/>
    </row>
    <row r="99" spans="7:29" x14ac:dyDescent="0.35">
      <c r="G99" s="2"/>
      <c r="H99" s="2"/>
      <c r="I99" s="2"/>
      <c r="J99" s="2"/>
      <c r="K99" s="2"/>
      <c r="L99" s="2"/>
      <c r="M99" s="2"/>
      <c r="N99" s="2"/>
      <c r="O99" s="2"/>
      <c r="P99" s="2"/>
      <c r="Q99" s="2"/>
      <c r="R99" s="2"/>
      <c r="S99" s="2"/>
      <c r="T99" s="2"/>
      <c r="U99" s="2"/>
      <c r="V99" s="2"/>
      <c r="W99" s="2"/>
      <c r="X99" s="2"/>
      <c r="Y99" s="2"/>
      <c r="Z99" s="2"/>
      <c r="AA99" s="2"/>
      <c r="AB99" s="2"/>
      <c r="AC99" s="2"/>
    </row>
    <row r="100" spans="7:29" x14ac:dyDescent="0.35">
      <c r="G100" s="2"/>
      <c r="H100" s="2"/>
      <c r="I100" s="2"/>
      <c r="J100" s="2"/>
      <c r="K100" s="2"/>
      <c r="L100" s="2"/>
      <c r="M100" s="2"/>
      <c r="N100" s="2"/>
      <c r="O100" s="2"/>
      <c r="P100" s="2"/>
      <c r="Q100" s="2"/>
      <c r="R100" s="2"/>
      <c r="S100" s="2"/>
      <c r="T100" s="2"/>
      <c r="U100" s="2"/>
      <c r="V100" s="2"/>
      <c r="W100" s="2"/>
      <c r="X100" s="2"/>
      <c r="Y100" s="2"/>
      <c r="Z100" s="2"/>
      <c r="AA100" s="2"/>
      <c r="AB100" s="2"/>
      <c r="AC100" s="2"/>
    </row>
    <row r="101" spans="7:29" x14ac:dyDescent="0.35">
      <c r="G101" s="2"/>
      <c r="H101" s="2"/>
      <c r="I101" s="2"/>
      <c r="J101" s="2"/>
      <c r="K101" s="2"/>
      <c r="L101" s="2"/>
      <c r="M101" s="2"/>
      <c r="N101" s="2"/>
      <c r="O101" s="2"/>
      <c r="P101" s="2"/>
      <c r="Q101" s="2"/>
      <c r="R101" s="2"/>
      <c r="S101" s="2"/>
      <c r="T101" s="2"/>
      <c r="U101" s="2"/>
      <c r="V101" s="2"/>
      <c r="W101" s="2"/>
      <c r="X101" s="2"/>
      <c r="Y101" s="2"/>
      <c r="Z101" s="2"/>
      <c r="AA101" s="2"/>
      <c r="AB101" s="2"/>
      <c r="AC101" s="2"/>
    </row>
    <row r="102" spans="7:29" x14ac:dyDescent="0.35">
      <c r="G102" s="2"/>
      <c r="H102" s="2"/>
      <c r="I102" s="2"/>
      <c r="J102" s="2"/>
      <c r="K102" s="2"/>
      <c r="L102" s="2"/>
      <c r="M102" s="2"/>
      <c r="N102" s="2"/>
      <c r="O102" s="2"/>
      <c r="P102" s="2"/>
      <c r="Q102" s="2"/>
      <c r="R102" s="2"/>
      <c r="S102" s="2"/>
      <c r="T102" s="2"/>
      <c r="U102" s="2"/>
      <c r="V102" s="2"/>
      <c r="W102" s="2"/>
      <c r="X102" s="2"/>
      <c r="Y102" s="2"/>
      <c r="Z102" s="2"/>
      <c r="AA102" s="2"/>
      <c r="AB102" s="2"/>
      <c r="AC102" s="2"/>
    </row>
    <row r="103" spans="7:29" x14ac:dyDescent="0.35">
      <c r="G103" s="2"/>
      <c r="H103" s="2"/>
      <c r="I103" s="2"/>
      <c r="J103" s="2"/>
      <c r="K103" s="2"/>
      <c r="L103" s="2"/>
      <c r="M103" s="2"/>
      <c r="N103" s="2"/>
      <c r="O103" s="2"/>
      <c r="P103" s="2"/>
      <c r="Q103" s="2"/>
      <c r="R103" s="2"/>
      <c r="S103" s="2"/>
      <c r="T103" s="2"/>
      <c r="U103" s="2"/>
      <c r="V103" s="2"/>
      <c r="W103" s="2"/>
      <c r="X103" s="2"/>
      <c r="Y103" s="2"/>
      <c r="Z103" s="2"/>
      <c r="AA103" s="2"/>
      <c r="AB103" s="2"/>
      <c r="AC103" s="2"/>
    </row>
    <row r="104" spans="7:29" x14ac:dyDescent="0.35">
      <c r="G104" s="2"/>
      <c r="H104" s="2"/>
      <c r="I104" s="2"/>
      <c r="J104" s="2"/>
      <c r="K104" s="2"/>
      <c r="L104" s="2"/>
      <c r="M104" s="2"/>
      <c r="N104" s="2"/>
      <c r="O104" s="2"/>
      <c r="P104" s="2"/>
      <c r="Q104" s="2"/>
      <c r="R104" s="2"/>
      <c r="S104" s="2"/>
      <c r="T104" s="2"/>
      <c r="U104" s="2"/>
      <c r="V104" s="2"/>
      <c r="W104" s="2"/>
      <c r="X104" s="2"/>
      <c r="Y104" s="2"/>
      <c r="Z104" s="2"/>
      <c r="AA104" s="2"/>
      <c r="AB104" s="2"/>
      <c r="AC104" s="2"/>
    </row>
    <row r="105" spans="7:29" x14ac:dyDescent="0.35">
      <c r="G105" s="2"/>
      <c r="H105" s="2"/>
      <c r="I105" s="2"/>
      <c r="J105" s="2"/>
      <c r="K105" s="2"/>
      <c r="L105" s="2"/>
      <c r="M105" s="2"/>
      <c r="N105" s="2"/>
      <c r="O105" s="2"/>
      <c r="P105" s="2"/>
      <c r="Q105" s="2"/>
      <c r="R105" s="2"/>
      <c r="S105" s="2"/>
      <c r="T105" s="2"/>
      <c r="U105" s="2"/>
      <c r="V105" s="2"/>
      <c r="W105" s="2"/>
      <c r="X105" s="2"/>
      <c r="Y105" s="2"/>
      <c r="Z105" s="2"/>
      <c r="AA105" s="2"/>
      <c r="AB105" s="2"/>
      <c r="AC105" s="2"/>
    </row>
    <row r="106" spans="7:29" x14ac:dyDescent="0.35">
      <c r="G106" s="2"/>
      <c r="H106" s="2"/>
      <c r="I106" s="2"/>
      <c r="J106" s="2"/>
      <c r="K106" s="2"/>
      <c r="L106" s="2"/>
      <c r="M106" s="2"/>
      <c r="N106" s="2"/>
      <c r="O106" s="2"/>
      <c r="P106" s="2"/>
      <c r="Q106" s="2"/>
      <c r="R106" s="2"/>
      <c r="S106" s="2"/>
      <c r="T106" s="2"/>
      <c r="U106" s="2"/>
      <c r="V106" s="2"/>
      <c r="W106" s="2"/>
      <c r="X106" s="2"/>
      <c r="Y106" s="2"/>
      <c r="Z106" s="2"/>
      <c r="AA106" s="2"/>
      <c r="AB106" s="2"/>
      <c r="AC106" s="2"/>
    </row>
    <row r="107" spans="7:29" x14ac:dyDescent="0.35">
      <c r="G107" s="2"/>
      <c r="H107" s="2"/>
      <c r="I107" s="2"/>
      <c r="J107" s="2"/>
      <c r="K107" s="2"/>
      <c r="L107" s="2"/>
      <c r="M107" s="2"/>
      <c r="N107" s="2"/>
      <c r="O107" s="2"/>
      <c r="P107" s="2"/>
      <c r="Q107" s="2"/>
      <c r="R107" s="2"/>
      <c r="S107" s="2"/>
      <c r="T107" s="2"/>
      <c r="U107" s="2"/>
      <c r="V107" s="2"/>
      <c r="W107" s="2"/>
      <c r="X107" s="2"/>
      <c r="Y107" s="2"/>
      <c r="Z107" s="2"/>
      <c r="AA107" s="2"/>
      <c r="AB107" s="2"/>
      <c r="AC107" s="2"/>
    </row>
    <row r="108" spans="7:29" x14ac:dyDescent="0.35">
      <c r="G108" s="2"/>
      <c r="H108" s="2"/>
      <c r="I108" s="2"/>
      <c r="J108" s="2"/>
      <c r="K108" s="2"/>
      <c r="L108" s="2"/>
      <c r="M108" s="2"/>
      <c r="N108" s="2"/>
      <c r="O108" s="2"/>
      <c r="P108" s="2"/>
      <c r="Q108" s="2"/>
      <c r="R108" s="2"/>
      <c r="S108" s="2"/>
      <c r="T108" s="2"/>
      <c r="U108" s="2"/>
      <c r="V108" s="2"/>
      <c r="W108" s="2"/>
      <c r="X108" s="2"/>
      <c r="Y108" s="2"/>
      <c r="Z108" s="2"/>
      <c r="AA108" s="2"/>
      <c r="AB108" s="2"/>
      <c r="AC108" s="2"/>
    </row>
    <row r="109" spans="7:29" x14ac:dyDescent="0.35">
      <c r="G109" s="2"/>
      <c r="H109" s="2"/>
      <c r="I109" s="2"/>
      <c r="J109" s="2"/>
      <c r="K109" s="2"/>
      <c r="L109" s="2"/>
      <c r="M109" s="2"/>
      <c r="N109" s="2"/>
      <c r="O109" s="2"/>
      <c r="P109" s="2"/>
      <c r="Q109" s="2"/>
      <c r="R109" s="2"/>
      <c r="S109" s="2"/>
      <c r="T109" s="2"/>
      <c r="U109" s="2"/>
      <c r="V109" s="2"/>
      <c r="W109" s="2"/>
      <c r="X109" s="2"/>
      <c r="Y109" s="2"/>
      <c r="Z109" s="2"/>
      <c r="AA109" s="2"/>
      <c r="AB109" s="2"/>
      <c r="AC109" s="2"/>
    </row>
    <row r="110" spans="7:29" x14ac:dyDescent="0.35">
      <c r="G110" s="2"/>
      <c r="H110" s="2"/>
      <c r="I110" s="2"/>
      <c r="J110" s="2"/>
      <c r="K110" s="2"/>
      <c r="L110" s="2"/>
      <c r="M110" s="2"/>
      <c r="N110" s="2"/>
      <c r="O110" s="2"/>
      <c r="P110" s="2"/>
      <c r="Q110" s="2"/>
      <c r="R110" s="2"/>
      <c r="S110" s="2"/>
      <c r="T110" s="2"/>
      <c r="U110" s="2"/>
      <c r="V110" s="2"/>
      <c r="W110" s="2"/>
      <c r="X110" s="2"/>
      <c r="Y110" s="2"/>
      <c r="Z110" s="2"/>
      <c r="AA110" s="2"/>
      <c r="AB110" s="2"/>
      <c r="AC110" s="2"/>
    </row>
    <row r="111" spans="7:29" x14ac:dyDescent="0.35">
      <c r="G111" s="2"/>
      <c r="H111" s="2"/>
      <c r="I111" s="2"/>
      <c r="J111" s="2"/>
      <c r="K111" s="2"/>
      <c r="L111" s="2"/>
      <c r="M111" s="2"/>
      <c r="N111" s="2"/>
      <c r="O111" s="2"/>
      <c r="P111" s="2"/>
      <c r="Q111" s="2"/>
      <c r="R111" s="2"/>
      <c r="S111" s="2"/>
      <c r="T111" s="2"/>
      <c r="U111" s="2"/>
      <c r="V111" s="2"/>
      <c r="W111" s="2"/>
      <c r="X111" s="2"/>
      <c r="Y111" s="2"/>
      <c r="Z111" s="2"/>
      <c r="AA111" s="2"/>
      <c r="AB111" s="2"/>
      <c r="AC111" s="2"/>
    </row>
    <row r="112" spans="7:29" x14ac:dyDescent="0.35">
      <c r="G112" s="2"/>
      <c r="H112" s="2"/>
      <c r="I112" s="2"/>
      <c r="J112" s="2"/>
      <c r="K112" s="2"/>
      <c r="L112" s="2"/>
      <c r="M112" s="2"/>
      <c r="N112" s="2"/>
      <c r="O112" s="2"/>
      <c r="P112" s="2"/>
      <c r="Q112" s="2"/>
      <c r="R112" s="2"/>
      <c r="S112" s="2"/>
      <c r="T112" s="2"/>
      <c r="U112" s="2"/>
      <c r="V112" s="2"/>
      <c r="W112" s="2"/>
      <c r="X112" s="2"/>
      <c r="Y112" s="2"/>
      <c r="Z112" s="2"/>
      <c r="AA112" s="2"/>
      <c r="AB112" s="2"/>
      <c r="AC112" s="2"/>
    </row>
    <row r="113" spans="7:29" x14ac:dyDescent="0.35">
      <c r="G113" s="2"/>
      <c r="H113" s="2"/>
      <c r="I113" s="2"/>
      <c r="J113" s="2"/>
      <c r="K113" s="2"/>
      <c r="L113" s="2"/>
      <c r="M113" s="2"/>
      <c r="N113" s="2"/>
      <c r="O113" s="2"/>
      <c r="P113" s="2"/>
      <c r="Q113" s="2"/>
      <c r="R113" s="2"/>
      <c r="S113" s="2"/>
      <c r="T113" s="2"/>
      <c r="U113" s="2"/>
      <c r="V113" s="2"/>
      <c r="W113" s="2"/>
      <c r="X113" s="2"/>
      <c r="Y113" s="2"/>
      <c r="Z113" s="2"/>
      <c r="AA113" s="2"/>
      <c r="AB113" s="2"/>
      <c r="AC113" s="2"/>
    </row>
    <row r="114" spans="7:29" x14ac:dyDescent="0.35">
      <c r="G114" s="2"/>
      <c r="H114" s="2"/>
      <c r="I114" s="2"/>
      <c r="J114" s="2"/>
      <c r="K114" s="2"/>
      <c r="L114" s="2"/>
      <c r="M114" s="2"/>
      <c r="N114" s="2"/>
      <c r="O114" s="2"/>
      <c r="P114" s="2"/>
      <c r="Q114" s="2"/>
      <c r="R114" s="2"/>
      <c r="S114" s="2"/>
      <c r="T114" s="2"/>
      <c r="U114" s="2"/>
      <c r="V114" s="2"/>
      <c r="W114" s="2"/>
      <c r="X114" s="2"/>
      <c r="Y114" s="2"/>
      <c r="Z114" s="2"/>
      <c r="AA114" s="2"/>
      <c r="AB114" s="2"/>
      <c r="AC114" s="2"/>
    </row>
    <row r="115" spans="7:29" x14ac:dyDescent="0.35">
      <c r="G115" s="2"/>
      <c r="H115" s="2"/>
      <c r="I115" s="2"/>
      <c r="J115" s="2"/>
      <c r="K115" s="2"/>
      <c r="L115" s="2"/>
      <c r="M115" s="2"/>
      <c r="N115" s="2"/>
      <c r="O115" s="2"/>
      <c r="P115" s="2"/>
      <c r="Q115" s="2"/>
      <c r="R115" s="2"/>
      <c r="S115" s="2"/>
      <c r="T115" s="2"/>
      <c r="U115" s="2"/>
      <c r="V115" s="2"/>
      <c r="W115" s="2"/>
      <c r="X115" s="2"/>
      <c r="Y115" s="2"/>
      <c r="Z115" s="2"/>
      <c r="AA115" s="2"/>
      <c r="AB115" s="2"/>
      <c r="AC115" s="2"/>
    </row>
    <row r="116" spans="7:29" x14ac:dyDescent="0.35">
      <c r="G116" s="2"/>
      <c r="H116" s="2"/>
      <c r="I116" s="2"/>
      <c r="J116" s="2"/>
      <c r="K116" s="2"/>
      <c r="L116" s="2"/>
      <c r="M116" s="2"/>
      <c r="N116" s="2"/>
      <c r="O116" s="2"/>
      <c r="P116" s="2"/>
      <c r="Q116" s="2"/>
      <c r="R116" s="2"/>
      <c r="S116" s="2"/>
      <c r="T116" s="2"/>
      <c r="U116" s="2"/>
      <c r="V116" s="2"/>
      <c r="W116" s="2"/>
      <c r="X116" s="2"/>
      <c r="Y116" s="2"/>
      <c r="Z116" s="2"/>
      <c r="AA116" s="2"/>
      <c r="AB116" s="2"/>
      <c r="AC116" s="2"/>
    </row>
    <row r="117" spans="7:29" x14ac:dyDescent="0.35">
      <c r="G117" s="2"/>
      <c r="H117" s="2"/>
      <c r="I117" s="2"/>
      <c r="J117" s="2"/>
      <c r="K117" s="2"/>
      <c r="L117" s="2"/>
      <c r="M117" s="2"/>
      <c r="N117" s="2"/>
      <c r="O117" s="2"/>
      <c r="P117" s="2"/>
      <c r="Q117" s="2"/>
      <c r="R117" s="2"/>
      <c r="S117" s="2"/>
      <c r="T117" s="2"/>
      <c r="U117" s="2"/>
      <c r="V117" s="2"/>
      <c r="W117" s="2"/>
      <c r="X117" s="2"/>
      <c r="Y117" s="2"/>
      <c r="Z117" s="2"/>
      <c r="AA117" s="2"/>
      <c r="AB117" s="2"/>
      <c r="AC117" s="2"/>
    </row>
    <row r="118" spans="7:29" x14ac:dyDescent="0.35">
      <c r="G118" s="2"/>
      <c r="H118" s="2"/>
      <c r="I118" s="2"/>
      <c r="J118" s="2"/>
      <c r="K118" s="2"/>
      <c r="L118" s="2"/>
      <c r="M118" s="2"/>
      <c r="N118" s="2"/>
      <c r="O118" s="2"/>
      <c r="P118" s="2"/>
      <c r="Q118" s="2"/>
      <c r="R118" s="2"/>
      <c r="S118" s="2"/>
      <c r="T118" s="2"/>
      <c r="U118" s="2"/>
      <c r="V118" s="2"/>
      <c r="W118" s="2"/>
      <c r="X118" s="2"/>
      <c r="Y118" s="2"/>
      <c r="Z118" s="2"/>
      <c r="AA118" s="2"/>
      <c r="AB118" s="2"/>
      <c r="AC118" s="2"/>
    </row>
    <row r="119" spans="7:29" x14ac:dyDescent="0.35">
      <c r="G119" s="2"/>
      <c r="H119" s="2"/>
      <c r="I119" s="2"/>
      <c r="J119" s="2"/>
      <c r="K119" s="2"/>
      <c r="L119" s="2"/>
      <c r="M119" s="2"/>
      <c r="N119" s="2"/>
      <c r="O119" s="2"/>
      <c r="P119" s="2"/>
      <c r="Q119" s="2"/>
      <c r="R119" s="2"/>
      <c r="S119" s="2"/>
      <c r="T119" s="2"/>
      <c r="U119" s="2"/>
      <c r="V119" s="2"/>
      <c r="W119" s="2"/>
      <c r="X119" s="2"/>
      <c r="Y119" s="2"/>
      <c r="Z119" s="2"/>
      <c r="AA119" s="2"/>
      <c r="AB119" s="2"/>
      <c r="AC119" s="2"/>
    </row>
    <row r="120" spans="7:29" x14ac:dyDescent="0.35">
      <c r="G120" s="2"/>
      <c r="H120" s="2"/>
      <c r="I120" s="2"/>
      <c r="J120" s="2"/>
      <c r="K120" s="2"/>
      <c r="L120" s="2"/>
      <c r="M120" s="2"/>
      <c r="N120" s="2"/>
      <c r="O120" s="2"/>
      <c r="P120" s="2"/>
      <c r="Q120" s="2"/>
      <c r="R120" s="2"/>
      <c r="S120" s="2"/>
      <c r="T120" s="2"/>
      <c r="U120" s="2"/>
      <c r="V120" s="2"/>
      <c r="W120" s="2"/>
      <c r="X120" s="2"/>
      <c r="Y120" s="2"/>
      <c r="Z120" s="2"/>
      <c r="AA120" s="2"/>
      <c r="AB120" s="2"/>
      <c r="AC120" s="2"/>
    </row>
    <row r="121" spans="7:29" x14ac:dyDescent="0.35">
      <c r="G121" s="2"/>
      <c r="H121" s="2"/>
      <c r="I121" s="2"/>
      <c r="J121" s="2"/>
      <c r="K121" s="2"/>
      <c r="L121" s="2"/>
      <c r="M121" s="2"/>
      <c r="N121" s="2"/>
      <c r="O121" s="2"/>
      <c r="P121" s="2"/>
      <c r="Q121" s="2"/>
      <c r="R121" s="2"/>
      <c r="S121" s="2"/>
      <c r="T121" s="2"/>
      <c r="U121" s="2"/>
      <c r="V121" s="2"/>
      <c r="W121" s="2"/>
      <c r="X121" s="2"/>
      <c r="Y121" s="2"/>
      <c r="Z121" s="2"/>
      <c r="AA121" s="2"/>
      <c r="AB121" s="2"/>
      <c r="AC121" s="2"/>
    </row>
    <row r="122" spans="7:29" x14ac:dyDescent="0.35">
      <c r="G122" s="2"/>
      <c r="H122" s="2"/>
      <c r="I122" s="2"/>
      <c r="J122" s="2"/>
      <c r="K122" s="2"/>
      <c r="L122" s="2"/>
      <c r="M122" s="2"/>
      <c r="N122" s="2"/>
      <c r="O122" s="2"/>
      <c r="P122" s="2"/>
      <c r="Q122" s="2"/>
      <c r="R122" s="2"/>
      <c r="S122" s="2"/>
      <c r="T122" s="2"/>
      <c r="U122" s="2"/>
      <c r="V122" s="2"/>
      <c r="W122" s="2"/>
      <c r="X122" s="2"/>
      <c r="Y122" s="2"/>
      <c r="Z122" s="2"/>
      <c r="AA122" s="2"/>
      <c r="AB122" s="2"/>
      <c r="AC122" s="2"/>
    </row>
    <row r="123" spans="7:29" x14ac:dyDescent="0.35">
      <c r="G123" s="2"/>
      <c r="H123" s="2"/>
      <c r="I123" s="2"/>
      <c r="J123" s="2"/>
      <c r="K123" s="2"/>
      <c r="L123" s="2"/>
      <c r="M123" s="2"/>
      <c r="N123" s="2"/>
      <c r="O123" s="2"/>
      <c r="P123" s="2"/>
      <c r="Q123" s="2"/>
      <c r="R123" s="2"/>
      <c r="S123" s="2"/>
      <c r="T123" s="2"/>
      <c r="U123" s="2"/>
      <c r="V123" s="2"/>
      <c r="W123" s="2"/>
      <c r="X123" s="2"/>
      <c r="Y123" s="2"/>
      <c r="Z123" s="2"/>
      <c r="AA123" s="2"/>
      <c r="AB123" s="2"/>
      <c r="AC123" s="2"/>
    </row>
    <row r="124" spans="7:29" x14ac:dyDescent="0.35">
      <c r="G124" s="2"/>
      <c r="H124" s="2"/>
      <c r="I124" s="2"/>
      <c r="J124" s="2"/>
      <c r="K124" s="2"/>
      <c r="L124" s="2"/>
      <c r="M124" s="2"/>
      <c r="N124" s="2"/>
      <c r="O124" s="2"/>
      <c r="P124" s="2"/>
      <c r="Q124" s="2"/>
      <c r="R124" s="2"/>
      <c r="S124" s="2"/>
      <c r="T124" s="2"/>
      <c r="U124" s="2"/>
      <c r="V124" s="2"/>
      <c r="W124" s="2"/>
      <c r="X124" s="2"/>
      <c r="Y124" s="2"/>
      <c r="Z124" s="2"/>
      <c r="AA124" s="2"/>
      <c r="AB124" s="2"/>
      <c r="AC124" s="2"/>
    </row>
    <row r="125" spans="7:29" x14ac:dyDescent="0.35">
      <c r="G125" s="2"/>
      <c r="H125" s="2"/>
      <c r="I125" s="2"/>
      <c r="J125" s="2"/>
      <c r="K125" s="2"/>
      <c r="L125" s="2"/>
      <c r="M125" s="2"/>
      <c r="N125" s="2"/>
      <c r="O125" s="2"/>
      <c r="P125" s="2"/>
      <c r="Q125" s="2"/>
      <c r="R125" s="2"/>
      <c r="S125" s="2"/>
      <c r="T125" s="2"/>
      <c r="U125" s="2"/>
      <c r="V125" s="2"/>
      <c r="W125" s="2"/>
      <c r="X125" s="2"/>
      <c r="Y125" s="2"/>
      <c r="Z125" s="2"/>
      <c r="AA125" s="2"/>
      <c r="AB125" s="2"/>
      <c r="AC125" s="2"/>
    </row>
    <row r="126" spans="7:29" x14ac:dyDescent="0.35">
      <c r="G126" s="2"/>
      <c r="H126" s="2"/>
      <c r="I126" s="2"/>
      <c r="J126" s="2"/>
      <c r="K126" s="2"/>
      <c r="L126" s="2"/>
      <c r="M126" s="2"/>
      <c r="N126" s="2"/>
      <c r="O126" s="2"/>
      <c r="P126" s="2"/>
      <c r="Q126" s="2"/>
      <c r="R126" s="2"/>
      <c r="S126" s="2"/>
      <c r="T126" s="2"/>
      <c r="U126" s="2"/>
      <c r="V126" s="2"/>
      <c r="W126" s="2"/>
      <c r="X126" s="2"/>
      <c r="Y126" s="2"/>
      <c r="Z126" s="2"/>
      <c r="AA126" s="2"/>
      <c r="AB126" s="2"/>
      <c r="AC126" s="2"/>
    </row>
    <row r="127" spans="7:29" x14ac:dyDescent="0.35">
      <c r="G127" s="2"/>
      <c r="H127" s="2"/>
      <c r="I127" s="2"/>
      <c r="J127" s="2"/>
      <c r="K127" s="2"/>
      <c r="L127" s="2"/>
      <c r="M127" s="2"/>
      <c r="N127" s="2"/>
      <c r="O127" s="2"/>
      <c r="P127" s="2"/>
      <c r="Q127" s="2"/>
      <c r="R127" s="2"/>
      <c r="S127" s="2"/>
      <c r="T127" s="2"/>
      <c r="U127" s="2"/>
      <c r="V127" s="2"/>
      <c r="W127" s="2"/>
      <c r="X127" s="2"/>
      <c r="Y127" s="2"/>
      <c r="Z127" s="2"/>
      <c r="AA127" s="2"/>
      <c r="AB127" s="2"/>
      <c r="AC127" s="2"/>
    </row>
    <row r="128" spans="7:29" x14ac:dyDescent="0.35">
      <c r="G128" s="2"/>
      <c r="H128" s="2"/>
      <c r="I128" s="2"/>
      <c r="J128" s="2"/>
      <c r="K128" s="2"/>
      <c r="L128" s="2"/>
      <c r="M128" s="2"/>
      <c r="N128" s="2"/>
      <c r="O128" s="2"/>
      <c r="P128" s="2"/>
      <c r="Q128" s="2"/>
      <c r="R128" s="2"/>
      <c r="S128" s="2"/>
      <c r="T128" s="2"/>
      <c r="U128" s="2"/>
      <c r="V128" s="2"/>
      <c r="W128" s="2"/>
      <c r="X128" s="2"/>
      <c r="Y128" s="2"/>
      <c r="Z128" s="2"/>
      <c r="AA128" s="2"/>
      <c r="AB128" s="2"/>
      <c r="AC128" s="2"/>
    </row>
    <row r="129" spans="7:29" x14ac:dyDescent="0.35">
      <c r="G129" s="2"/>
      <c r="H129" s="2"/>
      <c r="I129" s="2"/>
      <c r="J129" s="2"/>
      <c r="K129" s="2"/>
      <c r="L129" s="2"/>
      <c r="M129" s="2"/>
      <c r="N129" s="2"/>
      <c r="O129" s="2"/>
      <c r="P129" s="2"/>
      <c r="Q129" s="2"/>
      <c r="R129" s="2"/>
      <c r="S129" s="2"/>
      <c r="T129" s="2"/>
      <c r="U129" s="2"/>
      <c r="V129" s="2"/>
      <c r="W129" s="2"/>
      <c r="X129" s="2"/>
      <c r="Y129" s="2"/>
      <c r="Z129" s="2"/>
      <c r="AA129" s="2"/>
      <c r="AB129" s="2"/>
      <c r="AC129" s="2"/>
    </row>
    <row r="130" spans="7:29" x14ac:dyDescent="0.35">
      <c r="G130" s="2"/>
      <c r="H130" s="2"/>
      <c r="I130" s="2"/>
      <c r="J130" s="2"/>
      <c r="K130" s="2"/>
      <c r="L130" s="2"/>
      <c r="M130" s="2"/>
      <c r="N130" s="2"/>
      <c r="O130" s="2"/>
      <c r="P130" s="2"/>
      <c r="Q130" s="2"/>
      <c r="R130" s="2"/>
      <c r="S130" s="2"/>
      <c r="T130" s="2"/>
      <c r="U130" s="2"/>
      <c r="V130" s="2"/>
      <c r="W130" s="2"/>
      <c r="X130" s="2"/>
      <c r="Y130" s="2"/>
      <c r="Z130" s="2"/>
      <c r="AA130" s="2"/>
      <c r="AB130" s="2"/>
      <c r="AC130" s="2"/>
    </row>
    <row r="131" spans="7:29" x14ac:dyDescent="0.35">
      <c r="G131" s="2"/>
      <c r="H131" s="2"/>
      <c r="I131" s="2"/>
      <c r="J131" s="2"/>
      <c r="K131" s="2"/>
      <c r="L131" s="2"/>
      <c r="M131" s="2"/>
      <c r="N131" s="2"/>
      <c r="O131" s="2"/>
      <c r="P131" s="2"/>
      <c r="Q131" s="2"/>
      <c r="R131" s="2"/>
      <c r="S131" s="2"/>
      <c r="T131" s="2"/>
      <c r="U131" s="2"/>
      <c r="V131" s="2"/>
      <c r="W131" s="2"/>
      <c r="X131" s="2"/>
      <c r="Y131" s="2"/>
      <c r="Z131" s="2"/>
      <c r="AA131" s="2"/>
      <c r="AB131" s="2"/>
      <c r="AC131" s="2"/>
    </row>
    <row r="132" spans="7:29" x14ac:dyDescent="0.35">
      <c r="G132" s="2"/>
      <c r="H132" s="2"/>
      <c r="I132" s="2"/>
      <c r="J132" s="2"/>
      <c r="K132" s="2"/>
      <c r="L132" s="2"/>
      <c r="M132" s="2"/>
      <c r="N132" s="2"/>
      <c r="O132" s="2"/>
      <c r="P132" s="2"/>
      <c r="Q132" s="2"/>
      <c r="R132" s="2"/>
      <c r="S132" s="2"/>
      <c r="T132" s="2"/>
      <c r="U132" s="2"/>
      <c r="V132" s="2"/>
      <c r="W132" s="2"/>
      <c r="X132" s="2"/>
      <c r="Y132" s="2"/>
      <c r="Z132" s="2"/>
      <c r="AA132" s="2"/>
      <c r="AB132" s="2"/>
      <c r="AC132" s="2"/>
    </row>
    <row r="133" spans="7:29" x14ac:dyDescent="0.35">
      <c r="G133" s="2"/>
      <c r="H133" s="2"/>
      <c r="I133" s="2"/>
      <c r="J133" s="2"/>
      <c r="K133" s="2"/>
      <c r="L133" s="2"/>
      <c r="M133" s="2"/>
      <c r="N133" s="2"/>
      <c r="O133" s="2"/>
      <c r="P133" s="2"/>
      <c r="Q133" s="2"/>
      <c r="R133" s="2"/>
      <c r="S133" s="2"/>
      <c r="T133" s="2"/>
      <c r="U133" s="2"/>
      <c r="V133" s="2"/>
      <c r="W133" s="2"/>
      <c r="X133" s="2"/>
      <c r="Y133" s="2"/>
      <c r="Z133" s="2"/>
      <c r="AA133" s="2"/>
      <c r="AB133" s="2"/>
      <c r="AC133" s="2"/>
    </row>
    <row r="134" spans="7:29" x14ac:dyDescent="0.35">
      <c r="G134" s="2"/>
      <c r="H134" s="2"/>
      <c r="I134" s="2"/>
      <c r="J134" s="2"/>
      <c r="K134" s="2"/>
      <c r="L134" s="2"/>
      <c r="M134" s="2"/>
      <c r="N134" s="2"/>
      <c r="O134" s="2"/>
      <c r="P134" s="2"/>
      <c r="Q134" s="2"/>
      <c r="R134" s="2"/>
      <c r="S134" s="2"/>
      <c r="T134" s="2"/>
      <c r="U134" s="2"/>
      <c r="V134" s="2"/>
      <c r="W134" s="2"/>
      <c r="X134" s="2"/>
      <c r="Y134" s="2"/>
      <c r="Z134" s="2"/>
      <c r="AA134" s="2"/>
      <c r="AB134" s="2"/>
      <c r="AC134" s="2"/>
    </row>
    <row r="135" spans="7:29" x14ac:dyDescent="0.35">
      <c r="G135" s="2"/>
      <c r="H135" s="2"/>
      <c r="I135" s="2"/>
      <c r="J135" s="2"/>
      <c r="K135" s="2"/>
      <c r="L135" s="2"/>
      <c r="M135" s="2"/>
      <c r="N135" s="2"/>
      <c r="O135" s="2"/>
      <c r="P135" s="2"/>
      <c r="Q135" s="2"/>
      <c r="R135" s="2"/>
      <c r="S135" s="2"/>
      <c r="T135" s="2"/>
      <c r="U135" s="2"/>
      <c r="V135" s="2"/>
      <c r="W135" s="2"/>
      <c r="X135" s="2"/>
      <c r="Y135" s="2"/>
      <c r="Z135" s="2"/>
      <c r="AA135" s="2"/>
      <c r="AB135" s="2"/>
      <c r="AC135" s="2"/>
    </row>
    <row r="136" spans="7:29" x14ac:dyDescent="0.35">
      <c r="G136" s="2"/>
      <c r="H136" s="2"/>
      <c r="I136" s="2"/>
      <c r="J136" s="2"/>
      <c r="K136" s="2"/>
      <c r="L136" s="2"/>
      <c r="M136" s="2"/>
      <c r="N136" s="2"/>
      <c r="O136" s="2"/>
      <c r="P136" s="2"/>
      <c r="Q136" s="2"/>
      <c r="R136" s="2"/>
      <c r="S136" s="2"/>
      <c r="T136" s="2"/>
      <c r="U136" s="2"/>
      <c r="V136" s="2"/>
      <c r="W136" s="2"/>
      <c r="X136" s="2"/>
      <c r="Y136" s="2"/>
      <c r="Z136" s="2"/>
      <c r="AA136" s="2"/>
      <c r="AB136" s="2"/>
      <c r="AC136" s="2"/>
    </row>
    <row r="137" spans="7:29" x14ac:dyDescent="0.35">
      <c r="G137" s="2"/>
      <c r="H137" s="2"/>
      <c r="I137" s="2"/>
      <c r="J137" s="2"/>
      <c r="K137" s="2"/>
      <c r="L137" s="2"/>
      <c r="M137" s="2"/>
      <c r="N137" s="2"/>
      <c r="O137" s="2"/>
      <c r="P137" s="2"/>
      <c r="Q137" s="2"/>
      <c r="R137" s="2"/>
      <c r="S137" s="2"/>
      <c r="T137" s="2"/>
      <c r="U137" s="2"/>
      <c r="V137" s="2"/>
      <c r="W137" s="2"/>
      <c r="X137" s="2"/>
      <c r="Y137" s="2"/>
      <c r="Z137" s="2"/>
      <c r="AA137" s="2"/>
      <c r="AB137" s="2"/>
      <c r="AC137" s="2"/>
    </row>
    <row r="138" spans="7:29" x14ac:dyDescent="0.35">
      <c r="G138" s="2"/>
      <c r="H138" s="2"/>
      <c r="I138" s="2"/>
      <c r="J138" s="2"/>
      <c r="K138" s="2"/>
      <c r="L138" s="2"/>
      <c r="M138" s="2"/>
      <c r="N138" s="2"/>
      <c r="O138" s="2"/>
      <c r="P138" s="2"/>
      <c r="Q138" s="2"/>
      <c r="R138" s="2"/>
      <c r="S138" s="2"/>
      <c r="T138" s="2"/>
      <c r="U138" s="2"/>
      <c r="V138" s="2"/>
      <c r="W138" s="2"/>
      <c r="X138" s="2"/>
      <c r="Y138" s="2"/>
      <c r="Z138" s="2"/>
      <c r="AA138" s="2"/>
      <c r="AB138" s="2"/>
      <c r="AC138" s="2"/>
    </row>
    <row r="139" spans="7:29" x14ac:dyDescent="0.35">
      <c r="G139" s="2"/>
      <c r="H139" s="2"/>
      <c r="I139" s="2"/>
      <c r="J139" s="2"/>
      <c r="K139" s="2"/>
      <c r="L139" s="2"/>
      <c r="M139" s="2"/>
      <c r="N139" s="2"/>
      <c r="O139" s="2"/>
      <c r="P139" s="2"/>
      <c r="Q139" s="2"/>
      <c r="R139" s="2"/>
      <c r="S139" s="2"/>
      <c r="T139" s="2"/>
      <c r="U139" s="2"/>
      <c r="V139" s="2"/>
      <c r="W139" s="2"/>
      <c r="X139" s="2"/>
      <c r="Y139" s="2"/>
      <c r="Z139" s="2"/>
      <c r="AA139" s="2"/>
      <c r="AB139" s="2"/>
      <c r="AC139" s="2"/>
    </row>
    <row r="140" spans="7:29" x14ac:dyDescent="0.35">
      <c r="G140" s="2"/>
      <c r="H140" s="2"/>
      <c r="I140" s="2"/>
      <c r="J140" s="2"/>
      <c r="K140" s="2"/>
      <c r="L140" s="2"/>
      <c r="M140" s="2"/>
      <c r="N140" s="2"/>
      <c r="O140" s="2"/>
      <c r="P140" s="2"/>
      <c r="Q140" s="2"/>
      <c r="R140" s="2"/>
      <c r="S140" s="2"/>
      <c r="T140" s="2"/>
      <c r="U140" s="2"/>
      <c r="V140" s="2"/>
      <c r="W140" s="2"/>
      <c r="X140" s="2"/>
      <c r="Y140" s="2"/>
      <c r="Z140" s="2"/>
      <c r="AA140" s="2"/>
      <c r="AB140" s="2"/>
      <c r="AC140" s="2"/>
    </row>
    <row r="141" spans="7:29" x14ac:dyDescent="0.35">
      <c r="G141" s="2"/>
      <c r="H141" s="2"/>
      <c r="I141" s="2"/>
      <c r="J141" s="2"/>
      <c r="K141" s="2"/>
      <c r="L141" s="2"/>
      <c r="M141" s="2"/>
      <c r="N141" s="2"/>
      <c r="O141" s="2"/>
      <c r="P141" s="2"/>
      <c r="Q141" s="2"/>
      <c r="R141" s="2"/>
      <c r="S141" s="2"/>
      <c r="T141" s="2"/>
      <c r="U141" s="2"/>
      <c r="V141" s="2"/>
      <c r="W141" s="2"/>
      <c r="X141" s="2"/>
      <c r="Y141" s="2"/>
      <c r="Z141" s="2"/>
      <c r="AA141" s="2"/>
      <c r="AB141" s="2"/>
      <c r="AC141" s="2"/>
    </row>
    <row r="142" spans="7:29" x14ac:dyDescent="0.35">
      <c r="G142" s="2"/>
      <c r="H142" s="2"/>
      <c r="I142" s="2"/>
      <c r="J142" s="2"/>
      <c r="K142" s="2"/>
      <c r="L142" s="2"/>
      <c r="M142" s="2"/>
      <c r="N142" s="2"/>
      <c r="O142" s="2"/>
      <c r="P142" s="2"/>
      <c r="Q142" s="2"/>
      <c r="R142" s="2"/>
      <c r="S142" s="2"/>
      <c r="T142" s="2"/>
      <c r="U142" s="2"/>
      <c r="V142" s="2"/>
      <c r="W142" s="2"/>
      <c r="X142" s="2"/>
      <c r="Y142" s="2"/>
      <c r="Z142" s="2"/>
      <c r="AA142" s="2"/>
      <c r="AB142" s="2"/>
      <c r="AC142" s="2"/>
    </row>
    <row r="143" spans="7:29" x14ac:dyDescent="0.35">
      <c r="G143" s="2"/>
      <c r="H143" s="2"/>
      <c r="I143" s="2"/>
      <c r="J143" s="2"/>
      <c r="K143" s="2"/>
      <c r="L143" s="2"/>
      <c r="M143" s="2"/>
      <c r="N143" s="2"/>
      <c r="O143" s="2"/>
      <c r="P143" s="2"/>
      <c r="Q143" s="2"/>
      <c r="R143" s="2"/>
      <c r="S143" s="2"/>
      <c r="T143" s="2"/>
      <c r="U143" s="2"/>
      <c r="V143" s="2"/>
      <c r="W143" s="2"/>
      <c r="X143" s="2"/>
      <c r="Y143" s="2"/>
      <c r="Z143" s="2"/>
      <c r="AA143" s="2"/>
      <c r="AB143" s="2"/>
      <c r="AC143" s="2"/>
    </row>
    <row r="144" spans="7:29" x14ac:dyDescent="0.35">
      <c r="G144" s="2"/>
      <c r="H144" s="2"/>
      <c r="I144" s="2"/>
      <c r="J144" s="2"/>
      <c r="K144" s="2"/>
      <c r="L144" s="2"/>
      <c r="M144" s="2"/>
      <c r="N144" s="2"/>
      <c r="O144" s="2"/>
      <c r="P144" s="2"/>
      <c r="Q144" s="2"/>
      <c r="R144" s="2"/>
      <c r="S144" s="2"/>
      <c r="T144" s="2"/>
      <c r="U144" s="2"/>
      <c r="V144" s="2"/>
      <c r="W144" s="2"/>
      <c r="X144" s="2"/>
      <c r="Y144" s="2"/>
      <c r="Z144" s="2"/>
      <c r="AA144" s="2"/>
      <c r="AB144" s="2"/>
      <c r="AC144" s="2"/>
    </row>
    <row r="145" spans="7:29" x14ac:dyDescent="0.35">
      <c r="G145" s="2"/>
      <c r="H145" s="2"/>
      <c r="I145" s="2"/>
      <c r="J145" s="2"/>
      <c r="K145" s="2"/>
      <c r="L145" s="2"/>
      <c r="M145" s="2"/>
      <c r="N145" s="2"/>
      <c r="O145" s="2"/>
      <c r="P145" s="2"/>
      <c r="Q145" s="2"/>
      <c r="R145" s="2"/>
      <c r="S145" s="2"/>
      <c r="T145" s="2"/>
      <c r="U145" s="2"/>
      <c r="V145" s="2"/>
      <c r="W145" s="2"/>
      <c r="X145" s="2"/>
      <c r="Y145" s="2"/>
      <c r="Z145" s="2"/>
      <c r="AA145" s="2"/>
      <c r="AB145" s="2"/>
      <c r="AC145" s="2"/>
    </row>
    <row r="146" spans="7:29" x14ac:dyDescent="0.35">
      <c r="G146" s="2"/>
      <c r="H146" s="2"/>
      <c r="I146" s="2"/>
      <c r="J146" s="2"/>
      <c r="K146" s="2"/>
      <c r="L146" s="2"/>
      <c r="M146" s="2"/>
      <c r="N146" s="2"/>
      <c r="O146" s="2"/>
      <c r="P146" s="2"/>
      <c r="Q146" s="2"/>
      <c r="R146" s="2"/>
      <c r="S146" s="2"/>
      <c r="T146" s="2"/>
      <c r="U146" s="2"/>
      <c r="V146" s="2"/>
      <c r="W146" s="2"/>
      <c r="X146" s="2"/>
      <c r="Y146" s="2"/>
      <c r="Z146" s="2"/>
      <c r="AA146" s="2"/>
      <c r="AB146" s="2"/>
      <c r="AC146" s="2"/>
    </row>
    <row r="147" spans="7:29" x14ac:dyDescent="0.35">
      <c r="G147" s="2"/>
      <c r="H147" s="2"/>
      <c r="I147" s="2"/>
      <c r="J147" s="2"/>
      <c r="K147" s="2"/>
      <c r="L147" s="2"/>
      <c r="M147" s="2"/>
      <c r="N147" s="2"/>
      <c r="O147" s="2"/>
      <c r="P147" s="2"/>
      <c r="Q147" s="2"/>
      <c r="R147" s="2"/>
      <c r="S147" s="2"/>
      <c r="T147" s="2"/>
      <c r="U147" s="2"/>
      <c r="V147" s="2"/>
      <c r="W147" s="2"/>
      <c r="X147" s="2"/>
      <c r="Y147" s="2"/>
      <c r="Z147" s="2"/>
      <c r="AA147" s="2"/>
      <c r="AB147" s="2"/>
      <c r="AC147" s="2"/>
    </row>
    <row r="148" spans="7:29" x14ac:dyDescent="0.35">
      <c r="G148" s="2"/>
      <c r="H148" s="2"/>
      <c r="I148" s="2"/>
      <c r="J148" s="2"/>
      <c r="K148" s="2"/>
      <c r="L148" s="2"/>
      <c r="M148" s="2"/>
      <c r="N148" s="2"/>
      <c r="O148" s="2"/>
      <c r="P148" s="2"/>
      <c r="Q148" s="2"/>
      <c r="R148" s="2"/>
      <c r="S148" s="2"/>
      <c r="T148" s="2"/>
      <c r="U148" s="2"/>
      <c r="V148" s="2"/>
      <c r="W148" s="2"/>
      <c r="X148" s="2"/>
      <c r="Y148" s="2"/>
      <c r="Z148" s="2"/>
      <c r="AA148" s="2"/>
      <c r="AB148" s="2"/>
      <c r="AC148" s="2"/>
    </row>
    <row r="149" spans="7:29" x14ac:dyDescent="0.35">
      <c r="G149" s="2"/>
      <c r="H149" s="2"/>
      <c r="I149" s="2"/>
      <c r="J149" s="2"/>
      <c r="K149" s="2"/>
      <c r="L149" s="2"/>
      <c r="M149" s="2"/>
      <c r="N149" s="2"/>
      <c r="O149" s="2"/>
      <c r="P149" s="2"/>
      <c r="Q149" s="2"/>
      <c r="R149" s="2"/>
      <c r="S149" s="2"/>
      <c r="T149" s="2"/>
      <c r="U149" s="2"/>
      <c r="V149" s="2"/>
      <c r="W149" s="2"/>
      <c r="X149" s="2"/>
      <c r="Y149" s="2"/>
      <c r="Z149" s="2"/>
      <c r="AA149" s="2"/>
      <c r="AB149" s="2"/>
      <c r="AC149" s="2"/>
    </row>
    <row r="150" spans="7:29" x14ac:dyDescent="0.35">
      <c r="G150" s="2"/>
      <c r="H150" s="2"/>
      <c r="I150" s="2"/>
      <c r="J150" s="2"/>
      <c r="K150" s="2"/>
      <c r="L150" s="2"/>
      <c r="M150" s="2"/>
      <c r="N150" s="2"/>
      <c r="O150" s="2"/>
      <c r="P150" s="2"/>
      <c r="Q150" s="2"/>
      <c r="R150" s="2"/>
      <c r="S150" s="2"/>
      <c r="T150" s="2"/>
      <c r="U150" s="2"/>
      <c r="V150" s="2"/>
      <c r="W150" s="2"/>
      <c r="X150" s="2"/>
      <c r="Y150" s="2"/>
      <c r="Z150" s="2"/>
      <c r="AA150" s="2"/>
      <c r="AB150" s="2"/>
      <c r="AC150" s="2"/>
    </row>
    <row r="151" spans="7:29" x14ac:dyDescent="0.35">
      <c r="G151" s="2"/>
      <c r="H151" s="2"/>
      <c r="I151" s="2"/>
      <c r="J151" s="2"/>
      <c r="K151" s="2"/>
      <c r="L151" s="2"/>
      <c r="M151" s="2"/>
      <c r="N151" s="2"/>
      <c r="O151" s="2"/>
      <c r="P151" s="2"/>
      <c r="Q151" s="2"/>
      <c r="R151" s="2"/>
      <c r="S151" s="2"/>
      <c r="T151" s="2"/>
      <c r="U151" s="2"/>
      <c r="V151" s="2"/>
      <c r="W151" s="2"/>
      <c r="X151" s="2"/>
      <c r="Y151" s="2"/>
      <c r="Z151" s="2"/>
      <c r="AA151" s="2"/>
      <c r="AB151" s="2"/>
      <c r="AC151" s="2"/>
    </row>
    <row r="152" spans="7:29" x14ac:dyDescent="0.35">
      <c r="G152" s="2"/>
      <c r="H152" s="2"/>
      <c r="I152" s="2"/>
      <c r="J152" s="2"/>
      <c r="K152" s="2"/>
      <c r="L152" s="2"/>
      <c r="M152" s="2"/>
      <c r="N152" s="2"/>
      <c r="O152" s="2"/>
      <c r="P152" s="2"/>
      <c r="Q152" s="2"/>
      <c r="R152" s="2"/>
      <c r="S152" s="2"/>
      <c r="T152" s="2"/>
      <c r="U152" s="2"/>
      <c r="V152" s="2"/>
      <c r="W152" s="2"/>
      <c r="X152" s="2"/>
      <c r="Y152" s="2"/>
      <c r="Z152" s="2"/>
      <c r="AA152" s="2"/>
      <c r="AB152" s="2"/>
      <c r="AC152" s="2"/>
    </row>
    <row r="153" spans="7:29" x14ac:dyDescent="0.35">
      <c r="G153" s="2"/>
      <c r="H153" s="2"/>
      <c r="I153" s="2"/>
      <c r="J153" s="2"/>
      <c r="K153" s="2"/>
      <c r="L153" s="2"/>
      <c r="M153" s="2"/>
      <c r="N153" s="2"/>
      <c r="O153" s="2"/>
      <c r="P153" s="2"/>
      <c r="Q153" s="2"/>
      <c r="R153" s="2"/>
      <c r="S153" s="2"/>
      <c r="T153" s="2"/>
      <c r="U153" s="2"/>
      <c r="V153" s="2"/>
      <c r="W153" s="2"/>
      <c r="X153" s="2"/>
      <c r="Y153" s="2"/>
      <c r="Z153" s="2"/>
      <c r="AA153" s="2"/>
      <c r="AB153" s="2"/>
      <c r="AC153" s="2"/>
    </row>
    <row r="154" spans="7:29" x14ac:dyDescent="0.35">
      <c r="G154" s="2"/>
      <c r="H154" s="2"/>
      <c r="I154" s="2"/>
      <c r="J154" s="2"/>
      <c r="K154" s="2"/>
      <c r="L154" s="2"/>
      <c r="M154" s="2"/>
      <c r="N154" s="2"/>
      <c r="O154" s="2"/>
      <c r="P154" s="2"/>
      <c r="Q154" s="2"/>
      <c r="R154" s="2"/>
      <c r="S154" s="2"/>
      <c r="T154" s="2"/>
      <c r="U154" s="2"/>
      <c r="V154" s="2"/>
      <c r="W154" s="2"/>
      <c r="X154" s="2"/>
      <c r="Y154" s="2"/>
      <c r="Z154" s="2"/>
      <c r="AA154" s="2"/>
      <c r="AB154" s="2"/>
      <c r="AC154" s="2"/>
    </row>
    <row r="155" spans="7:29" x14ac:dyDescent="0.35">
      <c r="G155" s="2"/>
      <c r="H155" s="2"/>
      <c r="I155" s="2"/>
      <c r="J155" s="2"/>
      <c r="K155" s="2"/>
      <c r="L155" s="2"/>
      <c r="M155" s="2"/>
      <c r="N155" s="2"/>
      <c r="O155" s="2"/>
      <c r="P155" s="2"/>
      <c r="Q155" s="2"/>
      <c r="R155" s="2"/>
      <c r="S155" s="2"/>
      <c r="T155" s="2"/>
      <c r="U155" s="2"/>
      <c r="V155" s="2"/>
      <c r="W155" s="2"/>
      <c r="X155" s="2"/>
      <c r="Y155" s="2"/>
      <c r="Z155" s="2"/>
      <c r="AA155" s="2"/>
      <c r="AB155" s="2"/>
      <c r="AC155" s="2"/>
    </row>
    <row r="156" spans="7:29" x14ac:dyDescent="0.35">
      <c r="G156" s="2"/>
      <c r="H156" s="2"/>
      <c r="I156" s="2"/>
      <c r="J156" s="2"/>
      <c r="K156" s="2"/>
      <c r="L156" s="2"/>
      <c r="M156" s="2"/>
      <c r="N156" s="2"/>
      <c r="O156" s="2"/>
      <c r="P156" s="2"/>
      <c r="Q156" s="2"/>
      <c r="R156" s="2"/>
      <c r="S156" s="2"/>
      <c r="T156" s="2"/>
      <c r="U156" s="2"/>
      <c r="V156" s="2"/>
      <c r="W156" s="2"/>
      <c r="X156" s="2"/>
      <c r="Y156" s="2"/>
      <c r="Z156" s="2"/>
      <c r="AA156" s="2"/>
      <c r="AB156" s="2"/>
      <c r="AC156" s="2"/>
    </row>
    <row r="157" spans="7:29" x14ac:dyDescent="0.35">
      <c r="G157" s="2"/>
      <c r="H157" s="2"/>
      <c r="I157" s="2"/>
      <c r="J157" s="2"/>
      <c r="K157" s="2"/>
      <c r="L157" s="2"/>
      <c r="M157" s="2"/>
      <c r="N157" s="2"/>
      <c r="O157" s="2"/>
      <c r="P157" s="2"/>
      <c r="Q157" s="2"/>
      <c r="R157" s="2"/>
      <c r="S157" s="2"/>
      <c r="T157" s="2"/>
      <c r="U157" s="2"/>
      <c r="V157" s="2"/>
      <c r="W157" s="2"/>
      <c r="X157" s="2"/>
      <c r="Y157" s="2"/>
      <c r="Z157" s="2"/>
      <c r="AA157" s="2"/>
      <c r="AB157" s="2"/>
      <c r="AC157" s="2"/>
    </row>
    <row r="158" spans="7:29" x14ac:dyDescent="0.35">
      <c r="G158" s="2"/>
      <c r="H158" s="2"/>
      <c r="I158" s="2"/>
      <c r="J158" s="2"/>
      <c r="K158" s="2"/>
      <c r="L158" s="2"/>
      <c r="M158" s="2"/>
      <c r="N158" s="2"/>
      <c r="O158" s="2"/>
      <c r="P158" s="2"/>
      <c r="Q158" s="2"/>
      <c r="R158" s="2"/>
      <c r="S158" s="2"/>
      <c r="T158" s="2"/>
      <c r="U158" s="2"/>
      <c r="V158" s="2"/>
      <c r="W158" s="2"/>
      <c r="X158" s="2"/>
      <c r="Y158" s="2"/>
      <c r="Z158" s="2"/>
      <c r="AA158" s="2"/>
      <c r="AB158" s="2"/>
      <c r="AC158" s="2"/>
    </row>
    <row r="159" spans="7:29" x14ac:dyDescent="0.35">
      <c r="G159" s="2"/>
      <c r="H159" s="2"/>
      <c r="I159" s="2"/>
      <c r="J159" s="2"/>
      <c r="K159" s="2"/>
      <c r="L159" s="2"/>
      <c r="M159" s="2"/>
      <c r="N159" s="2"/>
      <c r="O159" s="2"/>
      <c r="P159" s="2"/>
      <c r="Q159" s="2"/>
      <c r="R159" s="2"/>
      <c r="S159" s="2"/>
      <c r="T159" s="2"/>
      <c r="U159" s="2"/>
      <c r="V159" s="2"/>
      <c r="W159" s="2"/>
      <c r="X159" s="2"/>
      <c r="Y159" s="2"/>
      <c r="Z159" s="2"/>
      <c r="AA159" s="2"/>
      <c r="AB159" s="2"/>
      <c r="AC159" s="2"/>
    </row>
    <row r="160" spans="7:29" x14ac:dyDescent="0.35">
      <c r="G160" s="2"/>
      <c r="H160" s="2"/>
      <c r="I160" s="2"/>
      <c r="J160" s="2"/>
      <c r="K160" s="2"/>
      <c r="L160" s="2"/>
      <c r="M160" s="2"/>
      <c r="N160" s="2"/>
      <c r="O160" s="2"/>
      <c r="P160" s="2"/>
      <c r="Q160" s="2"/>
      <c r="R160" s="2"/>
      <c r="S160" s="2"/>
      <c r="T160" s="2"/>
      <c r="U160" s="2"/>
      <c r="V160" s="2"/>
      <c r="W160" s="2"/>
      <c r="X160" s="2"/>
      <c r="Y160" s="2"/>
      <c r="Z160" s="2"/>
      <c r="AA160" s="2"/>
      <c r="AB160" s="2"/>
      <c r="AC160" s="2"/>
    </row>
    <row r="161" spans="7:29" x14ac:dyDescent="0.35">
      <c r="G161" s="2"/>
      <c r="H161" s="2"/>
      <c r="I161" s="2"/>
      <c r="J161" s="2"/>
      <c r="K161" s="2"/>
      <c r="L161" s="2"/>
      <c r="M161" s="2"/>
      <c r="N161" s="2"/>
      <c r="O161" s="2"/>
      <c r="P161" s="2"/>
      <c r="Q161" s="2"/>
      <c r="R161" s="2"/>
      <c r="S161" s="2"/>
      <c r="T161" s="2"/>
      <c r="U161" s="2"/>
      <c r="V161" s="2"/>
      <c r="W161" s="2"/>
      <c r="X161" s="2"/>
      <c r="Y161" s="2"/>
      <c r="Z161" s="2"/>
      <c r="AA161" s="2"/>
      <c r="AB161" s="2"/>
      <c r="AC161" s="2"/>
    </row>
    <row r="162" spans="7:29" x14ac:dyDescent="0.35">
      <c r="G162" s="2"/>
      <c r="H162" s="2"/>
      <c r="I162" s="2"/>
      <c r="J162" s="2"/>
      <c r="K162" s="2"/>
      <c r="L162" s="2"/>
      <c r="M162" s="2"/>
      <c r="N162" s="2"/>
      <c r="O162" s="2"/>
      <c r="P162" s="2"/>
      <c r="Q162" s="2"/>
      <c r="R162" s="2"/>
      <c r="S162" s="2"/>
      <c r="T162" s="2"/>
      <c r="U162" s="2"/>
      <c r="V162" s="2"/>
      <c r="W162" s="2"/>
      <c r="X162" s="2"/>
      <c r="Y162" s="2"/>
      <c r="Z162" s="2"/>
      <c r="AA162" s="2"/>
      <c r="AB162" s="2"/>
      <c r="AC162" s="2"/>
    </row>
    <row r="163" spans="7:29" x14ac:dyDescent="0.35">
      <c r="G163" s="2"/>
      <c r="H163" s="2"/>
      <c r="I163" s="2"/>
      <c r="J163" s="2"/>
      <c r="K163" s="2"/>
      <c r="L163" s="2"/>
      <c r="M163" s="2"/>
      <c r="N163" s="2"/>
      <c r="O163" s="2"/>
      <c r="P163" s="2"/>
      <c r="Q163" s="2"/>
      <c r="R163" s="2"/>
      <c r="S163" s="2"/>
      <c r="T163" s="2"/>
      <c r="U163" s="2"/>
      <c r="V163" s="2"/>
      <c r="W163" s="2"/>
      <c r="X163" s="2"/>
      <c r="Y163" s="2"/>
      <c r="Z163" s="2"/>
      <c r="AA163" s="2"/>
      <c r="AB163" s="2"/>
      <c r="AC163" s="2"/>
    </row>
    <row r="164" spans="7:29" x14ac:dyDescent="0.35">
      <c r="G164" s="2"/>
      <c r="H164" s="2"/>
      <c r="I164" s="2"/>
      <c r="J164" s="2"/>
      <c r="K164" s="2"/>
      <c r="L164" s="2"/>
      <c r="M164" s="2"/>
      <c r="N164" s="2"/>
      <c r="O164" s="2"/>
      <c r="P164" s="2"/>
      <c r="Q164" s="2"/>
      <c r="R164" s="2"/>
      <c r="S164" s="2"/>
      <c r="T164" s="2"/>
      <c r="U164" s="2"/>
      <c r="V164" s="2"/>
      <c r="W164" s="2"/>
      <c r="X164" s="2"/>
      <c r="Y164" s="2"/>
      <c r="Z164" s="2"/>
      <c r="AA164" s="2"/>
      <c r="AB164" s="2"/>
      <c r="AC164" s="2"/>
    </row>
    <row r="165" spans="7:29" x14ac:dyDescent="0.35">
      <c r="G165" s="2"/>
      <c r="H165" s="2"/>
      <c r="I165" s="2"/>
      <c r="J165" s="2"/>
      <c r="K165" s="2"/>
      <c r="L165" s="2"/>
      <c r="M165" s="2"/>
      <c r="N165" s="2"/>
      <c r="O165" s="2"/>
      <c r="P165" s="2"/>
      <c r="Q165" s="2"/>
      <c r="R165" s="2"/>
      <c r="S165" s="2"/>
      <c r="T165" s="2"/>
      <c r="U165" s="2"/>
      <c r="V165" s="2"/>
      <c r="W165" s="2"/>
      <c r="X165" s="2"/>
      <c r="Y165" s="2"/>
      <c r="Z165" s="2"/>
      <c r="AA165" s="2"/>
      <c r="AB165" s="2"/>
      <c r="AC165" s="2"/>
    </row>
    <row r="166" spans="7:29" x14ac:dyDescent="0.35">
      <c r="G166" s="2"/>
      <c r="H166" s="2"/>
      <c r="I166" s="2"/>
      <c r="J166" s="2"/>
      <c r="K166" s="2"/>
      <c r="L166" s="2"/>
      <c r="M166" s="2"/>
      <c r="N166" s="2"/>
      <c r="O166" s="2"/>
      <c r="P166" s="2"/>
      <c r="Q166" s="2"/>
      <c r="R166" s="2"/>
      <c r="S166" s="2"/>
      <c r="T166" s="2"/>
      <c r="U166" s="2"/>
      <c r="V166" s="2"/>
      <c r="W166" s="2"/>
      <c r="X166" s="2"/>
      <c r="Y166" s="2"/>
      <c r="Z166" s="2"/>
      <c r="AA166" s="2"/>
      <c r="AB166" s="2"/>
      <c r="AC166" s="2"/>
    </row>
    <row r="167" spans="7:29" x14ac:dyDescent="0.35">
      <c r="G167" s="2"/>
      <c r="H167" s="2"/>
      <c r="I167" s="2"/>
      <c r="J167" s="2"/>
      <c r="K167" s="2"/>
      <c r="L167" s="2"/>
      <c r="M167" s="2"/>
      <c r="N167" s="2"/>
      <c r="O167" s="2"/>
      <c r="P167" s="2"/>
      <c r="Q167" s="2"/>
      <c r="R167" s="2"/>
      <c r="S167" s="2"/>
      <c r="T167" s="2"/>
      <c r="U167" s="2"/>
      <c r="V167" s="2"/>
      <c r="W167" s="2"/>
      <c r="X167" s="2"/>
      <c r="Y167" s="2"/>
      <c r="Z167" s="2"/>
      <c r="AA167" s="2"/>
      <c r="AB167" s="2"/>
      <c r="AC167" s="2"/>
    </row>
    <row r="168" spans="7:29" x14ac:dyDescent="0.35">
      <c r="G168" s="2"/>
      <c r="H168" s="2"/>
      <c r="I168" s="2"/>
      <c r="J168" s="2"/>
      <c r="K168" s="2"/>
      <c r="L168" s="2"/>
      <c r="M168" s="2"/>
      <c r="N168" s="2"/>
      <c r="O168" s="2"/>
      <c r="P168" s="2"/>
      <c r="Q168" s="2"/>
      <c r="R168" s="2"/>
      <c r="S168" s="2"/>
      <c r="T168" s="2"/>
      <c r="U168" s="2"/>
      <c r="V168" s="2"/>
      <c r="W168" s="2"/>
      <c r="X168" s="2"/>
      <c r="Y168" s="2"/>
      <c r="Z168" s="2"/>
      <c r="AA168" s="2"/>
      <c r="AB168" s="2"/>
      <c r="AC168" s="2"/>
    </row>
    <row r="169" spans="7:29" x14ac:dyDescent="0.35">
      <c r="G169" s="2"/>
      <c r="H169" s="2"/>
      <c r="I169" s="2"/>
      <c r="J169" s="2"/>
      <c r="K169" s="2"/>
      <c r="L169" s="2"/>
      <c r="M169" s="2"/>
      <c r="N169" s="2"/>
      <c r="O169" s="2"/>
      <c r="P169" s="2"/>
      <c r="Q169" s="2"/>
      <c r="R169" s="2"/>
      <c r="S169" s="2"/>
      <c r="T169" s="2"/>
      <c r="U169" s="2"/>
      <c r="V169" s="2"/>
      <c r="W169" s="2"/>
      <c r="X169" s="2"/>
      <c r="Y169" s="2"/>
      <c r="Z169" s="2"/>
      <c r="AA169" s="2"/>
      <c r="AB169" s="2"/>
      <c r="AC169" s="2"/>
    </row>
    <row r="170" spans="7:29" x14ac:dyDescent="0.35">
      <c r="G170" s="2"/>
      <c r="H170" s="2"/>
      <c r="I170" s="2"/>
      <c r="J170" s="2"/>
      <c r="K170" s="2"/>
      <c r="L170" s="2"/>
      <c r="M170" s="2"/>
      <c r="N170" s="2"/>
      <c r="O170" s="2"/>
      <c r="P170" s="2"/>
      <c r="Q170" s="2"/>
      <c r="R170" s="2"/>
      <c r="S170" s="2"/>
      <c r="T170" s="2"/>
      <c r="U170" s="2"/>
      <c r="V170" s="2"/>
      <c r="W170" s="2"/>
      <c r="X170" s="2"/>
      <c r="Y170" s="2"/>
      <c r="Z170" s="2"/>
      <c r="AA170" s="2"/>
      <c r="AB170" s="2"/>
      <c r="AC170" s="2"/>
    </row>
    <row r="171" spans="7:29" x14ac:dyDescent="0.35">
      <c r="G171" s="2"/>
      <c r="H171" s="2"/>
      <c r="I171" s="2"/>
      <c r="J171" s="2"/>
      <c r="K171" s="2"/>
      <c r="L171" s="2"/>
      <c r="M171" s="2"/>
      <c r="N171" s="2"/>
      <c r="O171" s="2"/>
      <c r="P171" s="2"/>
      <c r="Q171" s="2"/>
      <c r="R171" s="2"/>
      <c r="S171" s="2"/>
      <c r="T171" s="2"/>
      <c r="U171" s="2"/>
      <c r="V171" s="2"/>
      <c r="W171" s="2"/>
      <c r="X171" s="2"/>
      <c r="Y171" s="2"/>
      <c r="Z171" s="2"/>
      <c r="AA171" s="2"/>
      <c r="AB171" s="2"/>
      <c r="AC171" s="2"/>
    </row>
    <row r="172" spans="7:29" x14ac:dyDescent="0.35">
      <c r="G172" s="2"/>
      <c r="H172" s="2"/>
      <c r="I172" s="2"/>
      <c r="J172" s="2"/>
      <c r="K172" s="2"/>
      <c r="L172" s="2"/>
      <c r="M172" s="2"/>
      <c r="N172" s="2"/>
      <c r="O172" s="2"/>
      <c r="P172" s="2"/>
      <c r="Q172" s="2"/>
      <c r="R172" s="2"/>
      <c r="S172" s="2"/>
      <c r="T172" s="2"/>
      <c r="U172" s="2"/>
      <c r="V172" s="2"/>
      <c r="W172" s="2"/>
      <c r="X172" s="2"/>
      <c r="Y172" s="2"/>
      <c r="Z172" s="2"/>
      <c r="AA172" s="2"/>
      <c r="AB172" s="2"/>
      <c r="AC172" s="2"/>
    </row>
    <row r="173" spans="7:29" x14ac:dyDescent="0.35">
      <c r="G173" s="2"/>
      <c r="H173" s="2"/>
      <c r="I173" s="2"/>
      <c r="J173" s="2"/>
      <c r="K173" s="2"/>
      <c r="L173" s="2"/>
      <c r="M173" s="2"/>
      <c r="N173" s="2"/>
      <c r="O173" s="2"/>
      <c r="P173" s="2"/>
      <c r="Q173" s="2"/>
      <c r="R173" s="2"/>
      <c r="S173" s="2"/>
      <c r="T173" s="2"/>
      <c r="U173" s="2"/>
      <c r="V173" s="2"/>
      <c r="W173" s="2"/>
      <c r="X173" s="2"/>
      <c r="Y173" s="2"/>
      <c r="Z173" s="2"/>
      <c r="AA173" s="2"/>
      <c r="AB173" s="2"/>
      <c r="AC173" s="2"/>
    </row>
    <row r="174" spans="7:29" x14ac:dyDescent="0.35">
      <c r="G174" s="2"/>
      <c r="H174" s="2"/>
      <c r="I174" s="2"/>
      <c r="J174" s="2"/>
      <c r="K174" s="2"/>
      <c r="L174" s="2"/>
      <c r="M174" s="2"/>
      <c r="N174" s="2"/>
      <c r="O174" s="2"/>
      <c r="P174" s="2"/>
      <c r="Q174" s="2"/>
      <c r="R174" s="2"/>
      <c r="S174" s="2"/>
      <c r="T174" s="2"/>
      <c r="U174" s="2"/>
      <c r="V174" s="2"/>
      <c r="W174" s="2"/>
      <c r="X174" s="2"/>
      <c r="Y174" s="2"/>
      <c r="Z174" s="2"/>
      <c r="AA174" s="2"/>
      <c r="AB174" s="2"/>
      <c r="AC174" s="2"/>
    </row>
    <row r="175" spans="7:29" x14ac:dyDescent="0.35">
      <c r="G175" s="2"/>
      <c r="H175" s="2"/>
      <c r="I175" s="2"/>
      <c r="J175" s="2"/>
      <c r="K175" s="2"/>
      <c r="L175" s="2"/>
      <c r="M175" s="2"/>
      <c r="N175" s="2"/>
      <c r="O175" s="2"/>
      <c r="P175" s="2"/>
      <c r="Q175" s="2"/>
      <c r="R175" s="2"/>
      <c r="S175" s="2"/>
      <c r="T175" s="2"/>
      <c r="U175" s="2"/>
      <c r="V175" s="2"/>
      <c r="W175" s="2"/>
      <c r="X175" s="2"/>
      <c r="Y175" s="2"/>
      <c r="Z175" s="2"/>
      <c r="AA175" s="2"/>
      <c r="AB175" s="2"/>
      <c r="AC175" s="2"/>
    </row>
    <row r="176" spans="7:29" x14ac:dyDescent="0.35">
      <c r="G176" s="2"/>
      <c r="H176" s="2"/>
      <c r="I176" s="2"/>
      <c r="J176" s="2"/>
      <c r="K176" s="2"/>
      <c r="L176" s="2"/>
      <c r="M176" s="2"/>
      <c r="N176" s="2"/>
      <c r="O176" s="2"/>
      <c r="P176" s="2"/>
      <c r="Q176" s="2"/>
      <c r="R176" s="2"/>
      <c r="S176" s="2"/>
      <c r="T176" s="2"/>
      <c r="U176" s="2"/>
      <c r="V176" s="2"/>
      <c r="W176" s="2"/>
      <c r="X176" s="2"/>
      <c r="Y176" s="2"/>
      <c r="Z176" s="2"/>
      <c r="AA176" s="2"/>
      <c r="AB176" s="2"/>
      <c r="AC176" s="2"/>
    </row>
    <row r="177" spans="7:29" x14ac:dyDescent="0.35">
      <c r="G177" s="2"/>
      <c r="H177" s="2"/>
      <c r="I177" s="2"/>
      <c r="J177" s="2"/>
      <c r="K177" s="2"/>
      <c r="L177" s="2"/>
      <c r="M177" s="2"/>
      <c r="N177" s="2"/>
      <c r="O177" s="2"/>
      <c r="P177" s="2"/>
      <c r="Q177" s="2"/>
      <c r="R177" s="2"/>
      <c r="S177" s="2"/>
      <c r="T177" s="2"/>
      <c r="U177" s="2"/>
      <c r="V177" s="2"/>
      <c r="W177" s="2"/>
      <c r="X177" s="2"/>
      <c r="Y177" s="2"/>
      <c r="Z177" s="2"/>
      <c r="AA177" s="2"/>
      <c r="AB177" s="2"/>
      <c r="AC177" s="2"/>
    </row>
    <row r="178" spans="7:29" x14ac:dyDescent="0.35">
      <c r="G178" s="2"/>
      <c r="H178" s="2"/>
      <c r="I178" s="2"/>
      <c r="J178" s="2"/>
      <c r="K178" s="2"/>
      <c r="L178" s="2"/>
      <c r="M178" s="2"/>
      <c r="N178" s="2"/>
      <c r="O178" s="2"/>
      <c r="P178" s="2"/>
      <c r="Q178" s="2"/>
      <c r="R178" s="2"/>
      <c r="S178" s="2"/>
      <c r="T178" s="2"/>
      <c r="U178" s="2"/>
      <c r="V178" s="2"/>
      <c r="W178" s="2"/>
      <c r="X178" s="2"/>
      <c r="Y178" s="2"/>
      <c r="Z178" s="2"/>
      <c r="AA178" s="2"/>
      <c r="AB178" s="2"/>
      <c r="AC178" s="2"/>
    </row>
    <row r="179" spans="7:29" x14ac:dyDescent="0.35">
      <c r="G179" s="2"/>
      <c r="H179" s="2"/>
      <c r="I179" s="2"/>
      <c r="J179" s="2"/>
      <c r="K179" s="2"/>
      <c r="L179" s="2"/>
      <c r="M179" s="2"/>
      <c r="N179" s="2"/>
      <c r="O179" s="2"/>
      <c r="P179" s="2"/>
      <c r="Q179" s="2"/>
      <c r="R179" s="2"/>
      <c r="S179" s="2"/>
      <c r="T179" s="2"/>
      <c r="U179" s="2"/>
      <c r="V179" s="2"/>
      <c r="W179" s="2"/>
      <c r="X179" s="2"/>
      <c r="Y179" s="2"/>
      <c r="Z179" s="2"/>
      <c r="AA179" s="2"/>
      <c r="AB179" s="2"/>
      <c r="AC179" s="2"/>
    </row>
    <row r="180" spans="7:29" x14ac:dyDescent="0.35">
      <c r="G180" s="2"/>
      <c r="H180" s="2"/>
      <c r="I180" s="2"/>
      <c r="J180" s="2"/>
      <c r="K180" s="2"/>
      <c r="L180" s="2"/>
      <c r="M180" s="2"/>
      <c r="N180" s="2"/>
      <c r="O180" s="2"/>
      <c r="P180" s="2"/>
      <c r="Q180" s="2"/>
      <c r="R180" s="2"/>
      <c r="S180" s="2"/>
      <c r="T180" s="2"/>
      <c r="U180" s="2"/>
      <c r="V180" s="2"/>
      <c r="W180" s="2"/>
      <c r="X180" s="2"/>
      <c r="Y180" s="2"/>
      <c r="Z180" s="2"/>
      <c r="AA180" s="2"/>
      <c r="AB180" s="2"/>
      <c r="AC180" s="2"/>
    </row>
    <row r="181" spans="7:29" x14ac:dyDescent="0.35">
      <c r="G181" s="2"/>
      <c r="H181" s="2"/>
      <c r="I181" s="2"/>
      <c r="J181" s="2"/>
      <c r="K181" s="2"/>
      <c r="L181" s="2"/>
      <c r="M181" s="2"/>
      <c r="N181" s="2"/>
      <c r="O181" s="2"/>
      <c r="P181" s="2"/>
      <c r="Q181" s="2"/>
      <c r="R181" s="2"/>
      <c r="S181" s="2"/>
      <c r="T181" s="2"/>
      <c r="U181" s="2"/>
      <c r="V181" s="2"/>
      <c r="W181" s="2"/>
      <c r="X181" s="2"/>
      <c r="Y181" s="2"/>
      <c r="Z181" s="2"/>
      <c r="AA181" s="2"/>
      <c r="AB181" s="2"/>
      <c r="AC181" s="2"/>
    </row>
    <row r="182" spans="7:29" x14ac:dyDescent="0.35">
      <c r="G182" s="2"/>
      <c r="H182" s="2"/>
      <c r="I182" s="2"/>
      <c r="J182" s="2"/>
      <c r="K182" s="2"/>
      <c r="L182" s="2"/>
      <c r="M182" s="2"/>
      <c r="N182" s="2"/>
      <c r="O182" s="2"/>
      <c r="P182" s="2"/>
      <c r="Q182" s="2"/>
      <c r="R182" s="2"/>
      <c r="S182" s="2"/>
      <c r="T182" s="2"/>
      <c r="U182" s="2"/>
      <c r="V182" s="2"/>
      <c r="W182" s="2"/>
      <c r="X182" s="2"/>
      <c r="Y182" s="2"/>
      <c r="Z182" s="2"/>
      <c r="AA182" s="2"/>
      <c r="AB182" s="2"/>
      <c r="AC182" s="2"/>
    </row>
    <row r="183" spans="7:29" x14ac:dyDescent="0.35">
      <c r="G183" s="2"/>
      <c r="H183" s="2"/>
      <c r="I183" s="2"/>
      <c r="J183" s="2"/>
      <c r="K183" s="2"/>
      <c r="L183" s="2"/>
      <c r="M183" s="2"/>
      <c r="N183" s="2"/>
      <c r="O183" s="2"/>
      <c r="P183" s="2"/>
      <c r="Q183" s="2"/>
      <c r="R183" s="2"/>
      <c r="S183" s="2"/>
      <c r="T183" s="2"/>
      <c r="U183" s="2"/>
      <c r="V183" s="2"/>
      <c r="W183" s="2"/>
      <c r="X183" s="2"/>
      <c r="Y183" s="2"/>
      <c r="Z183" s="2"/>
      <c r="AA183" s="2"/>
      <c r="AB183" s="2"/>
      <c r="AC183" s="2"/>
    </row>
    <row r="184" spans="7:29" x14ac:dyDescent="0.35">
      <c r="G184" s="2"/>
      <c r="H184" s="2"/>
      <c r="I184" s="2"/>
      <c r="J184" s="2"/>
      <c r="K184" s="2"/>
      <c r="L184" s="2"/>
      <c r="M184" s="2"/>
      <c r="N184" s="2"/>
      <c r="O184" s="2"/>
      <c r="P184" s="2"/>
      <c r="Q184" s="2"/>
      <c r="R184" s="2"/>
      <c r="S184" s="2"/>
      <c r="T184" s="2"/>
      <c r="U184" s="2"/>
      <c r="V184" s="2"/>
      <c r="W184" s="2"/>
      <c r="X184" s="2"/>
      <c r="Y184" s="2"/>
      <c r="Z184" s="2"/>
      <c r="AA184" s="2"/>
      <c r="AB184" s="2"/>
      <c r="AC184" s="2"/>
    </row>
    <row r="185" spans="7:29" x14ac:dyDescent="0.35">
      <c r="G185" s="2"/>
      <c r="H185" s="2"/>
      <c r="I185" s="2"/>
      <c r="J185" s="2"/>
      <c r="K185" s="2"/>
      <c r="L185" s="2"/>
      <c r="M185" s="2"/>
      <c r="N185" s="2"/>
      <c r="O185" s="2"/>
      <c r="P185" s="2"/>
      <c r="Q185" s="2"/>
      <c r="R185" s="2"/>
      <c r="S185" s="2"/>
      <c r="T185" s="2"/>
      <c r="U185" s="2"/>
      <c r="V185" s="2"/>
      <c r="W185" s="2"/>
      <c r="X185" s="2"/>
      <c r="Y185" s="2"/>
      <c r="Z185" s="2"/>
      <c r="AA185" s="2"/>
      <c r="AB185" s="2"/>
      <c r="AC185" s="2"/>
    </row>
    <row r="186" spans="7:29" x14ac:dyDescent="0.35">
      <c r="G186" s="2"/>
      <c r="H186" s="2"/>
      <c r="I186" s="2"/>
      <c r="J186" s="2"/>
      <c r="K186" s="2"/>
      <c r="L186" s="2"/>
      <c r="M186" s="2"/>
      <c r="N186" s="2"/>
      <c r="O186" s="2"/>
      <c r="P186" s="2"/>
      <c r="Q186" s="2"/>
      <c r="R186" s="2"/>
      <c r="S186" s="2"/>
      <c r="T186" s="2"/>
      <c r="U186" s="2"/>
      <c r="V186" s="2"/>
      <c r="W186" s="2"/>
      <c r="X186" s="2"/>
      <c r="Y186" s="2"/>
      <c r="Z186" s="2"/>
      <c r="AA186" s="2"/>
      <c r="AB186" s="2"/>
      <c r="AC186" s="2"/>
    </row>
    <row r="187" spans="7:29" x14ac:dyDescent="0.35">
      <c r="G187" s="2"/>
      <c r="H187" s="2"/>
      <c r="I187" s="2"/>
      <c r="J187" s="2"/>
      <c r="K187" s="2"/>
      <c r="L187" s="2"/>
      <c r="M187" s="2"/>
      <c r="N187" s="2"/>
      <c r="O187" s="2"/>
      <c r="P187" s="2"/>
      <c r="Q187" s="2"/>
      <c r="R187" s="2"/>
      <c r="S187" s="2"/>
      <c r="T187" s="2"/>
      <c r="U187" s="2"/>
      <c r="V187" s="2"/>
      <c r="W187" s="2"/>
      <c r="X187" s="2"/>
      <c r="Y187" s="2"/>
      <c r="Z187" s="2"/>
      <c r="AA187" s="2"/>
      <c r="AB187" s="2"/>
      <c r="AC187" s="2"/>
    </row>
    <row r="188" spans="7:29" x14ac:dyDescent="0.35">
      <c r="G188" s="2"/>
      <c r="H188" s="2"/>
      <c r="I188" s="2"/>
      <c r="J188" s="2"/>
      <c r="K188" s="2"/>
      <c r="L188" s="2"/>
      <c r="M188" s="2"/>
      <c r="N188" s="2"/>
      <c r="O188" s="2"/>
      <c r="P188" s="2"/>
      <c r="Q188" s="2"/>
      <c r="R188" s="2"/>
      <c r="S188" s="2"/>
      <c r="T188" s="2"/>
      <c r="U188" s="2"/>
      <c r="V188" s="2"/>
      <c r="W188" s="2"/>
      <c r="X188" s="2"/>
      <c r="Y188" s="2"/>
      <c r="Z188" s="2"/>
      <c r="AA188" s="2"/>
      <c r="AB188" s="2"/>
      <c r="AC188" s="2"/>
    </row>
    <row r="189" spans="7:29" x14ac:dyDescent="0.35">
      <c r="G189" s="2"/>
      <c r="H189" s="2"/>
      <c r="I189" s="2"/>
      <c r="J189" s="2"/>
      <c r="K189" s="2"/>
      <c r="L189" s="2"/>
      <c r="M189" s="2"/>
      <c r="N189" s="2"/>
      <c r="O189" s="2"/>
      <c r="P189" s="2"/>
      <c r="Q189" s="2"/>
      <c r="R189" s="2"/>
      <c r="S189" s="2"/>
      <c r="T189" s="2"/>
      <c r="U189" s="2"/>
      <c r="V189" s="2"/>
      <c r="W189" s="2"/>
      <c r="X189" s="2"/>
      <c r="Y189" s="2"/>
      <c r="Z189" s="2"/>
      <c r="AA189" s="2"/>
      <c r="AB189" s="2"/>
      <c r="AC189" s="2"/>
    </row>
    <row r="190" spans="7:29" x14ac:dyDescent="0.35">
      <c r="G190" s="2"/>
      <c r="H190" s="2"/>
      <c r="I190" s="2"/>
      <c r="J190" s="2"/>
      <c r="K190" s="2"/>
      <c r="L190" s="2"/>
      <c r="M190" s="2"/>
      <c r="N190" s="2"/>
      <c r="O190" s="2"/>
      <c r="P190" s="2"/>
      <c r="Q190" s="2"/>
      <c r="R190" s="2"/>
      <c r="S190" s="2"/>
      <c r="T190" s="2"/>
      <c r="U190" s="2"/>
      <c r="V190" s="2"/>
      <c r="W190" s="2"/>
      <c r="X190" s="2"/>
      <c r="Y190" s="2"/>
      <c r="Z190" s="2"/>
      <c r="AA190" s="2"/>
      <c r="AB190" s="2"/>
      <c r="AC190" s="2"/>
    </row>
    <row r="191" spans="7:29" x14ac:dyDescent="0.35">
      <c r="G191" s="2"/>
      <c r="H191" s="2"/>
      <c r="I191" s="2"/>
      <c r="J191" s="2"/>
      <c r="K191" s="2"/>
      <c r="L191" s="2"/>
      <c r="M191" s="2"/>
      <c r="N191" s="2"/>
      <c r="O191" s="2"/>
      <c r="P191" s="2"/>
      <c r="Q191" s="2"/>
      <c r="R191" s="2"/>
      <c r="S191" s="2"/>
      <c r="T191" s="2"/>
      <c r="U191" s="2"/>
      <c r="V191" s="2"/>
      <c r="W191" s="2"/>
      <c r="X191" s="2"/>
      <c r="Y191" s="2"/>
      <c r="Z191" s="2"/>
      <c r="AA191" s="2"/>
      <c r="AB191" s="2"/>
      <c r="AC191" s="2"/>
    </row>
    <row r="192" spans="7:29" x14ac:dyDescent="0.35">
      <c r="G192" s="2"/>
      <c r="H192" s="2"/>
      <c r="I192" s="2"/>
      <c r="J192" s="2"/>
      <c r="K192" s="2"/>
      <c r="L192" s="2"/>
      <c r="M192" s="2"/>
      <c r="N192" s="2"/>
      <c r="O192" s="2"/>
      <c r="P192" s="2"/>
      <c r="Q192" s="2"/>
      <c r="R192" s="2"/>
      <c r="S192" s="2"/>
      <c r="T192" s="2"/>
      <c r="U192" s="2"/>
      <c r="V192" s="2"/>
      <c r="W192" s="2"/>
      <c r="X192" s="2"/>
      <c r="Y192" s="2"/>
      <c r="Z192" s="2"/>
      <c r="AA192" s="2"/>
      <c r="AB192" s="2"/>
      <c r="AC192" s="2"/>
    </row>
    <row r="193" spans="7:29" x14ac:dyDescent="0.35">
      <c r="G193" s="2"/>
      <c r="H193" s="2"/>
      <c r="I193" s="2"/>
      <c r="J193" s="2"/>
      <c r="K193" s="2"/>
      <c r="L193" s="2"/>
      <c r="M193" s="2"/>
      <c r="N193" s="2"/>
      <c r="O193" s="2"/>
      <c r="P193" s="2"/>
      <c r="Q193" s="2"/>
      <c r="R193" s="2"/>
      <c r="S193" s="2"/>
      <c r="T193" s="2"/>
      <c r="U193" s="2"/>
      <c r="V193" s="2"/>
      <c r="W193" s="2"/>
      <c r="X193" s="2"/>
      <c r="Y193" s="2"/>
      <c r="Z193" s="2"/>
      <c r="AA193" s="2"/>
      <c r="AB193" s="2"/>
      <c r="AC193" s="2"/>
    </row>
    <row r="194" spans="7:29" x14ac:dyDescent="0.35">
      <c r="G194" s="2"/>
      <c r="H194" s="2"/>
      <c r="I194" s="2"/>
      <c r="J194" s="2"/>
      <c r="K194" s="2"/>
      <c r="L194" s="2"/>
      <c r="M194" s="2"/>
      <c r="N194" s="2"/>
      <c r="O194" s="2"/>
      <c r="P194" s="2"/>
      <c r="Q194" s="2"/>
      <c r="R194" s="2"/>
      <c r="S194" s="2"/>
      <c r="T194" s="2"/>
      <c r="U194" s="2"/>
      <c r="V194" s="2"/>
      <c r="W194" s="2"/>
      <c r="X194" s="2"/>
      <c r="Y194" s="2"/>
      <c r="Z194" s="2"/>
      <c r="AA194" s="2"/>
      <c r="AB194" s="2"/>
      <c r="AC194" s="2"/>
    </row>
    <row r="195" spans="7:29" x14ac:dyDescent="0.35">
      <c r="G195" s="2"/>
      <c r="H195" s="2"/>
      <c r="I195" s="2"/>
      <c r="J195" s="2"/>
      <c r="K195" s="2"/>
      <c r="L195" s="2"/>
      <c r="M195" s="2"/>
      <c r="N195" s="2"/>
      <c r="O195" s="2"/>
      <c r="P195" s="2"/>
      <c r="Q195" s="2"/>
      <c r="R195" s="2"/>
      <c r="S195" s="2"/>
      <c r="T195" s="2"/>
      <c r="U195" s="2"/>
      <c r="V195" s="2"/>
      <c r="W195" s="2"/>
      <c r="X195" s="2"/>
      <c r="Y195" s="2"/>
      <c r="Z195" s="2"/>
      <c r="AA195" s="2"/>
      <c r="AB195" s="2"/>
      <c r="AC195" s="2"/>
    </row>
    <row r="196" spans="7:29" x14ac:dyDescent="0.35">
      <c r="G196" s="2"/>
      <c r="H196" s="2"/>
      <c r="I196" s="2"/>
      <c r="J196" s="2"/>
      <c r="K196" s="2"/>
      <c r="L196" s="2"/>
      <c r="M196" s="2"/>
      <c r="N196" s="2"/>
      <c r="O196" s="2"/>
      <c r="P196" s="2"/>
      <c r="Q196" s="2"/>
      <c r="R196" s="2"/>
      <c r="S196" s="2"/>
      <c r="T196" s="2"/>
      <c r="U196" s="2"/>
      <c r="V196" s="2"/>
      <c r="W196" s="2"/>
      <c r="X196" s="2"/>
      <c r="Y196" s="2"/>
      <c r="Z196" s="2"/>
      <c r="AA196" s="2"/>
      <c r="AB196" s="2"/>
      <c r="AC196" s="2"/>
    </row>
    <row r="197" spans="7:29" x14ac:dyDescent="0.35">
      <c r="G197" s="2"/>
      <c r="H197" s="2"/>
      <c r="I197" s="2"/>
      <c r="J197" s="2"/>
      <c r="K197" s="2"/>
      <c r="L197" s="2"/>
      <c r="M197" s="2"/>
      <c r="N197" s="2"/>
      <c r="O197" s="2"/>
      <c r="P197" s="2"/>
      <c r="Q197" s="2"/>
      <c r="R197" s="2"/>
      <c r="S197" s="2"/>
      <c r="T197" s="2"/>
      <c r="U197" s="2"/>
      <c r="V197" s="2"/>
      <c r="W197" s="2"/>
      <c r="X197" s="2"/>
      <c r="Y197" s="2"/>
      <c r="Z197" s="2"/>
      <c r="AA197" s="2"/>
      <c r="AB197" s="2"/>
      <c r="AC197" s="2"/>
    </row>
    <row r="198" spans="7:29" x14ac:dyDescent="0.35">
      <c r="G198" s="2"/>
      <c r="H198" s="2"/>
      <c r="I198" s="2"/>
      <c r="J198" s="2"/>
      <c r="K198" s="2"/>
      <c r="L198" s="2"/>
      <c r="M198" s="2"/>
      <c r="N198" s="2"/>
      <c r="O198" s="2"/>
      <c r="P198" s="2"/>
      <c r="Q198" s="2"/>
      <c r="R198" s="2"/>
      <c r="S198" s="2"/>
      <c r="T198" s="2"/>
      <c r="U198" s="2"/>
      <c r="V198" s="2"/>
      <c r="W198" s="2"/>
      <c r="X198" s="2"/>
      <c r="Y198" s="2"/>
      <c r="Z198" s="2"/>
      <c r="AA198" s="2"/>
      <c r="AB198" s="2"/>
      <c r="AC198" s="2"/>
    </row>
    <row r="199" spans="7:29" x14ac:dyDescent="0.35">
      <c r="G199" s="2"/>
      <c r="H199" s="2"/>
      <c r="I199" s="2"/>
      <c r="J199" s="2"/>
      <c r="K199" s="2"/>
      <c r="L199" s="2"/>
      <c r="M199" s="2"/>
      <c r="N199" s="2"/>
      <c r="O199" s="2"/>
      <c r="P199" s="2"/>
      <c r="Q199" s="2"/>
      <c r="R199" s="2"/>
      <c r="S199" s="2"/>
      <c r="T199" s="2"/>
      <c r="U199" s="2"/>
      <c r="V199" s="2"/>
      <c r="W199" s="2"/>
      <c r="X199" s="2"/>
      <c r="Y199" s="2"/>
      <c r="Z199" s="2"/>
      <c r="AA199" s="2"/>
      <c r="AB199" s="2"/>
      <c r="AC199" s="2"/>
    </row>
    <row r="200" spans="7:29" x14ac:dyDescent="0.35">
      <c r="G200" s="2"/>
      <c r="H200" s="2"/>
      <c r="I200" s="2"/>
      <c r="J200" s="2"/>
      <c r="K200" s="2"/>
      <c r="L200" s="2"/>
      <c r="M200" s="2"/>
      <c r="N200" s="2"/>
      <c r="O200" s="2"/>
      <c r="P200" s="2"/>
      <c r="Q200" s="2"/>
      <c r="R200" s="2"/>
      <c r="S200" s="2"/>
      <c r="T200" s="2"/>
      <c r="U200" s="2"/>
      <c r="V200" s="2"/>
      <c r="W200" s="2"/>
      <c r="X200" s="2"/>
      <c r="Y200" s="2"/>
      <c r="Z200" s="2"/>
      <c r="AA200" s="2"/>
      <c r="AB200" s="2"/>
      <c r="AC200" s="2"/>
    </row>
    <row r="201" spans="7:29" x14ac:dyDescent="0.35">
      <c r="G201" s="2"/>
      <c r="H201" s="2"/>
      <c r="I201" s="2"/>
      <c r="J201" s="2"/>
      <c r="K201" s="2"/>
      <c r="L201" s="2"/>
      <c r="M201" s="2"/>
      <c r="N201" s="2"/>
      <c r="O201" s="2"/>
      <c r="P201" s="2"/>
      <c r="Q201" s="2"/>
      <c r="R201" s="2"/>
      <c r="S201" s="2"/>
      <c r="T201" s="2"/>
      <c r="U201" s="2"/>
      <c r="V201" s="2"/>
      <c r="W201" s="2"/>
      <c r="X201" s="2"/>
      <c r="Y201" s="2"/>
      <c r="Z201" s="2"/>
      <c r="AA201" s="2"/>
      <c r="AB201" s="2"/>
      <c r="AC201" s="2"/>
    </row>
    <row r="202" spans="7:29" x14ac:dyDescent="0.35">
      <c r="G202" s="2"/>
      <c r="H202" s="2"/>
      <c r="I202" s="2"/>
      <c r="J202" s="2"/>
      <c r="K202" s="2"/>
      <c r="L202" s="2"/>
      <c r="M202" s="2"/>
      <c r="N202" s="2"/>
      <c r="O202" s="2"/>
      <c r="P202" s="2"/>
      <c r="Q202" s="2"/>
      <c r="R202" s="2"/>
      <c r="S202" s="2"/>
      <c r="T202" s="2"/>
      <c r="U202" s="2"/>
      <c r="V202" s="2"/>
      <c r="W202" s="2"/>
      <c r="X202" s="2"/>
      <c r="Y202" s="2"/>
      <c r="Z202" s="2"/>
      <c r="AA202" s="2"/>
      <c r="AB202" s="2"/>
      <c r="AC202" s="2"/>
    </row>
    <row r="203" spans="7:29" x14ac:dyDescent="0.35">
      <c r="G203" s="2"/>
      <c r="H203" s="2"/>
      <c r="I203" s="2"/>
      <c r="J203" s="2"/>
      <c r="K203" s="2"/>
      <c r="L203" s="2"/>
      <c r="M203" s="2"/>
      <c r="N203" s="2"/>
      <c r="O203" s="2"/>
      <c r="P203" s="2"/>
      <c r="Q203" s="2"/>
      <c r="R203" s="2"/>
      <c r="S203" s="2"/>
      <c r="T203" s="2"/>
      <c r="U203" s="2"/>
      <c r="V203" s="2"/>
      <c r="W203" s="2"/>
      <c r="X203" s="2"/>
      <c r="Y203" s="2"/>
      <c r="Z203" s="2"/>
      <c r="AA203" s="2"/>
      <c r="AB203" s="2"/>
      <c r="AC203" s="2"/>
    </row>
    <row r="204" spans="7:29" x14ac:dyDescent="0.35">
      <c r="G204" s="2"/>
      <c r="H204" s="2"/>
      <c r="I204" s="2"/>
      <c r="J204" s="2"/>
      <c r="K204" s="2"/>
      <c r="L204" s="2"/>
      <c r="M204" s="2"/>
      <c r="N204" s="2"/>
      <c r="O204" s="2"/>
      <c r="P204" s="2"/>
      <c r="Q204" s="2"/>
      <c r="R204" s="2"/>
      <c r="S204" s="2"/>
      <c r="T204" s="2"/>
      <c r="U204" s="2"/>
      <c r="V204" s="2"/>
      <c r="W204" s="2"/>
      <c r="X204" s="2"/>
      <c r="Y204" s="2"/>
      <c r="Z204" s="2"/>
      <c r="AA204" s="2"/>
      <c r="AB204" s="2"/>
      <c r="AC204" s="2"/>
    </row>
    <row r="205" spans="7:29" x14ac:dyDescent="0.35">
      <c r="G205" s="2"/>
      <c r="H205" s="2"/>
      <c r="I205" s="2"/>
      <c r="J205" s="2"/>
      <c r="K205" s="2"/>
      <c r="L205" s="2"/>
      <c r="M205" s="2"/>
      <c r="N205" s="2"/>
      <c r="O205" s="2"/>
      <c r="P205" s="2"/>
      <c r="Q205" s="2"/>
      <c r="R205" s="2"/>
      <c r="S205" s="2"/>
      <c r="T205" s="2"/>
      <c r="U205" s="2"/>
      <c r="V205" s="2"/>
      <c r="W205" s="2"/>
      <c r="X205" s="2"/>
      <c r="Y205" s="2"/>
      <c r="Z205" s="2"/>
      <c r="AA205" s="2"/>
      <c r="AB205" s="2"/>
      <c r="AC205" s="2"/>
    </row>
    <row r="206" spans="7:29" x14ac:dyDescent="0.35">
      <c r="G206" s="2"/>
      <c r="H206" s="2"/>
      <c r="I206" s="2"/>
      <c r="J206" s="2"/>
      <c r="K206" s="2"/>
      <c r="L206" s="2"/>
      <c r="M206" s="2"/>
      <c r="N206" s="2"/>
      <c r="O206" s="2"/>
      <c r="P206" s="2"/>
      <c r="Q206" s="2"/>
      <c r="R206" s="2"/>
      <c r="S206" s="2"/>
      <c r="T206" s="2"/>
      <c r="U206" s="2"/>
      <c r="V206" s="2"/>
      <c r="W206" s="2"/>
      <c r="X206" s="2"/>
      <c r="Y206" s="2"/>
      <c r="Z206" s="2"/>
      <c r="AA206" s="2"/>
      <c r="AB206" s="2"/>
      <c r="AC206" s="2"/>
    </row>
    <row r="207" spans="7:29" x14ac:dyDescent="0.35">
      <c r="G207" s="2"/>
      <c r="H207" s="2"/>
      <c r="I207" s="2"/>
      <c r="J207" s="2"/>
      <c r="K207" s="2"/>
      <c r="L207" s="2"/>
      <c r="M207" s="2"/>
      <c r="N207" s="2"/>
      <c r="O207" s="2"/>
      <c r="P207" s="2"/>
      <c r="Q207" s="2"/>
      <c r="R207" s="2"/>
      <c r="S207" s="2"/>
      <c r="T207" s="2"/>
      <c r="U207" s="2"/>
      <c r="V207" s="2"/>
      <c r="W207" s="2"/>
      <c r="X207" s="2"/>
      <c r="Y207" s="2"/>
      <c r="Z207" s="2"/>
      <c r="AA207" s="2"/>
      <c r="AB207" s="2"/>
      <c r="AC207" s="2"/>
    </row>
    <row r="208" spans="7:29" x14ac:dyDescent="0.35">
      <c r="G208" s="2"/>
      <c r="H208" s="2"/>
      <c r="I208" s="2"/>
      <c r="J208" s="2"/>
      <c r="K208" s="2"/>
      <c r="L208" s="2"/>
      <c r="M208" s="2"/>
      <c r="N208" s="2"/>
      <c r="O208" s="2"/>
      <c r="P208" s="2"/>
      <c r="Q208" s="2"/>
      <c r="R208" s="2"/>
      <c r="S208" s="2"/>
      <c r="T208" s="2"/>
      <c r="U208" s="2"/>
      <c r="V208" s="2"/>
      <c r="W208" s="2"/>
      <c r="X208" s="2"/>
      <c r="Y208" s="2"/>
      <c r="Z208" s="2"/>
      <c r="AA208" s="2"/>
      <c r="AB208" s="2"/>
      <c r="AC208" s="2"/>
    </row>
    <row r="209" spans="7:29" x14ac:dyDescent="0.35">
      <c r="G209" s="2"/>
      <c r="H209" s="2"/>
      <c r="I209" s="2"/>
      <c r="J209" s="2"/>
      <c r="K209" s="2"/>
      <c r="L209" s="2"/>
      <c r="M209" s="2"/>
      <c r="N209" s="2"/>
      <c r="O209" s="2"/>
      <c r="P209" s="2"/>
      <c r="Q209" s="2"/>
      <c r="R209" s="2"/>
      <c r="S209" s="2"/>
      <c r="T209" s="2"/>
      <c r="U209" s="2"/>
      <c r="V209" s="2"/>
      <c r="W209" s="2"/>
      <c r="X209" s="2"/>
      <c r="Y209" s="2"/>
      <c r="Z209" s="2"/>
      <c r="AA209" s="2"/>
      <c r="AB209" s="2"/>
      <c r="AC209" s="2"/>
    </row>
    <row r="210" spans="7:29" x14ac:dyDescent="0.35">
      <c r="G210" s="2"/>
      <c r="H210" s="2"/>
      <c r="I210" s="2"/>
      <c r="J210" s="2"/>
      <c r="K210" s="2"/>
      <c r="L210" s="2"/>
      <c r="M210" s="2"/>
      <c r="N210" s="2"/>
      <c r="O210" s="2"/>
      <c r="P210" s="2"/>
      <c r="Q210" s="2"/>
      <c r="R210" s="2"/>
      <c r="S210" s="2"/>
      <c r="T210" s="2"/>
      <c r="U210" s="2"/>
      <c r="V210" s="2"/>
      <c r="W210" s="2"/>
      <c r="X210" s="2"/>
      <c r="Y210" s="2"/>
      <c r="Z210" s="2"/>
      <c r="AA210" s="2"/>
      <c r="AB210" s="2"/>
      <c r="AC210" s="2"/>
    </row>
    <row r="211" spans="7:29" x14ac:dyDescent="0.35">
      <c r="G211" s="2"/>
      <c r="H211" s="2"/>
      <c r="I211" s="2"/>
      <c r="J211" s="2"/>
      <c r="K211" s="2"/>
      <c r="L211" s="2"/>
      <c r="M211" s="2"/>
      <c r="N211" s="2"/>
      <c r="O211" s="2"/>
      <c r="P211" s="2"/>
      <c r="Q211" s="2"/>
      <c r="R211" s="2"/>
      <c r="S211" s="2"/>
      <c r="T211" s="2"/>
      <c r="U211" s="2"/>
      <c r="V211" s="2"/>
      <c r="W211" s="2"/>
      <c r="X211" s="2"/>
      <c r="Y211" s="2"/>
      <c r="Z211" s="2"/>
      <c r="AA211" s="2"/>
      <c r="AB211" s="2"/>
      <c r="AC211" s="2"/>
    </row>
    <row r="212" spans="7:29" x14ac:dyDescent="0.35">
      <c r="G212" s="2"/>
      <c r="H212" s="2"/>
      <c r="I212" s="2"/>
      <c r="J212" s="2"/>
      <c r="K212" s="2"/>
      <c r="L212" s="2"/>
      <c r="M212" s="2"/>
      <c r="N212" s="2"/>
      <c r="O212" s="2"/>
      <c r="P212" s="2"/>
      <c r="Q212" s="2"/>
      <c r="R212" s="2"/>
      <c r="S212" s="2"/>
      <c r="T212" s="2"/>
      <c r="U212" s="2"/>
      <c r="V212" s="2"/>
      <c r="W212" s="2"/>
      <c r="X212" s="2"/>
      <c r="Y212" s="2"/>
      <c r="Z212" s="2"/>
      <c r="AA212" s="2"/>
      <c r="AB212" s="2"/>
      <c r="AC212" s="2"/>
    </row>
    <row r="213" spans="7:29" x14ac:dyDescent="0.35">
      <c r="G213" s="2"/>
      <c r="H213" s="2"/>
      <c r="I213" s="2"/>
      <c r="J213" s="2"/>
      <c r="K213" s="2"/>
      <c r="L213" s="2"/>
      <c r="M213" s="2"/>
      <c r="N213" s="2"/>
      <c r="O213" s="2"/>
      <c r="P213" s="2"/>
      <c r="Q213" s="2"/>
      <c r="R213" s="2"/>
      <c r="S213" s="2"/>
      <c r="T213" s="2"/>
      <c r="U213" s="2"/>
      <c r="V213" s="2"/>
      <c r="W213" s="2"/>
      <c r="X213" s="2"/>
      <c r="Y213" s="2"/>
      <c r="Z213" s="2"/>
      <c r="AA213" s="2"/>
      <c r="AB213" s="2"/>
      <c r="AC213" s="2"/>
    </row>
    <row r="214" spans="7:29" x14ac:dyDescent="0.35">
      <c r="G214" s="2"/>
      <c r="H214" s="2"/>
      <c r="I214" s="2"/>
      <c r="J214" s="2"/>
      <c r="K214" s="2"/>
      <c r="L214" s="2"/>
      <c r="M214" s="2"/>
      <c r="N214" s="2"/>
      <c r="O214" s="2"/>
      <c r="P214" s="2"/>
      <c r="Q214" s="2"/>
      <c r="R214" s="2"/>
      <c r="S214" s="2"/>
      <c r="T214" s="2"/>
      <c r="U214" s="2"/>
      <c r="V214" s="2"/>
      <c r="W214" s="2"/>
      <c r="X214" s="2"/>
      <c r="Y214" s="2"/>
      <c r="Z214" s="2"/>
      <c r="AA214" s="2"/>
      <c r="AB214" s="2"/>
      <c r="AC214" s="2"/>
    </row>
    <row r="215" spans="7:29" x14ac:dyDescent="0.35">
      <c r="G215" s="2"/>
      <c r="H215" s="2"/>
      <c r="I215" s="2"/>
      <c r="J215" s="2"/>
      <c r="K215" s="2"/>
      <c r="L215" s="2"/>
      <c r="M215" s="2"/>
      <c r="N215" s="2"/>
      <c r="O215" s="2"/>
      <c r="P215" s="2"/>
      <c r="Q215" s="2"/>
      <c r="R215" s="2"/>
      <c r="S215" s="2"/>
      <c r="T215" s="2"/>
      <c r="U215" s="2"/>
      <c r="V215" s="2"/>
      <c r="W215" s="2"/>
      <c r="X215" s="2"/>
      <c r="Y215" s="2"/>
      <c r="Z215" s="2"/>
      <c r="AA215" s="2"/>
      <c r="AB215" s="2"/>
      <c r="AC215" s="2"/>
    </row>
    <row r="216" spans="7:29" x14ac:dyDescent="0.35">
      <c r="G216" s="2"/>
      <c r="H216" s="2"/>
      <c r="I216" s="2"/>
      <c r="J216" s="2"/>
      <c r="K216" s="2"/>
      <c r="L216" s="2"/>
      <c r="M216" s="2"/>
      <c r="N216" s="2"/>
      <c r="O216" s="2"/>
      <c r="P216" s="2"/>
      <c r="Q216" s="2"/>
      <c r="R216" s="2"/>
      <c r="S216" s="2"/>
      <c r="T216" s="2"/>
      <c r="U216" s="2"/>
      <c r="V216" s="2"/>
      <c r="W216" s="2"/>
      <c r="X216" s="2"/>
      <c r="Y216" s="2"/>
      <c r="Z216" s="2"/>
      <c r="AA216" s="2"/>
      <c r="AB216" s="2"/>
      <c r="AC216" s="2"/>
    </row>
    <row r="217" spans="7:29" x14ac:dyDescent="0.35">
      <c r="G217" s="2"/>
      <c r="H217" s="2"/>
      <c r="I217" s="2"/>
      <c r="J217" s="2"/>
      <c r="K217" s="2"/>
      <c r="L217" s="2"/>
      <c r="M217" s="2"/>
      <c r="N217" s="2"/>
      <c r="O217" s="2"/>
      <c r="P217" s="2"/>
      <c r="Q217" s="2"/>
      <c r="R217" s="2"/>
      <c r="S217" s="2"/>
      <c r="T217" s="2"/>
      <c r="U217" s="2"/>
      <c r="V217" s="2"/>
      <c r="W217" s="2"/>
      <c r="X217" s="2"/>
      <c r="Y217" s="2"/>
      <c r="Z217" s="2"/>
      <c r="AA217" s="2"/>
      <c r="AB217" s="2"/>
      <c r="AC217" s="2"/>
    </row>
    <row r="218" spans="7:29" x14ac:dyDescent="0.35">
      <c r="G218" s="2"/>
      <c r="H218" s="2"/>
      <c r="I218" s="2"/>
      <c r="J218" s="2"/>
      <c r="K218" s="2"/>
      <c r="L218" s="2"/>
      <c r="M218" s="2"/>
      <c r="N218" s="2"/>
      <c r="O218" s="2"/>
      <c r="P218" s="2"/>
      <c r="Q218" s="2"/>
      <c r="R218" s="2"/>
      <c r="S218" s="2"/>
      <c r="T218" s="2"/>
      <c r="U218" s="2"/>
      <c r="V218" s="2"/>
      <c r="W218" s="2"/>
      <c r="X218" s="2"/>
      <c r="Y218" s="2"/>
      <c r="Z218" s="2"/>
      <c r="AA218" s="2"/>
      <c r="AB218" s="2"/>
      <c r="AC218" s="2"/>
    </row>
    <row r="219" spans="7:29" x14ac:dyDescent="0.35">
      <c r="G219" s="2"/>
      <c r="H219" s="2"/>
      <c r="I219" s="2"/>
      <c r="J219" s="2"/>
      <c r="K219" s="2"/>
      <c r="L219" s="2"/>
      <c r="M219" s="2"/>
      <c r="N219" s="2"/>
      <c r="O219" s="2"/>
      <c r="P219" s="2"/>
      <c r="Q219" s="2"/>
      <c r="R219" s="2"/>
      <c r="S219" s="2"/>
      <c r="T219" s="2"/>
      <c r="U219" s="2"/>
      <c r="V219" s="2"/>
      <c r="W219" s="2"/>
      <c r="X219" s="2"/>
      <c r="Y219" s="2"/>
      <c r="Z219" s="2"/>
      <c r="AA219" s="2"/>
      <c r="AB219" s="2"/>
      <c r="AC219" s="2"/>
    </row>
    <row r="220" spans="7:29" x14ac:dyDescent="0.35">
      <c r="G220" s="2"/>
      <c r="H220" s="2"/>
      <c r="I220" s="2"/>
      <c r="J220" s="2"/>
      <c r="K220" s="2"/>
      <c r="L220" s="2"/>
      <c r="M220" s="2"/>
      <c r="N220" s="2"/>
      <c r="O220" s="2"/>
      <c r="P220" s="2"/>
      <c r="Q220" s="2"/>
      <c r="R220" s="2"/>
      <c r="S220" s="2"/>
      <c r="T220" s="2"/>
      <c r="U220" s="2"/>
      <c r="V220" s="2"/>
      <c r="W220" s="2"/>
      <c r="X220" s="2"/>
      <c r="Y220" s="2"/>
      <c r="Z220" s="2"/>
      <c r="AA220" s="2"/>
      <c r="AB220" s="2"/>
      <c r="AC220" s="2"/>
    </row>
    <row r="221" spans="7:29" x14ac:dyDescent="0.35">
      <c r="G221" s="2"/>
      <c r="H221" s="2"/>
      <c r="I221" s="2"/>
      <c r="J221" s="2"/>
      <c r="K221" s="2"/>
      <c r="L221" s="2"/>
      <c r="M221" s="2"/>
      <c r="N221" s="2"/>
      <c r="O221" s="2"/>
      <c r="P221" s="2"/>
      <c r="Q221" s="2"/>
      <c r="R221" s="2"/>
      <c r="S221" s="2"/>
      <c r="T221" s="2"/>
      <c r="U221" s="2"/>
      <c r="V221" s="2"/>
      <c r="W221" s="2"/>
      <c r="X221" s="2"/>
      <c r="Y221" s="2"/>
      <c r="Z221" s="2"/>
      <c r="AA221" s="2"/>
      <c r="AB221" s="2"/>
      <c r="AC221" s="2"/>
    </row>
    <row r="222" spans="7:29" x14ac:dyDescent="0.35">
      <c r="G222" s="2"/>
      <c r="H222" s="2"/>
      <c r="I222" s="2"/>
      <c r="J222" s="2"/>
      <c r="K222" s="2"/>
      <c r="L222" s="2"/>
      <c r="M222" s="2"/>
      <c r="N222" s="2"/>
      <c r="O222" s="2"/>
      <c r="P222" s="2"/>
      <c r="Q222" s="2"/>
      <c r="R222" s="2"/>
      <c r="S222" s="2"/>
      <c r="T222" s="2"/>
      <c r="U222" s="2"/>
      <c r="V222" s="2"/>
      <c r="W222" s="2"/>
      <c r="X222" s="2"/>
      <c r="Y222" s="2"/>
      <c r="Z222" s="2"/>
      <c r="AA222" s="2"/>
      <c r="AB222" s="2"/>
      <c r="AC222" s="2"/>
    </row>
    <row r="223" spans="7:29" x14ac:dyDescent="0.35">
      <c r="G223" s="2"/>
      <c r="H223" s="2"/>
      <c r="I223" s="2"/>
      <c r="J223" s="2"/>
      <c r="K223" s="2"/>
      <c r="L223" s="2"/>
      <c r="M223" s="2"/>
      <c r="N223" s="2"/>
      <c r="O223" s="2"/>
      <c r="P223" s="2"/>
      <c r="Q223" s="2"/>
      <c r="R223" s="2"/>
      <c r="S223" s="2"/>
      <c r="T223" s="2"/>
      <c r="U223" s="2"/>
      <c r="V223" s="2"/>
      <c r="W223" s="2"/>
      <c r="X223" s="2"/>
      <c r="Y223" s="2"/>
      <c r="Z223" s="2"/>
      <c r="AA223" s="2"/>
      <c r="AB223" s="2"/>
      <c r="AC223" s="2"/>
    </row>
    <row r="224" spans="7:29" x14ac:dyDescent="0.35">
      <c r="G224" s="2"/>
      <c r="H224" s="2"/>
      <c r="I224" s="2"/>
      <c r="J224" s="2"/>
      <c r="K224" s="2"/>
      <c r="L224" s="2"/>
      <c r="M224" s="2"/>
      <c r="N224" s="2"/>
      <c r="O224" s="2"/>
      <c r="P224" s="2"/>
      <c r="Q224" s="2"/>
      <c r="R224" s="2"/>
      <c r="S224" s="2"/>
      <c r="T224" s="2"/>
      <c r="U224" s="2"/>
      <c r="V224" s="2"/>
      <c r="W224" s="2"/>
      <c r="X224" s="2"/>
      <c r="Y224" s="2"/>
      <c r="Z224" s="2"/>
      <c r="AA224" s="2"/>
      <c r="AB224" s="2"/>
      <c r="AC224" s="2"/>
    </row>
    <row r="225" spans="7:29" x14ac:dyDescent="0.35">
      <c r="G225" s="2"/>
      <c r="H225" s="2"/>
      <c r="I225" s="2"/>
      <c r="J225" s="2"/>
      <c r="K225" s="2"/>
      <c r="L225" s="2"/>
      <c r="M225" s="2"/>
      <c r="N225" s="2"/>
      <c r="O225" s="2"/>
      <c r="P225" s="2"/>
      <c r="Q225" s="2"/>
      <c r="R225" s="2"/>
      <c r="S225" s="2"/>
      <c r="T225" s="2"/>
      <c r="U225" s="2"/>
      <c r="V225" s="2"/>
      <c r="W225" s="2"/>
      <c r="X225" s="2"/>
      <c r="Y225" s="2"/>
      <c r="Z225" s="2"/>
      <c r="AA225" s="2"/>
      <c r="AB225" s="2"/>
      <c r="AC225" s="2"/>
    </row>
    <row r="226" spans="7:29" x14ac:dyDescent="0.35">
      <c r="G226" s="2"/>
      <c r="H226" s="2"/>
      <c r="I226" s="2"/>
      <c r="J226" s="2"/>
      <c r="K226" s="2"/>
      <c r="L226" s="2"/>
      <c r="M226" s="2"/>
      <c r="N226" s="2"/>
      <c r="O226" s="2"/>
      <c r="P226" s="2"/>
      <c r="Q226" s="2"/>
      <c r="R226" s="2"/>
      <c r="S226" s="2"/>
      <c r="T226" s="2"/>
      <c r="U226" s="2"/>
      <c r="V226" s="2"/>
      <c r="W226" s="2"/>
      <c r="X226" s="2"/>
      <c r="Y226" s="2"/>
      <c r="Z226" s="2"/>
      <c r="AA226" s="2"/>
      <c r="AB226" s="2"/>
      <c r="AC226" s="2"/>
    </row>
    <row r="227" spans="7:29" x14ac:dyDescent="0.35">
      <c r="G227" s="2"/>
      <c r="H227" s="2"/>
      <c r="I227" s="2"/>
      <c r="J227" s="2"/>
      <c r="K227" s="2"/>
      <c r="L227" s="2"/>
      <c r="M227" s="2"/>
      <c r="N227" s="2"/>
      <c r="O227" s="2"/>
      <c r="P227" s="2"/>
      <c r="Q227" s="2"/>
      <c r="R227" s="2"/>
      <c r="S227" s="2"/>
      <c r="T227" s="2"/>
      <c r="U227" s="2"/>
      <c r="V227" s="2"/>
      <c r="W227" s="2"/>
      <c r="X227" s="2"/>
      <c r="Y227" s="2"/>
      <c r="Z227" s="2"/>
      <c r="AA227" s="2"/>
      <c r="AB227" s="2"/>
      <c r="AC227" s="2"/>
    </row>
    <row r="228" spans="7:29" x14ac:dyDescent="0.35">
      <c r="G228" s="2"/>
      <c r="H228" s="2"/>
      <c r="I228" s="2"/>
      <c r="J228" s="2"/>
      <c r="K228" s="2"/>
      <c r="L228" s="2"/>
      <c r="M228" s="2"/>
      <c r="N228" s="2"/>
      <c r="O228" s="2"/>
      <c r="P228" s="2"/>
      <c r="Q228" s="2"/>
      <c r="R228" s="2"/>
      <c r="S228" s="2"/>
      <c r="T228" s="2"/>
      <c r="U228" s="2"/>
      <c r="V228" s="2"/>
      <c r="W228" s="2"/>
      <c r="X228" s="2"/>
      <c r="Y228" s="2"/>
      <c r="Z228" s="2"/>
      <c r="AA228" s="2"/>
      <c r="AB228" s="2"/>
      <c r="AC228" s="2"/>
    </row>
    <row r="229" spans="7:29" x14ac:dyDescent="0.35">
      <c r="G229" s="2"/>
      <c r="H229" s="2"/>
      <c r="I229" s="2"/>
      <c r="J229" s="2"/>
      <c r="K229" s="2"/>
      <c r="L229" s="2"/>
      <c r="M229" s="2"/>
      <c r="N229" s="2"/>
      <c r="O229" s="2"/>
      <c r="P229" s="2"/>
      <c r="Q229" s="2"/>
      <c r="R229" s="2"/>
      <c r="S229" s="2"/>
      <c r="T229" s="2"/>
      <c r="U229" s="2"/>
      <c r="V229" s="2"/>
      <c r="W229" s="2"/>
      <c r="X229" s="2"/>
      <c r="Y229" s="2"/>
      <c r="Z229" s="2"/>
      <c r="AA229" s="2"/>
      <c r="AB229" s="2"/>
      <c r="AC229" s="2"/>
    </row>
    <row r="230" spans="7:29" x14ac:dyDescent="0.35">
      <c r="G230" s="2"/>
      <c r="H230" s="2"/>
      <c r="I230" s="2"/>
      <c r="J230" s="2"/>
      <c r="K230" s="2"/>
      <c r="L230" s="2"/>
      <c r="M230" s="2"/>
      <c r="N230" s="2"/>
      <c r="O230" s="2"/>
      <c r="P230" s="2"/>
      <c r="Q230" s="2"/>
      <c r="R230" s="2"/>
      <c r="S230" s="2"/>
      <c r="T230" s="2"/>
      <c r="U230" s="2"/>
      <c r="V230" s="2"/>
      <c r="W230" s="2"/>
      <c r="X230" s="2"/>
      <c r="Y230" s="2"/>
      <c r="Z230" s="2"/>
      <c r="AA230" s="2"/>
      <c r="AB230" s="2"/>
      <c r="AC230" s="2"/>
    </row>
    <row r="231" spans="7:29" x14ac:dyDescent="0.35">
      <c r="G231" s="2"/>
      <c r="H231" s="2"/>
      <c r="I231" s="2"/>
      <c r="J231" s="2"/>
      <c r="K231" s="2"/>
      <c r="L231" s="2"/>
      <c r="M231" s="2"/>
      <c r="N231" s="2"/>
      <c r="O231" s="2"/>
      <c r="P231" s="2"/>
      <c r="Q231" s="2"/>
      <c r="R231" s="2"/>
      <c r="S231" s="2"/>
      <c r="T231" s="2"/>
      <c r="U231" s="2"/>
      <c r="V231" s="2"/>
      <c r="W231" s="2"/>
      <c r="X231" s="2"/>
      <c r="Y231" s="2"/>
      <c r="Z231" s="2"/>
      <c r="AA231" s="2"/>
      <c r="AB231" s="2"/>
      <c r="AC231" s="2"/>
    </row>
    <row r="232" spans="7:29" x14ac:dyDescent="0.35">
      <c r="G232" s="2"/>
      <c r="H232" s="2"/>
      <c r="I232" s="2"/>
      <c r="J232" s="2"/>
      <c r="K232" s="2"/>
      <c r="L232" s="2"/>
      <c r="M232" s="2"/>
      <c r="N232" s="2"/>
      <c r="O232" s="2"/>
      <c r="P232" s="2"/>
      <c r="Q232" s="2"/>
      <c r="R232" s="2"/>
      <c r="S232" s="2"/>
      <c r="T232" s="2"/>
      <c r="U232" s="2"/>
      <c r="V232" s="2"/>
      <c r="W232" s="2"/>
      <c r="X232" s="2"/>
      <c r="Y232" s="2"/>
      <c r="Z232" s="2"/>
      <c r="AA232" s="2"/>
      <c r="AB232" s="2"/>
      <c r="AC232" s="2"/>
    </row>
    <row r="233" spans="7:29" x14ac:dyDescent="0.35">
      <c r="G233" s="2"/>
      <c r="H233" s="2"/>
      <c r="I233" s="2"/>
      <c r="J233" s="2"/>
      <c r="K233" s="2"/>
      <c r="L233" s="2"/>
      <c r="M233" s="2"/>
      <c r="N233" s="2"/>
      <c r="O233" s="2"/>
      <c r="P233" s="2"/>
      <c r="Q233" s="2"/>
      <c r="R233" s="2"/>
      <c r="S233" s="2"/>
      <c r="T233" s="2"/>
      <c r="U233" s="2"/>
      <c r="V233" s="2"/>
      <c r="W233" s="2"/>
      <c r="X233" s="2"/>
      <c r="Y233" s="2"/>
      <c r="Z233" s="2"/>
      <c r="AA233" s="2"/>
      <c r="AB233" s="2"/>
      <c r="AC233" s="2"/>
    </row>
    <row r="234" spans="7:29" x14ac:dyDescent="0.35">
      <c r="G234" s="2"/>
      <c r="H234" s="2"/>
      <c r="I234" s="2"/>
      <c r="J234" s="2"/>
      <c r="K234" s="2"/>
      <c r="L234" s="2"/>
      <c r="M234" s="2"/>
      <c r="N234" s="2"/>
      <c r="O234" s="2"/>
      <c r="P234" s="2"/>
      <c r="Q234" s="2"/>
      <c r="R234" s="2"/>
      <c r="S234" s="2"/>
      <c r="T234" s="2"/>
      <c r="U234" s="2"/>
      <c r="V234" s="2"/>
      <c r="W234" s="2"/>
      <c r="X234" s="2"/>
      <c r="Y234" s="2"/>
      <c r="Z234" s="2"/>
      <c r="AA234" s="2"/>
      <c r="AB234" s="2"/>
      <c r="AC234" s="2"/>
    </row>
    <row r="235" spans="7:29" x14ac:dyDescent="0.35">
      <c r="G235" s="2"/>
      <c r="H235" s="2"/>
      <c r="I235" s="2"/>
      <c r="J235" s="2"/>
      <c r="K235" s="2"/>
      <c r="L235" s="2"/>
      <c r="M235" s="2"/>
      <c r="N235" s="2"/>
      <c r="O235" s="2"/>
      <c r="P235" s="2"/>
      <c r="Q235" s="2"/>
      <c r="R235" s="2"/>
      <c r="S235" s="2"/>
      <c r="T235" s="2"/>
      <c r="U235" s="2"/>
      <c r="V235" s="2"/>
      <c r="W235" s="2"/>
      <c r="X235" s="2"/>
      <c r="Y235" s="2"/>
      <c r="Z235" s="2"/>
      <c r="AA235" s="2"/>
      <c r="AB235" s="2"/>
      <c r="AC235" s="2"/>
    </row>
    <row r="236" spans="7:29" x14ac:dyDescent="0.35">
      <c r="G236" s="2"/>
      <c r="H236" s="2"/>
      <c r="I236" s="2"/>
      <c r="J236" s="2"/>
      <c r="K236" s="2"/>
      <c r="L236" s="2"/>
      <c r="M236" s="2"/>
      <c r="N236" s="2"/>
      <c r="O236" s="2"/>
      <c r="P236" s="2"/>
      <c r="Q236" s="2"/>
      <c r="R236" s="2"/>
      <c r="S236" s="2"/>
      <c r="T236" s="2"/>
      <c r="U236" s="2"/>
      <c r="V236" s="2"/>
      <c r="W236" s="2"/>
      <c r="X236" s="2"/>
      <c r="Y236" s="2"/>
      <c r="Z236" s="2"/>
      <c r="AA236" s="2"/>
      <c r="AB236" s="2"/>
      <c r="AC236" s="2"/>
    </row>
    <row r="237" spans="7:29" x14ac:dyDescent="0.35">
      <c r="G237" s="2"/>
      <c r="H237" s="2"/>
      <c r="I237" s="2"/>
      <c r="J237" s="2"/>
      <c r="K237" s="2"/>
      <c r="L237" s="2"/>
      <c r="M237" s="2"/>
      <c r="N237" s="2"/>
      <c r="O237" s="2"/>
      <c r="P237" s="2"/>
      <c r="Q237" s="2"/>
      <c r="R237" s="2"/>
      <c r="S237" s="2"/>
      <c r="T237" s="2"/>
      <c r="U237" s="2"/>
      <c r="V237" s="2"/>
      <c r="W237" s="2"/>
      <c r="X237" s="2"/>
      <c r="Y237" s="2"/>
      <c r="Z237" s="2"/>
      <c r="AA237" s="2"/>
      <c r="AB237" s="2"/>
      <c r="AC237" s="2"/>
    </row>
    <row r="238" spans="7:29" x14ac:dyDescent="0.35">
      <c r="G238" s="2"/>
      <c r="H238" s="2"/>
      <c r="I238" s="2"/>
      <c r="J238" s="2"/>
      <c r="K238" s="2"/>
      <c r="L238" s="2"/>
      <c r="M238" s="2"/>
      <c r="N238" s="2"/>
      <c r="O238" s="2"/>
      <c r="P238" s="2"/>
      <c r="Q238" s="2"/>
      <c r="R238" s="2"/>
      <c r="S238" s="2"/>
      <c r="T238" s="2"/>
      <c r="U238" s="2"/>
      <c r="V238" s="2"/>
      <c r="W238" s="2"/>
      <c r="X238" s="2"/>
      <c r="Y238" s="2"/>
      <c r="Z238" s="2"/>
      <c r="AA238" s="2"/>
      <c r="AB238" s="2"/>
      <c r="AC238" s="2"/>
    </row>
    <row r="239" spans="7:29" x14ac:dyDescent="0.35">
      <c r="G239" s="2"/>
      <c r="H239" s="2"/>
      <c r="I239" s="2"/>
      <c r="J239" s="2"/>
      <c r="K239" s="2"/>
      <c r="L239" s="2"/>
      <c r="M239" s="2"/>
      <c r="N239" s="2"/>
      <c r="O239" s="2"/>
      <c r="P239" s="2"/>
      <c r="Q239" s="2"/>
      <c r="R239" s="2"/>
      <c r="S239" s="2"/>
      <c r="T239" s="2"/>
      <c r="U239" s="2"/>
      <c r="V239" s="2"/>
      <c r="W239" s="2"/>
      <c r="X239" s="2"/>
      <c r="Y239" s="2"/>
      <c r="Z239" s="2"/>
      <c r="AA239" s="2"/>
      <c r="AB239" s="2"/>
      <c r="AC239" s="2"/>
    </row>
    <row r="240" spans="7:29" x14ac:dyDescent="0.35">
      <c r="G240" s="2"/>
      <c r="H240" s="2"/>
      <c r="I240" s="2"/>
      <c r="J240" s="2"/>
      <c r="K240" s="2"/>
      <c r="L240" s="2"/>
      <c r="M240" s="2"/>
      <c r="N240" s="2"/>
      <c r="O240" s="2"/>
      <c r="P240" s="2"/>
      <c r="Q240" s="2"/>
      <c r="R240" s="2"/>
      <c r="S240" s="2"/>
      <c r="T240" s="2"/>
      <c r="U240" s="2"/>
      <c r="V240" s="2"/>
      <c r="W240" s="2"/>
      <c r="X240" s="2"/>
      <c r="Y240" s="2"/>
      <c r="Z240" s="2"/>
      <c r="AA240" s="2"/>
      <c r="AB240" s="2"/>
      <c r="AC240" s="2"/>
    </row>
    <row r="241" spans="7:29" x14ac:dyDescent="0.35">
      <c r="G241" s="2"/>
      <c r="H241" s="2"/>
      <c r="I241" s="2"/>
      <c r="J241" s="2"/>
      <c r="K241" s="2"/>
      <c r="L241" s="2"/>
      <c r="M241" s="2"/>
      <c r="N241" s="2"/>
      <c r="O241" s="2"/>
      <c r="P241" s="2"/>
      <c r="Q241" s="2"/>
      <c r="R241" s="2"/>
      <c r="S241" s="2"/>
      <c r="T241" s="2"/>
      <c r="U241" s="2"/>
      <c r="V241" s="2"/>
      <c r="W241" s="2"/>
      <c r="X241" s="2"/>
      <c r="Y241" s="2"/>
      <c r="Z241" s="2"/>
      <c r="AA241" s="2"/>
      <c r="AB241" s="2"/>
      <c r="AC241" s="2"/>
    </row>
    <row r="242" spans="7:29" x14ac:dyDescent="0.35">
      <c r="G242" s="2"/>
      <c r="H242" s="2"/>
      <c r="I242" s="2"/>
      <c r="J242" s="2"/>
      <c r="K242" s="2"/>
      <c r="L242" s="2"/>
      <c r="M242" s="2"/>
      <c r="N242" s="2"/>
      <c r="O242" s="2"/>
      <c r="P242" s="2"/>
      <c r="Q242" s="2"/>
      <c r="R242" s="2"/>
      <c r="S242" s="2"/>
      <c r="T242" s="2"/>
      <c r="U242" s="2"/>
      <c r="V242" s="2"/>
      <c r="W242" s="2"/>
      <c r="X242" s="2"/>
      <c r="Y242" s="2"/>
      <c r="Z242" s="2"/>
      <c r="AA242" s="2"/>
      <c r="AB242" s="2"/>
      <c r="AC242" s="2"/>
    </row>
    <row r="243" spans="7:29" x14ac:dyDescent="0.35">
      <c r="G243" s="2"/>
      <c r="H243" s="2"/>
      <c r="I243" s="2"/>
      <c r="J243" s="2"/>
      <c r="K243" s="2"/>
      <c r="L243" s="2"/>
      <c r="M243" s="2"/>
      <c r="N243" s="2"/>
      <c r="O243" s="2"/>
      <c r="P243" s="2"/>
      <c r="Q243" s="2"/>
      <c r="R243" s="2"/>
      <c r="S243" s="2"/>
      <c r="T243" s="2"/>
      <c r="U243" s="2"/>
      <c r="V243" s="2"/>
      <c r="W243" s="2"/>
      <c r="X243" s="2"/>
      <c r="Y243" s="2"/>
      <c r="Z243" s="2"/>
      <c r="AA243" s="2"/>
      <c r="AB243" s="2"/>
      <c r="AC243" s="2"/>
    </row>
    <row r="244" spans="7:29" x14ac:dyDescent="0.35">
      <c r="G244" s="2"/>
      <c r="H244" s="2"/>
      <c r="I244" s="2"/>
      <c r="J244" s="2"/>
      <c r="K244" s="2"/>
      <c r="L244" s="2"/>
      <c r="M244" s="2"/>
      <c r="N244" s="2"/>
      <c r="O244" s="2"/>
      <c r="P244" s="2"/>
      <c r="Q244" s="2"/>
      <c r="R244" s="2"/>
      <c r="S244" s="2"/>
      <c r="T244" s="2"/>
      <c r="U244" s="2"/>
      <c r="V244" s="2"/>
      <c r="W244" s="2"/>
      <c r="X244" s="2"/>
      <c r="Y244" s="2"/>
      <c r="Z244" s="2"/>
      <c r="AA244" s="2"/>
      <c r="AB244" s="2"/>
      <c r="AC244" s="2"/>
    </row>
    <row r="245" spans="7:29" x14ac:dyDescent="0.35">
      <c r="G245" s="2"/>
      <c r="H245" s="2"/>
      <c r="I245" s="2"/>
      <c r="J245" s="2"/>
      <c r="K245" s="2"/>
      <c r="L245" s="2"/>
      <c r="M245" s="2"/>
      <c r="N245" s="2"/>
      <c r="O245" s="2"/>
      <c r="P245" s="2"/>
      <c r="Q245" s="2"/>
      <c r="R245" s="2"/>
      <c r="S245" s="2"/>
      <c r="T245" s="2"/>
      <c r="U245" s="2"/>
      <c r="V245" s="2"/>
      <c r="W245" s="2"/>
      <c r="X245" s="2"/>
      <c r="Y245" s="2"/>
      <c r="Z245" s="2"/>
      <c r="AA245" s="2"/>
      <c r="AB245" s="2"/>
      <c r="AC245" s="2"/>
    </row>
    <row r="246" spans="7:29" x14ac:dyDescent="0.35">
      <c r="G246" s="2"/>
      <c r="H246" s="2"/>
      <c r="I246" s="2"/>
      <c r="J246" s="2"/>
      <c r="K246" s="2"/>
      <c r="L246" s="2"/>
      <c r="M246" s="2"/>
      <c r="N246" s="2"/>
      <c r="O246" s="2"/>
      <c r="P246" s="2"/>
      <c r="Q246" s="2"/>
      <c r="R246" s="2"/>
      <c r="S246" s="2"/>
      <c r="T246" s="2"/>
      <c r="U246" s="2"/>
      <c r="V246" s="2"/>
      <c r="W246" s="2"/>
      <c r="X246" s="2"/>
      <c r="Y246" s="2"/>
      <c r="Z246" s="2"/>
      <c r="AA246" s="2"/>
      <c r="AB246" s="2"/>
      <c r="AC246" s="2"/>
    </row>
    <row r="247" spans="7:29" x14ac:dyDescent="0.35">
      <c r="G247" s="2"/>
      <c r="H247" s="2"/>
      <c r="I247" s="2"/>
      <c r="J247" s="2"/>
      <c r="K247" s="2"/>
      <c r="L247" s="2"/>
      <c r="M247" s="2"/>
      <c r="N247" s="2"/>
      <c r="O247" s="2"/>
      <c r="P247" s="2"/>
      <c r="Q247" s="2"/>
      <c r="R247" s="2"/>
      <c r="S247" s="2"/>
      <c r="T247" s="2"/>
      <c r="U247" s="2"/>
      <c r="V247" s="2"/>
      <c r="W247" s="2"/>
      <c r="X247" s="2"/>
      <c r="Y247" s="2"/>
      <c r="Z247" s="2"/>
      <c r="AA247" s="2"/>
      <c r="AB247" s="2"/>
      <c r="AC247" s="2"/>
    </row>
    <row r="248" spans="7:29" x14ac:dyDescent="0.35">
      <c r="G248" s="2"/>
      <c r="H248" s="2"/>
      <c r="I248" s="2"/>
      <c r="J248" s="2"/>
      <c r="K248" s="2"/>
      <c r="L248" s="2"/>
      <c r="M248" s="2"/>
      <c r="N248" s="2"/>
      <c r="O248" s="2"/>
      <c r="P248" s="2"/>
      <c r="Q248" s="2"/>
      <c r="R248" s="2"/>
      <c r="S248" s="2"/>
      <c r="T248" s="2"/>
      <c r="U248" s="2"/>
      <c r="V248" s="2"/>
      <c r="W248" s="2"/>
      <c r="X248" s="2"/>
      <c r="Y248" s="2"/>
      <c r="Z248" s="2"/>
      <c r="AA248" s="2"/>
      <c r="AB248" s="2"/>
      <c r="AC248" s="2"/>
    </row>
    <row r="249" spans="7:29" x14ac:dyDescent="0.35">
      <c r="G249" s="2"/>
      <c r="H249" s="2"/>
      <c r="I249" s="2"/>
      <c r="J249" s="2"/>
      <c r="K249" s="2"/>
      <c r="L249" s="2"/>
      <c r="M249" s="2"/>
      <c r="N249" s="2"/>
      <c r="O249" s="2"/>
      <c r="P249" s="2"/>
      <c r="Q249" s="2"/>
      <c r="R249" s="2"/>
      <c r="S249" s="2"/>
      <c r="T249" s="2"/>
      <c r="U249" s="2"/>
      <c r="V249" s="2"/>
      <c r="W249" s="2"/>
      <c r="X249" s="2"/>
      <c r="Y249" s="2"/>
      <c r="Z249" s="2"/>
      <c r="AA249" s="2"/>
      <c r="AB249" s="2"/>
      <c r="AC249" s="2"/>
    </row>
    <row r="250" spans="7:29" x14ac:dyDescent="0.35">
      <c r="G250" s="2"/>
      <c r="H250" s="2"/>
      <c r="I250" s="2"/>
      <c r="J250" s="2"/>
      <c r="K250" s="2"/>
      <c r="L250" s="2"/>
      <c r="M250" s="2"/>
      <c r="N250" s="2"/>
      <c r="O250" s="2"/>
      <c r="P250" s="2"/>
      <c r="Q250" s="2"/>
      <c r="R250" s="2"/>
      <c r="S250" s="2"/>
      <c r="T250" s="2"/>
      <c r="U250" s="2"/>
      <c r="V250" s="2"/>
      <c r="W250" s="2"/>
      <c r="X250" s="2"/>
      <c r="Y250" s="2"/>
      <c r="Z250" s="2"/>
      <c r="AA250" s="2"/>
      <c r="AB250" s="2"/>
      <c r="AC250" s="2"/>
    </row>
    <row r="251" spans="7:29" x14ac:dyDescent="0.35">
      <c r="G251" s="2"/>
      <c r="H251" s="2"/>
      <c r="I251" s="2"/>
      <c r="J251" s="2"/>
      <c r="K251" s="2"/>
      <c r="L251" s="2"/>
      <c r="M251" s="2"/>
      <c r="N251" s="2"/>
      <c r="O251" s="2"/>
      <c r="P251" s="2"/>
      <c r="Q251" s="2"/>
      <c r="R251" s="2"/>
      <c r="S251" s="2"/>
      <c r="T251" s="2"/>
      <c r="U251" s="2"/>
      <c r="V251" s="2"/>
      <c r="W251" s="2"/>
      <c r="X251" s="2"/>
      <c r="Y251" s="2"/>
      <c r="Z251" s="2"/>
      <c r="AA251" s="2"/>
      <c r="AB251" s="2"/>
      <c r="AC251" s="2"/>
    </row>
    <row r="252" spans="7:29" x14ac:dyDescent="0.35">
      <c r="G252" s="2"/>
      <c r="H252" s="2"/>
      <c r="I252" s="2"/>
      <c r="J252" s="2"/>
      <c r="K252" s="2"/>
      <c r="L252" s="2"/>
      <c r="M252" s="2"/>
      <c r="N252" s="2"/>
      <c r="O252" s="2"/>
      <c r="P252" s="2"/>
      <c r="Q252" s="2"/>
      <c r="R252" s="2"/>
      <c r="S252" s="2"/>
      <c r="T252" s="2"/>
      <c r="U252" s="2"/>
      <c r="V252" s="2"/>
      <c r="W252" s="2"/>
      <c r="X252" s="2"/>
      <c r="Y252" s="2"/>
      <c r="Z252" s="2"/>
      <c r="AA252" s="2"/>
      <c r="AB252" s="2"/>
      <c r="AC252" s="2"/>
    </row>
    <row r="253" spans="7:29" x14ac:dyDescent="0.35">
      <c r="G253" s="2"/>
      <c r="H253" s="2"/>
      <c r="I253" s="2"/>
      <c r="J253" s="2"/>
      <c r="K253" s="2"/>
      <c r="L253" s="2"/>
      <c r="M253" s="2"/>
      <c r="N253" s="2"/>
      <c r="O253" s="2"/>
      <c r="P253" s="2"/>
      <c r="Q253" s="2"/>
      <c r="R253" s="2"/>
      <c r="S253" s="2"/>
      <c r="T253" s="2"/>
      <c r="U253" s="2"/>
      <c r="V253" s="2"/>
      <c r="W253" s="2"/>
      <c r="X253" s="2"/>
      <c r="Y253" s="2"/>
      <c r="Z253" s="2"/>
      <c r="AA253" s="2"/>
      <c r="AB253" s="2"/>
      <c r="AC253" s="2"/>
    </row>
    <row r="254" spans="7:29" x14ac:dyDescent="0.35">
      <c r="G254" s="2"/>
      <c r="H254" s="2"/>
      <c r="I254" s="2"/>
      <c r="J254" s="2"/>
      <c r="K254" s="2"/>
      <c r="L254" s="2"/>
      <c r="M254" s="2"/>
      <c r="N254" s="2"/>
      <c r="O254" s="2"/>
      <c r="P254" s="2"/>
      <c r="Q254" s="2"/>
      <c r="R254" s="2"/>
      <c r="S254" s="2"/>
      <c r="T254" s="2"/>
      <c r="U254" s="2"/>
      <c r="V254" s="2"/>
      <c r="W254" s="2"/>
      <c r="X254" s="2"/>
      <c r="Y254" s="2"/>
      <c r="Z254" s="2"/>
      <c r="AA254" s="2"/>
      <c r="AB254" s="2"/>
      <c r="AC254" s="2"/>
    </row>
    <row r="255" spans="7:29" x14ac:dyDescent="0.35">
      <c r="G255" s="2"/>
      <c r="H255" s="2"/>
      <c r="I255" s="2"/>
      <c r="J255" s="2"/>
      <c r="K255" s="2"/>
      <c r="L255" s="2"/>
      <c r="M255" s="2"/>
      <c r="N255" s="2"/>
      <c r="O255" s="2"/>
      <c r="P255" s="2"/>
      <c r="Q255" s="2"/>
      <c r="R255" s="2"/>
      <c r="S255" s="2"/>
      <c r="T255" s="2"/>
      <c r="U255" s="2"/>
      <c r="V255" s="2"/>
      <c r="W255" s="2"/>
      <c r="X255" s="2"/>
      <c r="Y255" s="2"/>
      <c r="Z255" s="2"/>
      <c r="AA255" s="2"/>
      <c r="AB255" s="2"/>
      <c r="AC255" s="2"/>
    </row>
    <row r="256" spans="7:29" x14ac:dyDescent="0.35">
      <c r="G256" s="2"/>
      <c r="H256" s="2"/>
      <c r="I256" s="2"/>
      <c r="J256" s="2"/>
      <c r="K256" s="2"/>
      <c r="L256" s="2"/>
      <c r="M256" s="2"/>
      <c r="N256" s="2"/>
      <c r="O256" s="2"/>
      <c r="P256" s="2"/>
      <c r="Q256" s="2"/>
      <c r="R256" s="2"/>
      <c r="S256" s="2"/>
      <c r="T256" s="2"/>
      <c r="U256" s="2"/>
      <c r="V256" s="2"/>
      <c r="W256" s="2"/>
      <c r="X256" s="2"/>
      <c r="Y256" s="2"/>
      <c r="Z256" s="2"/>
      <c r="AA256" s="2"/>
      <c r="AB256" s="2"/>
      <c r="AC256" s="2"/>
    </row>
    <row r="257" spans="7:29" x14ac:dyDescent="0.35">
      <c r="G257" s="2"/>
      <c r="H257" s="2"/>
      <c r="I257" s="2"/>
      <c r="J257" s="2"/>
      <c r="K257" s="2"/>
      <c r="L257" s="2"/>
      <c r="M257" s="2"/>
      <c r="N257" s="2"/>
      <c r="O257" s="2"/>
      <c r="P257" s="2"/>
      <c r="Q257" s="2"/>
      <c r="R257" s="2"/>
      <c r="S257" s="2"/>
      <c r="T257" s="2"/>
      <c r="U257" s="2"/>
      <c r="V257" s="2"/>
      <c r="W257" s="2"/>
      <c r="X257" s="2"/>
      <c r="Y257" s="2"/>
      <c r="Z257" s="2"/>
      <c r="AA257" s="2"/>
      <c r="AB257" s="2"/>
      <c r="AC257" s="2"/>
    </row>
    <row r="258" spans="7:29" x14ac:dyDescent="0.35">
      <c r="G258" s="2"/>
      <c r="H258" s="2"/>
      <c r="I258" s="2"/>
      <c r="J258" s="2"/>
      <c r="K258" s="2"/>
      <c r="L258" s="2"/>
      <c r="M258" s="2"/>
      <c r="N258" s="2"/>
      <c r="O258" s="2"/>
      <c r="P258" s="2"/>
      <c r="Q258" s="2"/>
      <c r="R258" s="2"/>
      <c r="S258" s="2"/>
      <c r="T258" s="2"/>
      <c r="U258" s="2"/>
      <c r="V258" s="2"/>
      <c r="W258" s="2"/>
      <c r="X258" s="2"/>
      <c r="Y258" s="2"/>
      <c r="Z258" s="2"/>
      <c r="AA258" s="2"/>
      <c r="AB258" s="2"/>
      <c r="AC258" s="2"/>
    </row>
    <row r="259" spans="7:29" x14ac:dyDescent="0.35">
      <c r="G259" s="2"/>
      <c r="H259" s="2"/>
      <c r="I259" s="2"/>
      <c r="J259" s="2"/>
      <c r="K259" s="2"/>
      <c r="L259" s="2"/>
      <c r="M259" s="2"/>
      <c r="N259" s="2"/>
      <c r="O259" s="2"/>
      <c r="P259" s="2"/>
      <c r="Q259" s="2"/>
      <c r="R259" s="2"/>
      <c r="S259" s="2"/>
      <c r="T259" s="2"/>
      <c r="U259" s="2"/>
      <c r="V259" s="2"/>
      <c r="W259" s="2"/>
      <c r="X259" s="2"/>
      <c r="Y259" s="2"/>
      <c r="Z259" s="2"/>
      <c r="AA259" s="2"/>
      <c r="AB259" s="2"/>
      <c r="AC259" s="2"/>
    </row>
    <row r="260" spans="7:29" x14ac:dyDescent="0.35">
      <c r="G260" s="2"/>
      <c r="H260" s="2"/>
      <c r="I260" s="2"/>
      <c r="J260" s="2"/>
      <c r="K260" s="2"/>
      <c r="L260" s="2"/>
      <c r="M260" s="2"/>
      <c r="N260" s="2"/>
      <c r="O260" s="2"/>
      <c r="P260" s="2"/>
      <c r="Q260" s="2"/>
      <c r="R260" s="2"/>
      <c r="S260" s="2"/>
      <c r="T260" s="2"/>
      <c r="U260" s="2"/>
      <c r="V260" s="2"/>
      <c r="W260" s="2"/>
      <c r="X260" s="2"/>
      <c r="Y260" s="2"/>
      <c r="Z260" s="2"/>
      <c r="AA260" s="2"/>
      <c r="AB260" s="2"/>
      <c r="AC260" s="2"/>
    </row>
    <row r="261" spans="7:29" x14ac:dyDescent="0.35">
      <c r="G261" s="2"/>
      <c r="H261" s="2"/>
      <c r="I261" s="2"/>
      <c r="J261" s="2"/>
      <c r="K261" s="2"/>
      <c r="L261" s="2"/>
      <c r="M261" s="2"/>
      <c r="N261" s="2"/>
      <c r="O261" s="2"/>
      <c r="P261" s="2"/>
      <c r="Q261" s="2"/>
      <c r="R261" s="2"/>
      <c r="S261" s="2"/>
      <c r="T261" s="2"/>
      <c r="U261" s="2"/>
      <c r="V261" s="2"/>
      <c r="W261" s="2"/>
      <c r="X261" s="2"/>
      <c r="Y261" s="2"/>
      <c r="Z261" s="2"/>
      <c r="AA261" s="2"/>
      <c r="AB261" s="2"/>
      <c r="AC261" s="2"/>
    </row>
    <row r="262" spans="7:29" x14ac:dyDescent="0.35">
      <c r="G262" s="2"/>
      <c r="H262" s="2"/>
      <c r="I262" s="2"/>
      <c r="J262" s="2"/>
      <c r="K262" s="2"/>
      <c r="L262" s="2"/>
      <c r="M262" s="2"/>
      <c r="N262" s="2"/>
      <c r="O262" s="2"/>
      <c r="P262" s="2"/>
      <c r="Q262" s="2"/>
      <c r="R262" s="2"/>
      <c r="S262" s="2"/>
      <c r="T262" s="2"/>
      <c r="U262" s="2"/>
      <c r="V262" s="2"/>
      <c r="W262" s="2"/>
      <c r="X262" s="2"/>
      <c r="Y262" s="2"/>
      <c r="Z262" s="2"/>
      <c r="AA262" s="2"/>
      <c r="AB262" s="2"/>
      <c r="AC262" s="2"/>
    </row>
    <row r="263" spans="7:29" x14ac:dyDescent="0.35">
      <c r="G263" s="2"/>
      <c r="H263" s="2"/>
      <c r="I263" s="2"/>
      <c r="J263" s="2"/>
      <c r="K263" s="2"/>
      <c r="L263" s="2"/>
      <c r="M263" s="2"/>
      <c r="N263" s="2"/>
      <c r="O263" s="2"/>
      <c r="P263" s="2"/>
      <c r="Q263" s="2"/>
      <c r="R263" s="2"/>
      <c r="S263" s="2"/>
      <c r="T263" s="2"/>
      <c r="U263" s="2"/>
      <c r="V263" s="2"/>
      <c r="W263" s="2"/>
      <c r="X263" s="2"/>
      <c r="Y263" s="2"/>
      <c r="Z263" s="2"/>
      <c r="AA263" s="2"/>
      <c r="AB263" s="2"/>
      <c r="AC263" s="2"/>
    </row>
    <row r="264" spans="7:29" x14ac:dyDescent="0.35">
      <c r="G264" s="2"/>
      <c r="H264" s="2"/>
      <c r="I264" s="2"/>
      <c r="J264" s="2"/>
      <c r="K264" s="2"/>
      <c r="L264" s="2"/>
      <c r="M264" s="2"/>
      <c r="N264" s="2"/>
      <c r="O264" s="2"/>
      <c r="P264" s="2"/>
      <c r="Q264" s="2"/>
      <c r="R264" s="2"/>
      <c r="S264" s="2"/>
      <c r="T264" s="2"/>
      <c r="U264" s="2"/>
      <c r="V264" s="2"/>
      <c r="W264" s="2"/>
      <c r="X264" s="2"/>
      <c r="Y264" s="2"/>
      <c r="Z264" s="2"/>
      <c r="AA264" s="2"/>
      <c r="AB264" s="2"/>
      <c r="AC264" s="2"/>
    </row>
    <row r="265" spans="7:29" x14ac:dyDescent="0.35">
      <c r="G265" s="2"/>
      <c r="H265" s="2"/>
      <c r="I265" s="2"/>
      <c r="J265" s="2"/>
      <c r="K265" s="2"/>
      <c r="L265" s="2"/>
      <c r="M265" s="2"/>
      <c r="N265" s="2"/>
      <c r="O265" s="2"/>
      <c r="P265" s="2"/>
      <c r="Q265" s="2"/>
      <c r="R265" s="2"/>
      <c r="S265" s="2"/>
      <c r="T265" s="2"/>
      <c r="U265" s="2"/>
      <c r="V265" s="2"/>
      <c r="W265" s="2"/>
      <c r="X265" s="2"/>
      <c r="Y265" s="2"/>
      <c r="Z265" s="2"/>
      <c r="AA265" s="2"/>
      <c r="AB265" s="2"/>
      <c r="AC265" s="2"/>
    </row>
    <row r="266" spans="7:29" x14ac:dyDescent="0.35">
      <c r="G266" s="2"/>
      <c r="H266" s="2"/>
      <c r="I266" s="2"/>
      <c r="J266" s="2"/>
      <c r="K266" s="2"/>
      <c r="L266" s="2"/>
      <c r="M266" s="2"/>
      <c r="N266" s="2"/>
      <c r="O266" s="2"/>
      <c r="P266" s="2"/>
      <c r="Q266" s="2"/>
      <c r="R266" s="2"/>
      <c r="S266" s="2"/>
      <c r="T266" s="2"/>
      <c r="U266" s="2"/>
      <c r="V266" s="2"/>
      <c r="W266" s="2"/>
      <c r="X266" s="2"/>
      <c r="Y266" s="2"/>
      <c r="Z266" s="2"/>
      <c r="AA266" s="2"/>
      <c r="AB266" s="2"/>
      <c r="AC266" s="2"/>
    </row>
    <row r="267" spans="7:29" x14ac:dyDescent="0.35">
      <c r="G267" s="2"/>
      <c r="H267" s="2"/>
      <c r="I267" s="2"/>
      <c r="J267" s="2"/>
      <c r="K267" s="2"/>
      <c r="L267" s="2"/>
      <c r="M267" s="2"/>
      <c r="N267" s="2"/>
      <c r="O267" s="2"/>
      <c r="P267" s="2"/>
      <c r="Q267" s="2"/>
      <c r="R267" s="2"/>
      <c r="S267" s="2"/>
      <c r="T267" s="2"/>
      <c r="U267" s="2"/>
      <c r="V267" s="2"/>
      <c r="W267" s="2"/>
      <c r="X267" s="2"/>
      <c r="Y267" s="2"/>
      <c r="Z267" s="2"/>
      <c r="AA267" s="2"/>
      <c r="AB267" s="2"/>
      <c r="AC267" s="2"/>
    </row>
    <row r="268" spans="7:29" x14ac:dyDescent="0.35">
      <c r="G268" s="2"/>
      <c r="H268" s="2"/>
      <c r="I268" s="2"/>
      <c r="J268" s="2"/>
      <c r="K268" s="2"/>
      <c r="L268" s="2"/>
      <c r="M268" s="2"/>
      <c r="N268" s="2"/>
      <c r="O268" s="2"/>
      <c r="P268" s="2"/>
      <c r="Q268" s="2"/>
      <c r="R268" s="2"/>
      <c r="S268" s="2"/>
      <c r="T268" s="2"/>
      <c r="U268" s="2"/>
      <c r="V268" s="2"/>
      <c r="W268" s="2"/>
      <c r="X268" s="2"/>
      <c r="Y268" s="2"/>
      <c r="Z268" s="2"/>
      <c r="AA268" s="2"/>
      <c r="AB268" s="2"/>
      <c r="AC268" s="2"/>
    </row>
    <row r="269" spans="7:29" x14ac:dyDescent="0.35">
      <c r="G269" s="2"/>
      <c r="H269" s="2"/>
      <c r="I269" s="2"/>
      <c r="J269" s="2"/>
      <c r="K269" s="2"/>
      <c r="L269" s="2"/>
      <c r="M269" s="2"/>
      <c r="N269" s="2"/>
      <c r="O269" s="2"/>
      <c r="P269" s="2"/>
      <c r="Q269" s="2"/>
      <c r="R269" s="2"/>
      <c r="S269" s="2"/>
      <c r="T269" s="2"/>
      <c r="U269" s="2"/>
      <c r="V269" s="2"/>
      <c r="W269" s="2"/>
      <c r="X269" s="2"/>
      <c r="Y269" s="2"/>
      <c r="Z269" s="2"/>
      <c r="AA269" s="2"/>
      <c r="AB269" s="2"/>
      <c r="AC269" s="2"/>
    </row>
    <row r="270" spans="7:29" x14ac:dyDescent="0.35">
      <c r="G270" s="2"/>
      <c r="H270" s="2"/>
      <c r="I270" s="2"/>
      <c r="J270" s="2"/>
      <c r="K270" s="2"/>
      <c r="L270" s="2"/>
      <c r="M270" s="2"/>
      <c r="N270" s="2"/>
      <c r="O270" s="2"/>
      <c r="P270" s="2"/>
      <c r="Q270" s="2"/>
      <c r="R270" s="2"/>
      <c r="S270" s="2"/>
      <c r="T270" s="2"/>
      <c r="U270" s="2"/>
      <c r="V270" s="2"/>
      <c r="W270" s="2"/>
      <c r="X270" s="2"/>
      <c r="Y270" s="2"/>
      <c r="Z270" s="2"/>
      <c r="AA270" s="2"/>
      <c r="AB270" s="2"/>
      <c r="AC270" s="2"/>
    </row>
    <row r="271" spans="7:29" x14ac:dyDescent="0.35">
      <c r="G271" s="2"/>
      <c r="H271" s="2"/>
      <c r="I271" s="2"/>
      <c r="J271" s="2"/>
      <c r="K271" s="2"/>
      <c r="L271" s="2"/>
      <c r="M271" s="2"/>
      <c r="N271" s="2"/>
      <c r="O271" s="2"/>
      <c r="P271" s="2"/>
      <c r="Q271" s="2"/>
      <c r="R271" s="2"/>
      <c r="S271" s="2"/>
      <c r="T271" s="2"/>
      <c r="U271" s="2"/>
      <c r="V271" s="2"/>
      <c r="W271" s="2"/>
      <c r="X271" s="2"/>
      <c r="Y271" s="2"/>
      <c r="Z271" s="2"/>
      <c r="AA271" s="2"/>
      <c r="AB271" s="2"/>
      <c r="AC271" s="2"/>
    </row>
    <row r="272" spans="7:29" x14ac:dyDescent="0.35">
      <c r="G272" s="2"/>
      <c r="H272" s="2"/>
      <c r="I272" s="2"/>
      <c r="J272" s="2"/>
      <c r="K272" s="2"/>
      <c r="L272" s="2"/>
      <c r="M272" s="2"/>
      <c r="N272" s="2"/>
      <c r="O272" s="2"/>
      <c r="P272" s="2"/>
      <c r="Q272" s="2"/>
      <c r="R272" s="2"/>
      <c r="S272" s="2"/>
      <c r="T272" s="2"/>
      <c r="U272" s="2"/>
      <c r="V272" s="2"/>
      <c r="W272" s="2"/>
      <c r="X272" s="2"/>
      <c r="Y272" s="2"/>
      <c r="Z272" s="2"/>
      <c r="AA272" s="2"/>
      <c r="AB272" s="2"/>
      <c r="AC272" s="2"/>
    </row>
    <row r="273" spans="7:29" x14ac:dyDescent="0.35">
      <c r="G273" s="2"/>
      <c r="H273" s="2"/>
      <c r="I273" s="2"/>
      <c r="J273" s="2"/>
      <c r="K273" s="2"/>
      <c r="L273" s="2"/>
      <c r="M273" s="2"/>
      <c r="N273" s="2"/>
      <c r="O273" s="2"/>
      <c r="P273" s="2"/>
      <c r="Q273" s="2"/>
      <c r="R273" s="2"/>
      <c r="S273" s="2"/>
      <c r="T273" s="2"/>
      <c r="U273" s="2"/>
      <c r="V273" s="2"/>
      <c r="W273" s="2"/>
      <c r="X273" s="2"/>
      <c r="Y273" s="2"/>
      <c r="Z273" s="2"/>
      <c r="AA273" s="2"/>
      <c r="AB273" s="2"/>
      <c r="AC273" s="2"/>
    </row>
    <row r="274" spans="7:29" x14ac:dyDescent="0.35">
      <c r="G274" s="2"/>
      <c r="H274" s="2"/>
      <c r="I274" s="2"/>
      <c r="J274" s="2"/>
      <c r="K274" s="2"/>
      <c r="L274" s="2"/>
      <c r="M274" s="2"/>
      <c r="N274" s="2"/>
      <c r="O274" s="2"/>
      <c r="P274" s="2"/>
      <c r="Q274" s="2"/>
      <c r="R274" s="2"/>
      <c r="S274" s="2"/>
      <c r="T274" s="2"/>
      <c r="U274" s="2"/>
      <c r="V274" s="2"/>
      <c r="W274" s="2"/>
      <c r="X274" s="2"/>
      <c r="Y274" s="2"/>
      <c r="Z274" s="2"/>
      <c r="AA274" s="2"/>
      <c r="AB274" s="2"/>
      <c r="AC274" s="2"/>
    </row>
    <row r="275" spans="7:29" x14ac:dyDescent="0.35">
      <c r="G275" s="2"/>
      <c r="H275" s="2"/>
      <c r="I275" s="2"/>
      <c r="J275" s="2"/>
      <c r="K275" s="2"/>
      <c r="L275" s="2"/>
      <c r="M275" s="2"/>
      <c r="N275" s="2"/>
      <c r="O275" s="2"/>
      <c r="P275" s="2"/>
      <c r="Q275" s="2"/>
      <c r="R275" s="2"/>
      <c r="S275" s="2"/>
      <c r="T275" s="2"/>
      <c r="U275" s="2"/>
      <c r="V275" s="2"/>
      <c r="W275" s="2"/>
      <c r="X275" s="2"/>
      <c r="Y275" s="2"/>
      <c r="Z275" s="2"/>
      <c r="AA275" s="2"/>
      <c r="AB275" s="2"/>
      <c r="AC275" s="2"/>
    </row>
    <row r="276" spans="7:29" x14ac:dyDescent="0.35">
      <c r="G276" s="2"/>
      <c r="H276" s="2"/>
      <c r="I276" s="2"/>
      <c r="J276" s="2"/>
      <c r="K276" s="2"/>
      <c r="L276" s="2"/>
      <c r="M276" s="2"/>
      <c r="N276" s="2"/>
      <c r="O276" s="2"/>
      <c r="P276" s="2"/>
      <c r="Q276" s="2"/>
      <c r="R276" s="2"/>
      <c r="S276" s="2"/>
      <c r="T276" s="2"/>
      <c r="U276" s="2"/>
      <c r="V276" s="2"/>
      <c r="W276" s="2"/>
      <c r="X276" s="2"/>
      <c r="Y276" s="2"/>
      <c r="Z276" s="2"/>
      <c r="AA276" s="2"/>
      <c r="AB276" s="2"/>
      <c r="AC276" s="2"/>
    </row>
    <row r="277" spans="7:29" x14ac:dyDescent="0.35">
      <c r="G277" s="2"/>
      <c r="H277" s="2"/>
      <c r="I277" s="2"/>
      <c r="J277" s="2"/>
      <c r="K277" s="2"/>
      <c r="L277" s="2"/>
      <c r="M277" s="2"/>
      <c r="N277" s="2"/>
      <c r="O277" s="2"/>
      <c r="P277" s="2"/>
      <c r="Q277" s="2"/>
      <c r="R277" s="2"/>
      <c r="S277" s="2"/>
      <c r="T277" s="2"/>
      <c r="U277" s="2"/>
      <c r="V277" s="2"/>
      <c r="W277" s="2"/>
      <c r="X277" s="2"/>
      <c r="Y277" s="2"/>
      <c r="Z277" s="2"/>
      <c r="AA277" s="2"/>
      <c r="AB277" s="2"/>
      <c r="AC277" s="2"/>
    </row>
    <row r="278" spans="7:29" x14ac:dyDescent="0.35">
      <c r="G278" s="2"/>
      <c r="H278" s="2"/>
      <c r="I278" s="2"/>
      <c r="J278" s="2"/>
      <c r="K278" s="2"/>
      <c r="L278" s="2"/>
      <c r="M278" s="2"/>
      <c r="N278" s="2"/>
      <c r="O278" s="2"/>
      <c r="P278" s="2"/>
      <c r="Q278" s="2"/>
      <c r="R278" s="2"/>
      <c r="S278" s="2"/>
      <c r="T278" s="2"/>
      <c r="U278" s="2"/>
      <c r="V278" s="2"/>
      <c r="W278" s="2"/>
      <c r="X278" s="2"/>
      <c r="Y278" s="2"/>
      <c r="Z278" s="2"/>
      <c r="AA278" s="2"/>
      <c r="AB278" s="2"/>
      <c r="AC278" s="2"/>
    </row>
    <row r="279" spans="7:29" x14ac:dyDescent="0.35">
      <c r="G279" s="2"/>
      <c r="H279" s="2"/>
      <c r="I279" s="2"/>
      <c r="J279" s="2"/>
      <c r="K279" s="2"/>
      <c r="L279" s="2"/>
      <c r="M279" s="2"/>
      <c r="N279" s="2"/>
      <c r="O279" s="2"/>
      <c r="P279" s="2"/>
      <c r="Q279" s="2"/>
      <c r="R279" s="2"/>
      <c r="S279" s="2"/>
      <c r="T279" s="2"/>
      <c r="U279" s="2"/>
      <c r="V279" s="2"/>
      <c r="W279" s="2"/>
      <c r="X279" s="2"/>
      <c r="Y279" s="2"/>
      <c r="Z279" s="2"/>
      <c r="AA279" s="2"/>
      <c r="AB279" s="2"/>
      <c r="AC279" s="2"/>
    </row>
    <row r="280" spans="7:29" x14ac:dyDescent="0.35">
      <c r="G280" s="2"/>
      <c r="H280" s="2"/>
      <c r="I280" s="2"/>
      <c r="J280" s="2"/>
      <c r="K280" s="2"/>
      <c r="L280" s="2"/>
      <c r="M280" s="2"/>
      <c r="N280" s="2"/>
      <c r="O280" s="2"/>
      <c r="P280" s="2"/>
      <c r="Q280" s="2"/>
      <c r="R280" s="2"/>
      <c r="S280" s="2"/>
      <c r="T280" s="2"/>
      <c r="U280" s="2"/>
      <c r="V280" s="2"/>
      <c r="W280" s="2"/>
      <c r="X280" s="2"/>
      <c r="Y280" s="2"/>
      <c r="Z280" s="2"/>
      <c r="AA280" s="2"/>
      <c r="AB280" s="2"/>
      <c r="AC280" s="2"/>
    </row>
    <row r="281" spans="7:29" x14ac:dyDescent="0.35">
      <c r="G281" s="2"/>
      <c r="H281" s="2"/>
      <c r="I281" s="2"/>
      <c r="J281" s="2"/>
      <c r="K281" s="2"/>
      <c r="L281" s="2"/>
      <c r="M281" s="2"/>
      <c r="N281" s="2"/>
      <c r="O281" s="2"/>
      <c r="P281" s="2"/>
      <c r="Q281" s="2"/>
      <c r="R281" s="2"/>
      <c r="S281" s="2"/>
      <c r="T281" s="2"/>
      <c r="U281" s="2"/>
      <c r="V281" s="2"/>
      <c r="W281" s="2"/>
      <c r="X281" s="2"/>
      <c r="Y281" s="2"/>
      <c r="Z281" s="2"/>
      <c r="AA281" s="2"/>
      <c r="AB281" s="2"/>
      <c r="AC281" s="2"/>
    </row>
    <row r="282" spans="7:29" x14ac:dyDescent="0.35">
      <c r="G282" s="2"/>
      <c r="H282" s="2"/>
      <c r="I282" s="2"/>
      <c r="J282" s="2"/>
      <c r="K282" s="2"/>
      <c r="L282" s="2"/>
      <c r="M282" s="2"/>
      <c r="N282" s="2"/>
      <c r="O282" s="2"/>
      <c r="P282" s="2"/>
      <c r="Q282" s="2"/>
      <c r="R282" s="2"/>
      <c r="S282" s="2"/>
      <c r="T282" s="2"/>
      <c r="U282" s="2"/>
      <c r="V282" s="2"/>
      <c r="W282" s="2"/>
      <c r="X282" s="2"/>
      <c r="Y282" s="2"/>
      <c r="Z282" s="2"/>
      <c r="AA282" s="2"/>
      <c r="AB282" s="2"/>
      <c r="AC282" s="2"/>
    </row>
    <row r="283" spans="7:29" x14ac:dyDescent="0.35">
      <c r="G283" s="2"/>
      <c r="H283" s="2"/>
      <c r="I283" s="2"/>
      <c r="J283" s="2"/>
      <c r="K283" s="2"/>
      <c r="L283" s="2"/>
      <c r="M283" s="2"/>
      <c r="N283" s="2"/>
      <c r="O283" s="2"/>
      <c r="P283" s="2"/>
      <c r="Q283" s="2"/>
      <c r="R283" s="2"/>
      <c r="S283" s="2"/>
      <c r="T283" s="2"/>
      <c r="U283" s="2"/>
      <c r="V283" s="2"/>
      <c r="W283" s="2"/>
      <c r="X283" s="2"/>
      <c r="Y283" s="2"/>
      <c r="Z283" s="2"/>
      <c r="AA283" s="2"/>
      <c r="AB283" s="2"/>
      <c r="AC283" s="2"/>
    </row>
    <row r="284" spans="7:29" x14ac:dyDescent="0.35">
      <c r="G284" s="2"/>
      <c r="H284" s="2"/>
      <c r="I284" s="2"/>
      <c r="J284" s="2"/>
      <c r="K284" s="2"/>
      <c r="L284" s="2"/>
      <c r="M284" s="2"/>
      <c r="N284" s="2"/>
      <c r="O284" s="2"/>
      <c r="P284" s="2"/>
      <c r="Q284" s="2"/>
      <c r="R284" s="2"/>
      <c r="S284" s="2"/>
      <c r="T284" s="2"/>
      <c r="U284" s="2"/>
      <c r="V284" s="2"/>
      <c r="W284" s="2"/>
      <c r="X284" s="2"/>
      <c r="Y284" s="2"/>
      <c r="Z284" s="2"/>
      <c r="AA284" s="2"/>
      <c r="AB284" s="2"/>
      <c r="AC284" s="2"/>
    </row>
    <row r="285" spans="7:29" x14ac:dyDescent="0.35">
      <c r="G285" s="2"/>
      <c r="H285" s="2"/>
      <c r="I285" s="2"/>
      <c r="J285" s="2"/>
      <c r="K285" s="2"/>
      <c r="L285" s="2"/>
      <c r="M285" s="2"/>
      <c r="N285" s="2"/>
      <c r="O285" s="2"/>
      <c r="P285" s="2"/>
      <c r="Q285" s="2"/>
      <c r="R285" s="2"/>
      <c r="S285" s="2"/>
      <c r="T285" s="2"/>
      <c r="U285" s="2"/>
      <c r="V285" s="2"/>
      <c r="W285" s="2"/>
      <c r="X285" s="2"/>
      <c r="Y285" s="2"/>
      <c r="Z285" s="2"/>
      <c r="AA285" s="2"/>
      <c r="AB285" s="2"/>
      <c r="AC285" s="2"/>
    </row>
    <row r="286" spans="7:29" x14ac:dyDescent="0.35">
      <c r="G286" s="2"/>
      <c r="H286" s="2"/>
      <c r="I286" s="2"/>
      <c r="J286" s="2"/>
      <c r="K286" s="2"/>
      <c r="L286" s="2"/>
      <c r="M286" s="2"/>
      <c r="N286" s="2"/>
      <c r="O286" s="2"/>
      <c r="P286" s="2"/>
      <c r="Q286" s="2"/>
      <c r="R286" s="2"/>
      <c r="S286" s="2"/>
      <c r="T286" s="2"/>
      <c r="U286" s="2"/>
      <c r="V286" s="2"/>
      <c r="W286" s="2"/>
      <c r="X286" s="2"/>
      <c r="Y286" s="2"/>
      <c r="Z286" s="2"/>
      <c r="AA286" s="2"/>
      <c r="AB286" s="2"/>
      <c r="AC286" s="2"/>
    </row>
    <row r="287" spans="7:29" x14ac:dyDescent="0.35">
      <c r="G287" s="2"/>
      <c r="H287" s="2"/>
      <c r="I287" s="2"/>
      <c r="J287" s="2"/>
      <c r="K287" s="2"/>
      <c r="L287" s="2"/>
      <c r="M287" s="2"/>
      <c r="N287" s="2"/>
      <c r="O287" s="2"/>
      <c r="P287" s="2"/>
      <c r="Q287" s="2"/>
      <c r="R287" s="2"/>
      <c r="S287" s="2"/>
      <c r="T287" s="2"/>
      <c r="U287" s="2"/>
      <c r="V287" s="2"/>
      <c r="W287" s="2"/>
      <c r="X287" s="2"/>
      <c r="Y287" s="2"/>
      <c r="Z287" s="2"/>
      <c r="AA287" s="2"/>
      <c r="AB287" s="2"/>
      <c r="AC287" s="2"/>
    </row>
    <row r="288" spans="7:29" x14ac:dyDescent="0.35">
      <c r="G288" s="2"/>
      <c r="H288" s="2"/>
      <c r="I288" s="2"/>
      <c r="J288" s="2"/>
      <c r="K288" s="2"/>
      <c r="L288" s="2"/>
      <c r="M288" s="2"/>
      <c r="N288" s="2"/>
      <c r="O288" s="2"/>
      <c r="P288" s="2"/>
      <c r="Q288" s="2"/>
      <c r="R288" s="2"/>
      <c r="S288" s="2"/>
      <c r="T288" s="2"/>
      <c r="U288" s="2"/>
      <c r="V288" s="2"/>
      <c r="W288" s="2"/>
      <c r="X288" s="2"/>
      <c r="Y288" s="2"/>
      <c r="Z288" s="2"/>
      <c r="AA288" s="2"/>
      <c r="AB288" s="2"/>
      <c r="AC288" s="2"/>
    </row>
    <row r="289" spans="7:29" x14ac:dyDescent="0.35">
      <c r="G289" s="2"/>
      <c r="H289" s="2"/>
      <c r="I289" s="2"/>
      <c r="J289" s="2"/>
      <c r="K289" s="2"/>
      <c r="L289" s="2"/>
      <c r="M289" s="2"/>
      <c r="N289" s="2"/>
      <c r="O289" s="2"/>
      <c r="P289" s="2"/>
      <c r="Q289" s="2"/>
      <c r="R289" s="2"/>
      <c r="S289" s="2"/>
      <c r="T289" s="2"/>
      <c r="U289" s="2"/>
      <c r="V289" s="2"/>
      <c r="W289" s="2"/>
      <c r="X289" s="2"/>
      <c r="Y289" s="2"/>
      <c r="Z289" s="2"/>
      <c r="AA289" s="2"/>
      <c r="AB289" s="2"/>
      <c r="AC289" s="2"/>
    </row>
    <row r="290" spans="7:29" x14ac:dyDescent="0.35">
      <c r="G290" s="2"/>
      <c r="H290" s="2"/>
      <c r="I290" s="2"/>
      <c r="J290" s="2"/>
      <c r="K290" s="2"/>
      <c r="L290" s="2"/>
      <c r="M290" s="2"/>
      <c r="N290" s="2"/>
      <c r="O290" s="2"/>
      <c r="P290" s="2"/>
      <c r="Q290" s="2"/>
      <c r="R290" s="2"/>
      <c r="S290" s="2"/>
      <c r="T290" s="2"/>
      <c r="U290" s="2"/>
      <c r="V290" s="2"/>
      <c r="W290" s="2"/>
      <c r="X290" s="2"/>
      <c r="Y290" s="2"/>
      <c r="Z290" s="2"/>
      <c r="AA290" s="2"/>
      <c r="AB290" s="2"/>
      <c r="AC290" s="2"/>
    </row>
    <row r="291" spans="7:29" x14ac:dyDescent="0.35">
      <c r="G291" s="2"/>
      <c r="H291" s="2"/>
      <c r="I291" s="2"/>
      <c r="J291" s="2"/>
      <c r="K291" s="2"/>
      <c r="L291" s="2"/>
      <c r="M291" s="2"/>
      <c r="N291" s="2"/>
      <c r="O291" s="2"/>
      <c r="P291" s="2"/>
      <c r="Q291" s="2"/>
      <c r="R291" s="2"/>
      <c r="S291" s="2"/>
      <c r="T291" s="2"/>
      <c r="U291" s="2"/>
      <c r="V291" s="2"/>
      <c r="W291" s="2"/>
      <c r="X291" s="2"/>
      <c r="Y291" s="2"/>
      <c r="Z291" s="2"/>
      <c r="AA291" s="2"/>
      <c r="AB291" s="2"/>
      <c r="AC291" s="2"/>
    </row>
    <row r="292" spans="7:29" x14ac:dyDescent="0.35">
      <c r="G292" s="2"/>
      <c r="H292" s="2"/>
      <c r="I292" s="2"/>
      <c r="J292" s="2"/>
      <c r="K292" s="2"/>
      <c r="L292" s="2"/>
      <c r="M292" s="2"/>
      <c r="N292" s="2"/>
      <c r="O292" s="2"/>
      <c r="P292" s="2"/>
      <c r="Q292" s="2"/>
      <c r="R292" s="2"/>
      <c r="S292" s="2"/>
      <c r="T292" s="2"/>
      <c r="U292" s="2"/>
      <c r="V292" s="2"/>
      <c r="W292" s="2"/>
      <c r="X292" s="2"/>
      <c r="Y292" s="2"/>
      <c r="Z292" s="2"/>
      <c r="AA292" s="2"/>
      <c r="AB292" s="2"/>
      <c r="AC292" s="2"/>
    </row>
    <row r="293" spans="7:29" x14ac:dyDescent="0.35">
      <c r="G293" s="2"/>
      <c r="H293" s="2"/>
      <c r="I293" s="2"/>
      <c r="J293" s="2"/>
      <c r="K293" s="2"/>
      <c r="L293" s="2"/>
      <c r="M293" s="2"/>
      <c r="N293" s="2"/>
      <c r="O293" s="2"/>
      <c r="P293" s="2"/>
      <c r="Q293" s="2"/>
      <c r="R293" s="2"/>
      <c r="S293" s="2"/>
      <c r="T293" s="2"/>
      <c r="U293" s="2"/>
      <c r="V293" s="2"/>
      <c r="W293" s="2"/>
      <c r="X293" s="2"/>
      <c r="Y293" s="2"/>
      <c r="Z293" s="2"/>
      <c r="AA293" s="2"/>
      <c r="AB293" s="2"/>
      <c r="AC293" s="2"/>
    </row>
    <row r="294" spans="7:29" x14ac:dyDescent="0.35">
      <c r="G294" s="2"/>
      <c r="H294" s="2"/>
      <c r="I294" s="2"/>
      <c r="J294" s="2"/>
      <c r="K294" s="2"/>
      <c r="L294" s="2"/>
      <c r="M294" s="2"/>
      <c r="N294" s="2"/>
      <c r="O294" s="2"/>
      <c r="P294" s="2"/>
      <c r="Q294" s="2"/>
      <c r="R294" s="2"/>
      <c r="S294" s="2"/>
      <c r="T294" s="2"/>
      <c r="U294" s="2"/>
      <c r="V294" s="2"/>
      <c r="W294" s="2"/>
      <c r="X294" s="2"/>
      <c r="Y294" s="2"/>
      <c r="Z294" s="2"/>
      <c r="AA294" s="2"/>
      <c r="AB294" s="2"/>
      <c r="AC294" s="2"/>
    </row>
    <row r="295" spans="7:29" x14ac:dyDescent="0.35">
      <c r="G295" s="2"/>
      <c r="H295" s="2"/>
      <c r="I295" s="2"/>
      <c r="J295" s="2"/>
      <c r="K295" s="2"/>
      <c r="L295" s="2"/>
      <c r="M295" s="2"/>
      <c r="N295" s="2"/>
      <c r="O295" s="2"/>
      <c r="P295" s="2"/>
      <c r="Q295" s="2"/>
      <c r="R295" s="2"/>
      <c r="S295" s="2"/>
      <c r="T295" s="2"/>
      <c r="U295" s="2"/>
      <c r="V295" s="2"/>
      <c r="W295" s="2"/>
      <c r="X295" s="2"/>
      <c r="Y295" s="2"/>
      <c r="Z295" s="2"/>
      <c r="AA295" s="2"/>
      <c r="AB295" s="2"/>
      <c r="AC295" s="2"/>
    </row>
    <row r="296" spans="7:29" x14ac:dyDescent="0.35">
      <c r="G296" s="2"/>
      <c r="H296" s="2"/>
      <c r="I296" s="2"/>
      <c r="J296" s="2"/>
      <c r="K296" s="2"/>
      <c r="L296" s="2"/>
      <c r="M296" s="2"/>
      <c r="N296" s="2"/>
      <c r="O296" s="2"/>
      <c r="P296" s="2"/>
      <c r="Q296" s="2"/>
      <c r="R296" s="2"/>
      <c r="S296" s="2"/>
      <c r="T296" s="2"/>
      <c r="U296" s="2"/>
      <c r="V296" s="2"/>
      <c r="W296" s="2"/>
      <c r="X296" s="2"/>
      <c r="Y296" s="2"/>
      <c r="Z296" s="2"/>
      <c r="AA296" s="2"/>
      <c r="AB296" s="2"/>
      <c r="AC296" s="2"/>
    </row>
    <row r="297" spans="7:29" x14ac:dyDescent="0.35">
      <c r="G297" s="2"/>
      <c r="H297" s="2"/>
      <c r="I297" s="2"/>
      <c r="J297" s="2"/>
      <c r="K297" s="2"/>
      <c r="L297" s="2"/>
      <c r="M297" s="2"/>
      <c r="N297" s="2"/>
      <c r="O297" s="2"/>
      <c r="P297" s="2"/>
      <c r="Q297" s="2"/>
      <c r="R297" s="2"/>
      <c r="S297" s="2"/>
      <c r="T297" s="2"/>
      <c r="U297" s="2"/>
      <c r="V297" s="2"/>
      <c r="W297" s="2"/>
      <c r="X297" s="2"/>
      <c r="Y297" s="2"/>
      <c r="Z297" s="2"/>
      <c r="AA297" s="2"/>
      <c r="AB297" s="2"/>
      <c r="AC297" s="2"/>
    </row>
    <row r="298" spans="7:29" x14ac:dyDescent="0.35">
      <c r="G298" s="2"/>
      <c r="H298" s="2"/>
      <c r="I298" s="2"/>
      <c r="J298" s="2"/>
      <c r="K298" s="2"/>
      <c r="L298" s="2"/>
      <c r="M298" s="2"/>
      <c r="N298" s="2"/>
      <c r="O298" s="2"/>
      <c r="P298" s="2"/>
      <c r="Q298" s="2"/>
      <c r="R298" s="2"/>
      <c r="S298" s="2"/>
      <c r="T298" s="2"/>
      <c r="U298" s="2"/>
      <c r="V298" s="2"/>
      <c r="W298" s="2"/>
      <c r="X298" s="2"/>
      <c r="Y298" s="2"/>
      <c r="Z298" s="2"/>
      <c r="AA298" s="2"/>
      <c r="AB298" s="2"/>
      <c r="AC298" s="2"/>
    </row>
    <row r="299" spans="7:29" x14ac:dyDescent="0.35">
      <c r="G299" s="2"/>
      <c r="H299" s="2"/>
      <c r="I299" s="2"/>
      <c r="J299" s="2"/>
      <c r="K299" s="2"/>
      <c r="L299" s="2"/>
      <c r="M299" s="2"/>
      <c r="N299" s="2"/>
      <c r="O299" s="2"/>
      <c r="P299" s="2"/>
      <c r="Q299" s="2"/>
      <c r="R299" s="2"/>
      <c r="S299" s="2"/>
      <c r="T299" s="2"/>
      <c r="U299" s="2"/>
      <c r="V299" s="2"/>
      <c r="W299" s="2"/>
      <c r="X299" s="2"/>
      <c r="Y299" s="2"/>
      <c r="Z299" s="2"/>
      <c r="AA299" s="2"/>
      <c r="AB299" s="2"/>
      <c r="AC299" s="2"/>
    </row>
    <row r="300" spans="7:29" x14ac:dyDescent="0.35">
      <c r="G300" s="2"/>
      <c r="H300" s="2"/>
      <c r="I300" s="2"/>
      <c r="J300" s="2"/>
      <c r="K300" s="2"/>
      <c r="L300" s="2"/>
      <c r="M300" s="2"/>
      <c r="N300" s="2"/>
      <c r="O300" s="2"/>
      <c r="P300" s="2"/>
      <c r="Q300" s="2"/>
      <c r="R300" s="2"/>
      <c r="S300" s="2"/>
      <c r="T300" s="2"/>
      <c r="U300" s="2"/>
      <c r="V300" s="2"/>
      <c r="W300" s="2"/>
      <c r="X300" s="2"/>
      <c r="Y300" s="2"/>
      <c r="Z300" s="2"/>
      <c r="AA300" s="2"/>
      <c r="AB300" s="2"/>
      <c r="AC300" s="2"/>
    </row>
    <row r="301" spans="7:29" x14ac:dyDescent="0.35">
      <c r="G301" s="2"/>
      <c r="H301" s="2"/>
      <c r="I301" s="2"/>
      <c r="J301" s="2"/>
      <c r="K301" s="2"/>
      <c r="L301" s="2"/>
      <c r="M301" s="2"/>
      <c r="N301" s="2"/>
      <c r="O301" s="2"/>
      <c r="P301" s="2"/>
      <c r="Q301" s="2"/>
      <c r="R301" s="2"/>
      <c r="S301" s="2"/>
      <c r="T301" s="2"/>
      <c r="U301" s="2"/>
      <c r="V301" s="2"/>
      <c r="W301" s="2"/>
      <c r="X301" s="2"/>
      <c r="Y301" s="2"/>
      <c r="Z301" s="2"/>
      <c r="AA301" s="2"/>
      <c r="AB301" s="2"/>
      <c r="AC301" s="2"/>
    </row>
    <row r="302" spans="7:29" x14ac:dyDescent="0.35">
      <c r="G302" s="2"/>
      <c r="H302" s="2"/>
      <c r="I302" s="2"/>
      <c r="J302" s="2"/>
      <c r="K302" s="2"/>
      <c r="L302" s="2"/>
      <c r="M302" s="2"/>
      <c r="N302" s="2"/>
      <c r="O302" s="2"/>
      <c r="P302" s="2"/>
      <c r="Q302" s="2"/>
      <c r="R302" s="2"/>
      <c r="S302" s="2"/>
      <c r="T302" s="2"/>
      <c r="U302" s="2"/>
      <c r="V302" s="2"/>
      <c r="W302" s="2"/>
      <c r="X302" s="2"/>
      <c r="Y302" s="2"/>
      <c r="Z302" s="2"/>
      <c r="AA302" s="2"/>
      <c r="AB302" s="2"/>
      <c r="AC302" s="2"/>
    </row>
    <row r="303" spans="7:29" x14ac:dyDescent="0.35">
      <c r="G303" s="2"/>
      <c r="H303" s="2"/>
      <c r="I303" s="2"/>
      <c r="J303" s="2"/>
      <c r="K303" s="2"/>
      <c r="L303" s="2"/>
      <c r="M303" s="2"/>
      <c r="N303" s="2"/>
      <c r="O303" s="2"/>
      <c r="P303" s="2"/>
      <c r="Q303" s="2"/>
      <c r="R303" s="2"/>
      <c r="S303" s="2"/>
      <c r="T303" s="2"/>
      <c r="U303" s="2"/>
      <c r="V303" s="2"/>
      <c r="W303" s="2"/>
      <c r="X303" s="2"/>
      <c r="Y303" s="2"/>
      <c r="Z303" s="2"/>
      <c r="AA303" s="2"/>
      <c r="AB303" s="2"/>
      <c r="AC303" s="2"/>
    </row>
    <row r="304" spans="7:29" x14ac:dyDescent="0.35">
      <c r="G304" s="2"/>
      <c r="H304" s="2"/>
      <c r="I304" s="2"/>
      <c r="J304" s="2"/>
      <c r="K304" s="2"/>
      <c r="L304" s="2"/>
      <c r="M304" s="2"/>
      <c r="N304" s="2"/>
      <c r="O304" s="2"/>
      <c r="P304" s="2"/>
      <c r="Q304" s="2"/>
      <c r="R304" s="2"/>
      <c r="S304" s="2"/>
      <c r="T304" s="2"/>
      <c r="U304" s="2"/>
      <c r="V304" s="2"/>
      <c r="W304" s="2"/>
      <c r="X304" s="2"/>
      <c r="Y304" s="2"/>
      <c r="Z304" s="2"/>
      <c r="AA304" s="2"/>
      <c r="AB304" s="2"/>
      <c r="AC304" s="2"/>
    </row>
    <row r="305" spans="7:29" x14ac:dyDescent="0.35">
      <c r="G305" s="2"/>
      <c r="H305" s="2"/>
      <c r="I305" s="2"/>
      <c r="J305" s="2"/>
      <c r="K305" s="2"/>
      <c r="L305" s="2"/>
      <c r="M305" s="2"/>
      <c r="N305" s="2"/>
      <c r="O305" s="2"/>
      <c r="P305" s="2"/>
      <c r="Q305" s="2"/>
      <c r="R305" s="2"/>
      <c r="S305" s="2"/>
      <c r="T305" s="2"/>
      <c r="U305" s="2"/>
      <c r="V305" s="2"/>
      <c r="W305" s="2"/>
      <c r="X305" s="2"/>
      <c r="Y305" s="2"/>
      <c r="Z305" s="2"/>
      <c r="AA305" s="2"/>
      <c r="AB305" s="2"/>
      <c r="AC305" s="2"/>
    </row>
    <row r="306" spans="7:29" x14ac:dyDescent="0.35">
      <c r="G306" s="2"/>
      <c r="H306" s="2"/>
      <c r="I306" s="2"/>
      <c r="J306" s="2"/>
      <c r="K306" s="2"/>
      <c r="L306" s="2"/>
      <c r="M306" s="2"/>
      <c r="N306" s="2"/>
      <c r="O306" s="2"/>
      <c r="P306" s="2"/>
      <c r="Q306" s="2"/>
      <c r="R306" s="2"/>
      <c r="S306" s="2"/>
      <c r="T306" s="2"/>
      <c r="U306" s="2"/>
      <c r="V306" s="2"/>
      <c r="W306" s="2"/>
      <c r="X306" s="2"/>
      <c r="Y306" s="2"/>
      <c r="Z306" s="2"/>
      <c r="AA306" s="2"/>
      <c r="AB306" s="2"/>
      <c r="AC306" s="2"/>
    </row>
    <row r="307" spans="7:29" x14ac:dyDescent="0.35">
      <c r="G307" s="2"/>
      <c r="H307" s="2"/>
      <c r="I307" s="2"/>
      <c r="J307" s="2"/>
      <c r="K307" s="2"/>
      <c r="L307" s="2"/>
      <c r="M307" s="2"/>
      <c r="N307" s="2"/>
      <c r="O307" s="2"/>
      <c r="P307" s="2"/>
      <c r="Q307" s="2"/>
      <c r="R307" s="2"/>
      <c r="S307" s="2"/>
      <c r="T307" s="2"/>
      <c r="U307" s="2"/>
      <c r="V307" s="2"/>
      <c r="W307" s="2"/>
      <c r="X307" s="2"/>
      <c r="Y307" s="2"/>
      <c r="Z307" s="2"/>
      <c r="AA307" s="2"/>
      <c r="AB307" s="2"/>
      <c r="AC307" s="2"/>
    </row>
    <row r="308" spans="7:29" x14ac:dyDescent="0.35">
      <c r="G308" s="2"/>
      <c r="H308" s="2"/>
      <c r="I308" s="2"/>
      <c r="J308" s="2"/>
      <c r="K308" s="2"/>
      <c r="L308" s="2"/>
      <c r="M308" s="2"/>
      <c r="N308" s="2"/>
      <c r="O308" s="2"/>
      <c r="P308" s="2"/>
      <c r="Q308" s="2"/>
      <c r="R308" s="2"/>
      <c r="S308" s="2"/>
      <c r="T308" s="2"/>
      <c r="U308" s="2"/>
      <c r="V308" s="2"/>
      <c r="W308" s="2"/>
      <c r="X308" s="2"/>
      <c r="Y308" s="2"/>
      <c r="Z308" s="2"/>
      <c r="AA308" s="2"/>
      <c r="AB308" s="2"/>
      <c r="AC308" s="2"/>
    </row>
    <row r="309" spans="7:29" x14ac:dyDescent="0.35">
      <c r="G309" s="2"/>
      <c r="H309" s="2"/>
      <c r="I309" s="2"/>
      <c r="J309" s="2"/>
      <c r="K309" s="2"/>
      <c r="L309" s="2"/>
      <c r="M309" s="2"/>
      <c r="N309" s="2"/>
      <c r="O309" s="2"/>
      <c r="P309" s="2"/>
      <c r="Q309" s="2"/>
      <c r="R309" s="2"/>
      <c r="S309" s="2"/>
      <c r="T309" s="2"/>
      <c r="U309" s="2"/>
      <c r="V309" s="2"/>
      <c r="W309" s="2"/>
      <c r="X309" s="2"/>
      <c r="Y309" s="2"/>
      <c r="Z309" s="2"/>
      <c r="AA309" s="2"/>
      <c r="AB309" s="2"/>
      <c r="AC309" s="2"/>
    </row>
    <row r="310" spans="7:29" x14ac:dyDescent="0.35">
      <c r="G310" s="2"/>
      <c r="H310" s="2"/>
      <c r="I310" s="2"/>
      <c r="J310" s="2"/>
      <c r="K310" s="2"/>
      <c r="L310" s="2"/>
      <c r="M310" s="2"/>
      <c r="N310" s="2"/>
      <c r="O310" s="2"/>
      <c r="P310" s="2"/>
      <c r="Q310" s="2"/>
      <c r="R310" s="2"/>
      <c r="S310" s="2"/>
      <c r="T310" s="2"/>
      <c r="U310" s="2"/>
      <c r="V310" s="2"/>
      <c r="W310" s="2"/>
      <c r="X310" s="2"/>
      <c r="Y310" s="2"/>
      <c r="Z310" s="2"/>
      <c r="AA310" s="2"/>
      <c r="AB310" s="2"/>
      <c r="AC310" s="2"/>
    </row>
    <row r="311" spans="7:29" x14ac:dyDescent="0.35">
      <c r="G311" s="2"/>
      <c r="H311" s="2"/>
      <c r="I311" s="2"/>
      <c r="J311" s="2"/>
      <c r="K311" s="2"/>
      <c r="L311" s="2"/>
      <c r="M311" s="2"/>
      <c r="N311" s="2"/>
      <c r="O311" s="2"/>
      <c r="P311" s="2"/>
      <c r="Q311" s="2"/>
      <c r="R311" s="2"/>
      <c r="S311" s="2"/>
      <c r="T311" s="2"/>
      <c r="U311" s="2"/>
      <c r="V311" s="2"/>
      <c r="W311" s="2"/>
      <c r="X311" s="2"/>
      <c r="Y311" s="2"/>
      <c r="Z311" s="2"/>
      <c r="AA311" s="2"/>
      <c r="AB311" s="2"/>
      <c r="AC311" s="2"/>
    </row>
    <row r="312" spans="7:29" x14ac:dyDescent="0.35">
      <c r="G312" s="2"/>
      <c r="H312" s="2"/>
      <c r="I312" s="2"/>
      <c r="J312" s="2"/>
      <c r="K312" s="2"/>
      <c r="L312" s="2"/>
      <c r="M312" s="2"/>
      <c r="N312" s="2"/>
      <c r="O312" s="2"/>
      <c r="P312" s="2"/>
      <c r="Q312" s="2"/>
      <c r="R312" s="2"/>
      <c r="S312" s="2"/>
      <c r="T312" s="2"/>
      <c r="U312" s="2"/>
      <c r="V312" s="2"/>
      <c r="W312" s="2"/>
      <c r="X312" s="2"/>
      <c r="Y312" s="2"/>
      <c r="Z312" s="2"/>
      <c r="AA312" s="2"/>
      <c r="AB312" s="2"/>
      <c r="AC312" s="2"/>
    </row>
    <row r="313" spans="7:29" x14ac:dyDescent="0.35">
      <c r="G313" s="2"/>
      <c r="H313" s="2"/>
      <c r="I313" s="2"/>
      <c r="J313" s="2"/>
      <c r="K313" s="2"/>
      <c r="L313" s="2"/>
      <c r="M313" s="2"/>
      <c r="N313" s="2"/>
      <c r="O313" s="2"/>
      <c r="P313" s="2"/>
      <c r="Q313" s="2"/>
      <c r="R313" s="2"/>
      <c r="S313" s="2"/>
      <c r="T313" s="2"/>
      <c r="U313" s="2"/>
      <c r="V313" s="2"/>
      <c r="W313" s="2"/>
      <c r="X313" s="2"/>
      <c r="Y313" s="2"/>
      <c r="Z313" s="2"/>
      <c r="AA313" s="2"/>
      <c r="AB313" s="2"/>
      <c r="AC313" s="2"/>
    </row>
    <row r="314" spans="7:29" x14ac:dyDescent="0.35">
      <c r="G314" s="2"/>
      <c r="H314" s="2"/>
      <c r="I314" s="2"/>
      <c r="J314" s="2"/>
      <c r="K314" s="2"/>
      <c r="L314" s="2"/>
      <c r="M314" s="2"/>
      <c r="N314" s="2"/>
      <c r="O314" s="2"/>
      <c r="P314" s="2"/>
      <c r="Q314" s="2"/>
      <c r="R314" s="2"/>
      <c r="S314" s="2"/>
      <c r="T314" s="2"/>
      <c r="U314" s="2"/>
      <c r="V314" s="2"/>
      <c r="W314" s="2"/>
      <c r="X314" s="2"/>
      <c r="Y314" s="2"/>
      <c r="Z314" s="2"/>
      <c r="AA314" s="2"/>
      <c r="AB314" s="2"/>
      <c r="AC314" s="2"/>
    </row>
    <row r="315" spans="7:29" x14ac:dyDescent="0.35">
      <c r="G315" s="2"/>
      <c r="H315" s="2"/>
      <c r="I315" s="2"/>
      <c r="J315" s="2"/>
      <c r="K315" s="2"/>
      <c r="L315" s="2"/>
      <c r="M315" s="2"/>
      <c r="N315" s="2"/>
      <c r="O315" s="2"/>
      <c r="P315" s="2"/>
      <c r="Q315" s="2"/>
      <c r="R315" s="2"/>
      <c r="S315" s="2"/>
      <c r="T315" s="2"/>
      <c r="U315" s="2"/>
      <c r="V315" s="2"/>
      <c r="W315" s="2"/>
      <c r="X315" s="2"/>
      <c r="Y315" s="2"/>
      <c r="Z315" s="2"/>
      <c r="AA315" s="2"/>
      <c r="AB315" s="2"/>
      <c r="AC315" s="2"/>
    </row>
    <row r="316" spans="7:29" x14ac:dyDescent="0.35">
      <c r="G316" s="2"/>
      <c r="H316" s="2"/>
      <c r="I316" s="2"/>
      <c r="J316" s="2"/>
      <c r="K316" s="2"/>
      <c r="L316" s="2"/>
      <c r="M316" s="2"/>
      <c r="N316" s="2"/>
      <c r="O316" s="2"/>
      <c r="P316" s="2"/>
      <c r="Q316" s="2"/>
      <c r="R316" s="2"/>
      <c r="S316" s="2"/>
      <c r="T316" s="2"/>
      <c r="U316" s="2"/>
      <c r="V316" s="2"/>
      <c r="W316" s="2"/>
      <c r="X316" s="2"/>
      <c r="Y316" s="2"/>
      <c r="Z316" s="2"/>
      <c r="AA316" s="2"/>
      <c r="AB316" s="2"/>
      <c r="AC316" s="2"/>
    </row>
    <row r="317" spans="7:29" x14ac:dyDescent="0.35">
      <c r="G317" s="2"/>
      <c r="H317" s="2"/>
      <c r="I317" s="2"/>
      <c r="J317" s="2"/>
      <c r="K317" s="2"/>
      <c r="L317" s="2"/>
      <c r="M317" s="2"/>
      <c r="N317" s="2"/>
      <c r="O317" s="2"/>
      <c r="P317" s="2"/>
      <c r="Q317" s="2"/>
      <c r="R317" s="2"/>
      <c r="S317" s="2"/>
      <c r="T317" s="2"/>
      <c r="U317" s="2"/>
      <c r="V317" s="2"/>
      <c r="W317" s="2"/>
      <c r="X317" s="2"/>
      <c r="Y317" s="2"/>
      <c r="Z317" s="2"/>
      <c r="AA317" s="2"/>
      <c r="AB317" s="2"/>
      <c r="AC317" s="2"/>
    </row>
    <row r="318" spans="7:29" x14ac:dyDescent="0.35">
      <c r="G318" s="2"/>
      <c r="H318" s="2"/>
      <c r="I318" s="2"/>
      <c r="J318" s="2"/>
      <c r="K318" s="2"/>
      <c r="L318" s="2"/>
      <c r="M318" s="2"/>
      <c r="N318" s="2"/>
      <c r="O318" s="2"/>
      <c r="P318" s="2"/>
      <c r="Q318" s="2"/>
      <c r="R318" s="2"/>
      <c r="S318" s="2"/>
      <c r="T318" s="2"/>
      <c r="U318" s="2"/>
      <c r="V318" s="2"/>
      <c r="W318" s="2"/>
      <c r="X318" s="2"/>
      <c r="Y318" s="2"/>
      <c r="Z318" s="2"/>
      <c r="AA318" s="2"/>
      <c r="AB318" s="2"/>
      <c r="AC318" s="2"/>
    </row>
    <row r="319" spans="7:29" x14ac:dyDescent="0.35">
      <c r="G319" s="2"/>
      <c r="H319" s="2"/>
      <c r="I319" s="2"/>
      <c r="J319" s="2"/>
      <c r="K319" s="2"/>
      <c r="L319" s="2"/>
      <c r="M319" s="2"/>
      <c r="N319" s="2"/>
      <c r="O319" s="2"/>
      <c r="P319" s="2"/>
      <c r="Q319" s="2"/>
      <c r="R319" s="2"/>
      <c r="S319" s="2"/>
      <c r="T319" s="2"/>
      <c r="U319" s="2"/>
      <c r="V319" s="2"/>
      <c r="W319" s="2"/>
      <c r="X319" s="2"/>
      <c r="Y319" s="2"/>
      <c r="Z319" s="2"/>
      <c r="AA319" s="2"/>
      <c r="AB319" s="2"/>
      <c r="AC319" s="2"/>
    </row>
    <row r="320" spans="7:29" x14ac:dyDescent="0.35">
      <c r="G320" s="2"/>
      <c r="H320" s="2"/>
      <c r="I320" s="2"/>
      <c r="J320" s="2"/>
      <c r="K320" s="2"/>
      <c r="L320" s="2"/>
      <c r="M320" s="2"/>
      <c r="N320" s="2"/>
      <c r="O320" s="2"/>
      <c r="P320" s="2"/>
      <c r="Q320" s="2"/>
      <c r="R320" s="2"/>
      <c r="S320" s="2"/>
      <c r="T320" s="2"/>
      <c r="U320" s="2"/>
      <c r="V320" s="2"/>
      <c r="W320" s="2"/>
      <c r="X320" s="2"/>
      <c r="Y320" s="2"/>
      <c r="Z320" s="2"/>
      <c r="AA320" s="2"/>
      <c r="AB320" s="2"/>
      <c r="AC320" s="2"/>
    </row>
    <row r="321" spans="7:29" x14ac:dyDescent="0.35">
      <c r="G321" s="2"/>
      <c r="H321" s="2"/>
      <c r="I321" s="2"/>
      <c r="J321" s="2"/>
      <c r="K321" s="2"/>
      <c r="L321" s="2"/>
      <c r="M321" s="2"/>
      <c r="N321" s="2"/>
      <c r="O321" s="2"/>
      <c r="P321" s="2"/>
      <c r="Q321" s="2"/>
      <c r="R321" s="2"/>
      <c r="S321" s="2"/>
      <c r="T321" s="2"/>
      <c r="U321" s="2"/>
      <c r="V321" s="2"/>
      <c r="W321" s="2"/>
      <c r="X321" s="2"/>
      <c r="Y321" s="2"/>
      <c r="Z321" s="2"/>
      <c r="AA321" s="2"/>
      <c r="AB321" s="2"/>
      <c r="AC321" s="2"/>
    </row>
    <row r="322" spans="7:29" x14ac:dyDescent="0.35">
      <c r="G322" s="2"/>
      <c r="H322" s="2"/>
      <c r="I322" s="2"/>
      <c r="J322" s="2"/>
      <c r="K322" s="2"/>
      <c r="L322" s="2"/>
      <c r="M322" s="2"/>
      <c r="N322" s="2"/>
      <c r="O322" s="2"/>
      <c r="P322" s="2"/>
      <c r="Q322" s="2"/>
      <c r="R322" s="2"/>
      <c r="S322" s="2"/>
      <c r="T322" s="2"/>
      <c r="U322" s="2"/>
      <c r="V322" s="2"/>
      <c r="W322" s="2"/>
      <c r="X322" s="2"/>
      <c r="Y322" s="2"/>
      <c r="Z322" s="2"/>
      <c r="AA322" s="2"/>
      <c r="AB322" s="2"/>
      <c r="AC322" s="2"/>
    </row>
    <row r="323" spans="7:29" x14ac:dyDescent="0.35">
      <c r="G323" s="2"/>
      <c r="H323" s="2"/>
      <c r="I323" s="2"/>
      <c r="J323" s="2"/>
      <c r="K323" s="2"/>
      <c r="L323" s="2"/>
      <c r="M323" s="2"/>
      <c r="N323" s="2"/>
      <c r="O323" s="2"/>
      <c r="P323" s="2"/>
      <c r="Q323" s="2"/>
      <c r="R323" s="2"/>
      <c r="S323" s="2"/>
      <c r="T323" s="2"/>
      <c r="U323" s="2"/>
      <c r="V323" s="2"/>
      <c r="W323" s="2"/>
      <c r="X323" s="2"/>
      <c r="Y323" s="2"/>
      <c r="Z323" s="2"/>
      <c r="AA323" s="2"/>
      <c r="AB323" s="2"/>
      <c r="AC323" s="2"/>
    </row>
    <row r="324" spans="7:29" x14ac:dyDescent="0.35">
      <c r="G324" s="2"/>
      <c r="H324" s="2"/>
      <c r="I324" s="2"/>
      <c r="J324" s="2"/>
      <c r="K324" s="2"/>
      <c r="L324" s="2"/>
      <c r="M324" s="2"/>
      <c r="N324" s="2"/>
      <c r="O324" s="2"/>
      <c r="P324" s="2"/>
      <c r="Q324" s="2"/>
      <c r="R324" s="2"/>
      <c r="S324" s="2"/>
      <c r="T324" s="2"/>
      <c r="U324" s="2"/>
      <c r="V324" s="2"/>
      <c r="W324" s="2"/>
      <c r="X324" s="2"/>
      <c r="Y324" s="2"/>
      <c r="Z324" s="2"/>
      <c r="AA324" s="2"/>
      <c r="AB324" s="2"/>
      <c r="AC324" s="2"/>
    </row>
    <row r="325" spans="7:29" x14ac:dyDescent="0.35">
      <c r="G325" s="2"/>
      <c r="H325" s="2"/>
      <c r="I325" s="2"/>
      <c r="J325" s="2"/>
      <c r="K325" s="2"/>
      <c r="L325" s="2"/>
      <c r="M325" s="2"/>
      <c r="N325" s="2"/>
      <c r="O325" s="2"/>
      <c r="P325" s="2"/>
      <c r="Q325" s="2"/>
      <c r="R325" s="2"/>
      <c r="S325" s="2"/>
      <c r="T325" s="2"/>
      <c r="U325" s="2"/>
      <c r="V325" s="2"/>
      <c r="W325" s="2"/>
      <c r="X325" s="2"/>
      <c r="Y325" s="2"/>
      <c r="Z325" s="2"/>
      <c r="AA325" s="2"/>
      <c r="AB325" s="2"/>
      <c r="AC325" s="2"/>
    </row>
    <row r="326" spans="7:29" x14ac:dyDescent="0.35">
      <c r="G326" s="2"/>
      <c r="H326" s="2"/>
      <c r="I326" s="2"/>
      <c r="J326" s="2"/>
      <c r="K326" s="2"/>
      <c r="L326" s="2"/>
      <c r="M326" s="2"/>
      <c r="N326" s="2"/>
      <c r="O326" s="2"/>
      <c r="P326" s="2"/>
      <c r="Q326" s="2"/>
      <c r="R326" s="2"/>
      <c r="S326" s="2"/>
      <c r="T326" s="2"/>
      <c r="U326" s="2"/>
      <c r="V326" s="2"/>
      <c r="W326" s="2"/>
      <c r="X326" s="2"/>
      <c r="Y326" s="2"/>
      <c r="Z326" s="2"/>
      <c r="AA326" s="2"/>
      <c r="AB326" s="2"/>
      <c r="AC326" s="2"/>
    </row>
    <row r="327" spans="7:29" x14ac:dyDescent="0.35">
      <c r="G327" s="2"/>
      <c r="H327" s="2"/>
      <c r="I327" s="2"/>
      <c r="J327" s="2"/>
      <c r="K327" s="2"/>
      <c r="L327" s="2"/>
      <c r="M327" s="2"/>
      <c r="N327" s="2"/>
      <c r="O327" s="2"/>
      <c r="P327" s="2"/>
      <c r="Q327" s="2"/>
      <c r="R327" s="2"/>
      <c r="S327" s="2"/>
      <c r="T327" s="2"/>
      <c r="U327" s="2"/>
      <c r="V327" s="2"/>
      <c r="W327" s="2"/>
      <c r="X327" s="2"/>
      <c r="Y327" s="2"/>
      <c r="Z327" s="2"/>
      <c r="AA327" s="2"/>
      <c r="AB327" s="2"/>
      <c r="AC327" s="2"/>
    </row>
    <row r="328" spans="7:29" x14ac:dyDescent="0.35">
      <c r="G328" s="2"/>
      <c r="H328" s="2"/>
      <c r="I328" s="2"/>
      <c r="J328" s="2"/>
      <c r="K328" s="2"/>
      <c r="L328" s="2"/>
      <c r="M328" s="2"/>
      <c r="N328" s="2"/>
      <c r="O328" s="2"/>
      <c r="P328" s="2"/>
      <c r="Q328" s="2"/>
      <c r="R328" s="2"/>
      <c r="S328" s="2"/>
      <c r="T328" s="2"/>
      <c r="U328" s="2"/>
      <c r="V328" s="2"/>
      <c r="W328" s="2"/>
      <c r="X328" s="2"/>
      <c r="Y328" s="2"/>
      <c r="Z328" s="2"/>
      <c r="AA328" s="2"/>
      <c r="AB328" s="2"/>
      <c r="AC328" s="2"/>
    </row>
    <row r="329" spans="7:29" x14ac:dyDescent="0.35">
      <c r="G329" s="2"/>
      <c r="H329" s="2"/>
      <c r="I329" s="2"/>
      <c r="J329" s="2"/>
      <c r="K329" s="2"/>
      <c r="L329" s="2"/>
      <c r="M329" s="2"/>
      <c r="N329" s="2"/>
      <c r="O329" s="2"/>
      <c r="P329" s="2"/>
      <c r="Q329" s="2"/>
      <c r="R329" s="2"/>
      <c r="S329" s="2"/>
      <c r="T329" s="2"/>
      <c r="U329" s="2"/>
      <c r="V329" s="2"/>
      <c r="W329" s="2"/>
      <c r="X329" s="2"/>
      <c r="Y329" s="2"/>
      <c r="Z329" s="2"/>
      <c r="AA329" s="2"/>
      <c r="AB329" s="2"/>
      <c r="AC329" s="2"/>
    </row>
    <row r="330" spans="7:29" x14ac:dyDescent="0.35">
      <c r="G330" s="2"/>
      <c r="H330" s="2"/>
      <c r="I330" s="2"/>
      <c r="J330" s="2"/>
      <c r="K330" s="2"/>
      <c r="L330" s="2"/>
      <c r="M330" s="2"/>
      <c r="N330" s="2"/>
      <c r="O330" s="2"/>
      <c r="P330" s="2"/>
      <c r="Q330" s="2"/>
      <c r="R330" s="2"/>
      <c r="S330" s="2"/>
      <c r="T330" s="2"/>
      <c r="U330" s="2"/>
      <c r="V330" s="2"/>
      <c r="W330" s="2"/>
      <c r="X330" s="2"/>
      <c r="Y330" s="2"/>
      <c r="Z330" s="2"/>
      <c r="AA330" s="2"/>
      <c r="AB330" s="2"/>
      <c r="AC330" s="2"/>
    </row>
    <row r="331" spans="7:29" x14ac:dyDescent="0.35">
      <c r="G331" s="2"/>
      <c r="H331" s="2"/>
      <c r="I331" s="2"/>
      <c r="J331" s="2"/>
      <c r="K331" s="2"/>
      <c r="L331" s="2"/>
      <c r="M331" s="2"/>
      <c r="N331" s="2"/>
      <c r="O331" s="2"/>
      <c r="P331" s="2"/>
      <c r="Q331" s="2"/>
      <c r="R331" s="2"/>
      <c r="S331" s="2"/>
      <c r="T331" s="2"/>
      <c r="U331" s="2"/>
      <c r="V331" s="2"/>
      <c r="W331" s="2"/>
      <c r="X331" s="2"/>
      <c r="Y331" s="2"/>
      <c r="Z331" s="2"/>
      <c r="AA331" s="2"/>
      <c r="AB331" s="2"/>
      <c r="AC331" s="2"/>
    </row>
    <row r="332" spans="7:29" x14ac:dyDescent="0.35">
      <c r="G332" s="2"/>
      <c r="H332" s="2"/>
      <c r="I332" s="2"/>
      <c r="J332" s="2"/>
      <c r="K332" s="2"/>
      <c r="L332" s="2"/>
      <c r="M332" s="2"/>
      <c r="N332" s="2"/>
      <c r="O332" s="2"/>
      <c r="P332" s="2"/>
      <c r="Q332" s="2"/>
      <c r="R332" s="2"/>
      <c r="S332" s="2"/>
      <c r="T332" s="2"/>
      <c r="U332" s="2"/>
      <c r="V332" s="2"/>
      <c r="W332" s="2"/>
      <c r="X332" s="2"/>
      <c r="Y332" s="2"/>
      <c r="Z332" s="2"/>
      <c r="AA332" s="2"/>
      <c r="AB332" s="2"/>
      <c r="AC332" s="2"/>
    </row>
    <row r="333" spans="7:29" x14ac:dyDescent="0.35">
      <c r="G333" s="2"/>
      <c r="H333" s="2"/>
      <c r="I333" s="2"/>
      <c r="J333" s="2"/>
      <c r="K333" s="2"/>
      <c r="L333" s="2"/>
      <c r="M333" s="2"/>
      <c r="N333" s="2"/>
      <c r="O333" s="2"/>
      <c r="P333" s="2"/>
      <c r="Q333" s="2"/>
      <c r="R333" s="2"/>
      <c r="S333" s="2"/>
      <c r="T333" s="2"/>
      <c r="U333" s="2"/>
      <c r="V333" s="2"/>
      <c r="W333" s="2"/>
      <c r="X333" s="2"/>
      <c r="Y333" s="2"/>
      <c r="Z333" s="2"/>
      <c r="AA333" s="2"/>
      <c r="AB333" s="2"/>
      <c r="AC333" s="2"/>
    </row>
    <row r="334" spans="7:29" x14ac:dyDescent="0.35">
      <c r="G334" s="2"/>
      <c r="H334" s="2"/>
      <c r="I334" s="2"/>
      <c r="J334" s="2"/>
      <c r="K334" s="2"/>
      <c r="L334" s="2"/>
      <c r="M334" s="2"/>
      <c r="N334" s="2"/>
      <c r="O334" s="2"/>
      <c r="P334" s="2"/>
      <c r="Q334" s="2"/>
      <c r="R334" s="2"/>
      <c r="S334" s="2"/>
      <c r="T334" s="2"/>
      <c r="U334" s="2"/>
      <c r="V334" s="2"/>
      <c r="W334" s="2"/>
      <c r="X334" s="2"/>
      <c r="Y334" s="2"/>
      <c r="Z334" s="2"/>
      <c r="AA334" s="2"/>
      <c r="AB334" s="2"/>
      <c r="AC334" s="2"/>
    </row>
    <row r="335" spans="7:29" x14ac:dyDescent="0.35">
      <c r="G335" s="2"/>
      <c r="H335" s="2"/>
      <c r="I335" s="2"/>
      <c r="J335" s="2"/>
      <c r="K335" s="2"/>
      <c r="L335" s="2"/>
      <c r="M335" s="2"/>
      <c r="N335" s="2"/>
      <c r="O335" s="2"/>
      <c r="P335" s="2"/>
      <c r="Q335" s="2"/>
      <c r="R335" s="2"/>
      <c r="S335" s="2"/>
      <c r="T335" s="2"/>
      <c r="U335" s="2"/>
      <c r="V335" s="2"/>
      <c r="W335" s="2"/>
      <c r="X335" s="2"/>
      <c r="Y335" s="2"/>
      <c r="Z335" s="2"/>
      <c r="AA335" s="2"/>
      <c r="AB335" s="2"/>
      <c r="AC335" s="2"/>
    </row>
    <row r="336" spans="7:29" x14ac:dyDescent="0.35">
      <c r="G336" s="2"/>
      <c r="H336" s="2"/>
      <c r="I336" s="2"/>
      <c r="J336" s="2"/>
      <c r="K336" s="2"/>
      <c r="L336" s="2"/>
      <c r="M336" s="2"/>
      <c r="N336" s="2"/>
      <c r="O336" s="2"/>
      <c r="P336" s="2"/>
      <c r="Q336" s="2"/>
      <c r="R336" s="2"/>
      <c r="S336" s="2"/>
      <c r="T336" s="2"/>
      <c r="U336" s="2"/>
      <c r="V336" s="2"/>
      <c r="W336" s="2"/>
      <c r="X336" s="2"/>
      <c r="Y336" s="2"/>
      <c r="Z336" s="2"/>
      <c r="AA336" s="2"/>
      <c r="AB336" s="2"/>
      <c r="AC336" s="2"/>
    </row>
    <row r="337" spans="7:29" x14ac:dyDescent="0.35">
      <c r="G337" s="2"/>
      <c r="H337" s="2"/>
      <c r="I337" s="2"/>
      <c r="J337" s="2"/>
      <c r="K337" s="2"/>
      <c r="L337" s="2"/>
      <c r="M337" s="2"/>
      <c r="N337" s="2"/>
      <c r="O337" s="2"/>
      <c r="P337" s="2"/>
      <c r="Q337" s="2"/>
      <c r="R337" s="2"/>
      <c r="S337" s="2"/>
      <c r="T337" s="2"/>
      <c r="U337" s="2"/>
      <c r="V337" s="2"/>
      <c r="W337" s="2"/>
      <c r="X337" s="2"/>
      <c r="Y337" s="2"/>
      <c r="Z337" s="2"/>
      <c r="AA337" s="2"/>
      <c r="AB337" s="2"/>
      <c r="AC337" s="2"/>
    </row>
    <row r="338" spans="7:29" x14ac:dyDescent="0.35">
      <c r="G338" s="2"/>
      <c r="H338" s="2"/>
      <c r="I338" s="2"/>
      <c r="J338" s="2"/>
      <c r="K338" s="2"/>
      <c r="L338" s="2"/>
      <c r="M338" s="2"/>
      <c r="N338" s="2"/>
      <c r="O338" s="2"/>
      <c r="P338" s="2"/>
      <c r="Q338" s="2"/>
      <c r="R338" s="2"/>
      <c r="S338" s="2"/>
      <c r="T338" s="2"/>
      <c r="U338" s="2"/>
      <c r="V338" s="2"/>
      <c r="W338" s="2"/>
      <c r="X338" s="2"/>
      <c r="Y338" s="2"/>
      <c r="Z338" s="2"/>
      <c r="AA338" s="2"/>
      <c r="AB338" s="2"/>
      <c r="AC338" s="2"/>
    </row>
    <row r="339" spans="7:29" x14ac:dyDescent="0.35">
      <c r="G339" s="2"/>
      <c r="H339" s="2"/>
      <c r="I339" s="2"/>
      <c r="J339" s="2"/>
      <c r="K339" s="2"/>
      <c r="L339" s="2"/>
      <c r="M339" s="2"/>
      <c r="N339" s="2"/>
      <c r="O339" s="2"/>
      <c r="P339" s="2"/>
      <c r="Q339" s="2"/>
      <c r="R339" s="2"/>
      <c r="S339" s="2"/>
      <c r="T339" s="2"/>
      <c r="U339" s="2"/>
      <c r="V339" s="2"/>
      <c r="W339" s="2"/>
      <c r="X339" s="2"/>
      <c r="Y339" s="2"/>
      <c r="Z339" s="2"/>
      <c r="AA339" s="2"/>
      <c r="AB339" s="2"/>
      <c r="AC339" s="2"/>
    </row>
    <row r="340" spans="7:29" x14ac:dyDescent="0.35">
      <c r="G340" s="2"/>
      <c r="H340" s="2"/>
      <c r="I340" s="2"/>
      <c r="J340" s="2"/>
      <c r="K340" s="2"/>
      <c r="L340" s="2"/>
      <c r="M340" s="2"/>
      <c r="N340" s="2"/>
      <c r="O340" s="2"/>
      <c r="P340" s="2"/>
      <c r="Q340" s="2"/>
      <c r="R340" s="2"/>
      <c r="S340" s="2"/>
      <c r="T340" s="2"/>
      <c r="U340" s="2"/>
      <c r="V340" s="2"/>
      <c r="W340" s="2"/>
      <c r="X340" s="2"/>
      <c r="Y340" s="2"/>
      <c r="Z340" s="2"/>
      <c r="AA340" s="2"/>
      <c r="AB340" s="2"/>
      <c r="AC340" s="2"/>
    </row>
    <row r="341" spans="7:29" x14ac:dyDescent="0.35">
      <c r="G341" s="2"/>
      <c r="H341" s="2"/>
      <c r="I341" s="2"/>
      <c r="J341" s="2"/>
      <c r="K341" s="2"/>
      <c r="L341" s="2"/>
      <c r="M341" s="2"/>
      <c r="N341" s="2"/>
      <c r="O341" s="2"/>
      <c r="P341" s="2"/>
      <c r="Q341" s="2"/>
      <c r="R341" s="2"/>
      <c r="S341" s="2"/>
      <c r="T341" s="2"/>
      <c r="U341" s="2"/>
      <c r="V341" s="2"/>
      <c r="W341" s="2"/>
      <c r="X341" s="2"/>
      <c r="Y341" s="2"/>
      <c r="Z341" s="2"/>
      <c r="AA341" s="2"/>
      <c r="AB341" s="2"/>
      <c r="AC341" s="2"/>
    </row>
    <row r="342" spans="7:29" x14ac:dyDescent="0.35">
      <c r="G342" s="2"/>
      <c r="H342" s="2"/>
      <c r="I342" s="2"/>
      <c r="J342" s="2"/>
      <c r="K342" s="2"/>
      <c r="L342" s="2"/>
      <c r="M342" s="2"/>
      <c r="N342" s="2"/>
      <c r="O342" s="2"/>
      <c r="P342" s="2"/>
      <c r="Q342" s="2"/>
      <c r="R342" s="2"/>
      <c r="S342" s="2"/>
      <c r="T342" s="2"/>
      <c r="U342" s="2"/>
      <c r="V342" s="2"/>
      <c r="W342" s="2"/>
      <c r="X342" s="2"/>
      <c r="Y342" s="2"/>
      <c r="Z342" s="2"/>
      <c r="AA342" s="2"/>
      <c r="AB342" s="2"/>
      <c r="AC342" s="2"/>
    </row>
    <row r="343" spans="7:29" x14ac:dyDescent="0.35">
      <c r="G343" s="2"/>
      <c r="H343" s="2"/>
      <c r="I343" s="2"/>
      <c r="J343" s="2"/>
      <c r="K343" s="2"/>
      <c r="L343" s="2"/>
      <c r="M343" s="2"/>
      <c r="N343" s="2"/>
      <c r="O343" s="2"/>
      <c r="P343" s="2"/>
      <c r="Q343" s="2"/>
      <c r="R343" s="2"/>
      <c r="S343" s="2"/>
      <c r="T343" s="2"/>
      <c r="U343" s="2"/>
      <c r="V343" s="2"/>
      <c r="W343" s="2"/>
      <c r="X343" s="2"/>
      <c r="Y343" s="2"/>
      <c r="Z343" s="2"/>
      <c r="AA343" s="2"/>
      <c r="AB343" s="2"/>
      <c r="AC343" s="2"/>
    </row>
    <row r="344" spans="7:29" x14ac:dyDescent="0.35">
      <c r="G344" s="2"/>
      <c r="H344" s="2"/>
      <c r="I344" s="2"/>
      <c r="J344" s="2"/>
      <c r="K344" s="2"/>
      <c r="L344" s="2"/>
      <c r="M344" s="2"/>
      <c r="N344" s="2"/>
      <c r="O344" s="2"/>
      <c r="P344" s="2"/>
      <c r="Q344" s="2"/>
      <c r="R344" s="2"/>
      <c r="S344" s="2"/>
      <c r="T344" s="2"/>
      <c r="U344" s="2"/>
      <c r="V344" s="2"/>
      <c r="W344" s="2"/>
      <c r="X344" s="2"/>
      <c r="Y344" s="2"/>
      <c r="Z344" s="2"/>
      <c r="AA344" s="2"/>
      <c r="AB344" s="2"/>
      <c r="AC344" s="2"/>
    </row>
    <row r="345" spans="7:29" x14ac:dyDescent="0.35">
      <c r="G345" s="2"/>
      <c r="H345" s="2"/>
      <c r="I345" s="2"/>
      <c r="J345" s="2"/>
      <c r="K345" s="2"/>
      <c r="L345" s="2"/>
      <c r="M345" s="2"/>
      <c r="N345" s="2"/>
      <c r="O345" s="2"/>
      <c r="P345" s="2"/>
      <c r="Q345" s="2"/>
      <c r="R345" s="2"/>
      <c r="S345" s="2"/>
      <c r="T345" s="2"/>
      <c r="U345" s="2"/>
      <c r="V345" s="2"/>
      <c r="W345" s="2"/>
      <c r="X345" s="2"/>
      <c r="Y345" s="2"/>
      <c r="Z345" s="2"/>
      <c r="AA345" s="2"/>
      <c r="AB345" s="2"/>
      <c r="AC345" s="2"/>
    </row>
    <row r="346" spans="7:29" x14ac:dyDescent="0.35">
      <c r="G346" s="2"/>
      <c r="H346" s="2"/>
      <c r="I346" s="2"/>
      <c r="J346" s="2"/>
      <c r="K346" s="2"/>
      <c r="L346" s="2"/>
      <c r="M346" s="2"/>
      <c r="N346" s="2"/>
      <c r="O346" s="2"/>
      <c r="P346" s="2"/>
      <c r="Q346" s="2"/>
      <c r="R346" s="2"/>
      <c r="S346" s="2"/>
      <c r="T346" s="2"/>
      <c r="U346" s="2"/>
      <c r="V346" s="2"/>
      <c r="W346" s="2"/>
      <c r="X346" s="2"/>
      <c r="Y346" s="2"/>
      <c r="Z346" s="2"/>
      <c r="AA346" s="2"/>
      <c r="AB346" s="2"/>
      <c r="AC346" s="2"/>
    </row>
    <row r="347" spans="7:29" x14ac:dyDescent="0.35">
      <c r="G347" s="2"/>
      <c r="H347" s="2"/>
      <c r="I347" s="2"/>
      <c r="J347" s="2"/>
      <c r="K347" s="2"/>
      <c r="L347" s="2"/>
      <c r="M347" s="2"/>
      <c r="N347" s="2"/>
      <c r="O347" s="2"/>
      <c r="P347" s="2"/>
      <c r="Q347" s="2"/>
      <c r="R347" s="2"/>
      <c r="S347" s="2"/>
      <c r="T347" s="2"/>
      <c r="U347" s="2"/>
      <c r="V347" s="2"/>
      <c r="W347" s="2"/>
      <c r="X347" s="2"/>
      <c r="Y347" s="2"/>
      <c r="Z347" s="2"/>
      <c r="AA347" s="2"/>
      <c r="AB347" s="2"/>
      <c r="AC347" s="2"/>
    </row>
    <row r="348" spans="7:29" x14ac:dyDescent="0.35">
      <c r="G348" s="2"/>
      <c r="H348" s="2"/>
      <c r="I348" s="2"/>
      <c r="J348" s="2"/>
      <c r="K348" s="2"/>
      <c r="L348" s="2"/>
      <c r="M348" s="2"/>
      <c r="N348" s="2"/>
      <c r="O348" s="2"/>
      <c r="P348" s="2"/>
      <c r="Q348" s="2"/>
      <c r="R348" s="2"/>
      <c r="S348" s="2"/>
      <c r="T348" s="2"/>
      <c r="U348" s="2"/>
      <c r="V348" s="2"/>
      <c r="W348" s="2"/>
      <c r="X348" s="2"/>
      <c r="Y348" s="2"/>
      <c r="Z348" s="2"/>
      <c r="AA348" s="2"/>
      <c r="AB348" s="2"/>
      <c r="AC348" s="2"/>
    </row>
    <row r="349" spans="7:29" x14ac:dyDescent="0.35">
      <c r="G349" s="2"/>
      <c r="H349" s="2"/>
      <c r="I349" s="2"/>
      <c r="J349" s="2"/>
      <c r="K349" s="2"/>
      <c r="L349" s="2"/>
      <c r="M349" s="2"/>
      <c r="N349" s="2"/>
      <c r="O349" s="2"/>
      <c r="P349" s="2"/>
      <c r="Q349" s="2"/>
      <c r="R349" s="2"/>
      <c r="S349" s="2"/>
      <c r="T349" s="2"/>
      <c r="U349" s="2"/>
      <c r="V349" s="2"/>
      <c r="W349" s="2"/>
      <c r="X349" s="2"/>
      <c r="Y349" s="2"/>
      <c r="Z349" s="2"/>
      <c r="AA349" s="2"/>
      <c r="AB349" s="2"/>
      <c r="AC349" s="2"/>
    </row>
    <row r="350" spans="7:29" x14ac:dyDescent="0.35">
      <c r="G350" s="2"/>
      <c r="H350" s="2"/>
      <c r="I350" s="2"/>
      <c r="J350" s="2"/>
      <c r="K350" s="2"/>
      <c r="L350" s="2"/>
      <c r="M350" s="2"/>
      <c r="N350" s="2"/>
      <c r="O350" s="2"/>
      <c r="P350" s="2"/>
      <c r="Q350" s="2"/>
      <c r="R350" s="2"/>
      <c r="S350" s="2"/>
      <c r="T350" s="2"/>
      <c r="U350" s="2"/>
      <c r="V350" s="2"/>
      <c r="W350" s="2"/>
      <c r="X350" s="2"/>
      <c r="Y350" s="2"/>
      <c r="Z350" s="2"/>
      <c r="AA350" s="2"/>
      <c r="AB350" s="2"/>
      <c r="AC350" s="2"/>
    </row>
    <row r="351" spans="7:29" x14ac:dyDescent="0.35">
      <c r="G351" s="2"/>
      <c r="H351" s="2"/>
      <c r="I351" s="2"/>
      <c r="J351" s="2"/>
      <c r="K351" s="2"/>
      <c r="L351" s="2"/>
      <c r="M351" s="2"/>
      <c r="N351" s="2"/>
      <c r="O351" s="2"/>
      <c r="P351" s="2"/>
      <c r="Q351" s="2"/>
      <c r="R351" s="2"/>
      <c r="S351" s="2"/>
      <c r="T351" s="2"/>
      <c r="U351" s="2"/>
      <c r="V351" s="2"/>
      <c r="W351" s="2"/>
      <c r="X351" s="2"/>
      <c r="Y351" s="2"/>
      <c r="Z351" s="2"/>
      <c r="AA351" s="2"/>
      <c r="AB351" s="2"/>
      <c r="AC351" s="2"/>
    </row>
    <row r="352" spans="7:29" x14ac:dyDescent="0.35">
      <c r="G352" s="2"/>
      <c r="H352" s="2"/>
      <c r="I352" s="2"/>
      <c r="J352" s="2"/>
      <c r="K352" s="2"/>
      <c r="L352" s="2"/>
      <c r="M352" s="2"/>
      <c r="N352" s="2"/>
      <c r="O352" s="2"/>
      <c r="P352" s="2"/>
      <c r="Q352" s="2"/>
      <c r="R352" s="2"/>
      <c r="S352" s="2"/>
      <c r="T352" s="2"/>
      <c r="U352" s="2"/>
      <c r="V352" s="2"/>
      <c r="W352" s="2"/>
      <c r="X352" s="2"/>
      <c r="Y352" s="2"/>
      <c r="Z352" s="2"/>
      <c r="AA352" s="2"/>
      <c r="AB352" s="2"/>
      <c r="AC352" s="2"/>
    </row>
    <row r="353" spans="7:29" x14ac:dyDescent="0.35">
      <c r="G353" s="2"/>
      <c r="H353" s="2"/>
      <c r="I353" s="2"/>
      <c r="J353" s="2"/>
      <c r="K353" s="2"/>
      <c r="L353" s="2"/>
      <c r="M353" s="2"/>
      <c r="N353" s="2"/>
      <c r="O353" s="2"/>
      <c r="P353" s="2"/>
      <c r="Q353" s="2"/>
      <c r="R353" s="2"/>
      <c r="S353" s="2"/>
      <c r="T353" s="2"/>
      <c r="U353" s="2"/>
      <c r="V353" s="2"/>
      <c r="W353" s="2"/>
      <c r="X353" s="2"/>
      <c r="Y353" s="2"/>
      <c r="Z353" s="2"/>
      <c r="AA353" s="2"/>
      <c r="AB353" s="2"/>
      <c r="AC353" s="2"/>
    </row>
    <row r="354" spans="7:29" x14ac:dyDescent="0.35">
      <c r="G354" s="2"/>
      <c r="H354" s="2"/>
      <c r="I354" s="2"/>
      <c r="J354" s="2"/>
      <c r="K354" s="2"/>
      <c r="L354" s="2"/>
      <c r="M354" s="2"/>
      <c r="N354" s="2"/>
      <c r="O354" s="2"/>
      <c r="P354" s="2"/>
      <c r="Q354" s="2"/>
      <c r="R354" s="2"/>
      <c r="S354" s="2"/>
      <c r="T354" s="2"/>
      <c r="U354" s="2"/>
      <c r="V354" s="2"/>
      <c r="W354" s="2"/>
      <c r="X354" s="2"/>
      <c r="Y354" s="2"/>
      <c r="Z354" s="2"/>
      <c r="AA354" s="2"/>
      <c r="AB354" s="2"/>
      <c r="AC354" s="2"/>
    </row>
    <row r="355" spans="7:29" x14ac:dyDescent="0.35">
      <c r="G355" s="2"/>
      <c r="H355" s="2"/>
      <c r="I355" s="2"/>
      <c r="J355" s="2"/>
      <c r="K355" s="2"/>
      <c r="L355" s="2"/>
      <c r="M355" s="2"/>
      <c r="N355" s="2"/>
      <c r="O355" s="2"/>
      <c r="P355" s="2"/>
      <c r="Q355" s="2"/>
      <c r="R355" s="2"/>
      <c r="S355" s="2"/>
      <c r="T355" s="2"/>
      <c r="U355" s="2"/>
      <c r="V355" s="2"/>
      <c r="W355" s="2"/>
      <c r="X355" s="2"/>
      <c r="Y355" s="2"/>
      <c r="Z355" s="2"/>
      <c r="AA355" s="2"/>
      <c r="AB355" s="2"/>
      <c r="AC355" s="2"/>
    </row>
    <row r="356" spans="7:29" x14ac:dyDescent="0.35">
      <c r="G356" s="2"/>
      <c r="H356" s="2"/>
      <c r="I356" s="2"/>
      <c r="J356" s="2"/>
      <c r="K356" s="2"/>
      <c r="L356" s="2"/>
      <c r="M356" s="2"/>
      <c r="N356" s="2"/>
      <c r="O356" s="2"/>
      <c r="P356" s="2"/>
      <c r="Q356" s="2"/>
      <c r="R356" s="2"/>
      <c r="S356" s="2"/>
      <c r="T356" s="2"/>
      <c r="U356" s="2"/>
      <c r="V356" s="2"/>
      <c r="W356" s="2"/>
      <c r="X356" s="2"/>
      <c r="Y356" s="2"/>
      <c r="Z356" s="2"/>
      <c r="AA356" s="2"/>
      <c r="AB356" s="2"/>
      <c r="AC356" s="2"/>
    </row>
    <row r="357" spans="7:29" x14ac:dyDescent="0.35">
      <c r="G357" s="2"/>
      <c r="H357" s="2"/>
      <c r="I357" s="2"/>
      <c r="J357" s="2"/>
      <c r="K357" s="2"/>
      <c r="L357" s="2"/>
      <c r="M357" s="2"/>
      <c r="N357" s="2"/>
      <c r="O357" s="2"/>
      <c r="P357" s="2"/>
      <c r="Q357" s="2"/>
      <c r="R357" s="2"/>
      <c r="S357" s="2"/>
      <c r="T357" s="2"/>
      <c r="U357" s="2"/>
      <c r="V357" s="2"/>
      <c r="W357" s="2"/>
      <c r="X357" s="2"/>
      <c r="Y357" s="2"/>
      <c r="Z357" s="2"/>
      <c r="AA357" s="2"/>
      <c r="AB357" s="2"/>
      <c r="AC357" s="2"/>
    </row>
    <row r="358" spans="7:29" x14ac:dyDescent="0.35">
      <c r="G358" s="2"/>
      <c r="H358" s="2"/>
      <c r="I358" s="2"/>
      <c r="J358" s="2"/>
      <c r="K358" s="2"/>
      <c r="L358" s="2"/>
      <c r="M358" s="2"/>
      <c r="N358" s="2"/>
      <c r="O358" s="2"/>
      <c r="P358" s="2"/>
      <c r="Q358" s="2"/>
      <c r="R358" s="2"/>
      <c r="S358" s="2"/>
      <c r="T358" s="2"/>
      <c r="U358" s="2"/>
      <c r="V358" s="2"/>
      <c r="W358" s="2"/>
      <c r="X358" s="2"/>
      <c r="Y358" s="2"/>
      <c r="Z358" s="2"/>
      <c r="AA358" s="2"/>
      <c r="AB358" s="2"/>
      <c r="AC358" s="2"/>
    </row>
    <row r="359" spans="7:29" x14ac:dyDescent="0.35">
      <c r="G359" s="2"/>
      <c r="H359" s="2"/>
      <c r="I359" s="2"/>
      <c r="J359" s="2"/>
      <c r="K359" s="2"/>
      <c r="L359" s="2"/>
      <c r="M359" s="2"/>
      <c r="N359" s="2"/>
      <c r="O359" s="2"/>
      <c r="P359" s="2"/>
      <c r="Q359" s="2"/>
      <c r="R359" s="2"/>
      <c r="S359" s="2"/>
      <c r="T359" s="2"/>
      <c r="U359" s="2"/>
      <c r="V359" s="2"/>
      <c r="W359" s="2"/>
      <c r="X359" s="2"/>
      <c r="Y359" s="2"/>
      <c r="Z359" s="2"/>
      <c r="AA359" s="2"/>
      <c r="AB359" s="2"/>
      <c r="AC359" s="2"/>
    </row>
    <row r="360" spans="7:29" x14ac:dyDescent="0.35">
      <c r="G360" s="2"/>
      <c r="H360" s="2"/>
      <c r="I360" s="2"/>
      <c r="J360" s="2"/>
      <c r="K360" s="2"/>
      <c r="L360" s="2"/>
      <c r="M360" s="2"/>
      <c r="N360" s="2"/>
      <c r="O360" s="2"/>
      <c r="P360" s="2"/>
      <c r="Q360" s="2"/>
      <c r="R360" s="2"/>
      <c r="S360" s="2"/>
      <c r="T360" s="2"/>
      <c r="U360" s="2"/>
      <c r="V360" s="2"/>
      <c r="W360" s="2"/>
      <c r="X360" s="2"/>
      <c r="Y360" s="2"/>
      <c r="Z360" s="2"/>
      <c r="AA360" s="2"/>
      <c r="AB360" s="2"/>
      <c r="AC360" s="2"/>
    </row>
    <row r="361" spans="7:29" x14ac:dyDescent="0.35">
      <c r="G361" s="2"/>
      <c r="H361" s="2"/>
      <c r="I361" s="2"/>
      <c r="J361" s="2"/>
      <c r="K361" s="2"/>
      <c r="L361" s="2"/>
      <c r="M361" s="2"/>
      <c r="N361" s="2"/>
      <c r="O361" s="2"/>
      <c r="P361" s="2"/>
      <c r="Q361" s="2"/>
      <c r="R361" s="2"/>
      <c r="S361" s="2"/>
      <c r="T361" s="2"/>
      <c r="U361" s="2"/>
      <c r="V361" s="2"/>
      <c r="W361" s="2"/>
      <c r="X361" s="2"/>
      <c r="Y361" s="2"/>
      <c r="Z361" s="2"/>
      <c r="AA361" s="2"/>
      <c r="AB361" s="2"/>
      <c r="AC361" s="2"/>
    </row>
    <row r="362" spans="7:29" x14ac:dyDescent="0.35">
      <c r="G362" s="2"/>
      <c r="H362" s="2"/>
      <c r="I362" s="2"/>
      <c r="J362" s="2"/>
      <c r="K362" s="2"/>
      <c r="L362" s="2"/>
      <c r="M362" s="2"/>
      <c r="N362" s="2"/>
      <c r="O362" s="2"/>
      <c r="P362" s="2"/>
      <c r="Q362" s="2"/>
      <c r="R362" s="2"/>
      <c r="S362" s="2"/>
      <c r="T362" s="2"/>
      <c r="U362" s="2"/>
      <c r="V362" s="2"/>
      <c r="W362" s="2"/>
      <c r="X362" s="2"/>
      <c r="Y362" s="2"/>
      <c r="Z362" s="2"/>
      <c r="AA362" s="2"/>
      <c r="AB362" s="2"/>
      <c r="AC362" s="2"/>
    </row>
    <row r="363" spans="7:29" x14ac:dyDescent="0.35">
      <c r="G363" s="2"/>
      <c r="H363" s="2"/>
      <c r="I363" s="2"/>
      <c r="J363" s="2"/>
      <c r="K363" s="2"/>
      <c r="L363" s="2"/>
      <c r="M363" s="2"/>
      <c r="N363" s="2"/>
      <c r="O363" s="2"/>
      <c r="P363" s="2"/>
      <c r="Q363" s="2"/>
      <c r="R363" s="2"/>
      <c r="S363" s="2"/>
      <c r="T363" s="2"/>
      <c r="U363" s="2"/>
      <c r="V363" s="2"/>
      <c r="W363" s="2"/>
      <c r="X363" s="2"/>
      <c r="Y363" s="2"/>
      <c r="Z363" s="2"/>
      <c r="AA363" s="2"/>
      <c r="AB363" s="2"/>
      <c r="AC363" s="2"/>
    </row>
    <row r="364" spans="7:29" x14ac:dyDescent="0.35">
      <c r="G364" s="2"/>
      <c r="H364" s="2"/>
      <c r="I364" s="2"/>
      <c r="J364" s="2"/>
      <c r="K364" s="2"/>
      <c r="L364" s="2"/>
      <c r="M364" s="2"/>
      <c r="N364" s="2"/>
      <c r="O364" s="2"/>
      <c r="P364" s="2"/>
      <c r="Q364" s="2"/>
      <c r="R364" s="2"/>
      <c r="S364" s="2"/>
      <c r="T364" s="2"/>
      <c r="U364" s="2"/>
      <c r="V364" s="2"/>
      <c r="W364" s="2"/>
      <c r="X364" s="2"/>
      <c r="Y364" s="2"/>
      <c r="Z364" s="2"/>
      <c r="AA364" s="2"/>
      <c r="AB364" s="2"/>
      <c r="AC364" s="2"/>
    </row>
    <row r="365" spans="7:29" x14ac:dyDescent="0.35">
      <c r="G365" s="2"/>
      <c r="H365" s="2"/>
      <c r="I365" s="2"/>
      <c r="J365" s="2"/>
      <c r="K365" s="2"/>
      <c r="L365" s="2"/>
      <c r="M365" s="2"/>
      <c r="N365" s="2"/>
      <c r="O365" s="2"/>
      <c r="P365" s="2"/>
      <c r="Q365" s="2"/>
      <c r="R365" s="2"/>
      <c r="S365" s="2"/>
      <c r="T365" s="2"/>
      <c r="U365" s="2"/>
      <c r="V365" s="2"/>
      <c r="W365" s="2"/>
      <c r="X365" s="2"/>
      <c r="Y365" s="2"/>
      <c r="Z365" s="2"/>
      <c r="AA365" s="2"/>
      <c r="AB365" s="2"/>
      <c r="AC365" s="2"/>
    </row>
    <row r="366" spans="7:29" x14ac:dyDescent="0.35">
      <c r="G366" s="2"/>
      <c r="H366" s="2"/>
      <c r="I366" s="2"/>
      <c r="J366" s="2"/>
      <c r="K366" s="2"/>
      <c r="L366" s="2"/>
      <c r="M366" s="2"/>
      <c r="N366" s="2"/>
      <c r="O366" s="2"/>
      <c r="P366" s="2"/>
      <c r="Q366" s="2"/>
      <c r="R366" s="2"/>
      <c r="S366" s="2"/>
      <c r="T366" s="2"/>
      <c r="U366" s="2"/>
      <c r="V366" s="2"/>
      <c r="W366" s="2"/>
      <c r="X366" s="2"/>
      <c r="Y366" s="2"/>
      <c r="Z366" s="2"/>
      <c r="AA366" s="2"/>
      <c r="AB366" s="2"/>
      <c r="AC366" s="2"/>
    </row>
    <row r="367" spans="7:29" x14ac:dyDescent="0.35">
      <c r="G367" s="2"/>
      <c r="H367" s="2"/>
      <c r="I367" s="2"/>
      <c r="J367" s="2"/>
      <c r="K367" s="2"/>
      <c r="L367" s="2"/>
      <c r="M367" s="2"/>
      <c r="N367" s="2"/>
      <c r="O367" s="2"/>
      <c r="P367" s="2"/>
      <c r="Q367" s="2"/>
      <c r="R367" s="2"/>
      <c r="S367" s="2"/>
      <c r="T367" s="2"/>
      <c r="U367" s="2"/>
      <c r="V367" s="2"/>
      <c r="W367" s="2"/>
      <c r="X367" s="2"/>
      <c r="Y367" s="2"/>
      <c r="Z367" s="2"/>
      <c r="AA367" s="2"/>
      <c r="AB367" s="2"/>
      <c r="AC367" s="2"/>
    </row>
    <row r="368" spans="7:29" x14ac:dyDescent="0.35">
      <c r="G368" s="2"/>
      <c r="H368" s="2"/>
      <c r="I368" s="2"/>
      <c r="J368" s="2"/>
      <c r="K368" s="2"/>
      <c r="L368" s="2"/>
      <c r="M368" s="2"/>
      <c r="N368" s="2"/>
      <c r="O368" s="2"/>
      <c r="P368" s="2"/>
      <c r="Q368" s="2"/>
      <c r="R368" s="2"/>
      <c r="S368" s="2"/>
      <c r="T368" s="2"/>
      <c r="U368" s="2"/>
      <c r="V368" s="2"/>
      <c r="W368" s="2"/>
      <c r="X368" s="2"/>
      <c r="Y368" s="2"/>
      <c r="Z368" s="2"/>
      <c r="AA368" s="2"/>
      <c r="AB368" s="2"/>
      <c r="AC368" s="2"/>
    </row>
    <row r="369" spans="7:29" x14ac:dyDescent="0.35">
      <c r="G369" s="2"/>
      <c r="H369" s="2"/>
      <c r="I369" s="2"/>
      <c r="J369" s="2"/>
      <c r="K369" s="2"/>
      <c r="L369" s="2"/>
      <c r="M369" s="2"/>
      <c r="N369" s="2"/>
      <c r="O369" s="2"/>
      <c r="P369" s="2"/>
      <c r="Q369" s="2"/>
      <c r="R369" s="2"/>
      <c r="S369" s="2"/>
      <c r="T369" s="2"/>
      <c r="U369" s="2"/>
      <c r="V369" s="2"/>
      <c r="W369" s="2"/>
      <c r="X369" s="2"/>
      <c r="Y369" s="2"/>
      <c r="Z369" s="2"/>
      <c r="AA369" s="2"/>
      <c r="AB369" s="2"/>
      <c r="AC369" s="2"/>
    </row>
    <row r="370" spans="7:29" x14ac:dyDescent="0.35">
      <c r="G370" s="2"/>
      <c r="H370" s="2"/>
      <c r="I370" s="2"/>
      <c r="J370" s="2"/>
      <c r="K370" s="2"/>
      <c r="L370" s="2"/>
      <c r="M370" s="2"/>
      <c r="N370" s="2"/>
      <c r="O370" s="2"/>
      <c r="P370" s="2"/>
      <c r="Q370" s="2"/>
      <c r="R370" s="2"/>
      <c r="S370" s="2"/>
      <c r="T370" s="2"/>
      <c r="U370" s="2"/>
      <c r="V370" s="2"/>
      <c r="W370" s="2"/>
      <c r="X370" s="2"/>
      <c r="Y370" s="2"/>
      <c r="Z370" s="2"/>
      <c r="AA370" s="2"/>
      <c r="AB370" s="2"/>
      <c r="AC370" s="2"/>
    </row>
    <row r="371" spans="7:29" x14ac:dyDescent="0.35">
      <c r="G371" s="2"/>
      <c r="H371" s="2"/>
      <c r="I371" s="2"/>
      <c r="J371" s="2"/>
      <c r="K371" s="2"/>
      <c r="L371" s="2"/>
      <c r="M371" s="2"/>
      <c r="N371" s="2"/>
      <c r="O371" s="2"/>
      <c r="P371" s="2"/>
      <c r="Q371" s="2"/>
      <c r="R371" s="2"/>
      <c r="S371" s="2"/>
      <c r="T371" s="2"/>
      <c r="U371" s="2"/>
      <c r="V371" s="2"/>
      <c r="W371" s="2"/>
      <c r="X371" s="2"/>
      <c r="Y371" s="2"/>
      <c r="Z371" s="2"/>
      <c r="AA371" s="2"/>
      <c r="AB371" s="2"/>
      <c r="AC371" s="2"/>
    </row>
    <row r="372" spans="7:29" x14ac:dyDescent="0.35">
      <c r="G372" s="2"/>
      <c r="H372" s="2"/>
      <c r="I372" s="2"/>
      <c r="J372" s="2"/>
      <c r="K372" s="2"/>
      <c r="L372" s="2"/>
      <c r="M372" s="2"/>
      <c r="N372" s="2"/>
      <c r="O372" s="2"/>
      <c r="P372" s="2"/>
      <c r="Q372" s="2"/>
      <c r="R372" s="2"/>
      <c r="S372" s="2"/>
      <c r="T372" s="2"/>
      <c r="U372" s="2"/>
      <c r="V372" s="2"/>
      <c r="W372" s="2"/>
      <c r="X372" s="2"/>
      <c r="Y372" s="2"/>
      <c r="Z372" s="2"/>
      <c r="AA372" s="2"/>
      <c r="AB372" s="2"/>
      <c r="AC372" s="2"/>
    </row>
    <row r="373" spans="7:29" x14ac:dyDescent="0.35">
      <c r="G373" s="2"/>
      <c r="H373" s="2"/>
      <c r="I373" s="2"/>
      <c r="J373" s="2"/>
      <c r="K373" s="2"/>
      <c r="L373" s="2"/>
      <c r="M373" s="2"/>
      <c r="N373" s="2"/>
      <c r="O373" s="2"/>
      <c r="P373" s="2"/>
      <c r="Q373" s="2"/>
      <c r="R373" s="2"/>
      <c r="S373" s="2"/>
      <c r="T373" s="2"/>
      <c r="U373" s="2"/>
      <c r="V373" s="2"/>
      <c r="W373" s="2"/>
      <c r="X373" s="2"/>
      <c r="Y373" s="2"/>
      <c r="Z373" s="2"/>
      <c r="AA373" s="2"/>
      <c r="AB373" s="2"/>
      <c r="AC373" s="2"/>
    </row>
    <row r="374" spans="7:29" x14ac:dyDescent="0.35">
      <c r="G374" s="2"/>
      <c r="H374" s="2"/>
      <c r="I374" s="2"/>
      <c r="J374" s="2"/>
      <c r="K374" s="2"/>
      <c r="L374" s="2"/>
      <c r="M374" s="2"/>
      <c r="N374" s="2"/>
      <c r="O374" s="2"/>
      <c r="P374" s="2"/>
      <c r="Q374" s="2"/>
      <c r="R374" s="2"/>
      <c r="S374" s="2"/>
      <c r="T374" s="2"/>
      <c r="U374" s="2"/>
      <c r="V374" s="2"/>
      <c r="W374" s="2"/>
      <c r="X374" s="2"/>
      <c r="Y374" s="2"/>
      <c r="Z374" s="2"/>
      <c r="AA374" s="2"/>
      <c r="AB374" s="2"/>
      <c r="AC374" s="2"/>
    </row>
    <row r="375" spans="7:29" x14ac:dyDescent="0.35">
      <c r="G375" s="2"/>
      <c r="H375" s="2"/>
      <c r="I375" s="2"/>
      <c r="J375" s="2"/>
      <c r="K375" s="2"/>
      <c r="L375" s="2"/>
      <c r="M375" s="2"/>
      <c r="N375" s="2"/>
      <c r="O375" s="2"/>
      <c r="P375" s="2"/>
      <c r="Q375" s="2"/>
      <c r="R375" s="2"/>
      <c r="S375" s="2"/>
      <c r="T375" s="2"/>
      <c r="U375" s="2"/>
      <c r="V375" s="2"/>
      <c r="W375" s="2"/>
      <c r="X375" s="2"/>
      <c r="Y375" s="2"/>
      <c r="Z375" s="2"/>
      <c r="AA375" s="2"/>
      <c r="AB375" s="2"/>
      <c r="AC375" s="2"/>
    </row>
    <row r="376" spans="7:29" x14ac:dyDescent="0.35">
      <c r="G376" s="2"/>
      <c r="H376" s="2"/>
      <c r="I376" s="2"/>
      <c r="J376" s="2"/>
      <c r="K376" s="2"/>
      <c r="L376" s="2"/>
      <c r="M376" s="2"/>
      <c r="N376" s="2"/>
      <c r="O376" s="2"/>
      <c r="P376" s="2"/>
      <c r="Q376" s="2"/>
      <c r="R376" s="2"/>
      <c r="S376" s="2"/>
      <c r="T376" s="2"/>
      <c r="U376" s="2"/>
      <c r="V376" s="2"/>
      <c r="W376" s="2"/>
      <c r="X376" s="2"/>
      <c r="Y376" s="2"/>
      <c r="Z376" s="2"/>
      <c r="AA376" s="2"/>
      <c r="AB376" s="2"/>
      <c r="AC376" s="2"/>
    </row>
    <row r="377" spans="7:29" x14ac:dyDescent="0.35">
      <c r="G377" s="2"/>
      <c r="H377" s="2"/>
      <c r="I377" s="2"/>
      <c r="J377" s="2"/>
      <c r="K377" s="2"/>
      <c r="L377" s="2"/>
      <c r="M377" s="2"/>
      <c r="N377" s="2"/>
      <c r="O377" s="2"/>
      <c r="P377" s="2"/>
      <c r="Q377" s="2"/>
      <c r="R377" s="2"/>
      <c r="S377" s="2"/>
      <c r="T377" s="2"/>
      <c r="U377" s="2"/>
      <c r="V377" s="2"/>
      <c r="W377" s="2"/>
      <c r="X377" s="2"/>
      <c r="Y377" s="2"/>
      <c r="Z377" s="2"/>
      <c r="AA377" s="2"/>
      <c r="AB377" s="2"/>
      <c r="AC377" s="2"/>
    </row>
    <row r="378" spans="7:29" x14ac:dyDescent="0.35">
      <c r="G378" s="2"/>
      <c r="H378" s="2"/>
      <c r="I378" s="2"/>
      <c r="J378" s="2"/>
      <c r="K378" s="2"/>
      <c r="L378" s="2"/>
      <c r="M378" s="2"/>
      <c r="N378" s="2"/>
      <c r="O378" s="2"/>
      <c r="P378" s="2"/>
      <c r="Q378" s="2"/>
      <c r="R378" s="2"/>
      <c r="S378" s="2"/>
      <c r="T378" s="2"/>
      <c r="U378" s="2"/>
      <c r="V378" s="2"/>
      <c r="W378" s="2"/>
      <c r="X378" s="2"/>
      <c r="Y378" s="2"/>
      <c r="Z378" s="2"/>
      <c r="AA378" s="2"/>
      <c r="AB378" s="2"/>
      <c r="AC378" s="2"/>
    </row>
    <row r="379" spans="7:29" x14ac:dyDescent="0.35">
      <c r="G379" s="2"/>
      <c r="H379" s="2"/>
      <c r="I379" s="2"/>
      <c r="J379" s="2"/>
      <c r="K379" s="2"/>
      <c r="L379" s="2"/>
      <c r="M379" s="2"/>
      <c r="N379" s="2"/>
      <c r="O379" s="2"/>
      <c r="P379" s="2"/>
      <c r="Q379" s="2"/>
      <c r="R379" s="2"/>
      <c r="S379" s="2"/>
      <c r="T379" s="2"/>
      <c r="U379" s="2"/>
      <c r="V379" s="2"/>
      <c r="W379" s="2"/>
      <c r="X379" s="2"/>
      <c r="Y379" s="2"/>
      <c r="Z379" s="2"/>
      <c r="AA379" s="2"/>
      <c r="AB379" s="2"/>
      <c r="AC379" s="2"/>
    </row>
    <row r="380" spans="7:29" x14ac:dyDescent="0.35">
      <c r="G380" s="2"/>
      <c r="H380" s="2"/>
      <c r="I380" s="2"/>
      <c r="J380" s="2"/>
      <c r="K380" s="2"/>
      <c r="L380" s="2"/>
      <c r="M380" s="2"/>
      <c r="N380" s="2"/>
      <c r="O380" s="2"/>
      <c r="P380" s="2"/>
      <c r="Q380" s="2"/>
      <c r="R380" s="2"/>
      <c r="S380" s="2"/>
      <c r="T380" s="2"/>
      <c r="U380" s="2"/>
      <c r="V380" s="2"/>
      <c r="W380" s="2"/>
      <c r="X380" s="2"/>
      <c r="Y380" s="2"/>
      <c r="Z380" s="2"/>
      <c r="AA380" s="2"/>
      <c r="AB380" s="2"/>
      <c r="AC380" s="2"/>
    </row>
    <row r="381" spans="7:29" x14ac:dyDescent="0.35">
      <c r="G381" s="2"/>
      <c r="H381" s="2"/>
      <c r="I381" s="2"/>
      <c r="J381" s="2"/>
      <c r="K381" s="2"/>
      <c r="L381" s="2"/>
      <c r="M381" s="2"/>
      <c r="N381" s="2"/>
      <c r="O381" s="2"/>
      <c r="P381" s="2"/>
      <c r="Q381" s="2"/>
      <c r="R381" s="2"/>
      <c r="S381" s="2"/>
      <c r="T381" s="2"/>
      <c r="U381" s="2"/>
      <c r="V381" s="2"/>
      <c r="W381" s="2"/>
      <c r="X381" s="2"/>
      <c r="Y381" s="2"/>
      <c r="Z381" s="2"/>
      <c r="AA381" s="2"/>
      <c r="AB381" s="2"/>
      <c r="AC381" s="2"/>
    </row>
    <row r="382" spans="7:29" x14ac:dyDescent="0.35">
      <c r="G382" s="2"/>
      <c r="H382" s="2"/>
      <c r="I382" s="2"/>
      <c r="J382" s="2"/>
      <c r="K382" s="2"/>
      <c r="L382" s="2"/>
      <c r="M382" s="2"/>
      <c r="N382" s="2"/>
      <c r="O382" s="2"/>
      <c r="P382" s="2"/>
      <c r="Q382" s="2"/>
      <c r="R382" s="2"/>
      <c r="S382" s="2"/>
      <c r="T382" s="2"/>
      <c r="U382" s="2"/>
      <c r="V382" s="2"/>
      <c r="W382" s="2"/>
      <c r="X382" s="2"/>
      <c r="Y382" s="2"/>
      <c r="Z382" s="2"/>
      <c r="AA382" s="2"/>
      <c r="AB382" s="2"/>
      <c r="AC382" s="2"/>
    </row>
    <row r="383" spans="7:29" x14ac:dyDescent="0.35">
      <c r="G383" s="2"/>
      <c r="H383" s="2"/>
      <c r="I383" s="2"/>
      <c r="J383" s="2"/>
      <c r="K383" s="2"/>
      <c r="L383" s="2"/>
      <c r="M383" s="2"/>
      <c r="N383" s="2"/>
      <c r="O383" s="2"/>
      <c r="P383" s="2"/>
      <c r="Q383" s="2"/>
      <c r="R383" s="2"/>
      <c r="S383" s="2"/>
      <c r="T383" s="2"/>
      <c r="U383" s="2"/>
      <c r="V383" s="2"/>
      <c r="W383" s="2"/>
      <c r="X383" s="2"/>
      <c r="Y383" s="2"/>
      <c r="Z383" s="2"/>
      <c r="AA383" s="2"/>
      <c r="AB383" s="2"/>
      <c r="AC383" s="2"/>
    </row>
    <row r="384" spans="7:29" x14ac:dyDescent="0.35">
      <c r="G384" s="2"/>
      <c r="H384" s="2"/>
      <c r="I384" s="2"/>
      <c r="J384" s="2"/>
      <c r="K384" s="2"/>
      <c r="L384" s="2"/>
      <c r="M384" s="2"/>
      <c r="N384" s="2"/>
      <c r="O384" s="2"/>
      <c r="P384" s="2"/>
      <c r="Q384" s="2"/>
      <c r="R384" s="2"/>
      <c r="S384" s="2"/>
      <c r="T384" s="2"/>
      <c r="U384" s="2"/>
      <c r="V384" s="2"/>
      <c r="W384" s="2"/>
      <c r="X384" s="2"/>
      <c r="Y384" s="2"/>
      <c r="Z384" s="2"/>
      <c r="AA384" s="2"/>
      <c r="AB384" s="2"/>
      <c r="AC384" s="2"/>
    </row>
    <row r="385" spans="7:29" x14ac:dyDescent="0.35">
      <c r="G385" s="2"/>
      <c r="H385" s="2"/>
      <c r="I385" s="2"/>
      <c r="J385" s="2"/>
      <c r="K385" s="2"/>
      <c r="L385" s="2"/>
      <c r="M385" s="2"/>
      <c r="N385" s="2"/>
      <c r="O385" s="2"/>
      <c r="P385" s="2"/>
      <c r="Q385" s="2"/>
      <c r="R385" s="2"/>
      <c r="S385" s="2"/>
      <c r="T385" s="2"/>
      <c r="U385" s="2"/>
      <c r="V385" s="2"/>
      <c r="W385" s="2"/>
      <c r="X385" s="2"/>
      <c r="Y385" s="2"/>
      <c r="Z385" s="2"/>
      <c r="AA385" s="2"/>
      <c r="AB385" s="2"/>
      <c r="AC385" s="2"/>
    </row>
    <row r="386" spans="7:29" x14ac:dyDescent="0.35">
      <c r="G386" s="2"/>
      <c r="H386" s="2"/>
      <c r="I386" s="2"/>
      <c r="J386" s="2"/>
      <c r="K386" s="2"/>
      <c r="L386" s="2"/>
      <c r="M386" s="2"/>
      <c r="N386" s="2"/>
      <c r="O386" s="2"/>
      <c r="P386" s="2"/>
      <c r="Q386" s="2"/>
      <c r="R386" s="2"/>
      <c r="S386" s="2"/>
      <c r="T386" s="2"/>
      <c r="U386" s="2"/>
      <c r="V386" s="2"/>
      <c r="W386" s="2"/>
      <c r="X386" s="2"/>
      <c r="Y386" s="2"/>
      <c r="Z386" s="2"/>
      <c r="AA386" s="2"/>
      <c r="AB386" s="2"/>
      <c r="AC386" s="2"/>
    </row>
    <row r="387" spans="7:29" x14ac:dyDescent="0.35">
      <c r="G387" s="2"/>
      <c r="H387" s="2"/>
      <c r="I387" s="2"/>
      <c r="J387" s="2"/>
      <c r="K387" s="2"/>
      <c r="L387" s="2"/>
      <c r="M387" s="2"/>
      <c r="N387" s="2"/>
      <c r="O387" s="2"/>
      <c r="P387" s="2"/>
      <c r="Q387" s="2"/>
      <c r="R387" s="2"/>
      <c r="S387" s="2"/>
      <c r="T387" s="2"/>
      <c r="U387" s="2"/>
      <c r="V387" s="2"/>
      <c r="W387" s="2"/>
      <c r="X387" s="2"/>
      <c r="Y387" s="2"/>
      <c r="Z387" s="2"/>
      <c r="AA387" s="2"/>
      <c r="AB387" s="2"/>
      <c r="AC387" s="2"/>
    </row>
    <row r="388" spans="7:29" x14ac:dyDescent="0.35">
      <c r="G388" s="2"/>
      <c r="H388" s="2"/>
      <c r="I388" s="2"/>
      <c r="J388" s="2"/>
      <c r="K388" s="2"/>
      <c r="L388" s="2"/>
      <c r="M388" s="2"/>
      <c r="N388" s="2"/>
      <c r="O388" s="2"/>
      <c r="P388" s="2"/>
      <c r="Q388" s="2"/>
      <c r="R388" s="2"/>
      <c r="S388" s="2"/>
      <c r="T388" s="2"/>
      <c r="U388" s="2"/>
      <c r="V388" s="2"/>
      <c r="W388" s="2"/>
      <c r="X388" s="2"/>
      <c r="Y388" s="2"/>
      <c r="Z388" s="2"/>
      <c r="AA388" s="2"/>
      <c r="AB388" s="2"/>
      <c r="AC388" s="2"/>
    </row>
    <row r="389" spans="7:29" x14ac:dyDescent="0.35">
      <c r="G389" s="2"/>
      <c r="H389" s="2"/>
      <c r="I389" s="2"/>
      <c r="J389" s="2"/>
      <c r="K389" s="2"/>
      <c r="L389" s="2"/>
      <c r="M389" s="2"/>
      <c r="N389" s="2"/>
      <c r="O389" s="2"/>
      <c r="P389" s="2"/>
      <c r="Q389" s="2"/>
      <c r="R389" s="2"/>
      <c r="S389" s="2"/>
      <c r="T389" s="2"/>
      <c r="U389" s="2"/>
      <c r="V389" s="2"/>
      <c r="W389" s="2"/>
      <c r="X389" s="2"/>
      <c r="Y389" s="2"/>
      <c r="Z389" s="2"/>
      <c r="AA389" s="2"/>
      <c r="AB389" s="2"/>
      <c r="AC389" s="2"/>
    </row>
    <row r="390" spans="7:29" x14ac:dyDescent="0.35">
      <c r="G390" s="2"/>
      <c r="H390" s="2"/>
      <c r="I390" s="2"/>
      <c r="J390" s="2"/>
      <c r="K390" s="2"/>
      <c r="L390" s="2"/>
      <c r="M390" s="2"/>
      <c r="N390" s="2"/>
      <c r="O390" s="2"/>
      <c r="P390" s="2"/>
      <c r="Q390" s="2"/>
      <c r="R390" s="2"/>
      <c r="S390" s="2"/>
      <c r="T390" s="2"/>
      <c r="U390" s="2"/>
      <c r="V390" s="2"/>
      <c r="W390" s="2"/>
      <c r="X390" s="2"/>
      <c r="Y390" s="2"/>
      <c r="Z390" s="2"/>
      <c r="AA390" s="2"/>
      <c r="AB390" s="2"/>
      <c r="AC390" s="2"/>
    </row>
    <row r="391" spans="7:29" x14ac:dyDescent="0.35">
      <c r="G391" s="2"/>
      <c r="H391" s="2"/>
      <c r="I391" s="2"/>
      <c r="J391" s="2"/>
      <c r="K391" s="2"/>
      <c r="L391" s="2"/>
      <c r="M391" s="2"/>
      <c r="N391" s="2"/>
      <c r="O391" s="2"/>
      <c r="P391" s="2"/>
      <c r="Q391" s="2"/>
      <c r="R391" s="2"/>
      <c r="S391" s="2"/>
      <c r="T391" s="2"/>
      <c r="U391" s="2"/>
      <c r="V391" s="2"/>
      <c r="W391" s="2"/>
      <c r="X391" s="2"/>
      <c r="Y391" s="2"/>
      <c r="Z391" s="2"/>
      <c r="AA391" s="2"/>
      <c r="AB391" s="2"/>
      <c r="AC391" s="2"/>
    </row>
    <row r="392" spans="7:29" x14ac:dyDescent="0.35">
      <c r="G392" s="2"/>
      <c r="H392" s="2"/>
      <c r="I392" s="2"/>
      <c r="J392" s="2"/>
      <c r="K392" s="2"/>
      <c r="L392" s="2"/>
      <c r="M392" s="2"/>
      <c r="N392" s="2"/>
      <c r="O392" s="2"/>
      <c r="P392" s="2"/>
      <c r="Q392" s="2"/>
      <c r="R392" s="2"/>
      <c r="S392" s="2"/>
      <c r="T392" s="2"/>
      <c r="U392" s="2"/>
      <c r="V392" s="2"/>
      <c r="W392" s="2"/>
      <c r="X392" s="2"/>
      <c r="Y392" s="2"/>
      <c r="Z392" s="2"/>
      <c r="AA392" s="2"/>
      <c r="AB392" s="2"/>
      <c r="AC392" s="2"/>
    </row>
    <row r="393" spans="7:29" x14ac:dyDescent="0.35">
      <c r="G393" s="2"/>
      <c r="H393" s="2"/>
      <c r="I393" s="2"/>
      <c r="J393" s="2"/>
      <c r="K393" s="2"/>
      <c r="L393" s="2"/>
      <c r="M393" s="2"/>
      <c r="N393" s="2"/>
      <c r="O393" s="2"/>
      <c r="P393" s="2"/>
      <c r="Q393" s="2"/>
      <c r="R393" s="2"/>
      <c r="S393" s="2"/>
      <c r="T393" s="2"/>
      <c r="U393" s="2"/>
      <c r="V393" s="2"/>
      <c r="W393" s="2"/>
      <c r="X393" s="2"/>
      <c r="Y393" s="2"/>
      <c r="Z393" s="2"/>
      <c r="AA393" s="2"/>
      <c r="AB393" s="2"/>
      <c r="AC393" s="2"/>
    </row>
    <row r="394" spans="7:29" x14ac:dyDescent="0.35">
      <c r="G394" s="2"/>
      <c r="H394" s="2"/>
      <c r="I394" s="2"/>
      <c r="J394" s="2"/>
      <c r="K394" s="2"/>
      <c r="L394" s="2"/>
      <c r="M394" s="2"/>
      <c r="N394" s="2"/>
      <c r="O394" s="2"/>
      <c r="P394" s="2"/>
      <c r="Q394" s="2"/>
      <c r="R394" s="2"/>
      <c r="S394" s="2"/>
      <c r="T394" s="2"/>
      <c r="U394" s="2"/>
      <c r="V394" s="2"/>
      <c r="W394" s="2"/>
      <c r="X394" s="2"/>
      <c r="Y394" s="2"/>
      <c r="Z394" s="2"/>
      <c r="AA394" s="2"/>
      <c r="AB394" s="2"/>
      <c r="AC394" s="2"/>
    </row>
    <row r="395" spans="7:29" x14ac:dyDescent="0.35">
      <c r="G395" s="2"/>
      <c r="H395" s="2"/>
      <c r="I395" s="2"/>
      <c r="J395" s="2"/>
      <c r="K395" s="2"/>
      <c r="L395" s="2"/>
      <c r="M395" s="2"/>
      <c r="N395" s="2"/>
      <c r="O395" s="2"/>
      <c r="P395" s="2"/>
      <c r="Q395" s="2"/>
      <c r="R395" s="2"/>
      <c r="S395" s="2"/>
      <c r="T395" s="2"/>
      <c r="U395" s="2"/>
      <c r="V395" s="2"/>
      <c r="W395" s="2"/>
      <c r="X395" s="2"/>
      <c r="Y395" s="2"/>
      <c r="Z395" s="2"/>
      <c r="AA395" s="2"/>
      <c r="AB395" s="2"/>
      <c r="AC395" s="2"/>
    </row>
    <row r="396" spans="7:29" x14ac:dyDescent="0.35">
      <c r="G396" s="2"/>
      <c r="H396" s="2"/>
      <c r="I396" s="2"/>
      <c r="J396" s="2"/>
      <c r="K396" s="2"/>
      <c r="L396" s="2"/>
      <c r="M396" s="2"/>
      <c r="N396" s="2"/>
      <c r="O396" s="2"/>
      <c r="P396" s="2"/>
      <c r="Q396" s="2"/>
      <c r="R396" s="2"/>
      <c r="S396" s="2"/>
      <c r="T396" s="2"/>
      <c r="U396" s="2"/>
      <c r="V396" s="2"/>
      <c r="W396" s="2"/>
      <c r="X396" s="2"/>
      <c r="Y396" s="2"/>
      <c r="Z396" s="2"/>
      <c r="AA396" s="2"/>
      <c r="AB396" s="2"/>
      <c r="AC396" s="2"/>
    </row>
    <row r="397" spans="7:29" x14ac:dyDescent="0.35">
      <c r="G397" s="2"/>
      <c r="H397" s="2"/>
      <c r="I397" s="2"/>
      <c r="J397" s="2"/>
      <c r="K397" s="2"/>
      <c r="L397" s="2"/>
      <c r="M397" s="2"/>
      <c r="N397" s="2"/>
      <c r="O397" s="2"/>
      <c r="P397" s="2"/>
      <c r="Q397" s="2"/>
      <c r="R397" s="2"/>
      <c r="S397" s="2"/>
      <c r="T397" s="2"/>
      <c r="U397" s="2"/>
      <c r="V397" s="2"/>
      <c r="W397" s="2"/>
      <c r="X397" s="2"/>
      <c r="Y397" s="2"/>
      <c r="Z397" s="2"/>
      <c r="AA397" s="2"/>
      <c r="AB397" s="2"/>
      <c r="AC397" s="2"/>
    </row>
    <row r="398" spans="7:29" x14ac:dyDescent="0.35">
      <c r="G398" s="2"/>
      <c r="H398" s="2"/>
      <c r="I398" s="2"/>
      <c r="J398" s="2"/>
      <c r="K398" s="2"/>
      <c r="L398" s="2"/>
      <c r="M398" s="2"/>
      <c r="N398" s="2"/>
      <c r="O398" s="2"/>
      <c r="P398" s="2"/>
      <c r="Q398" s="2"/>
      <c r="R398" s="2"/>
      <c r="S398" s="2"/>
      <c r="T398" s="2"/>
      <c r="U398" s="2"/>
      <c r="V398" s="2"/>
      <c r="W398" s="2"/>
      <c r="X398" s="2"/>
      <c r="Y398" s="2"/>
      <c r="Z398" s="2"/>
      <c r="AA398" s="2"/>
      <c r="AB398" s="2"/>
      <c r="AC398" s="2"/>
    </row>
    <row r="399" spans="7:29" x14ac:dyDescent="0.35">
      <c r="G399" s="2"/>
      <c r="H399" s="2"/>
      <c r="I399" s="2"/>
      <c r="J399" s="2"/>
      <c r="K399" s="2"/>
      <c r="L399" s="2"/>
      <c r="M399" s="2"/>
      <c r="N399" s="2"/>
      <c r="O399" s="2"/>
      <c r="P399" s="2"/>
      <c r="Q399" s="2"/>
      <c r="R399" s="2"/>
      <c r="S399" s="2"/>
      <c r="T399" s="2"/>
      <c r="U399" s="2"/>
      <c r="V399" s="2"/>
      <c r="W399" s="2"/>
      <c r="X399" s="2"/>
      <c r="Y399" s="2"/>
      <c r="Z399" s="2"/>
      <c r="AA399" s="2"/>
      <c r="AB399" s="2"/>
      <c r="AC399" s="2"/>
    </row>
    <row r="400" spans="7:29" x14ac:dyDescent="0.35">
      <c r="G400" s="2"/>
      <c r="H400" s="2"/>
      <c r="I400" s="2"/>
      <c r="J400" s="2"/>
      <c r="K400" s="2"/>
      <c r="L400" s="2"/>
      <c r="M400" s="2"/>
      <c r="N400" s="2"/>
      <c r="O400" s="2"/>
      <c r="P400" s="2"/>
      <c r="Q400" s="2"/>
      <c r="R400" s="2"/>
      <c r="S400" s="2"/>
      <c r="T400" s="2"/>
      <c r="U400" s="2"/>
      <c r="V400" s="2"/>
      <c r="W400" s="2"/>
      <c r="X400" s="2"/>
      <c r="Y400" s="2"/>
      <c r="Z400" s="2"/>
      <c r="AA400" s="2"/>
      <c r="AB400" s="2"/>
      <c r="AC400" s="2"/>
    </row>
    <row r="401" spans="7:29" x14ac:dyDescent="0.35">
      <c r="G401" s="2"/>
      <c r="H401" s="2"/>
      <c r="I401" s="2"/>
      <c r="J401" s="2"/>
      <c r="K401" s="2"/>
      <c r="L401" s="2"/>
      <c r="M401" s="2"/>
      <c r="N401" s="2"/>
      <c r="O401" s="2"/>
      <c r="P401" s="2"/>
      <c r="Q401" s="2"/>
      <c r="R401" s="2"/>
      <c r="S401" s="2"/>
      <c r="T401" s="2"/>
      <c r="U401" s="2"/>
      <c r="V401" s="2"/>
      <c r="W401" s="2"/>
      <c r="X401" s="2"/>
      <c r="Y401" s="2"/>
      <c r="Z401" s="2"/>
      <c r="AA401" s="2"/>
      <c r="AB401" s="2"/>
      <c r="AC401" s="2"/>
    </row>
    <row r="402" spans="7:29" x14ac:dyDescent="0.35">
      <c r="G402" s="2"/>
      <c r="H402" s="2"/>
      <c r="I402" s="2"/>
      <c r="J402" s="2"/>
      <c r="K402" s="2"/>
      <c r="L402" s="2"/>
      <c r="M402" s="2"/>
      <c r="N402" s="2"/>
      <c r="O402" s="2"/>
      <c r="P402" s="2"/>
      <c r="Q402" s="2"/>
      <c r="R402" s="2"/>
      <c r="S402" s="2"/>
      <c r="T402" s="2"/>
      <c r="U402" s="2"/>
      <c r="V402" s="2"/>
      <c r="W402" s="2"/>
      <c r="X402" s="2"/>
      <c r="Y402" s="2"/>
      <c r="Z402" s="2"/>
      <c r="AA402" s="2"/>
      <c r="AB402" s="2"/>
      <c r="AC402" s="2"/>
    </row>
    <row r="403" spans="7:29" x14ac:dyDescent="0.35">
      <c r="G403" s="2"/>
      <c r="H403" s="2"/>
      <c r="I403" s="2"/>
      <c r="J403" s="2"/>
      <c r="K403" s="2"/>
      <c r="L403" s="2"/>
      <c r="M403" s="2"/>
      <c r="N403" s="2"/>
      <c r="O403" s="2"/>
      <c r="P403" s="2"/>
      <c r="Q403" s="2"/>
      <c r="R403" s="2"/>
      <c r="S403" s="2"/>
      <c r="T403" s="2"/>
      <c r="U403" s="2"/>
      <c r="V403" s="2"/>
      <c r="W403" s="2"/>
      <c r="X403" s="2"/>
      <c r="Y403" s="2"/>
      <c r="Z403" s="2"/>
      <c r="AA403" s="2"/>
      <c r="AB403" s="2"/>
      <c r="AC403" s="2"/>
    </row>
    <row r="404" spans="7:29" x14ac:dyDescent="0.35">
      <c r="G404" s="2"/>
      <c r="H404" s="2"/>
      <c r="I404" s="2"/>
      <c r="J404" s="2"/>
      <c r="K404" s="2"/>
      <c r="L404" s="2"/>
      <c r="M404" s="2"/>
      <c r="N404" s="2"/>
      <c r="O404" s="2"/>
      <c r="P404" s="2"/>
      <c r="Q404" s="2"/>
      <c r="R404" s="2"/>
      <c r="S404" s="2"/>
      <c r="T404" s="2"/>
      <c r="U404" s="2"/>
      <c r="V404" s="2"/>
      <c r="W404" s="2"/>
      <c r="X404" s="2"/>
      <c r="Y404" s="2"/>
      <c r="Z404" s="2"/>
      <c r="AA404" s="2"/>
      <c r="AB404" s="2"/>
      <c r="AC404" s="2"/>
    </row>
    <row r="405" spans="7:29" x14ac:dyDescent="0.35">
      <c r="G405" s="2"/>
      <c r="H405" s="2"/>
      <c r="I405" s="2"/>
      <c r="J405" s="2"/>
      <c r="K405" s="2"/>
      <c r="L405" s="2"/>
      <c r="M405" s="2"/>
      <c r="N405" s="2"/>
      <c r="O405" s="2"/>
      <c r="P405" s="2"/>
      <c r="Q405" s="2"/>
      <c r="R405" s="2"/>
      <c r="S405" s="2"/>
      <c r="T405" s="2"/>
      <c r="U405" s="2"/>
      <c r="V405" s="2"/>
      <c r="W405" s="2"/>
      <c r="X405" s="2"/>
      <c r="Y405" s="2"/>
      <c r="Z405" s="2"/>
      <c r="AA405" s="2"/>
      <c r="AB405" s="2"/>
      <c r="AC405" s="2"/>
    </row>
    <row r="406" spans="7:29" x14ac:dyDescent="0.35">
      <c r="G406" s="2"/>
      <c r="H406" s="2"/>
      <c r="I406" s="2"/>
      <c r="J406" s="2"/>
      <c r="K406" s="2"/>
      <c r="L406" s="2"/>
      <c r="M406" s="2"/>
      <c r="N406" s="2"/>
      <c r="O406" s="2"/>
      <c r="P406" s="2"/>
      <c r="Q406" s="2"/>
      <c r="R406" s="2"/>
      <c r="S406" s="2"/>
      <c r="T406" s="2"/>
      <c r="U406" s="2"/>
      <c r="V406" s="2"/>
      <c r="W406" s="2"/>
      <c r="X406" s="2"/>
      <c r="Y406" s="2"/>
      <c r="Z406" s="2"/>
      <c r="AA406" s="2"/>
      <c r="AB406" s="2"/>
      <c r="AC406" s="2"/>
    </row>
    <row r="407" spans="7:29" x14ac:dyDescent="0.35">
      <c r="G407" s="2"/>
      <c r="H407" s="2"/>
      <c r="I407" s="2"/>
      <c r="J407" s="2"/>
      <c r="K407" s="2"/>
      <c r="L407" s="2"/>
      <c r="M407" s="2"/>
      <c r="N407" s="2"/>
      <c r="O407" s="2"/>
      <c r="P407" s="2"/>
      <c r="Q407" s="2"/>
      <c r="R407" s="2"/>
      <c r="S407" s="2"/>
      <c r="T407" s="2"/>
      <c r="U407" s="2"/>
      <c r="V407" s="2"/>
      <c r="W407" s="2"/>
      <c r="X407" s="2"/>
      <c r="Y407" s="2"/>
      <c r="Z407" s="2"/>
      <c r="AA407" s="2"/>
      <c r="AB407" s="2"/>
      <c r="AC407" s="2"/>
    </row>
    <row r="408" spans="7:29" x14ac:dyDescent="0.35">
      <c r="G408" s="2"/>
      <c r="H408" s="2"/>
      <c r="I408" s="2"/>
      <c r="J408" s="2"/>
      <c r="K408" s="2"/>
      <c r="L408" s="2"/>
      <c r="M408" s="2"/>
      <c r="N408" s="2"/>
      <c r="O408" s="2"/>
      <c r="P408" s="2"/>
      <c r="Q408" s="2"/>
      <c r="R408" s="2"/>
      <c r="S408" s="2"/>
      <c r="T408" s="2"/>
      <c r="U408" s="2"/>
      <c r="V408" s="2"/>
      <c r="W408" s="2"/>
      <c r="X408" s="2"/>
      <c r="Y408" s="2"/>
      <c r="Z408" s="2"/>
      <c r="AA408" s="2"/>
      <c r="AB408" s="2"/>
      <c r="AC408" s="2"/>
    </row>
    <row r="409" spans="7:29" x14ac:dyDescent="0.35">
      <c r="G409" s="2"/>
      <c r="H409" s="2"/>
      <c r="I409" s="2"/>
      <c r="J409" s="2"/>
      <c r="K409" s="2"/>
      <c r="L409" s="2"/>
      <c r="M409" s="2"/>
      <c r="N409" s="2"/>
      <c r="O409" s="2"/>
      <c r="P409" s="2"/>
      <c r="Q409" s="2"/>
      <c r="R409" s="2"/>
      <c r="S409" s="2"/>
      <c r="T409" s="2"/>
      <c r="U409" s="2"/>
      <c r="V409" s="2"/>
      <c r="W409" s="2"/>
      <c r="X409" s="2"/>
      <c r="Y409" s="2"/>
      <c r="Z409" s="2"/>
      <c r="AA409" s="2"/>
      <c r="AB409" s="2"/>
      <c r="AC409" s="2"/>
    </row>
    <row r="410" spans="7:29" x14ac:dyDescent="0.35">
      <c r="G410" s="2"/>
      <c r="H410" s="2"/>
      <c r="I410" s="2"/>
      <c r="J410" s="2"/>
      <c r="K410" s="2"/>
      <c r="L410" s="2"/>
      <c r="M410" s="2"/>
      <c r="N410" s="2"/>
      <c r="O410" s="2"/>
      <c r="P410" s="2"/>
      <c r="Q410" s="2"/>
      <c r="R410" s="2"/>
      <c r="S410" s="2"/>
      <c r="T410" s="2"/>
      <c r="U410" s="2"/>
      <c r="V410" s="2"/>
      <c r="W410" s="2"/>
      <c r="X410" s="2"/>
      <c r="Y410" s="2"/>
      <c r="Z410" s="2"/>
      <c r="AA410" s="2"/>
      <c r="AB410" s="2"/>
      <c r="AC410" s="2"/>
    </row>
    <row r="411" spans="7:29" x14ac:dyDescent="0.35">
      <c r="G411" s="2"/>
      <c r="H411" s="2"/>
      <c r="I411" s="2"/>
      <c r="J411" s="2"/>
      <c r="K411" s="2"/>
      <c r="L411" s="2"/>
      <c r="M411" s="2"/>
      <c r="N411" s="2"/>
      <c r="O411" s="2"/>
      <c r="P411" s="2"/>
      <c r="Q411" s="2"/>
      <c r="R411" s="2"/>
      <c r="S411" s="2"/>
      <c r="T411" s="2"/>
      <c r="U411" s="2"/>
      <c r="V411" s="2"/>
      <c r="W411" s="2"/>
      <c r="X411" s="2"/>
      <c r="Y411" s="2"/>
      <c r="Z411" s="2"/>
      <c r="AA411" s="2"/>
      <c r="AB411" s="2"/>
      <c r="AC411" s="2"/>
    </row>
    <row r="412" spans="7:29" x14ac:dyDescent="0.35">
      <c r="G412" s="2"/>
      <c r="H412" s="2"/>
      <c r="I412" s="2"/>
      <c r="J412" s="2"/>
      <c r="K412" s="2"/>
      <c r="L412" s="2"/>
      <c r="M412" s="2"/>
      <c r="N412" s="2"/>
      <c r="O412" s="2"/>
      <c r="P412" s="2"/>
      <c r="Q412" s="2"/>
      <c r="R412" s="2"/>
      <c r="S412" s="2"/>
      <c r="T412" s="2"/>
      <c r="U412" s="2"/>
      <c r="V412" s="2"/>
      <c r="W412" s="2"/>
      <c r="X412" s="2"/>
      <c r="Y412" s="2"/>
      <c r="Z412" s="2"/>
      <c r="AA412" s="2"/>
      <c r="AB412" s="2"/>
      <c r="AC412" s="2"/>
    </row>
    <row r="413" spans="7:29" x14ac:dyDescent="0.35">
      <c r="G413" s="2"/>
      <c r="H413" s="2"/>
      <c r="I413" s="2"/>
      <c r="J413" s="2"/>
      <c r="K413" s="2"/>
      <c r="L413" s="2"/>
      <c r="M413" s="2"/>
      <c r="N413" s="2"/>
      <c r="O413" s="2"/>
      <c r="P413" s="2"/>
      <c r="Q413" s="2"/>
      <c r="R413" s="2"/>
      <c r="S413" s="2"/>
      <c r="T413" s="2"/>
      <c r="U413" s="2"/>
      <c r="V413" s="2"/>
      <c r="W413" s="2"/>
      <c r="X413" s="2"/>
      <c r="Y413" s="2"/>
      <c r="Z413" s="2"/>
      <c r="AA413" s="2"/>
      <c r="AB413" s="2"/>
      <c r="AC413" s="2"/>
    </row>
    <row r="414" spans="7:29" x14ac:dyDescent="0.35">
      <c r="G414" s="2"/>
      <c r="H414" s="2"/>
      <c r="I414" s="2"/>
      <c r="J414" s="2"/>
      <c r="K414" s="2"/>
      <c r="L414" s="2"/>
      <c r="M414" s="2"/>
      <c r="N414" s="2"/>
      <c r="O414" s="2"/>
      <c r="P414" s="2"/>
      <c r="Q414" s="2"/>
      <c r="R414" s="2"/>
      <c r="S414" s="2"/>
      <c r="T414" s="2"/>
      <c r="U414" s="2"/>
      <c r="V414" s="2"/>
      <c r="W414" s="2"/>
      <c r="X414" s="2"/>
      <c r="Y414" s="2"/>
      <c r="Z414" s="2"/>
      <c r="AA414" s="2"/>
      <c r="AB414" s="2"/>
      <c r="AC414" s="2"/>
    </row>
    <row r="415" spans="7:29" x14ac:dyDescent="0.35">
      <c r="G415" s="2"/>
      <c r="H415" s="2"/>
      <c r="I415" s="2"/>
      <c r="J415" s="2"/>
      <c r="K415" s="2"/>
      <c r="L415" s="2"/>
      <c r="M415" s="2"/>
      <c r="N415" s="2"/>
      <c r="O415" s="2"/>
      <c r="P415" s="2"/>
      <c r="Q415" s="2"/>
      <c r="R415" s="2"/>
      <c r="S415" s="2"/>
      <c r="T415" s="2"/>
      <c r="U415" s="2"/>
      <c r="V415" s="2"/>
      <c r="W415" s="2"/>
      <c r="X415" s="2"/>
      <c r="Y415" s="2"/>
      <c r="Z415" s="2"/>
      <c r="AA415" s="2"/>
      <c r="AB415" s="2"/>
      <c r="AC415" s="2"/>
    </row>
    <row r="416" spans="7:29" x14ac:dyDescent="0.35">
      <c r="G416" s="2"/>
      <c r="H416" s="2"/>
      <c r="I416" s="2"/>
      <c r="J416" s="2"/>
      <c r="K416" s="2"/>
      <c r="L416" s="2"/>
      <c r="M416" s="2"/>
      <c r="N416" s="2"/>
      <c r="O416" s="2"/>
      <c r="P416" s="2"/>
      <c r="Q416" s="2"/>
      <c r="R416" s="2"/>
      <c r="S416" s="2"/>
      <c r="T416" s="2"/>
      <c r="U416" s="2"/>
      <c r="V416" s="2"/>
      <c r="W416" s="2"/>
      <c r="X416" s="2"/>
      <c r="Y416" s="2"/>
      <c r="Z416" s="2"/>
      <c r="AA416" s="2"/>
      <c r="AB416" s="2"/>
      <c r="AC416" s="2"/>
    </row>
    <row r="417" spans="7:29" x14ac:dyDescent="0.35">
      <c r="G417" s="2"/>
      <c r="H417" s="2"/>
      <c r="I417" s="2"/>
      <c r="J417" s="2"/>
      <c r="K417" s="2"/>
      <c r="L417" s="2"/>
      <c r="M417" s="2"/>
      <c r="N417" s="2"/>
      <c r="O417" s="2"/>
      <c r="P417" s="2"/>
      <c r="Q417" s="2"/>
      <c r="R417" s="2"/>
      <c r="S417" s="2"/>
      <c r="T417" s="2"/>
      <c r="U417" s="2"/>
      <c r="V417" s="2"/>
      <c r="W417" s="2"/>
      <c r="X417" s="2"/>
      <c r="Y417" s="2"/>
      <c r="Z417" s="2"/>
      <c r="AA417" s="2"/>
      <c r="AB417" s="2"/>
      <c r="AC417" s="2"/>
    </row>
    <row r="418" spans="7:29" x14ac:dyDescent="0.35">
      <c r="G418" s="2"/>
      <c r="H418" s="2"/>
      <c r="I418" s="2"/>
      <c r="J418" s="2"/>
      <c r="K418" s="2"/>
      <c r="L418" s="2"/>
      <c r="M418" s="2"/>
      <c r="N418" s="2"/>
      <c r="O418" s="2"/>
      <c r="P418" s="2"/>
      <c r="Q418" s="2"/>
      <c r="R418" s="2"/>
      <c r="S418" s="2"/>
      <c r="T418" s="2"/>
      <c r="U418" s="2"/>
      <c r="V418" s="2"/>
      <c r="W418" s="2"/>
      <c r="X418" s="2"/>
      <c r="Y418" s="2"/>
      <c r="Z418" s="2"/>
      <c r="AA418" s="2"/>
      <c r="AB418" s="2"/>
      <c r="AC418" s="2"/>
    </row>
    <row r="419" spans="7:29" x14ac:dyDescent="0.35">
      <c r="G419" s="2"/>
      <c r="H419" s="2"/>
      <c r="I419" s="2"/>
      <c r="J419" s="2"/>
      <c r="K419" s="2"/>
      <c r="L419" s="2"/>
      <c r="M419" s="2"/>
      <c r="N419" s="2"/>
      <c r="O419" s="2"/>
      <c r="P419" s="2"/>
      <c r="Q419" s="2"/>
      <c r="R419" s="2"/>
      <c r="S419" s="2"/>
      <c r="T419" s="2"/>
      <c r="U419" s="2"/>
      <c r="V419" s="2"/>
      <c r="W419" s="2"/>
      <c r="X419" s="2"/>
      <c r="Y419" s="2"/>
      <c r="Z419" s="2"/>
      <c r="AA419" s="2"/>
      <c r="AB419" s="2"/>
      <c r="AC419" s="2"/>
    </row>
    <row r="420" spans="7:29" x14ac:dyDescent="0.35">
      <c r="G420" s="2"/>
      <c r="H420" s="2"/>
      <c r="I420" s="2"/>
      <c r="J420" s="2"/>
      <c r="K420" s="2"/>
      <c r="L420" s="2"/>
      <c r="M420" s="2"/>
      <c r="N420" s="2"/>
      <c r="O420" s="2"/>
      <c r="P420" s="2"/>
      <c r="Q420" s="2"/>
      <c r="R420" s="2"/>
      <c r="S420" s="2"/>
      <c r="T420" s="2"/>
      <c r="U420" s="2"/>
      <c r="V420" s="2"/>
      <c r="W420" s="2"/>
      <c r="X420" s="2"/>
      <c r="Y420" s="2"/>
      <c r="Z420" s="2"/>
      <c r="AA420" s="2"/>
      <c r="AB420" s="2"/>
      <c r="AC420" s="2"/>
    </row>
    <row r="421" spans="7:29" x14ac:dyDescent="0.35">
      <c r="G421" s="2"/>
      <c r="H421" s="2"/>
      <c r="I421" s="2"/>
      <c r="J421" s="2"/>
      <c r="K421" s="2"/>
      <c r="L421" s="2"/>
      <c r="M421" s="2"/>
      <c r="N421" s="2"/>
      <c r="O421" s="2"/>
      <c r="P421" s="2"/>
      <c r="Q421" s="2"/>
      <c r="R421" s="2"/>
      <c r="S421" s="2"/>
      <c r="T421" s="2"/>
      <c r="U421" s="2"/>
      <c r="V421" s="2"/>
      <c r="W421" s="2"/>
      <c r="X421" s="2"/>
      <c r="Y421" s="2"/>
      <c r="Z421" s="2"/>
      <c r="AA421" s="2"/>
      <c r="AB421" s="2"/>
      <c r="AC421" s="2"/>
    </row>
    <row r="422" spans="7:29" x14ac:dyDescent="0.35">
      <c r="G422" s="2"/>
      <c r="H422" s="2"/>
      <c r="I422" s="2"/>
      <c r="J422" s="2"/>
      <c r="K422" s="2"/>
      <c r="L422" s="2"/>
      <c r="M422" s="2"/>
      <c r="N422" s="2"/>
      <c r="O422" s="2"/>
      <c r="P422" s="2"/>
      <c r="Q422" s="2"/>
      <c r="R422" s="2"/>
      <c r="S422" s="2"/>
      <c r="T422" s="2"/>
      <c r="U422" s="2"/>
      <c r="V422" s="2"/>
      <c r="W422" s="2"/>
      <c r="X422" s="2"/>
      <c r="Y422" s="2"/>
      <c r="Z422" s="2"/>
      <c r="AA422" s="2"/>
      <c r="AB422" s="2"/>
      <c r="AC422" s="2"/>
    </row>
    <row r="423" spans="7:29" x14ac:dyDescent="0.35">
      <c r="G423" s="2"/>
      <c r="H423" s="2"/>
      <c r="I423" s="2"/>
      <c r="J423" s="2"/>
      <c r="K423" s="2"/>
      <c r="L423" s="2"/>
      <c r="M423" s="2"/>
      <c r="N423" s="2"/>
      <c r="O423" s="2"/>
      <c r="P423" s="2"/>
      <c r="Q423" s="2"/>
      <c r="R423" s="2"/>
      <c r="S423" s="2"/>
      <c r="T423" s="2"/>
      <c r="U423" s="2"/>
      <c r="V423" s="2"/>
      <c r="W423" s="2"/>
      <c r="X423" s="2"/>
      <c r="Y423" s="2"/>
      <c r="Z423" s="2"/>
      <c r="AA423" s="2"/>
      <c r="AB423" s="2"/>
      <c r="AC423" s="2"/>
    </row>
    <row r="424" spans="7:29" x14ac:dyDescent="0.35">
      <c r="G424" s="2"/>
      <c r="H424" s="2"/>
      <c r="I424" s="2"/>
      <c r="J424" s="2"/>
      <c r="K424" s="2"/>
      <c r="L424" s="2"/>
      <c r="M424" s="2"/>
      <c r="N424" s="2"/>
      <c r="O424" s="2"/>
      <c r="P424" s="2"/>
      <c r="Q424" s="2"/>
      <c r="R424" s="2"/>
      <c r="S424" s="2"/>
      <c r="T424" s="2"/>
      <c r="U424" s="2"/>
      <c r="V424" s="2"/>
      <c r="W424" s="2"/>
      <c r="X424" s="2"/>
      <c r="Y424" s="2"/>
      <c r="Z424" s="2"/>
      <c r="AA424" s="2"/>
      <c r="AB424" s="2"/>
      <c r="AC424" s="2"/>
    </row>
    <row r="425" spans="7:29" x14ac:dyDescent="0.35">
      <c r="G425" s="2"/>
      <c r="H425" s="2"/>
      <c r="I425" s="2"/>
      <c r="J425" s="2"/>
      <c r="K425" s="2"/>
      <c r="L425" s="2"/>
      <c r="M425" s="2"/>
      <c r="N425" s="2"/>
      <c r="O425" s="2"/>
      <c r="P425" s="2"/>
      <c r="Q425" s="2"/>
      <c r="R425" s="2"/>
      <c r="S425" s="2"/>
      <c r="T425" s="2"/>
      <c r="U425" s="2"/>
      <c r="V425" s="2"/>
      <c r="W425" s="2"/>
      <c r="X425" s="2"/>
      <c r="Y425" s="2"/>
      <c r="Z425" s="2"/>
      <c r="AA425" s="2"/>
      <c r="AB425" s="2"/>
      <c r="AC425" s="2"/>
    </row>
    <row r="426" spans="7:29" x14ac:dyDescent="0.35">
      <c r="G426" s="2"/>
      <c r="H426" s="2"/>
      <c r="I426" s="2"/>
      <c r="J426" s="2"/>
      <c r="K426" s="2"/>
      <c r="L426" s="2"/>
      <c r="M426" s="2"/>
      <c r="N426" s="2"/>
      <c r="O426" s="2"/>
      <c r="P426" s="2"/>
      <c r="Q426" s="2"/>
      <c r="R426" s="2"/>
      <c r="S426" s="2"/>
      <c r="T426" s="2"/>
      <c r="U426" s="2"/>
      <c r="V426" s="2"/>
      <c r="W426" s="2"/>
      <c r="X426" s="2"/>
      <c r="Y426" s="2"/>
      <c r="Z426" s="2"/>
      <c r="AA426" s="2"/>
      <c r="AB426" s="2"/>
      <c r="AC426" s="2"/>
    </row>
    <row r="427" spans="7:29" x14ac:dyDescent="0.35">
      <c r="G427" s="2"/>
      <c r="H427" s="2"/>
      <c r="I427" s="2"/>
      <c r="J427" s="2"/>
      <c r="K427" s="2"/>
      <c r="L427" s="2"/>
      <c r="M427" s="2"/>
      <c r="N427" s="2"/>
      <c r="O427" s="2"/>
      <c r="P427" s="2"/>
      <c r="Q427" s="2"/>
      <c r="R427" s="2"/>
      <c r="S427" s="2"/>
      <c r="T427" s="2"/>
      <c r="U427" s="2"/>
      <c r="V427" s="2"/>
      <c r="W427" s="2"/>
      <c r="X427" s="2"/>
      <c r="Y427" s="2"/>
      <c r="Z427" s="2"/>
      <c r="AA427" s="2"/>
      <c r="AB427" s="2"/>
      <c r="AC427" s="2"/>
    </row>
    <row r="428" spans="7:29" x14ac:dyDescent="0.35">
      <c r="G428" s="2"/>
      <c r="H428" s="2"/>
      <c r="I428" s="2"/>
      <c r="J428" s="2"/>
      <c r="K428" s="2"/>
      <c r="L428" s="2"/>
      <c r="M428" s="2"/>
      <c r="N428" s="2"/>
      <c r="O428" s="2"/>
      <c r="P428" s="2"/>
      <c r="Q428" s="2"/>
      <c r="R428" s="2"/>
      <c r="S428" s="2"/>
      <c r="T428" s="2"/>
      <c r="U428" s="2"/>
      <c r="V428" s="2"/>
      <c r="W428" s="2"/>
      <c r="X428" s="2"/>
      <c r="Y428" s="2"/>
      <c r="Z428" s="2"/>
      <c r="AA428" s="2"/>
      <c r="AB428" s="2"/>
      <c r="AC428" s="2"/>
    </row>
    <row r="429" spans="7:29" x14ac:dyDescent="0.35">
      <c r="G429" s="2"/>
      <c r="H429" s="2"/>
      <c r="I429" s="2"/>
      <c r="J429" s="2"/>
      <c r="K429" s="2"/>
      <c r="L429" s="2"/>
      <c r="M429" s="2"/>
      <c r="N429" s="2"/>
      <c r="O429" s="2"/>
      <c r="P429" s="2"/>
      <c r="Q429" s="2"/>
      <c r="R429" s="2"/>
      <c r="S429" s="2"/>
      <c r="T429" s="2"/>
      <c r="U429" s="2"/>
      <c r="V429" s="2"/>
      <c r="W429" s="2"/>
      <c r="X429" s="2"/>
      <c r="Y429" s="2"/>
      <c r="Z429" s="2"/>
      <c r="AA429" s="2"/>
      <c r="AB429" s="2"/>
      <c r="AC429" s="2"/>
    </row>
    <row r="430" spans="7:29" x14ac:dyDescent="0.35">
      <c r="G430" s="2"/>
      <c r="H430" s="2"/>
      <c r="I430" s="2"/>
      <c r="J430" s="2"/>
      <c r="K430" s="2"/>
      <c r="L430" s="2"/>
      <c r="M430" s="2"/>
      <c r="N430" s="2"/>
      <c r="O430" s="2"/>
      <c r="P430" s="2"/>
      <c r="Q430" s="2"/>
      <c r="R430" s="2"/>
      <c r="S430" s="2"/>
      <c r="T430" s="2"/>
      <c r="U430" s="2"/>
      <c r="V430" s="2"/>
      <c r="W430" s="2"/>
      <c r="X430" s="2"/>
      <c r="Y430" s="2"/>
      <c r="Z430" s="2"/>
      <c r="AA430" s="2"/>
      <c r="AB430" s="2"/>
      <c r="AC430" s="2"/>
    </row>
    <row r="431" spans="7:29" x14ac:dyDescent="0.35">
      <c r="G431" s="2"/>
      <c r="H431" s="2"/>
      <c r="I431" s="2"/>
      <c r="J431" s="2"/>
      <c r="K431" s="2"/>
      <c r="L431" s="2"/>
      <c r="M431" s="2"/>
      <c r="N431" s="2"/>
      <c r="O431" s="2"/>
      <c r="P431" s="2"/>
      <c r="Q431" s="2"/>
      <c r="R431" s="2"/>
      <c r="S431" s="2"/>
      <c r="T431" s="2"/>
      <c r="U431" s="2"/>
      <c r="V431" s="2"/>
      <c r="W431" s="2"/>
      <c r="X431" s="2"/>
      <c r="Y431" s="2"/>
      <c r="Z431" s="2"/>
      <c r="AA431" s="2"/>
      <c r="AB431" s="2"/>
      <c r="AC431" s="2"/>
    </row>
    <row r="432" spans="7:29" x14ac:dyDescent="0.35">
      <c r="G432" s="2"/>
      <c r="H432" s="2"/>
      <c r="I432" s="2"/>
      <c r="J432" s="2"/>
      <c r="K432" s="2"/>
      <c r="L432" s="2"/>
      <c r="M432" s="2"/>
      <c r="N432" s="2"/>
      <c r="O432" s="2"/>
      <c r="P432" s="2"/>
      <c r="Q432" s="2"/>
      <c r="R432" s="2"/>
      <c r="S432" s="2"/>
      <c r="T432" s="2"/>
      <c r="U432" s="2"/>
      <c r="V432" s="2"/>
      <c r="W432" s="2"/>
      <c r="X432" s="2"/>
      <c r="Y432" s="2"/>
      <c r="Z432" s="2"/>
      <c r="AA432" s="2"/>
      <c r="AB432" s="2"/>
      <c r="AC432" s="2"/>
    </row>
    <row r="433" spans="7:29" x14ac:dyDescent="0.35">
      <c r="G433" s="2"/>
      <c r="H433" s="2"/>
      <c r="I433" s="2"/>
      <c r="J433" s="2"/>
      <c r="K433" s="2"/>
      <c r="L433" s="2"/>
      <c r="M433" s="2"/>
      <c r="N433" s="2"/>
      <c r="O433" s="2"/>
      <c r="P433" s="2"/>
      <c r="Q433" s="2"/>
      <c r="R433" s="2"/>
      <c r="S433" s="2"/>
      <c r="T433" s="2"/>
      <c r="U433" s="2"/>
      <c r="V433" s="2"/>
      <c r="W433" s="2"/>
      <c r="X433" s="2"/>
      <c r="Y433" s="2"/>
      <c r="Z433" s="2"/>
      <c r="AA433" s="2"/>
      <c r="AB433" s="2"/>
      <c r="AC433" s="2"/>
    </row>
    <row r="434" spans="7:29" x14ac:dyDescent="0.35">
      <c r="G434" s="2"/>
      <c r="H434" s="2"/>
      <c r="I434" s="2"/>
      <c r="J434" s="2"/>
      <c r="K434" s="2"/>
      <c r="L434" s="2"/>
      <c r="M434" s="2"/>
      <c r="N434" s="2"/>
      <c r="O434" s="2"/>
      <c r="P434" s="2"/>
      <c r="Q434" s="2"/>
      <c r="R434" s="2"/>
      <c r="S434" s="2"/>
      <c r="T434" s="2"/>
      <c r="U434" s="2"/>
      <c r="V434" s="2"/>
      <c r="W434" s="2"/>
      <c r="X434" s="2"/>
      <c r="Y434" s="2"/>
      <c r="Z434" s="2"/>
      <c r="AA434" s="2"/>
      <c r="AB434" s="2"/>
      <c r="AC434" s="2"/>
    </row>
    <row r="435" spans="7:29" x14ac:dyDescent="0.35">
      <c r="G435" s="2"/>
      <c r="H435" s="2"/>
      <c r="I435" s="2"/>
      <c r="J435" s="2"/>
      <c r="K435" s="2"/>
      <c r="L435" s="2"/>
      <c r="M435" s="2"/>
      <c r="N435" s="2"/>
      <c r="O435" s="2"/>
      <c r="P435" s="2"/>
      <c r="Q435" s="2"/>
      <c r="R435" s="2"/>
      <c r="S435" s="2"/>
      <c r="T435" s="2"/>
      <c r="U435" s="2"/>
      <c r="V435" s="2"/>
      <c r="W435" s="2"/>
      <c r="X435" s="2"/>
      <c r="Y435" s="2"/>
      <c r="Z435" s="2"/>
      <c r="AA435" s="2"/>
      <c r="AB435" s="2"/>
      <c r="AC435" s="2"/>
    </row>
    <row r="436" spans="7:29" x14ac:dyDescent="0.35">
      <c r="G436" s="2"/>
      <c r="H436" s="2"/>
      <c r="I436" s="2"/>
      <c r="J436" s="2"/>
      <c r="K436" s="2"/>
      <c r="L436" s="2"/>
      <c r="M436" s="2"/>
      <c r="N436" s="2"/>
      <c r="O436" s="2"/>
      <c r="P436" s="2"/>
      <c r="Q436" s="2"/>
      <c r="R436" s="2"/>
      <c r="S436" s="2"/>
      <c r="T436" s="2"/>
      <c r="U436" s="2"/>
      <c r="V436" s="2"/>
      <c r="W436" s="2"/>
      <c r="X436" s="2"/>
      <c r="Y436" s="2"/>
      <c r="Z436" s="2"/>
      <c r="AA436" s="2"/>
      <c r="AB436" s="2"/>
      <c r="AC436" s="2"/>
    </row>
    <row r="437" spans="7:29" x14ac:dyDescent="0.35">
      <c r="G437" s="2"/>
      <c r="H437" s="2"/>
      <c r="I437" s="2"/>
      <c r="J437" s="2"/>
      <c r="K437" s="2"/>
      <c r="L437" s="2"/>
      <c r="M437" s="2"/>
      <c r="N437" s="2"/>
      <c r="O437" s="2"/>
      <c r="P437" s="2"/>
      <c r="Q437" s="2"/>
      <c r="R437" s="2"/>
      <c r="S437" s="2"/>
      <c r="T437" s="2"/>
      <c r="U437" s="2"/>
      <c r="V437" s="2"/>
      <c r="W437" s="2"/>
      <c r="X437" s="2"/>
      <c r="Y437" s="2"/>
      <c r="Z437" s="2"/>
      <c r="AA437" s="2"/>
      <c r="AB437" s="2"/>
      <c r="AC437" s="2"/>
    </row>
    <row r="438" spans="7:29" x14ac:dyDescent="0.35">
      <c r="G438" s="2"/>
      <c r="H438" s="2"/>
      <c r="I438" s="2"/>
      <c r="J438" s="2"/>
      <c r="K438" s="2"/>
      <c r="L438" s="2"/>
      <c r="M438" s="2"/>
      <c r="N438" s="2"/>
      <c r="O438" s="2"/>
      <c r="P438" s="2"/>
      <c r="Q438" s="2"/>
      <c r="R438" s="2"/>
      <c r="S438" s="2"/>
      <c r="T438" s="2"/>
      <c r="U438" s="2"/>
      <c r="V438" s="2"/>
      <c r="W438" s="2"/>
      <c r="X438" s="2"/>
      <c r="Y438" s="2"/>
      <c r="Z438" s="2"/>
      <c r="AA438" s="2"/>
      <c r="AB438" s="2"/>
      <c r="AC438" s="2"/>
    </row>
    <row r="439" spans="7:29" x14ac:dyDescent="0.35">
      <c r="G439" s="2"/>
      <c r="H439" s="2"/>
      <c r="I439" s="2"/>
      <c r="J439" s="2"/>
      <c r="K439" s="2"/>
      <c r="L439" s="2"/>
      <c r="M439" s="2"/>
      <c r="N439" s="2"/>
      <c r="O439" s="2"/>
      <c r="P439" s="2"/>
      <c r="Q439" s="2"/>
      <c r="R439" s="2"/>
      <c r="S439" s="2"/>
      <c r="T439" s="2"/>
      <c r="U439" s="2"/>
      <c r="V439" s="2"/>
      <c r="W439" s="2"/>
      <c r="X439" s="2"/>
      <c r="Y439" s="2"/>
      <c r="Z439" s="2"/>
      <c r="AA439" s="2"/>
      <c r="AB439" s="2"/>
      <c r="AC439" s="2"/>
    </row>
    <row r="440" spans="7:29" x14ac:dyDescent="0.35">
      <c r="G440" s="2"/>
      <c r="H440" s="2"/>
      <c r="I440" s="2"/>
      <c r="J440" s="2"/>
      <c r="K440" s="2"/>
      <c r="L440" s="2"/>
      <c r="M440" s="2"/>
      <c r="N440" s="2"/>
      <c r="O440" s="2"/>
      <c r="P440" s="2"/>
      <c r="Q440" s="2"/>
      <c r="R440" s="2"/>
      <c r="S440" s="2"/>
      <c r="T440" s="2"/>
      <c r="U440" s="2"/>
      <c r="V440" s="2"/>
      <c r="W440" s="2"/>
      <c r="X440" s="2"/>
      <c r="Y440" s="2"/>
      <c r="Z440" s="2"/>
      <c r="AA440" s="2"/>
      <c r="AB440" s="2"/>
      <c r="AC440" s="2"/>
    </row>
    <row r="441" spans="7:29" x14ac:dyDescent="0.35">
      <c r="G441" s="2"/>
      <c r="H441" s="2"/>
      <c r="I441" s="2"/>
      <c r="J441" s="2"/>
      <c r="K441" s="2"/>
      <c r="L441" s="2"/>
      <c r="M441" s="2"/>
      <c r="N441" s="2"/>
      <c r="O441" s="2"/>
      <c r="P441" s="2"/>
      <c r="Q441" s="2"/>
      <c r="R441" s="2"/>
      <c r="S441" s="2"/>
      <c r="T441" s="2"/>
      <c r="U441" s="2"/>
      <c r="V441" s="2"/>
      <c r="W441" s="2"/>
      <c r="X441" s="2"/>
      <c r="Y441" s="2"/>
      <c r="Z441" s="2"/>
      <c r="AA441" s="2"/>
      <c r="AB441" s="2"/>
      <c r="AC441" s="2"/>
    </row>
    <row r="442" spans="7:29" x14ac:dyDescent="0.35">
      <c r="G442" s="2"/>
      <c r="H442" s="2"/>
      <c r="I442" s="2"/>
      <c r="J442" s="2"/>
      <c r="K442" s="2"/>
      <c r="L442" s="2"/>
      <c r="M442" s="2"/>
      <c r="N442" s="2"/>
      <c r="O442" s="2"/>
      <c r="P442" s="2"/>
      <c r="Q442" s="2"/>
      <c r="R442" s="2"/>
      <c r="S442" s="2"/>
      <c r="T442" s="2"/>
      <c r="U442" s="2"/>
      <c r="V442" s="2"/>
      <c r="W442" s="2"/>
      <c r="X442" s="2"/>
      <c r="Y442" s="2"/>
      <c r="Z442" s="2"/>
      <c r="AA442" s="2"/>
      <c r="AB442" s="2"/>
      <c r="AC442" s="2"/>
    </row>
    <row r="443" spans="7:29" x14ac:dyDescent="0.35">
      <c r="G443" s="2"/>
      <c r="H443" s="2"/>
      <c r="I443" s="2"/>
      <c r="J443" s="2"/>
      <c r="K443" s="2"/>
      <c r="L443" s="2"/>
      <c r="M443" s="2"/>
      <c r="N443" s="2"/>
      <c r="O443" s="2"/>
      <c r="P443" s="2"/>
      <c r="Q443" s="2"/>
      <c r="R443" s="2"/>
      <c r="S443" s="2"/>
      <c r="T443" s="2"/>
      <c r="U443" s="2"/>
      <c r="V443" s="2"/>
      <c r="W443" s="2"/>
      <c r="X443" s="2"/>
      <c r="Y443" s="2"/>
      <c r="Z443" s="2"/>
      <c r="AA443" s="2"/>
      <c r="AB443" s="2"/>
      <c r="AC443" s="2"/>
    </row>
    <row r="444" spans="7:29" x14ac:dyDescent="0.35">
      <c r="G444" s="2"/>
      <c r="H444" s="2"/>
      <c r="I444" s="2"/>
      <c r="J444" s="2"/>
      <c r="K444" s="2"/>
      <c r="L444" s="2"/>
      <c r="M444" s="2"/>
      <c r="N444" s="2"/>
      <c r="O444" s="2"/>
      <c r="P444" s="2"/>
      <c r="Q444" s="2"/>
      <c r="R444" s="2"/>
      <c r="S444" s="2"/>
      <c r="T444" s="2"/>
      <c r="U444" s="2"/>
      <c r="V444" s="2"/>
      <c r="W444" s="2"/>
      <c r="X444" s="2"/>
      <c r="Y444" s="2"/>
      <c r="Z444" s="2"/>
      <c r="AA444" s="2"/>
      <c r="AB444" s="2"/>
      <c r="AC444" s="2"/>
    </row>
    <row r="445" spans="7:29" x14ac:dyDescent="0.35">
      <c r="G445" s="2"/>
      <c r="H445" s="2"/>
      <c r="I445" s="2"/>
      <c r="J445" s="2"/>
      <c r="K445" s="2"/>
      <c r="L445" s="2"/>
      <c r="M445" s="2"/>
      <c r="N445" s="2"/>
      <c r="O445" s="2"/>
      <c r="P445" s="2"/>
      <c r="Q445" s="2"/>
      <c r="R445" s="2"/>
      <c r="S445" s="2"/>
      <c r="T445" s="2"/>
      <c r="U445" s="2"/>
      <c r="V445" s="2"/>
      <c r="W445" s="2"/>
      <c r="X445" s="2"/>
      <c r="Y445" s="2"/>
      <c r="Z445" s="2"/>
      <c r="AA445" s="2"/>
      <c r="AB445" s="2"/>
      <c r="AC445" s="2"/>
    </row>
    <row r="446" spans="7:29" x14ac:dyDescent="0.35">
      <c r="G446" s="2"/>
      <c r="H446" s="2"/>
      <c r="I446" s="2"/>
      <c r="J446" s="2"/>
      <c r="K446" s="2"/>
      <c r="L446" s="2"/>
      <c r="M446" s="2"/>
      <c r="N446" s="2"/>
      <c r="O446" s="2"/>
      <c r="P446" s="2"/>
      <c r="Q446" s="2"/>
      <c r="R446" s="2"/>
      <c r="S446" s="2"/>
      <c r="T446" s="2"/>
      <c r="U446" s="2"/>
      <c r="V446" s="2"/>
      <c r="W446" s="2"/>
      <c r="X446" s="2"/>
      <c r="Y446" s="2"/>
      <c r="Z446" s="2"/>
      <c r="AA446" s="2"/>
      <c r="AB446" s="2"/>
      <c r="AC446" s="2"/>
    </row>
    <row r="447" spans="7:29" x14ac:dyDescent="0.35">
      <c r="G447" s="2"/>
      <c r="H447" s="2"/>
      <c r="I447" s="2"/>
      <c r="J447" s="2"/>
      <c r="K447" s="2"/>
      <c r="L447" s="2"/>
      <c r="M447" s="2"/>
      <c r="N447" s="2"/>
      <c r="O447" s="2"/>
      <c r="P447" s="2"/>
      <c r="Q447" s="2"/>
      <c r="R447" s="2"/>
      <c r="S447" s="2"/>
      <c r="T447" s="2"/>
      <c r="U447" s="2"/>
      <c r="V447" s="2"/>
      <c r="W447" s="2"/>
      <c r="X447" s="2"/>
      <c r="Y447" s="2"/>
      <c r="Z447" s="2"/>
      <c r="AA447" s="2"/>
      <c r="AB447" s="2"/>
      <c r="AC447" s="2"/>
    </row>
    <row r="448" spans="7:29" x14ac:dyDescent="0.35">
      <c r="G448" s="2"/>
      <c r="H448" s="2"/>
      <c r="I448" s="2"/>
      <c r="J448" s="2"/>
      <c r="K448" s="2"/>
      <c r="L448" s="2"/>
      <c r="M448" s="2"/>
      <c r="N448" s="2"/>
      <c r="O448" s="2"/>
      <c r="P448" s="2"/>
      <c r="Q448" s="2"/>
      <c r="R448" s="2"/>
      <c r="S448" s="2"/>
      <c r="T448" s="2"/>
      <c r="U448" s="2"/>
      <c r="V448" s="2"/>
      <c r="W448" s="2"/>
      <c r="X448" s="2"/>
      <c r="Y448" s="2"/>
      <c r="Z448" s="2"/>
      <c r="AA448" s="2"/>
      <c r="AB448" s="2"/>
      <c r="AC448" s="2"/>
    </row>
    <row r="449" spans="7:29" x14ac:dyDescent="0.35">
      <c r="G449" s="2"/>
      <c r="H449" s="2"/>
      <c r="I449" s="2"/>
      <c r="J449" s="2"/>
      <c r="K449" s="2"/>
      <c r="L449" s="2"/>
      <c r="M449" s="2"/>
      <c r="N449" s="2"/>
      <c r="O449" s="2"/>
      <c r="P449" s="2"/>
      <c r="Q449" s="2"/>
      <c r="R449" s="2"/>
      <c r="S449" s="2"/>
      <c r="T449" s="2"/>
      <c r="U449" s="2"/>
      <c r="V449" s="2"/>
      <c r="W449" s="2"/>
      <c r="X449" s="2"/>
      <c r="Y449" s="2"/>
      <c r="Z449" s="2"/>
      <c r="AA449" s="2"/>
      <c r="AB449" s="2"/>
      <c r="AC449" s="2"/>
    </row>
    <row r="450" spans="7:29" x14ac:dyDescent="0.35">
      <c r="G450" s="2"/>
      <c r="H450" s="2"/>
      <c r="I450" s="2"/>
      <c r="J450" s="2"/>
      <c r="K450" s="2"/>
      <c r="L450" s="2"/>
      <c r="M450" s="2"/>
      <c r="N450" s="2"/>
      <c r="O450" s="2"/>
      <c r="P450" s="2"/>
      <c r="Q450" s="2"/>
      <c r="R450" s="2"/>
      <c r="S450" s="2"/>
      <c r="T450" s="2"/>
      <c r="U450" s="2"/>
      <c r="V450" s="2"/>
      <c r="W450" s="2"/>
      <c r="X450" s="2"/>
      <c r="Y450" s="2"/>
      <c r="Z450" s="2"/>
      <c r="AA450" s="2"/>
      <c r="AB450" s="2"/>
      <c r="AC450" s="2"/>
    </row>
    <row r="451" spans="7:29" x14ac:dyDescent="0.35">
      <c r="G451" s="2"/>
      <c r="H451" s="2"/>
      <c r="I451" s="2"/>
      <c r="J451" s="2"/>
      <c r="K451" s="2"/>
      <c r="L451" s="2"/>
      <c r="M451" s="2"/>
      <c r="N451" s="2"/>
      <c r="O451" s="2"/>
      <c r="P451" s="2"/>
      <c r="Q451" s="2"/>
      <c r="R451" s="2"/>
      <c r="S451" s="2"/>
      <c r="T451" s="2"/>
      <c r="U451" s="2"/>
      <c r="V451" s="2"/>
      <c r="W451" s="2"/>
      <c r="X451" s="2"/>
      <c r="Y451" s="2"/>
      <c r="Z451" s="2"/>
      <c r="AA451" s="2"/>
      <c r="AB451" s="2"/>
      <c r="AC451" s="2"/>
    </row>
    <row r="452" spans="7:29" x14ac:dyDescent="0.35">
      <c r="G452" s="2"/>
      <c r="H452" s="2"/>
      <c r="I452" s="2"/>
      <c r="J452" s="2"/>
      <c r="K452" s="2"/>
      <c r="L452" s="2"/>
      <c r="M452" s="2"/>
      <c r="N452" s="2"/>
      <c r="O452" s="2"/>
      <c r="P452" s="2"/>
      <c r="Q452" s="2"/>
      <c r="R452" s="2"/>
      <c r="S452" s="2"/>
      <c r="T452" s="2"/>
      <c r="U452" s="2"/>
      <c r="V452" s="2"/>
      <c r="W452" s="2"/>
      <c r="X452" s="2"/>
      <c r="Y452" s="2"/>
      <c r="Z452" s="2"/>
      <c r="AA452" s="2"/>
      <c r="AB452" s="2"/>
      <c r="AC452" s="2"/>
    </row>
    <row r="453" spans="7:29" x14ac:dyDescent="0.35">
      <c r="G453" s="2"/>
      <c r="H453" s="2"/>
      <c r="I453" s="2"/>
      <c r="J453" s="2"/>
      <c r="K453" s="2"/>
      <c r="L453" s="2"/>
      <c r="M453" s="2"/>
      <c r="N453" s="2"/>
      <c r="O453" s="2"/>
      <c r="P453" s="2"/>
      <c r="Q453" s="2"/>
      <c r="R453" s="2"/>
      <c r="S453" s="2"/>
      <c r="T453" s="2"/>
      <c r="U453" s="2"/>
      <c r="V453" s="2"/>
      <c r="W453" s="2"/>
      <c r="X453" s="2"/>
      <c r="Y453" s="2"/>
      <c r="Z453" s="2"/>
      <c r="AA453" s="2"/>
      <c r="AB453" s="2"/>
      <c r="AC453" s="2"/>
    </row>
    <row r="454" spans="7:29" x14ac:dyDescent="0.35">
      <c r="G454" s="2"/>
      <c r="H454" s="2"/>
      <c r="I454" s="2"/>
      <c r="J454" s="2"/>
      <c r="K454" s="2"/>
      <c r="L454" s="2"/>
      <c r="M454" s="2"/>
      <c r="N454" s="2"/>
      <c r="O454" s="2"/>
      <c r="P454" s="2"/>
      <c r="Q454" s="2"/>
      <c r="R454" s="2"/>
      <c r="S454" s="2"/>
      <c r="T454" s="2"/>
      <c r="U454" s="2"/>
      <c r="V454" s="2"/>
      <c r="W454" s="2"/>
      <c r="X454" s="2"/>
      <c r="Y454" s="2"/>
      <c r="Z454" s="2"/>
      <c r="AA454" s="2"/>
      <c r="AB454" s="2"/>
      <c r="AC454" s="2"/>
    </row>
    <row r="455" spans="7:29" x14ac:dyDescent="0.35">
      <c r="G455" s="2"/>
      <c r="H455" s="2"/>
      <c r="I455" s="2"/>
      <c r="J455" s="2"/>
      <c r="K455" s="2"/>
      <c r="L455" s="2"/>
      <c r="M455" s="2"/>
      <c r="N455" s="2"/>
      <c r="O455" s="2"/>
      <c r="P455" s="2"/>
      <c r="Q455" s="2"/>
      <c r="R455" s="2"/>
      <c r="S455" s="2"/>
      <c r="T455" s="2"/>
      <c r="U455" s="2"/>
      <c r="V455" s="2"/>
      <c r="W455" s="2"/>
      <c r="X455" s="2"/>
      <c r="Y455" s="2"/>
      <c r="Z455" s="2"/>
      <c r="AA455" s="2"/>
      <c r="AB455" s="2"/>
      <c r="AC455" s="2"/>
    </row>
    <row r="456" spans="7:29" x14ac:dyDescent="0.35">
      <c r="G456" s="2"/>
      <c r="H456" s="2"/>
      <c r="I456" s="2"/>
      <c r="J456" s="2"/>
      <c r="K456" s="2"/>
      <c r="L456" s="2"/>
      <c r="M456" s="2"/>
      <c r="N456" s="2"/>
      <c r="O456" s="2"/>
      <c r="P456" s="2"/>
      <c r="Q456" s="2"/>
      <c r="R456" s="2"/>
      <c r="S456" s="2"/>
      <c r="T456" s="2"/>
      <c r="U456" s="2"/>
      <c r="V456" s="2"/>
      <c r="W456" s="2"/>
      <c r="X456" s="2"/>
      <c r="Y456" s="2"/>
      <c r="Z456" s="2"/>
      <c r="AA456" s="2"/>
      <c r="AB456" s="2"/>
      <c r="AC456" s="2"/>
    </row>
    <row r="457" spans="7:29" x14ac:dyDescent="0.35">
      <c r="G457" s="2"/>
      <c r="H457" s="2"/>
      <c r="I457" s="2"/>
      <c r="J457" s="2"/>
      <c r="K457" s="2"/>
      <c r="L457" s="2"/>
      <c r="M457" s="2"/>
      <c r="N457" s="2"/>
      <c r="O457" s="2"/>
      <c r="P457" s="2"/>
      <c r="Q457" s="2"/>
      <c r="R457" s="2"/>
      <c r="S457" s="2"/>
      <c r="T457" s="2"/>
      <c r="U457" s="2"/>
      <c r="V457" s="2"/>
      <c r="W457" s="2"/>
      <c r="X457" s="2"/>
      <c r="Y457" s="2"/>
      <c r="Z457" s="2"/>
      <c r="AA457" s="2"/>
      <c r="AB457" s="2"/>
      <c r="AC457" s="2"/>
    </row>
    <row r="458" spans="7:29" x14ac:dyDescent="0.35">
      <c r="G458" s="2"/>
      <c r="H458" s="2"/>
      <c r="I458" s="2"/>
      <c r="J458" s="2"/>
      <c r="K458" s="2"/>
      <c r="L458" s="2"/>
      <c r="M458" s="2"/>
      <c r="N458" s="2"/>
      <c r="O458" s="2"/>
      <c r="P458" s="2"/>
      <c r="Q458" s="2"/>
      <c r="R458" s="2"/>
      <c r="S458" s="2"/>
      <c r="T458" s="2"/>
      <c r="U458" s="2"/>
      <c r="V458" s="2"/>
      <c r="W458" s="2"/>
      <c r="X458" s="2"/>
      <c r="Y458" s="2"/>
      <c r="Z458" s="2"/>
      <c r="AA458" s="2"/>
      <c r="AB458" s="2"/>
      <c r="AC458" s="2"/>
    </row>
    <row r="459" spans="7:29" x14ac:dyDescent="0.35">
      <c r="G459" s="2"/>
      <c r="H459" s="2"/>
      <c r="I459" s="2"/>
      <c r="J459" s="2"/>
      <c r="K459" s="2"/>
      <c r="L459" s="2"/>
      <c r="M459" s="2"/>
      <c r="N459" s="2"/>
      <c r="O459" s="2"/>
      <c r="P459" s="2"/>
      <c r="Q459" s="2"/>
      <c r="R459" s="2"/>
      <c r="S459" s="2"/>
      <c r="T459" s="2"/>
      <c r="U459" s="2"/>
      <c r="V459" s="2"/>
      <c r="W459" s="2"/>
      <c r="X459" s="2"/>
      <c r="Y459" s="2"/>
      <c r="Z459" s="2"/>
      <c r="AA459" s="2"/>
      <c r="AB459" s="2"/>
      <c r="AC459" s="2"/>
    </row>
    <row r="460" spans="7:29" x14ac:dyDescent="0.35">
      <c r="G460" s="2"/>
      <c r="H460" s="2"/>
      <c r="I460" s="2"/>
      <c r="J460" s="2"/>
      <c r="K460" s="2"/>
      <c r="L460" s="2"/>
      <c r="M460" s="2"/>
      <c r="N460" s="2"/>
      <c r="O460" s="2"/>
      <c r="P460" s="2"/>
      <c r="Q460" s="2"/>
      <c r="R460" s="2"/>
      <c r="S460" s="2"/>
      <c r="T460" s="2"/>
      <c r="U460" s="2"/>
      <c r="V460" s="2"/>
      <c r="W460" s="2"/>
      <c r="X460" s="2"/>
      <c r="Y460" s="2"/>
      <c r="Z460" s="2"/>
      <c r="AA460" s="2"/>
      <c r="AB460" s="2"/>
      <c r="AC460" s="2"/>
    </row>
    <row r="461" spans="7:29" x14ac:dyDescent="0.35">
      <c r="G461" s="2"/>
      <c r="H461" s="2"/>
      <c r="I461" s="2"/>
      <c r="J461" s="2"/>
      <c r="K461" s="2"/>
      <c r="L461" s="2"/>
      <c r="M461" s="2"/>
      <c r="N461" s="2"/>
      <c r="O461" s="2"/>
      <c r="P461" s="2"/>
      <c r="Q461" s="2"/>
      <c r="R461" s="2"/>
      <c r="S461" s="2"/>
      <c r="T461" s="2"/>
      <c r="U461" s="2"/>
      <c r="V461" s="2"/>
      <c r="W461" s="2"/>
      <c r="X461" s="2"/>
      <c r="Y461" s="2"/>
      <c r="Z461" s="2"/>
      <c r="AA461" s="2"/>
      <c r="AB461" s="2"/>
      <c r="AC461" s="2"/>
    </row>
    <row r="462" spans="7:29" x14ac:dyDescent="0.35">
      <c r="G462" s="2"/>
      <c r="H462" s="2"/>
      <c r="I462" s="2"/>
      <c r="J462" s="2"/>
      <c r="K462" s="2"/>
      <c r="L462" s="2"/>
      <c r="M462" s="2"/>
      <c r="N462" s="2"/>
      <c r="O462" s="2"/>
      <c r="P462" s="2"/>
      <c r="Q462" s="2"/>
      <c r="R462" s="2"/>
      <c r="S462" s="2"/>
      <c r="T462" s="2"/>
      <c r="U462" s="2"/>
      <c r="V462" s="2"/>
      <c r="W462" s="2"/>
      <c r="X462" s="2"/>
      <c r="Y462" s="2"/>
      <c r="Z462" s="2"/>
      <c r="AA462" s="2"/>
      <c r="AB462" s="2"/>
      <c r="AC462" s="2"/>
    </row>
    <row r="463" spans="7:29" x14ac:dyDescent="0.35">
      <c r="G463" s="2"/>
      <c r="H463" s="2"/>
      <c r="I463" s="2"/>
      <c r="J463" s="2"/>
      <c r="K463" s="2"/>
      <c r="L463" s="2"/>
      <c r="M463" s="2"/>
      <c r="N463" s="2"/>
      <c r="O463" s="2"/>
      <c r="P463" s="2"/>
      <c r="Q463" s="2"/>
      <c r="R463" s="2"/>
      <c r="S463" s="2"/>
      <c r="T463" s="2"/>
      <c r="U463" s="2"/>
      <c r="V463" s="2"/>
      <c r="W463" s="2"/>
      <c r="X463" s="2"/>
      <c r="Y463" s="2"/>
      <c r="Z463" s="2"/>
      <c r="AA463" s="2"/>
      <c r="AB463" s="2"/>
      <c r="AC463" s="2"/>
    </row>
    <row r="464" spans="7:29" x14ac:dyDescent="0.35">
      <c r="G464" s="2"/>
      <c r="H464" s="2"/>
      <c r="I464" s="2"/>
      <c r="J464" s="2"/>
      <c r="K464" s="2"/>
      <c r="L464" s="2"/>
      <c r="M464" s="2"/>
      <c r="N464" s="2"/>
      <c r="O464" s="2"/>
      <c r="P464" s="2"/>
      <c r="Q464" s="2"/>
      <c r="R464" s="2"/>
      <c r="S464" s="2"/>
      <c r="T464" s="2"/>
      <c r="U464" s="2"/>
      <c r="V464" s="2"/>
      <c r="W464" s="2"/>
      <c r="X464" s="2"/>
      <c r="Y464" s="2"/>
      <c r="Z464" s="2"/>
      <c r="AA464" s="2"/>
      <c r="AB464" s="2"/>
      <c r="AC464" s="2"/>
    </row>
    <row r="465" spans="7:29" x14ac:dyDescent="0.35">
      <c r="G465" s="2"/>
      <c r="H465" s="2"/>
      <c r="I465" s="2"/>
      <c r="J465" s="2"/>
      <c r="K465" s="2"/>
      <c r="L465" s="2"/>
      <c r="M465" s="2"/>
      <c r="N465" s="2"/>
      <c r="O465" s="2"/>
      <c r="P465" s="2"/>
      <c r="Q465" s="2"/>
      <c r="R465" s="2"/>
      <c r="S465" s="2"/>
      <c r="T465" s="2"/>
      <c r="U465" s="2"/>
      <c r="V465" s="2"/>
      <c r="W465" s="2"/>
      <c r="X465" s="2"/>
      <c r="Y465" s="2"/>
      <c r="Z465" s="2"/>
      <c r="AA465" s="2"/>
      <c r="AB465" s="2"/>
      <c r="AC465" s="2"/>
    </row>
    <row r="466" spans="7:29" x14ac:dyDescent="0.35">
      <c r="G466" s="2"/>
      <c r="H466" s="2"/>
      <c r="I466" s="2"/>
      <c r="J466" s="2"/>
      <c r="K466" s="2"/>
      <c r="L466" s="2"/>
      <c r="M466" s="2"/>
      <c r="N466" s="2"/>
      <c r="O466" s="2"/>
      <c r="P466" s="2"/>
      <c r="Q466" s="2"/>
      <c r="R466" s="2"/>
      <c r="S466" s="2"/>
      <c r="T466" s="2"/>
      <c r="U466" s="2"/>
      <c r="V466" s="2"/>
      <c r="W466" s="2"/>
      <c r="X466" s="2"/>
      <c r="Y466" s="2"/>
      <c r="Z466" s="2"/>
      <c r="AA466" s="2"/>
      <c r="AB466" s="2"/>
      <c r="AC466" s="2"/>
    </row>
    <row r="467" spans="7:29" x14ac:dyDescent="0.35">
      <c r="G467" s="2"/>
      <c r="H467" s="2"/>
      <c r="I467" s="2"/>
      <c r="J467" s="2"/>
      <c r="K467" s="2"/>
      <c r="L467" s="2"/>
      <c r="M467" s="2"/>
      <c r="N467" s="2"/>
      <c r="O467" s="2"/>
      <c r="P467" s="2"/>
      <c r="Q467" s="2"/>
      <c r="R467" s="2"/>
      <c r="S467" s="2"/>
      <c r="T467" s="2"/>
      <c r="U467" s="2"/>
      <c r="V467" s="2"/>
      <c r="W467" s="2"/>
      <c r="X467" s="2"/>
      <c r="Y467" s="2"/>
      <c r="Z467" s="2"/>
      <c r="AA467" s="2"/>
      <c r="AB467" s="2"/>
      <c r="AC467" s="2"/>
    </row>
    <row r="468" spans="7:29" x14ac:dyDescent="0.35">
      <c r="G468" s="2"/>
      <c r="H468" s="2"/>
      <c r="I468" s="2"/>
      <c r="J468" s="2"/>
      <c r="K468" s="2"/>
      <c r="L468" s="2"/>
      <c r="M468" s="2"/>
      <c r="N468" s="2"/>
      <c r="O468" s="2"/>
      <c r="P468" s="2"/>
      <c r="Q468" s="2"/>
      <c r="R468" s="2"/>
      <c r="S468" s="2"/>
      <c r="T468" s="2"/>
      <c r="U468" s="2"/>
      <c r="V468" s="2"/>
      <c r="W468" s="2"/>
      <c r="X468" s="2"/>
      <c r="Y468" s="2"/>
      <c r="Z468" s="2"/>
      <c r="AA468" s="2"/>
      <c r="AB468" s="2"/>
      <c r="AC468" s="2"/>
    </row>
    <row r="469" spans="7:29" x14ac:dyDescent="0.35">
      <c r="G469" s="2"/>
      <c r="H469" s="2"/>
      <c r="I469" s="2"/>
      <c r="J469" s="2"/>
      <c r="K469" s="2"/>
      <c r="L469" s="2"/>
      <c r="M469" s="2"/>
      <c r="N469" s="2"/>
      <c r="O469" s="2"/>
      <c r="P469" s="2"/>
      <c r="Q469" s="2"/>
      <c r="R469" s="2"/>
      <c r="S469" s="2"/>
      <c r="T469" s="2"/>
      <c r="U469" s="2"/>
      <c r="V469" s="2"/>
      <c r="W469" s="2"/>
      <c r="X469" s="2"/>
      <c r="Y469" s="2"/>
      <c r="Z469" s="2"/>
      <c r="AA469" s="2"/>
      <c r="AB469" s="2"/>
      <c r="AC469" s="2"/>
    </row>
    <row r="470" spans="7:29" x14ac:dyDescent="0.35">
      <c r="G470" s="2"/>
      <c r="H470" s="2"/>
      <c r="I470" s="2"/>
      <c r="J470" s="2"/>
      <c r="K470" s="2"/>
      <c r="L470" s="2"/>
      <c r="M470" s="2"/>
      <c r="N470" s="2"/>
      <c r="O470" s="2"/>
      <c r="P470" s="2"/>
      <c r="Q470" s="2"/>
      <c r="R470" s="2"/>
      <c r="S470" s="2"/>
      <c r="T470" s="2"/>
      <c r="U470" s="2"/>
      <c r="V470" s="2"/>
      <c r="W470" s="2"/>
      <c r="X470" s="2"/>
      <c r="Y470" s="2"/>
      <c r="Z470" s="2"/>
      <c r="AA470" s="2"/>
      <c r="AB470" s="2"/>
      <c r="AC470" s="2"/>
    </row>
    <row r="471" spans="7:29" x14ac:dyDescent="0.35">
      <c r="G471" s="2"/>
      <c r="H471" s="2"/>
      <c r="I471" s="2"/>
      <c r="J471" s="2"/>
      <c r="K471" s="2"/>
      <c r="L471" s="2"/>
      <c r="M471" s="2"/>
      <c r="N471" s="2"/>
      <c r="O471" s="2"/>
      <c r="P471" s="2"/>
      <c r="Q471" s="2"/>
      <c r="R471" s="2"/>
      <c r="S471" s="2"/>
      <c r="T471" s="2"/>
      <c r="U471" s="2"/>
      <c r="V471" s="2"/>
      <c r="W471" s="2"/>
      <c r="X471" s="2"/>
      <c r="Y471" s="2"/>
      <c r="Z471" s="2"/>
      <c r="AA471" s="2"/>
      <c r="AB471" s="2"/>
      <c r="AC471" s="2"/>
    </row>
    <row r="472" spans="7:29" x14ac:dyDescent="0.35">
      <c r="G472" s="2"/>
      <c r="H472" s="2"/>
      <c r="I472" s="2"/>
      <c r="J472" s="2"/>
      <c r="K472" s="2"/>
      <c r="L472" s="2"/>
      <c r="M472" s="2"/>
      <c r="N472" s="2"/>
      <c r="O472" s="2"/>
      <c r="P472" s="2"/>
      <c r="Q472" s="2"/>
      <c r="R472" s="2"/>
      <c r="S472" s="2"/>
      <c r="T472" s="2"/>
      <c r="U472" s="2"/>
      <c r="V472" s="2"/>
      <c r="W472" s="2"/>
      <c r="X472" s="2"/>
      <c r="Y472" s="2"/>
      <c r="Z472" s="2"/>
      <c r="AA472" s="2"/>
      <c r="AB472" s="2"/>
      <c r="AC472" s="2"/>
    </row>
    <row r="473" spans="7:29" x14ac:dyDescent="0.35">
      <c r="G473" s="2"/>
      <c r="H473" s="2"/>
      <c r="I473" s="2"/>
      <c r="J473" s="2"/>
      <c r="K473" s="2"/>
      <c r="L473" s="2"/>
      <c r="M473" s="2"/>
      <c r="N473" s="2"/>
      <c r="O473" s="2"/>
      <c r="P473" s="2"/>
      <c r="Q473" s="2"/>
      <c r="R473" s="2"/>
      <c r="S473" s="2"/>
      <c r="T473" s="2"/>
      <c r="U473" s="2"/>
      <c r="V473" s="2"/>
      <c r="W473" s="2"/>
      <c r="X473" s="2"/>
      <c r="Y473" s="2"/>
      <c r="Z473" s="2"/>
      <c r="AA473" s="2"/>
      <c r="AB473" s="2"/>
      <c r="AC473" s="2"/>
    </row>
    <row r="474" spans="7:29" x14ac:dyDescent="0.35">
      <c r="G474" s="2"/>
      <c r="H474" s="2"/>
      <c r="I474" s="2"/>
      <c r="J474" s="2"/>
      <c r="K474" s="2"/>
      <c r="L474" s="2"/>
      <c r="M474" s="2"/>
      <c r="N474" s="2"/>
      <c r="O474" s="2"/>
      <c r="P474" s="2"/>
      <c r="Q474" s="2"/>
      <c r="R474" s="2"/>
      <c r="S474" s="2"/>
      <c r="T474" s="2"/>
      <c r="U474" s="2"/>
      <c r="V474" s="2"/>
      <c r="W474" s="2"/>
      <c r="X474" s="2"/>
      <c r="Y474" s="2"/>
      <c r="Z474" s="2"/>
      <c r="AA474" s="2"/>
      <c r="AB474" s="2"/>
      <c r="AC474" s="2"/>
    </row>
    <row r="475" spans="7:29" x14ac:dyDescent="0.35">
      <c r="G475" s="2"/>
      <c r="H475" s="2"/>
      <c r="I475" s="2"/>
      <c r="J475" s="2"/>
      <c r="K475" s="2"/>
      <c r="L475" s="2"/>
      <c r="M475" s="2"/>
      <c r="N475" s="2"/>
      <c r="O475" s="2"/>
      <c r="P475" s="2"/>
      <c r="Q475" s="2"/>
      <c r="R475" s="2"/>
      <c r="S475" s="2"/>
      <c r="T475" s="2"/>
      <c r="U475" s="2"/>
      <c r="V475" s="2"/>
      <c r="W475" s="2"/>
      <c r="X475" s="2"/>
      <c r="Y475" s="2"/>
      <c r="Z475" s="2"/>
      <c r="AA475" s="2"/>
      <c r="AB475" s="2"/>
      <c r="AC475" s="2"/>
    </row>
    <row r="476" spans="7:29" x14ac:dyDescent="0.35">
      <c r="G476" s="2"/>
      <c r="H476" s="2"/>
      <c r="I476" s="2"/>
      <c r="J476" s="2"/>
      <c r="K476" s="2"/>
      <c r="L476" s="2"/>
      <c r="M476" s="2"/>
      <c r="N476" s="2"/>
      <c r="O476" s="2"/>
      <c r="P476" s="2"/>
      <c r="Q476" s="2"/>
      <c r="R476" s="2"/>
      <c r="S476" s="2"/>
      <c r="T476" s="2"/>
      <c r="U476" s="2"/>
      <c r="V476" s="2"/>
      <c r="W476" s="2"/>
      <c r="X476" s="2"/>
      <c r="Y476" s="2"/>
      <c r="Z476" s="2"/>
      <c r="AA476" s="2"/>
      <c r="AB476" s="2"/>
      <c r="AC476" s="2"/>
    </row>
    <row r="477" spans="7:29" x14ac:dyDescent="0.35">
      <c r="G477" s="2"/>
      <c r="H477" s="2"/>
      <c r="I477" s="2"/>
      <c r="J477" s="2"/>
      <c r="K477" s="2"/>
      <c r="L477" s="2"/>
      <c r="M477" s="2"/>
      <c r="N477" s="2"/>
      <c r="O477" s="2"/>
      <c r="P477" s="2"/>
      <c r="Q477" s="2"/>
      <c r="R477" s="2"/>
      <c r="S477" s="2"/>
      <c r="T477" s="2"/>
      <c r="U477" s="2"/>
      <c r="V477" s="2"/>
      <c r="W477" s="2"/>
      <c r="X477" s="2"/>
      <c r="Y477" s="2"/>
      <c r="Z477" s="2"/>
      <c r="AA477" s="2"/>
      <c r="AB477" s="2"/>
      <c r="AC477" s="2"/>
    </row>
    <row r="478" spans="7:29" x14ac:dyDescent="0.35">
      <c r="G478" s="2"/>
      <c r="H478" s="2"/>
      <c r="I478" s="2"/>
      <c r="J478" s="2"/>
      <c r="K478" s="2"/>
      <c r="L478" s="2"/>
      <c r="M478" s="2"/>
      <c r="N478" s="2"/>
      <c r="O478" s="2"/>
      <c r="P478" s="2"/>
      <c r="Q478" s="2"/>
      <c r="R478" s="2"/>
      <c r="S478" s="2"/>
      <c r="T478" s="2"/>
      <c r="U478" s="2"/>
      <c r="V478" s="2"/>
      <c r="W478" s="2"/>
      <c r="X478" s="2"/>
      <c r="Y478" s="2"/>
      <c r="Z478" s="2"/>
      <c r="AA478" s="2"/>
      <c r="AB478" s="2"/>
      <c r="AC478" s="2"/>
    </row>
    <row r="479" spans="7:29" x14ac:dyDescent="0.35">
      <c r="G479" s="2"/>
      <c r="H479" s="2"/>
      <c r="I479" s="2"/>
      <c r="J479" s="2"/>
      <c r="K479" s="2"/>
      <c r="L479" s="2"/>
      <c r="M479" s="2"/>
      <c r="N479" s="2"/>
      <c r="O479" s="2"/>
      <c r="P479" s="2"/>
      <c r="Q479" s="2"/>
      <c r="R479" s="2"/>
      <c r="S479" s="2"/>
      <c r="T479" s="2"/>
      <c r="U479" s="2"/>
      <c r="V479" s="2"/>
      <c r="W479" s="2"/>
      <c r="X479" s="2"/>
      <c r="Y479" s="2"/>
      <c r="Z479" s="2"/>
      <c r="AA479" s="2"/>
      <c r="AB479" s="2"/>
      <c r="AC479" s="2"/>
    </row>
    <row r="480" spans="7:29" x14ac:dyDescent="0.35">
      <c r="G480" s="2"/>
      <c r="H480" s="2"/>
      <c r="I480" s="2"/>
      <c r="J480" s="2"/>
      <c r="K480" s="2"/>
      <c r="L480" s="2"/>
      <c r="M480" s="2"/>
      <c r="N480" s="2"/>
      <c r="O480" s="2"/>
      <c r="P480" s="2"/>
      <c r="Q480" s="2"/>
      <c r="R480" s="2"/>
      <c r="S480" s="2"/>
      <c r="T480" s="2"/>
      <c r="U480" s="2"/>
      <c r="V480" s="2"/>
      <c r="W480" s="2"/>
      <c r="X480" s="2"/>
      <c r="Y480" s="2"/>
      <c r="Z480" s="2"/>
      <c r="AA480" s="2"/>
      <c r="AB480" s="2"/>
      <c r="AC480" s="2"/>
    </row>
    <row r="481" spans="7:29" x14ac:dyDescent="0.35">
      <c r="G481" s="2"/>
      <c r="H481" s="2"/>
      <c r="I481" s="2"/>
      <c r="J481" s="2"/>
      <c r="K481" s="2"/>
      <c r="L481" s="2"/>
      <c r="M481" s="2"/>
      <c r="N481" s="2"/>
      <c r="O481" s="2"/>
      <c r="P481" s="2"/>
      <c r="Q481" s="2"/>
      <c r="R481" s="2"/>
      <c r="S481" s="2"/>
      <c r="T481" s="2"/>
      <c r="U481" s="2"/>
      <c r="V481" s="2"/>
      <c r="W481" s="2"/>
      <c r="X481" s="2"/>
      <c r="Y481" s="2"/>
      <c r="Z481" s="2"/>
      <c r="AA481" s="2"/>
      <c r="AB481" s="2"/>
      <c r="AC481" s="2"/>
    </row>
    <row r="482" spans="7:29" x14ac:dyDescent="0.35">
      <c r="G482" s="2"/>
      <c r="H482" s="2"/>
      <c r="I482" s="2"/>
      <c r="J482" s="2"/>
      <c r="K482" s="2"/>
      <c r="L482" s="2"/>
      <c r="M482" s="2"/>
      <c r="N482" s="2"/>
      <c r="O482" s="2"/>
      <c r="P482" s="2"/>
      <c r="Q482" s="2"/>
      <c r="R482" s="2"/>
      <c r="S482" s="2"/>
      <c r="T482" s="2"/>
      <c r="U482" s="2"/>
      <c r="V482" s="2"/>
      <c r="W482" s="2"/>
      <c r="X482" s="2"/>
      <c r="Y482" s="2"/>
      <c r="Z482" s="2"/>
      <c r="AA482" s="2"/>
      <c r="AB482" s="2"/>
      <c r="AC482" s="2"/>
    </row>
    <row r="483" spans="7:29" x14ac:dyDescent="0.35">
      <c r="G483" s="2"/>
      <c r="H483" s="2"/>
      <c r="I483" s="2"/>
      <c r="J483" s="2"/>
      <c r="K483" s="2"/>
      <c r="L483" s="2"/>
      <c r="M483" s="2"/>
      <c r="N483" s="2"/>
      <c r="O483" s="2"/>
      <c r="P483" s="2"/>
      <c r="Q483" s="2"/>
      <c r="R483" s="2"/>
      <c r="S483" s="2"/>
      <c r="T483" s="2"/>
      <c r="U483" s="2"/>
      <c r="V483" s="2"/>
      <c r="W483" s="2"/>
      <c r="X483" s="2"/>
      <c r="Y483" s="2"/>
      <c r="Z483" s="2"/>
      <c r="AA483" s="2"/>
      <c r="AB483" s="2"/>
      <c r="AC483" s="2"/>
    </row>
    <row r="484" spans="7:29" x14ac:dyDescent="0.35">
      <c r="G484" s="2"/>
      <c r="H484" s="2"/>
      <c r="I484" s="2"/>
      <c r="J484" s="2"/>
      <c r="K484" s="2"/>
      <c r="L484" s="2"/>
      <c r="M484" s="2"/>
      <c r="N484" s="2"/>
      <c r="O484" s="2"/>
      <c r="P484" s="2"/>
      <c r="Q484" s="2"/>
      <c r="R484" s="2"/>
      <c r="S484" s="2"/>
      <c r="T484" s="2"/>
      <c r="U484" s="2"/>
      <c r="V484" s="2"/>
      <c r="W484" s="2"/>
      <c r="X484" s="2"/>
      <c r="Y484" s="2"/>
      <c r="Z484" s="2"/>
      <c r="AA484" s="2"/>
      <c r="AB484" s="2"/>
      <c r="AC484" s="2"/>
    </row>
    <row r="485" spans="7:29" x14ac:dyDescent="0.35">
      <c r="G485" s="2"/>
      <c r="H485" s="2"/>
      <c r="I485" s="2"/>
      <c r="J485" s="2"/>
      <c r="K485" s="2"/>
      <c r="L485" s="2"/>
      <c r="M485" s="2"/>
      <c r="N485" s="2"/>
      <c r="O485" s="2"/>
      <c r="P485" s="2"/>
      <c r="Q485" s="2"/>
      <c r="R485" s="2"/>
      <c r="S485" s="2"/>
      <c r="T485" s="2"/>
      <c r="U485" s="2"/>
      <c r="V485" s="2"/>
      <c r="W485" s="2"/>
      <c r="X485" s="2"/>
      <c r="Y485" s="2"/>
      <c r="Z485" s="2"/>
      <c r="AA485" s="2"/>
      <c r="AB485" s="2"/>
      <c r="AC485" s="2"/>
    </row>
    <row r="486" spans="7:29" x14ac:dyDescent="0.35">
      <c r="G486" s="2"/>
      <c r="H486" s="2"/>
      <c r="I486" s="2"/>
      <c r="J486" s="2"/>
      <c r="K486" s="2"/>
      <c r="L486" s="2"/>
      <c r="M486" s="2"/>
      <c r="N486" s="2"/>
      <c r="O486" s="2"/>
      <c r="P486" s="2"/>
      <c r="Q486" s="2"/>
      <c r="R486" s="2"/>
      <c r="S486" s="2"/>
      <c r="T486" s="2"/>
      <c r="U486" s="2"/>
      <c r="V486" s="2"/>
      <c r="W486" s="2"/>
      <c r="X486" s="2"/>
      <c r="Y486" s="2"/>
      <c r="Z486" s="2"/>
      <c r="AA486" s="2"/>
      <c r="AB486" s="2"/>
      <c r="AC486" s="2"/>
    </row>
    <row r="487" spans="7:29" x14ac:dyDescent="0.35">
      <c r="G487" s="2"/>
      <c r="H487" s="2"/>
      <c r="I487" s="2"/>
      <c r="J487" s="2"/>
      <c r="K487" s="2"/>
      <c r="L487" s="2"/>
      <c r="M487" s="2"/>
      <c r="N487" s="2"/>
      <c r="O487" s="2"/>
      <c r="P487" s="2"/>
      <c r="Q487" s="2"/>
      <c r="R487" s="2"/>
      <c r="S487" s="2"/>
      <c r="T487" s="2"/>
      <c r="U487" s="2"/>
      <c r="V487" s="2"/>
      <c r="W487" s="2"/>
      <c r="X487" s="2"/>
      <c r="Y487" s="2"/>
      <c r="Z487" s="2"/>
      <c r="AA487" s="2"/>
      <c r="AB487" s="2"/>
      <c r="AC487" s="2"/>
    </row>
    <row r="488" spans="7:29" x14ac:dyDescent="0.35">
      <c r="G488" s="2"/>
      <c r="H488" s="2"/>
      <c r="I488" s="2"/>
      <c r="J488" s="2"/>
      <c r="K488" s="2"/>
      <c r="L488" s="2"/>
      <c r="M488" s="2"/>
      <c r="N488" s="2"/>
      <c r="O488" s="2"/>
      <c r="P488" s="2"/>
      <c r="Q488" s="2"/>
      <c r="R488" s="2"/>
      <c r="S488" s="2"/>
      <c r="T488" s="2"/>
      <c r="U488" s="2"/>
      <c r="V488" s="2"/>
      <c r="W488" s="2"/>
      <c r="X488" s="2"/>
      <c r="Y488" s="2"/>
      <c r="Z488" s="2"/>
      <c r="AA488" s="2"/>
      <c r="AB488" s="2"/>
      <c r="AC488" s="2"/>
    </row>
    <row r="489" spans="7:29" x14ac:dyDescent="0.35">
      <c r="G489" s="2"/>
      <c r="H489" s="2"/>
      <c r="I489" s="2"/>
      <c r="J489" s="2"/>
      <c r="K489" s="2"/>
      <c r="L489" s="2"/>
      <c r="M489" s="2"/>
      <c r="N489" s="2"/>
      <c r="O489" s="2"/>
      <c r="P489" s="2"/>
      <c r="Q489" s="2"/>
      <c r="R489" s="2"/>
      <c r="S489" s="2"/>
      <c r="T489" s="2"/>
      <c r="U489" s="2"/>
      <c r="V489" s="2"/>
      <c r="W489" s="2"/>
      <c r="X489" s="2"/>
      <c r="Y489" s="2"/>
      <c r="Z489" s="2"/>
      <c r="AA489" s="2"/>
      <c r="AB489" s="2"/>
      <c r="AC489" s="2"/>
    </row>
    <row r="490" spans="7:29" x14ac:dyDescent="0.35">
      <c r="G490" s="2"/>
      <c r="H490" s="2"/>
      <c r="I490" s="2"/>
      <c r="J490" s="2"/>
      <c r="K490" s="2"/>
      <c r="L490" s="2"/>
      <c r="M490" s="2"/>
      <c r="N490" s="2"/>
      <c r="O490" s="2"/>
      <c r="P490" s="2"/>
      <c r="Q490" s="2"/>
      <c r="R490" s="2"/>
      <c r="S490" s="2"/>
      <c r="T490" s="2"/>
      <c r="U490" s="2"/>
      <c r="V490" s="2"/>
      <c r="W490" s="2"/>
      <c r="X490" s="2"/>
      <c r="Y490" s="2"/>
      <c r="Z490" s="2"/>
      <c r="AA490" s="2"/>
      <c r="AB490" s="2"/>
      <c r="AC490" s="2"/>
    </row>
    <row r="491" spans="7:29" x14ac:dyDescent="0.35">
      <c r="G491" s="2"/>
      <c r="H491" s="2"/>
      <c r="I491" s="2"/>
      <c r="J491" s="2"/>
      <c r="K491" s="2"/>
      <c r="L491" s="2"/>
      <c r="M491" s="2"/>
      <c r="N491" s="2"/>
      <c r="O491" s="2"/>
      <c r="P491" s="2"/>
      <c r="Q491" s="2"/>
      <c r="R491" s="2"/>
      <c r="S491" s="2"/>
      <c r="T491" s="2"/>
      <c r="U491" s="2"/>
      <c r="V491" s="2"/>
      <c r="W491" s="2"/>
      <c r="X491" s="2"/>
      <c r="Y491" s="2"/>
      <c r="Z491" s="2"/>
      <c r="AA491" s="2"/>
      <c r="AB491" s="2"/>
      <c r="AC491" s="2"/>
    </row>
    <row r="492" spans="7:29" x14ac:dyDescent="0.35">
      <c r="G492" s="2"/>
      <c r="H492" s="2"/>
      <c r="I492" s="2"/>
      <c r="J492" s="2"/>
      <c r="K492" s="2"/>
      <c r="L492" s="2"/>
      <c r="M492" s="2"/>
      <c r="N492" s="2"/>
      <c r="O492" s="2"/>
      <c r="P492" s="2"/>
      <c r="Q492" s="2"/>
      <c r="R492" s="2"/>
      <c r="S492" s="2"/>
      <c r="T492" s="2"/>
      <c r="U492" s="2"/>
      <c r="V492" s="2"/>
      <c r="W492" s="2"/>
      <c r="X492" s="2"/>
      <c r="Y492" s="2"/>
      <c r="Z492" s="2"/>
      <c r="AA492" s="2"/>
      <c r="AB492" s="2"/>
      <c r="AC492" s="2"/>
    </row>
    <row r="493" spans="7:29" x14ac:dyDescent="0.35">
      <c r="G493" s="2"/>
      <c r="H493" s="2"/>
      <c r="I493" s="2"/>
      <c r="J493" s="2"/>
      <c r="K493" s="2"/>
      <c r="L493" s="2"/>
      <c r="M493" s="2"/>
      <c r="N493" s="2"/>
      <c r="O493" s="2"/>
      <c r="P493" s="2"/>
      <c r="Q493" s="2"/>
      <c r="R493" s="2"/>
      <c r="S493" s="2"/>
      <c r="T493" s="2"/>
      <c r="U493" s="2"/>
      <c r="V493" s="2"/>
      <c r="W493" s="2"/>
      <c r="X493" s="2"/>
      <c r="Y493" s="2"/>
      <c r="Z493" s="2"/>
      <c r="AA493" s="2"/>
      <c r="AB493" s="2"/>
      <c r="AC493" s="2"/>
    </row>
    <row r="494" spans="7:29" x14ac:dyDescent="0.35">
      <c r="G494" s="2"/>
      <c r="H494" s="2"/>
      <c r="I494" s="2"/>
      <c r="J494" s="2"/>
      <c r="K494" s="2"/>
      <c r="L494" s="2"/>
      <c r="M494" s="2"/>
      <c r="N494" s="2"/>
      <c r="O494" s="2"/>
      <c r="P494" s="2"/>
      <c r="Q494" s="2"/>
      <c r="R494" s="2"/>
      <c r="S494" s="2"/>
      <c r="T494" s="2"/>
      <c r="U494" s="2"/>
      <c r="V494" s="2"/>
      <c r="W494" s="2"/>
      <c r="X494" s="2"/>
      <c r="Y494" s="2"/>
      <c r="Z494" s="2"/>
      <c r="AA494" s="2"/>
      <c r="AB494" s="2"/>
      <c r="AC494" s="2"/>
    </row>
    <row r="495" spans="7:29" x14ac:dyDescent="0.35">
      <c r="G495" s="2"/>
      <c r="H495" s="2"/>
      <c r="I495" s="2"/>
      <c r="J495" s="2"/>
      <c r="K495" s="2"/>
      <c r="L495" s="2"/>
      <c r="M495" s="2"/>
      <c r="N495" s="2"/>
      <c r="O495" s="2"/>
      <c r="P495" s="2"/>
      <c r="Q495" s="2"/>
      <c r="R495" s="2"/>
      <c r="S495" s="2"/>
      <c r="T495" s="2"/>
      <c r="U495" s="2"/>
      <c r="V495" s="2"/>
      <c r="W495" s="2"/>
      <c r="X495" s="2"/>
      <c r="Y495" s="2"/>
      <c r="Z495" s="2"/>
      <c r="AA495" s="2"/>
      <c r="AB495" s="2"/>
      <c r="AC495" s="2"/>
    </row>
    <row r="496" spans="7:29" x14ac:dyDescent="0.35">
      <c r="G496" s="2"/>
      <c r="H496" s="2"/>
      <c r="I496" s="2"/>
      <c r="J496" s="2"/>
      <c r="K496" s="2"/>
      <c r="L496" s="2"/>
      <c r="M496" s="2"/>
      <c r="N496" s="2"/>
      <c r="O496" s="2"/>
      <c r="P496" s="2"/>
      <c r="Q496" s="2"/>
      <c r="R496" s="2"/>
      <c r="S496" s="2"/>
      <c r="T496" s="2"/>
      <c r="U496" s="2"/>
      <c r="V496" s="2"/>
      <c r="W496" s="2"/>
      <c r="X496" s="2"/>
      <c r="Y496" s="2"/>
      <c r="Z496" s="2"/>
      <c r="AA496" s="2"/>
      <c r="AB496" s="2"/>
      <c r="AC496" s="2"/>
    </row>
    <row r="497" spans="7:29" x14ac:dyDescent="0.35">
      <c r="G497" s="2"/>
      <c r="H497" s="2"/>
      <c r="I497" s="2"/>
      <c r="J497" s="2"/>
      <c r="K497" s="2"/>
      <c r="L497" s="2"/>
      <c r="M497" s="2"/>
      <c r="N497" s="2"/>
      <c r="O497" s="2"/>
      <c r="P497" s="2"/>
      <c r="Q497" s="2"/>
      <c r="R497" s="2"/>
      <c r="S497" s="2"/>
      <c r="T497" s="2"/>
      <c r="U497" s="2"/>
      <c r="V497" s="2"/>
      <c r="W497" s="2"/>
      <c r="X497" s="2"/>
      <c r="Y497" s="2"/>
      <c r="Z497" s="2"/>
      <c r="AA497" s="2"/>
      <c r="AB497" s="2"/>
      <c r="AC497" s="2"/>
    </row>
    <row r="498" spans="7:29" x14ac:dyDescent="0.35">
      <c r="G498" s="2"/>
      <c r="H498" s="2"/>
      <c r="I498" s="2"/>
      <c r="J498" s="2"/>
      <c r="K498" s="2"/>
      <c r="L498" s="2"/>
      <c r="M498" s="2"/>
      <c r="N498" s="2"/>
      <c r="O498" s="2"/>
      <c r="P498" s="2"/>
      <c r="Q498" s="2"/>
      <c r="R498" s="2"/>
      <c r="S498" s="2"/>
      <c r="T498" s="2"/>
      <c r="U498" s="2"/>
      <c r="V498" s="2"/>
      <c r="W498" s="2"/>
      <c r="X498" s="2"/>
      <c r="Y498" s="2"/>
      <c r="Z498" s="2"/>
      <c r="AA498" s="2"/>
      <c r="AB498" s="2"/>
      <c r="AC498" s="2"/>
    </row>
    <row r="499" spans="7:29" x14ac:dyDescent="0.35">
      <c r="G499" s="2"/>
      <c r="H499" s="2"/>
      <c r="I499" s="2"/>
      <c r="J499" s="2"/>
      <c r="K499" s="2"/>
      <c r="L499" s="2"/>
      <c r="M499" s="2"/>
      <c r="N499" s="2"/>
      <c r="O499" s="2"/>
      <c r="P499" s="2"/>
      <c r="Q499" s="2"/>
      <c r="R499" s="2"/>
      <c r="S499" s="2"/>
      <c r="T499" s="2"/>
      <c r="U499" s="2"/>
      <c r="V499" s="2"/>
      <c r="W499" s="2"/>
      <c r="X499" s="2"/>
      <c r="Y499" s="2"/>
      <c r="Z499" s="2"/>
      <c r="AA499" s="2"/>
      <c r="AB499" s="2"/>
      <c r="AC499" s="2"/>
    </row>
    <row r="500" spans="7:29" x14ac:dyDescent="0.35">
      <c r="G500" s="2"/>
      <c r="H500" s="2"/>
      <c r="I500" s="2"/>
      <c r="J500" s="2"/>
      <c r="K500" s="2"/>
      <c r="L500" s="2"/>
      <c r="M500" s="2"/>
      <c r="N500" s="2"/>
      <c r="O500" s="2"/>
      <c r="P500" s="2"/>
      <c r="Q500" s="2"/>
      <c r="R500" s="2"/>
      <c r="S500" s="2"/>
      <c r="T500" s="2"/>
      <c r="U500" s="2"/>
      <c r="V500" s="2"/>
      <c r="W500" s="2"/>
      <c r="X500" s="2"/>
      <c r="Y500" s="2"/>
      <c r="Z500" s="2"/>
      <c r="AA500" s="2"/>
      <c r="AB500" s="2"/>
      <c r="AC500" s="2"/>
    </row>
    <row r="501" spans="7:29" x14ac:dyDescent="0.35">
      <c r="G501" s="2"/>
      <c r="H501" s="2"/>
      <c r="I501" s="2"/>
      <c r="J501" s="2"/>
      <c r="K501" s="2"/>
      <c r="L501" s="2"/>
      <c r="M501" s="2"/>
      <c r="N501" s="2"/>
      <c r="O501" s="2"/>
      <c r="P501" s="2"/>
      <c r="Q501" s="2"/>
      <c r="R501" s="2"/>
      <c r="S501" s="2"/>
      <c r="T501" s="2"/>
      <c r="U501" s="2"/>
      <c r="V501" s="2"/>
      <c r="W501" s="2"/>
      <c r="X501" s="2"/>
      <c r="Y501" s="2"/>
      <c r="Z501" s="2"/>
      <c r="AA501" s="2"/>
      <c r="AB501" s="2"/>
      <c r="AC501" s="2"/>
    </row>
    <row r="502" spans="7:29" x14ac:dyDescent="0.35">
      <c r="G502" s="2"/>
      <c r="H502" s="2"/>
      <c r="I502" s="2"/>
      <c r="J502" s="2"/>
      <c r="K502" s="2"/>
      <c r="L502" s="2"/>
      <c r="M502" s="2"/>
      <c r="N502" s="2"/>
      <c r="O502" s="2"/>
      <c r="P502" s="2"/>
      <c r="Q502" s="2"/>
      <c r="R502" s="2"/>
      <c r="S502" s="2"/>
      <c r="T502" s="2"/>
      <c r="U502" s="2"/>
      <c r="V502" s="2"/>
      <c r="W502" s="2"/>
      <c r="X502" s="2"/>
      <c r="Y502" s="2"/>
      <c r="Z502" s="2"/>
      <c r="AA502" s="2"/>
      <c r="AB502" s="2"/>
      <c r="AC502" s="2"/>
    </row>
    <row r="503" spans="7:29" x14ac:dyDescent="0.35">
      <c r="G503" s="2"/>
      <c r="H503" s="2"/>
      <c r="I503" s="2"/>
      <c r="J503" s="2"/>
      <c r="K503" s="2"/>
      <c r="L503" s="2"/>
      <c r="M503" s="2"/>
      <c r="N503" s="2"/>
      <c r="O503" s="2"/>
      <c r="P503" s="2"/>
      <c r="Q503" s="2"/>
      <c r="R503" s="2"/>
      <c r="S503" s="2"/>
      <c r="T503" s="2"/>
      <c r="U503" s="2"/>
      <c r="V503" s="2"/>
      <c r="W503" s="2"/>
      <c r="X503" s="2"/>
      <c r="Y503" s="2"/>
      <c r="Z503" s="2"/>
      <c r="AA503" s="2"/>
      <c r="AB503" s="2"/>
      <c r="AC503" s="2"/>
    </row>
    <row r="504" spans="7:29" x14ac:dyDescent="0.35">
      <c r="G504" s="2"/>
      <c r="H504" s="2"/>
      <c r="I504" s="2"/>
      <c r="J504" s="2"/>
      <c r="K504" s="2"/>
      <c r="L504" s="2"/>
      <c r="M504" s="2"/>
      <c r="N504" s="2"/>
      <c r="O504" s="2"/>
      <c r="P504" s="2"/>
      <c r="Q504" s="2"/>
      <c r="R504" s="2"/>
      <c r="S504" s="2"/>
      <c r="T504" s="2"/>
      <c r="U504" s="2"/>
      <c r="V504" s="2"/>
      <c r="W504" s="2"/>
      <c r="X504" s="2"/>
      <c r="Y504" s="2"/>
      <c r="Z504" s="2"/>
      <c r="AA504" s="2"/>
      <c r="AB504" s="2"/>
      <c r="AC504" s="2"/>
    </row>
    <row r="505" spans="7:29" x14ac:dyDescent="0.35">
      <c r="G505" s="2"/>
      <c r="H505" s="2"/>
      <c r="I505" s="2"/>
      <c r="J505" s="2"/>
      <c r="K505" s="2"/>
      <c r="L505" s="2"/>
      <c r="M505" s="2"/>
      <c r="N505" s="2"/>
      <c r="O505" s="2"/>
      <c r="P505" s="2"/>
      <c r="Q505" s="2"/>
      <c r="R505" s="2"/>
      <c r="S505" s="2"/>
      <c r="T505" s="2"/>
      <c r="U505" s="2"/>
      <c r="V505" s="2"/>
      <c r="W505" s="2"/>
      <c r="X505" s="2"/>
      <c r="Y505" s="2"/>
      <c r="Z505" s="2"/>
      <c r="AA505" s="2"/>
      <c r="AB505" s="2"/>
      <c r="AC505" s="2"/>
    </row>
    <row r="506" spans="7:29" x14ac:dyDescent="0.35">
      <c r="G506" s="2"/>
      <c r="H506" s="2"/>
      <c r="I506" s="2"/>
      <c r="J506" s="2"/>
      <c r="K506" s="2"/>
      <c r="L506" s="2"/>
      <c r="M506" s="2"/>
      <c r="N506" s="2"/>
      <c r="O506" s="2"/>
      <c r="P506" s="2"/>
      <c r="Q506" s="2"/>
      <c r="R506" s="2"/>
      <c r="S506" s="2"/>
      <c r="T506" s="2"/>
      <c r="U506" s="2"/>
      <c r="V506" s="2"/>
      <c r="W506" s="2"/>
      <c r="X506" s="2"/>
      <c r="Y506" s="2"/>
      <c r="Z506" s="2"/>
      <c r="AA506" s="2"/>
      <c r="AB506" s="2"/>
      <c r="AC506" s="2"/>
    </row>
    <row r="507" spans="7:29" x14ac:dyDescent="0.35">
      <c r="G507" s="2"/>
      <c r="H507" s="2"/>
      <c r="I507" s="2"/>
      <c r="J507" s="2"/>
      <c r="K507" s="2"/>
      <c r="L507" s="2"/>
      <c r="M507" s="2"/>
      <c r="N507" s="2"/>
      <c r="O507" s="2"/>
      <c r="P507" s="2"/>
      <c r="Q507" s="2"/>
      <c r="R507" s="2"/>
      <c r="S507" s="2"/>
      <c r="T507" s="2"/>
      <c r="U507" s="2"/>
      <c r="V507" s="2"/>
      <c r="W507" s="2"/>
      <c r="X507" s="2"/>
      <c r="Y507" s="2"/>
      <c r="Z507" s="2"/>
      <c r="AA507" s="2"/>
      <c r="AB507" s="2"/>
      <c r="AC507" s="2"/>
    </row>
    <row r="508" spans="7:29" x14ac:dyDescent="0.35">
      <c r="G508" s="2"/>
      <c r="H508" s="2"/>
      <c r="I508" s="2"/>
      <c r="J508" s="2"/>
      <c r="K508" s="2"/>
      <c r="L508" s="2"/>
      <c r="M508" s="2"/>
      <c r="N508" s="2"/>
      <c r="O508" s="2"/>
      <c r="P508" s="2"/>
      <c r="Q508" s="2"/>
      <c r="R508" s="2"/>
      <c r="S508" s="2"/>
      <c r="T508" s="2"/>
      <c r="U508" s="2"/>
      <c r="V508" s="2"/>
      <c r="W508" s="2"/>
      <c r="X508" s="2"/>
      <c r="Y508" s="2"/>
      <c r="Z508" s="2"/>
      <c r="AA508" s="2"/>
      <c r="AB508" s="2"/>
      <c r="AC508" s="2"/>
    </row>
    <row r="509" spans="7:29" x14ac:dyDescent="0.35">
      <c r="G509" s="2"/>
      <c r="H509" s="2"/>
      <c r="I509" s="2"/>
      <c r="J509" s="2"/>
      <c r="K509" s="2"/>
      <c r="L509" s="2"/>
      <c r="M509" s="2"/>
      <c r="N509" s="2"/>
      <c r="O509" s="2"/>
      <c r="P509" s="2"/>
      <c r="Q509" s="2"/>
      <c r="R509" s="2"/>
      <c r="S509" s="2"/>
      <c r="T509" s="2"/>
      <c r="U509" s="2"/>
      <c r="V509" s="2"/>
      <c r="W509" s="2"/>
      <c r="X509" s="2"/>
      <c r="Y509" s="2"/>
      <c r="Z509" s="2"/>
      <c r="AA509" s="2"/>
      <c r="AB509" s="2"/>
      <c r="AC509" s="2"/>
    </row>
    <row r="510" spans="7:29" x14ac:dyDescent="0.35">
      <c r="G510" s="2"/>
      <c r="H510" s="2"/>
      <c r="I510" s="2"/>
      <c r="J510" s="2"/>
      <c r="K510" s="2"/>
      <c r="L510" s="2"/>
      <c r="M510" s="2"/>
      <c r="N510" s="2"/>
      <c r="O510" s="2"/>
      <c r="P510" s="2"/>
      <c r="Q510" s="2"/>
      <c r="R510" s="2"/>
      <c r="S510" s="2"/>
      <c r="T510" s="2"/>
      <c r="U510" s="2"/>
      <c r="V510" s="2"/>
      <c r="W510" s="2"/>
      <c r="X510" s="2"/>
      <c r="Y510" s="2"/>
      <c r="Z510" s="2"/>
      <c r="AA510" s="2"/>
      <c r="AB510" s="2"/>
      <c r="AC510" s="2"/>
    </row>
    <row r="511" spans="7:29" x14ac:dyDescent="0.35">
      <c r="G511" s="2"/>
      <c r="H511" s="2"/>
      <c r="I511" s="2"/>
      <c r="J511" s="2"/>
      <c r="K511" s="2"/>
      <c r="L511" s="2"/>
      <c r="M511" s="2"/>
      <c r="N511" s="2"/>
      <c r="O511" s="2"/>
      <c r="P511" s="2"/>
      <c r="Q511" s="2"/>
      <c r="R511" s="2"/>
      <c r="S511" s="2"/>
      <c r="T511" s="2"/>
      <c r="U511" s="2"/>
      <c r="V511" s="2"/>
      <c r="W511" s="2"/>
      <c r="X511" s="2"/>
      <c r="Y511" s="2"/>
      <c r="Z511" s="2"/>
      <c r="AA511" s="2"/>
      <c r="AB511" s="2"/>
      <c r="AC511" s="2"/>
    </row>
    <row r="512" spans="7:29" x14ac:dyDescent="0.35">
      <c r="G512" s="2"/>
      <c r="H512" s="2"/>
      <c r="I512" s="2"/>
      <c r="J512" s="2"/>
      <c r="K512" s="2"/>
      <c r="L512" s="2"/>
      <c r="M512" s="2"/>
      <c r="N512" s="2"/>
      <c r="O512" s="2"/>
      <c r="P512" s="2"/>
      <c r="Q512" s="2"/>
      <c r="R512" s="2"/>
      <c r="S512" s="2"/>
      <c r="T512" s="2"/>
      <c r="U512" s="2"/>
      <c r="V512" s="2"/>
      <c r="W512" s="2"/>
      <c r="X512" s="2"/>
      <c r="Y512" s="2"/>
      <c r="Z512" s="2"/>
      <c r="AA512" s="2"/>
      <c r="AB512" s="2"/>
      <c r="AC512" s="2"/>
    </row>
    <row r="513" spans="7:29" x14ac:dyDescent="0.35">
      <c r="G513" s="2"/>
      <c r="H513" s="2"/>
      <c r="I513" s="2"/>
      <c r="J513" s="2"/>
      <c r="K513" s="2"/>
      <c r="L513" s="2"/>
      <c r="M513" s="2"/>
      <c r="N513" s="2"/>
      <c r="O513" s="2"/>
      <c r="P513" s="2"/>
      <c r="Q513" s="2"/>
      <c r="R513" s="2"/>
      <c r="S513" s="2"/>
      <c r="T513" s="2"/>
      <c r="U513" s="2"/>
      <c r="V513" s="2"/>
      <c r="W513" s="2"/>
      <c r="X513" s="2"/>
      <c r="Y513" s="2"/>
      <c r="Z513" s="2"/>
      <c r="AA513" s="2"/>
      <c r="AB513" s="2"/>
      <c r="AC513" s="2"/>
    </row>
    <row r="514" spans="7:29" x14ac:dyDescent="0.35">
      <c r="G514" s="2"/>
      <c r="H514" s="2"/>
      <c r="I514" s="2"/>
      <c r="J514" s="2"/>
      <c r="K514" s="2"/>
      <c r="L514" s="2"/>
      <c r="M514" s="2"/>
      <c r="N514" s="2"/>
      <c r="O514" s="2"/>
      <c r="P514" s="2"/>
      <c r="Q514" s="2"/>
      <c r="R514" s="2"/>
      <c r="S514" s="2"/>
      <c r="T514" s="2"/>
      <c r="U514" s="2"/>
      <c r="V514" s="2"/>
      <c r="W514" s="2"/>
      <c r="X514" s="2"/>
      <c r="Y514" s="2"/>
      <c r="Z514" s="2"/>
      <c r="AA514" s="2"/>
      <c r="AB514" s="2"/>
      <c r="AC514" s="2"/>
    </row>
    <row r="515" spans="7:29" x14ac:dyDescent="0.35">
      <c r="G515" s="2"/>
      <c r="H515" s="2"/>
      <c r="I515" s="2"/>
      <c r="J515" s="2"/>
      <c r="K515" s="2"/>
      <c r="L515" s="2"/>
      <c r="M515" s="2"/>
      <c r="N515" s="2"/>
      <c r="O515" s="2"/>
      <c r="P515" s="2"/>
      <c r="Q515" s="2"/>
      <c r="R515" s="2"/>
      <c r="S515" s="2"/>
      <c r="T515" s="2"/>
      <c r="U515" s="2"/>
      <c r="V515" s="2"/>
      <c r="W515" s="2"/>
      <c r="X515" s="2"/>
      <c r="Y515" s="2"/>
      <c r="Z515" s="2"/>
      <c r="AA515" s="2"/>
      <c r="AB515" s="2"/>
      <c r="AC515" s="2"/>
    </row>
    <row r="516" spans="7:29" x14ac:dyDescent="0.35">
      <c r="G516" s="2"/>
      <c r="H516" s="2"/>
      <c r="I516" s="2"/>
      <c r="J516" s="2"/>
      <c r="K516" s="2"/>
      <c r="L516" s="2"/>
      <c r="M516" s="2"/>
      <c r="N516" s="2"/>
      <c r="O516" s="2"/>
      <c r="P516" s="2"/>
      <c r="Q516" s="2"/>
      <c r="R516" s="2"/>
      <c r="S516" s="2"/>
      <c r="T516" s="2"/>
      <c r="U516" s="2"/>
      <c r="V516" s="2"/>
      <c r="W516" s="2"/>
      <c r="X516" s="2"/>
      <c r="Y516" s="2"/>
      <c r="Z516" s="2"/>
      <c r="AA516" s="2"/>
      <c r="AB516" s="2"/>
      <c r="AC516" s="2"/>
    </row>
    <row r="517" spans="7:29" x14ac:dyDescent="0.35">
      <c r="G517" s="2"/>
      <c r="H517" s="2"/>
      <c r="I517" s="2"/>
      <c r="J517" s="2"/>
      <c r="K517" s="2"/>
      <c r="L517" s="2"/>
      <c r="M517" s="2"/>
      <c r="N517" s="2"/>
      <c r="O517" s="2"/>
      <c r="P517" s="2"/>
      <c r="Q517" s="2"/>
      <c r="R517" s="2"/>
      <c r="S517" s="2"/>
      <c r="T517" s="2"/>
      <c r="U517" s="2"/>
      <c r="V517" s="2"/>
      <c r="W517" s="2"/>
      <c r="X517" s="2"/>
      <c r="Y517" s="2"/>
      <c r="Z517" s="2"/>
      <c r="AA517" s="2"/>
      <c r="AB517" s="2"/>
      <c r="AC517" s="2"/>
    </row>
    <row r="518" spans="7:29" x14ac:dyDescent="0.35">
      <c r="G518" s="2"/>
      <c r="H518" s="2"/>
      <c r="I518" s="2"/>
      <c r="J518" s="2"/>
      <c r="K518" s="2"/>
      <c r="L518" s="2"/>
      <c r="M518" s="2"/>
      <c r="N518" s="2"/>
      <c r="O518" s="2"/>
      <c r="P518" s="2"/>
      <c r="Q518" s="2"/>
      <c r="R518" s="2"/>
      <c r="S518" s="2"/>
      <c r="T518" s="2"/>
      <c r="U518" s="2"/>
      <c r="V518" s="2"/>
      <c r="W518" s="2"/>
      <c r="X518" s="2"/>
      <c r="Y518" s="2"/>
      <c r="Z518" s="2"/>
      <c r="AA518" s="2"/>
      <c r="AB518" s="2"/>
      <c r="AC518" s="2"/>
    </row>
    <row r="519" spans="7:29" x14ac:dyDescent="0.35">
      <c r="G519" s="2"/>
      <c r="H519" s="2"/>
      <c r="I519" s="2"/>
      <c r="J519" s="2"/>
      <c r="K519" s="2"/>
      <c r="L519" s="2"/>
      <c r="M519" s="2"/>
      <c r="N519" s="2"/>
      <c r="O519" s="2"/>
      <c r="P519" s="2"/>
      <c r="Q519" s="2"/>
      <c r="R519" s="2"/>
      <c r="S519" s="2"/>
      <c r="T519" s="2"/>
      <c r="U519" s="2"/>
      <c r="V519" s="2"/>
      <c r="W519" s="2"/>
      <c r="X519" s="2"/>
      <c r="Y519" s="2"/>
      <c r="Z519" s="2"/>
      <c r="AA519" s="2"/>
      <c r="AB519" s="2"/>
      <c r="AC519" s="2"/>
    </row>
    <row r="520" spans="7:29" x14ac:dyDescent="0.35">
      <c r="G520" s="2"/>
      <c r="H520" s="2"/>
      <c r="I520" s="2"/>
      <c r="J520" s="2"/>
      <c r="K520" s="2"/>
      <c r="L520" s="2"/>
      <c r="M520" s="2"/>
      <c r="N520" s="2"/>
      <c r="O520" s="2"/>
      <c r="P520" s="2"/>
      <c r="Q520" s="2"/>
      <c r="R520" s="2"/>
      <c r="S520" s="2"/>
      <c r="T520" s="2"/>
      <c r="U520" s="2"/>
      <c r="V520" s="2"/>
      <c r="W520" s="2"/>
      <c r="X520" s="2"/>
      <c r="Y520" s="2"/>
      <c r="Z520" s="2"/>
      <c r="AA520" s="2"/>
      <c r="AB520" s="2"/>
      <c r="AC520" s="2"/>
    </row>
    <row r="521" spans="7:29" x14ac:dyDescent="0.35">
      <c r="G521" s="2"/>
      <c r="H521" s="2"/>
      <c r="I521" s="2"/>
      <c r="J521" s="2"/>
      <c r="K521" s="2"/>
      <c r="L521" s="2"/>
      <c r="M521" s="2"/>
      <c r="N521" s="2"/>
      <c r="O521" s="2"/>
      <c r="P521" s="2"/>
      <c r="Q521" s="2"/>
      <c r="R521" s="2"/>
      <c r="S521" s="2"/>
      <c r="T521" s="2"/>
      <c r="U521" s="2"/>
      <c r="V521" s="2"/>
      <c r="W521" s="2"/>
      <c r="X521" s="2"/>
      <c r="Y521" s="2"/>
      <c r="Z521" s="2"/>
      <c r="AA521" s="2"/>
      <c r="AB521" s="2"/>
      <c r="AC521" s="2"/>
    </row>
    <row r="522" spans="7:29" x14ac:dyDescent="0.35">
      <c r="G522" s="2"/>
      <c r="H522" s="2"/>
      <c r="I522" s="2"/>
      <c r="J522" s="2"/>
      <c r="K522" s="2"/>
      <c r="L522" s="2"/>
      <c r="M522" s="2"/>
      <c r="N522" s="2"/>
      <c r="O522" s="2"/>
      <c r="P522" s="2"/>
      <c r="Q522" s="2"/>
      <c r="R522" s="2"/>
      <c r="S522" s="2"/>
      <c r="T522" s="2"/>
      <c r="U522" s="2"/>
      <c r="V522" s="2"/>
      <c r="W522" s="2"/>
      <c r="X522" s="2"/>
      <c r="Y522" s="2"/>
      <c r="Z522" s="2"/>
      <c r="AA522" s="2"/>
      <c r="AB522" s="2"/>
      <c r="AC522" s="2"/>
    </row>
    <row r="523" spans="7:29" x14ac:dyDescent="0.35">
      <c r="G523" s="2"/>
      <c r="H523" s="2"/>
      <c r="I523" s="2"/>
      <c r="J523" s="2"/>
      <c r="K523" s="2"/>
      <c r="L523" s="2"/>
      <c r="M523" s="2"/>
      <c r="N523" s="2"/>
      <c r="O523" s="2"/>
      <c r="P523" s="2"/>
      <c r="Q523" s="2"/>
      <c r="R523" s="2"/>
      <c r="S523" s="2"/>
      <c r="T523" s="2"/>
      <c r="U523" s="2"/>
      <c r="V523" s="2"/>
      <c r="W523" s="2"/>
      <c r="X523" s="2"/>
      <c r="Y523" s="2"/>
      <c r="Z523" s="2"/>
      <c r="AA523" s="2"/>
      <c r="AB523" s="2"/>
      <c r="AC523" s="2"/>
    </row>
    <row r="524" spans="7:29" x14ac:dyDescent="0.35">
      <c r="G524" s="2"/>
      <c r="H524" s="2"/>
      <c r="I524" s="2"/>
      <c r="J524" s="2"/>
      <c r="K524" s="2"/>
      <c r="L524" s="2"/>
      <c r="M524" s="2"/>
      <c r="N524" s="2"/>
      <c r="O524" s="2"/>
      <c r="P524" s="2"/>
      <c r="Q524" s="2"/>
      <c r="R524" s="2"/>
      <c r="S524" s="2"/>
      <c r="T524" s="2"/>
      <c r="U524" s="2"/>
      <c r="V524" s="2"/>
      <c r="W524" s="2"/>
      <c r="X524" s="2"/>
      <c r="Y524" s="2"/>
      <c r="Z524" s="2"/>
      <c r="AA524" s="2"/>
      <c r="AB524" s="2"/>
      <c r="AC524" s="2"/>
    </row>
    <row r="525" spans="7:29" x14ac:dyDescent="0.35">
      <c r="G525" s="2"/>
      <c r="H525" s="2"/>
      <c r="I525" s="2"/>
      <c r="J525" s="2"/>
      <c r="K525" s="2"/>
      <c r="L525" s="2"/>
      <c r="M525" s="2"/>
      <c r="N525" s="2"/>
      <c r="O525" s="2"/>
      <c r="P525" s="2"/>
      <c r="Q525" s="2"/>
      <c r="R525" s="2"/>
      <c r="S525" s="2"/>
      <c r="T525" s="2"/>
      <c r="U525" s="2"/>
      <c r="V525" s="2"/>
      <c r="W525" s="2"/>
      <c r="X525" s="2"/>
      <c r="Y525" s="2"/>
      <c r="Z525" s="2"/>
      <c r="AA525" s="2"/>
      <c r="AB525" s="2"/>
      <c r="AC525" s="2"/>
    </row>
    <row r="526" spans="7:29" x14ac:dyDescent="0.35">
      <c r="G526" s="2"/>
      <c r="H526" s="2"/>
      <c r="I526" s="2"/>
      <c r="J526" s="2"/>
      <c r="K526" s="2"/>
      <c r="L526" s="2"/>
      <c r="M526" s="2"/>
      <c r="N526" s="2"/>
      <c r="O526" s="2"/>
      <c r="P526" s="2"/>
      <c r="Q526" s="2"/>
      <c r="R526" s="2"/>
      <c r="S526" s="2"/>
      <c r="T526" s="2"/>
      <c r="U526" s="2"/>
      <c r="V526" s="2"/>
      <c r="W526" s="2"/>
      <c r="X526" s="2"/>
      <c r="Y526" s="2"/>
      <c r="Z526" s="2"/>
      <c r="AA526" s="2"/>
      <c r="AB526" s="2"/>
      <c r="AC526" s="2"/>
    </row>
    <row r="527" spans="7:29" x14ac:dyDescent="0.35">
      <c r="G527" s="2"/>
      <c r="H527" s="2"/>
      <c r="I527" s="2"/>
      <c r="J527" s="2"/>
      <c r="K527" s="2"/>
      <c r="L527" s="2"/>
      <c r="M527" s="2"/>
      <c r="N527" s="2"/>
      <c r="O527" s="2"/>
      <c r="P527" s="2"/>
      <c r="Q527" s="2"/>
      <c r="R527" s="2"/>
      <c r="S527" s="2"/>
      <c r="T527" s="2"/>
      <c r="U527" s="2"/>
      <c r="V527" s="2"/>
      <c r="W527" s="2"/>
      <c r="X527" s="2"/>
      <c r="Y527" s="2"/>
      <c r="Z527" s="2"/>
      <c r="AA527" s="2"/>
      <c r="AB527" s="2"/>
      <c r="AC527" s="2"/>
    </row>
    <row r="528" spans="7:29" x14ac:dyDescent="0.35">
      <c r="G528" s="2"/>
      <c r="H528" s="2"/>
      <c r="I528" s="2"/>
      <c r="J528" s="2"/>
      <c r="K528" s="2"/>
      <c r="L528" s="2"/>
      <c r="M528" s="2"/>
      <c r="N528" s="2"/>
      <c r="O528" s="2"/>
      <c r="P528" s="2"/>
      <c r="Q528" s="2"/>
      <c r="R528" s="2"/>
      <c r="S528" s="2"/>
      <c r="T528" s="2"/>
      <c r="U528" s="2"/>
      <c r="V528" s="2"/>
      <c r="W528" s="2"/>
      <c r="X528" s="2"/>
      <c r="Y528" s="2"/>
      <c r="Z528" s="2"/>
      <c r="AA528" s="2"/>
      <c r="AB528" s="2"/>
      <c r="AC528" s="2"/>
    </row>
    <row r="529" spans="7:29" x14ac:dyDescent="0.35">
      <c r="G529" s="2"/>
      <c r="H529" s="2"/>
      <c r="I529" s="2"/>
      <c r="J529" s="2"/>
      <c r="K529" s="2"/>
      <c r="L529" s="2"/>
      <c r="M529" s="2"/>
      <c r="N529" s="2"/>
      <c r="O529" s="2"/>
      <c r="P529" s="2"/>
      <c r="Q529" s="2"/>
      <c r="R529" s="2"/>
      <c r="S529" s="2"/>
      <c r="T529" s="2"/>
      <c r="U529" s="2"/>
      <c r="V529" s="2"/>
      <c r="W529" s="2"/>
      <c r="X529" s="2"/>
      <c r="Y529" s="2"/>
      <c r="Z529" s="2"/>
      <c r="AA529" s="2"/>
      <c r="AB529" s="2"/>
      <c r="AC529" s="2"/>
    </row>
    <row r="530" spans="7:29" x14ac:dyDescent="0.35">
      <c r="G530" s="2"/>
      <c r="H530" s="2"/>
      <c r="I530" s="2"/>
      <c r="J530" s="2"/>
      <c r="K530" s="2"/>
      <c r="L530" s="2"/>
      <c r="M530" s="2"/>
      <c r="N530" s="2"/>
      <c r="O530" s="2"/>
      <c r="P530" s="2"/>
      <c r="Q530" s="2"/>
      <c r="R530" s="2"/>
      <c r="S530" s="2"/>
      <c r="T530" s="2"/>
      <c r="U530" s="2"/>
      <c r="V530" s="2"/>
      <c r="W530" s="2"/>
      <c r="X530" s="2"/>
      <c r="Y530" s="2"/>
      <c r="Z530" s="2"/>
      <c r="AA530" s="2"/>
      <c r="AB530" s="2"/>
      <c r="AC530" s="2"/>
    </row>
    <row r="531" spans="7:29" x14ac:dyDescent="0.35">
      <c r="G531" s="2"/>
      <c r="H531" s="2"/>
      <c r="I531" s="2"/>
      <c r="J531" s="2"/>
      <c r="K531" s="2"/>
      <c r="L531" s="2"/>
      <c r="M531" s="2"/>
      <c r="N531" s="2"/>
      <c r="O531" s="2"/>
      <c r="P531" s="2"/>
      <c r="Q531" s="2"/>
      <c r="R531" s="2"/>
      <c r="S531" s="2"/>
      <c r="T531" s="2"/>
      <c r="U531" s="2"/>
      <c r="V531" s="2"/>
      <c r="W531" s="2"/>
      <c r="X531" s="2"/>
      <c r="Y531" s="2"/>
      <c r="Z531" s="2"/>
      <c r="AA531" s="2"/>
      <c r="AB531" s="2"/>
      <c r="AC531" s="2"/>
    </row>
    <row r="532" spans="7:29" x14ac:dyDescent="0.35">
      <c r="G532" s="2"/>
      <c r="H532" s="2"/>
      <c r="I532" s="2"/>
      <c r="J532" s="2"/>
      <c r="K532" s="2"/>
      <c r="L532" s="2"/>
      <c r="M532" s="2"/>
      <c r="N532" s="2"/>
      <c r="O532" s="2"/>
      <c r="P532" s="2"/>
      <c r="Q532" s="2"/>
      <c r="R532" s="2"/>
      <c r="S532" s="2"/>
      <c r="T532" s="2"/>
      <c r="U532" s="2"/>
      <c r="V532" s="2"/>
      <c r="W532" s="2"/>
      <c r="X532" s="2"/>
      <c r="Y532" s="2"/>
      <c r="Z532" s="2"/>
      <c r="AA532" s="2"/>
      <c r="AB532" s="2"/>
      <c r="AC532" s="2"/>
    </row>
    <row r="533" spans="7:29" x14ac:dyDescent="0.35">
      <c r="G533" s="2"/>
      <c r="H533" s="2"/>
      <c r="I533" s="2"/>
      <c r="J533" s="2"/>
      <c r="K533" s="2"/>
      <c r="L533" s="2"/>
      <c r="M533" s="2"/>
      <c r="N533" s="2"/>
      <c r="O533" s="2"/>
      <c r="P533" s="2"/>
      <c r="Q533" s="2"/>
      <c r="R533" s="2"/>
      <c r="S533" s="2"/>
      <c r="T533" s="2"/>
      <c r="U533" s="2"/>
      <c r="V533" s="2"/>
      <c r="W533" s="2"/>
      <c r="X533" s="2"/>
      <c r="Y533" s="2"/>
      <c r="Z533" s="2"/>
      <c r="AA533" s="2"/>
      <c r="AB533" s="2"/>
      <c r="AC533" s="2"/>
    </row>
    <row r="534" spans="7:29" x14ac:dyDescent="0.35">
      <c r="G534" s="2"/>
      <c r="H534" s="2"/>
      <c r="I534" s="2"/>
      <c r="J534" s="2"/>
      <c r="K534" s="2"/>
      <c r="L534" s="2"/>
      <c r="M534" s="2"/>
      <c r="N534" s="2"/>
      <c r="O534" s="2"/>
      <c r="P534" s="2"/>
      <c r="Q534" s="2"/>
      <c r="R534" s="2"/>
      <c r="S534" s="2"/>
      <c r="T534" s="2"/>
      <c r="U534" s="2"/>
      <c r="V534" s="2"/>
      <c r="W534" s="2"/>
      <c r="X534" s="2"/>
      <c r="Y534" s="2"/>
      <c r="Z534" s="2"/>
      <c r="AA534" s="2"/>
      <c r="AB534" s="2"/>
      <c r="AC534" s="2"/>
    </row>
    <row r="535" spans="7:29" x14ac:dyDescent="0.35">
      <c r="G535" s="2"/>
      <c r="H535" s="2"/>
      <c r="I535" s="2"/>
      <c r="J535" s="2"/>
      <c r="K535" s="2"/>
      <c r="L535" s="2"/>
      <c r="M535" s="2"/>
      <c r="N535" s="2"/>
      <c r="O535" s="2"/>
      <c r="P535" s="2"/>
      <c r="Q535" s="2"/>
      <c r="R535" s="2"/>
      <c r="S535" s="2"/>
      <c r="T535" s="2"/>
      <c r="U535" s="2"/>
      <c r="V535" s="2"/>
      <c r="W535" s="2"/>
      <c r="X535" s="2"/>
      <c r="Y535" s="2"/>
      <c r="Z535" s="2"/>
      <c r="AA535" s="2"/>
      <c r="AB535" s="2"/>
      <c r="AC535" s="2"/>
    </row>
    <row r="536" spans="7:29" x14ac:dyDescent="0.35">
      <c r="G536" s="2"/>
      <c r="H536" s="2"/>
      <c r="I536" s="2"/>
      <c r="J536" s="2"/>
      <c r="K536" s="2"/>
      <c r="L536" s="2"/>
      <c r="M536" s="2"/>
      <c r="N536" s="2"/>
      <c r="O536" s="2"/>
      <c r="P536" s="2"/>
      <c r="Q536" s="2"/>
      <c r="R536" s="2"/>
      <c r="S536" s="2"/>
      <c r="T536" s="2"/>
      <c r="U536" s="2"/>
      <c r="V536" s="2"/>
      <c r="W536" s="2"/>
      <c r="X536" s="2"/>
      <c r="Y536" s="2"/>
      <c r="Z536" s="2"/>
      <c r="AA536" s="2"/>
      <c r="AB536" s="2"/>
      <c r="AC536" s="2"/>
    </row>
    <row r="537" spans="7:29" x14ac:dyDescent="0.35">
      <c r="G537" s="2"/>
      <c r="H537" s="2"/>
      <c r="I537" s="2"/>
      <c r="J537" s="2"/>
      <c r="K537" s="2"/>
      <c r="L537" s="2"/>
      <c r="M537" s="2"/>
      <c r="N537" s="2"/>
      <c r="O537" s="2"/>
      <c r="P537" s="2"/>
      <c r="Q537" s="2"/>
      <c r="R537" s="2"/>
      <c r="S537" s="2"/>
      <c r="T537" s="2"/>
      <c r="U537" s="2"/>
      <c r="V537" s="2"/>
      <c r="W537" s="2"/>
      <c r="X537" s="2"/>
      <c r="Y537" s="2"/>
      <c r="Z537" s="2"/>
      <c r="AA537" s="2"/>
      <c r="AB537" s="2"/>
      <c r="AC537" s="2"/>
    </row>
    <row r="538" spans="7:29" x14ac:dyDescent="0.35">
      <c r="G538" s="2"/>
      <c r="H538" s="2"/>
      <c r="I538" s="2"/>
      <c r="J538" s="2"/>
      <c r="K538" s="2"/>
      <c r="L538" s="2"/>
      <c r="M538" s="2"/>
      <c r="N538" s="2"/>
      <c r="O538" s="2"/>
      <c r="P538" s="2"/>
      <c r="Q538" s="2"/>
      <c r="R538" s="2"/>
      <c r="S538" s="2"/>
      <c r="T538" s="2"/>
      <c r="U538" s="2"/>
      <c r="V538" s="2"/>
      <c r="W538" s="2"/>
      <c r="X538" s="2"/>
      <c r="Y538" s="2"/>
      <c r="Z538" s="2"/>
      <c r="AA538" s="2"/>
      <c r="AB538" s="2"/>
      <c r="AC538" s="2"/>
    </row>
    <row r="539" spans="7:29" x14ac:dyDescent="0.35">
      <c r="G539" s="2"/>
      <c r="H539" s="2"/>
      <c r="I539" s="2"/>
      <c r="J539" s="2"/>
      <c r="K539" s="2"/>
      <c r="L539" s="2"/>
      <c r="M539" s="2"/>
      <c r="N539" s="2"/>
      <c r="O539" s="2"/>
      <c r="P539" s="2"/>
      <c r="Q539" s="2"/>
      <c r="R539" s="2"/>
      <c r="S539" s="2"/>
      <c r="T539" s="2"/>
      <c r="U539" s="2"/>
      <c r="V539" s="2"/>
      <c r="W539" s="2"/>
      <c r="X539" s="2"/>
      <c r="Y539" s="2"/>
      <c r="Z539" s="2"/>
      <c r="AA539" s="2"/>
      <c r="AB539" s="2"/>
      <c r="AC539" s="2"/>
    </row>
    <row r="540" spans="7:29" x14ac:dyDescent="0.35">
      <c r="G540" s="2"/>
      <c r="H540" s="2"/>
      <c r="I540" s="2"/>
      <c r="J540" s="2"/>
      <c r="K540" s="2"/>
      <c r="L540" s="2"/>
      <c r="M540" s="2"/>
      <c r="N540" s="2"/>
      <c r="O540" s="2"/>
      <c r="P540" s="2"/>
      <c r="Q540" s="2"/>
      <c r="R540" s="2"/>
      <c r="S540" s="2"/>
      <c r="T540" s="2"/>
      <c r="U540" s="2"/>
      <c r="V540" s="2"/>
      <c r="W540" s="2"/>
      <c r="X540" s="2"/>
      <c r="Y540" s="2"/>
      <c r="Z540" s="2"/>
      <c r="AA540" s="2"/>
      <c r="AB540" s="2"/>
      <c r="AC540" s="2"/>
    </row>
    <row r="541" spans="7:29" x14ac:dyDescent="0.35">
      <c r="G541" s="2"/>
      <c r="H541" s="2"/>
      <c r="I541" s="2"/>
      <c r="J541" s="2"/>
      <c r="K541" s="2"/>
      <c r="L541" s="2"/>
      <c r="M541" s="2"/>
      <c r="N541" s="2"/>
      <c r="O541" s="2"/>
      <c r="P541" s="2"/>
      <c r="Q541" s="2"/>
      <c r="R541" s="2"/>
      <c r="S541" s="2"/>
      <c r="T541" s="2"/>
      <c r="U541" s="2"/>
      <c r="V541" s="2"/>
      <c r="W541" s="2"/>
      <c r="X541" s="2"/>
      <c r="Y541" s="2"/>
      <c r="Z541" s="2"/>
      <c r="AA541" s="2"/>
      <c r="AB541" s="2"/>
      <c r="AC541" s="2"/>
    </row>
    <row r="542" spans="7:29" x14ac:dyDescent="0.35">
      <c r="G542" s="2"/>
      <c r="H542" s="2"/>
      <c r="I542" s="2"/>
      <c r="J542" s="2"/>
      <c r="K542" s="2"/>
      <c r="L542" s="2"/>
      <c r="M542" s="2"/>
      <c r="N542" s="2"/>
      <c r="O542" s="2"/>
      <c r="P542" s="2"/>
      <c r="Q542" s="2"/>
      <c r="R542" s="2"/>
      <c r="S542" s="2"/>
      <c r="T542" s="2"/>
      <c r="U542" s="2"/>
      <c r="V542" s="2"/>
      <c r="W542" s="2"/>
      <c r="X542" s="2"/>
      <c r="Y542" s="2"/>
      <c r="Z542" s="2"/>
      <c r="AA542" s="2"/>
      <c r="AB542" s="2"/>
      <c r="AC542" s="2"/>
    </row>
    <row r="543" spans="7:29" x14ac:dyDescent="0.35">
      <c r="G543" s="2"/>
      <c r="H543" s="2"/>
      <c r="I543" s="2"/>
      <c r="J543" s="2"/>
      <c r="K543" s="2"/>
      <c r="L543" s="2"/>
      <c r="M543" s="2"/>
      <c r="N543" s="2"/>
      <c r="O543" s="2"/>
      <c r="P543" s="2"/>
      <c r="Q543" s="2"/>
      <c r="R543" s="2"/>
      <c r="S543" s="2"/>
      <c r="T543" s="2"/>
      <c r="U543" s="2"/>
      <c r="V543" s="2"/>
      <c r="W543" s="2"/>
      <c r="X543" s="2"/>
      <c r="Y543" s="2"/>
      <c r="Z543" s="2"/>
      <c r="AA543" s="2"/>
      <c r="AB543" s="2"/>
      <c r="AC543" s="2"/>
    </row>
    <row r="544" spans="7:29" x14ac:dyDescent="0.35">
      <c r="G544" s="2"/>
      <c r="H544" s="2"/>
      <c r="I544" s="2"/>
      <c r="J544" s="2"/>
      <c r="K544" s="2"/>
      <c r="L544" s="2"/>
      <c r="M544" s="2"/>
      <c r="N544" s="2"/>
      <c r="O544" s="2"/>
      <c r="P544" s="2"/>
      <c r="Q544" s="2"/>
      <c r="R544" s="2"/>
      <c r="S544" s="2"/>
      <c r="T544" s="2"/>
      <c r="U544" s="2"/>
      <c r="V544" s="2"/>
      <c r="W544" s="2"/>
      <c r="X544" s="2"/>
      <c r="Y544" s="2"/>
      <c r="Z544" s="2"/>
      <c r="AA544" s="2"/>
      <c r="AB544" s="2"/>
      <c r="AC544" s="2"/>
    </row>
    <row r="545" spans="7:29" x14ac:dyDescent="0.35">
      <c r="G545" s="2"/>
      <c r="H545" s="2"/>
      <c r="I545" s="2"/>
      <c r="J545" s="2"/>
      <c r="K545" s="2"/>
      <c r="L545" s="2"/>
      <c r="M545" s="2"/>
      <c r="N545" s="2"/>
      <c r="O545" s="2"/>
      <c r="P545" s="2"/>
      <c r="Q545" s="2"/>
      <c r="R545" s="2"/>
      <c r="S545" s="2"/>
      <c r="T545" s="2"/>
      <c r="U545" s="2"/>
      <c r="V545" s="2"/>
      <c r="W545" s="2"/>
      <c r="X545" s="2"/>
      <c r="Y545" s="2"/>
      <c r="Z545" s="2"/>
      <c r="AA545" s="2"/>
      <c r="AB545" s="2"/>
      <c r="AC545" s="2"/>
    </row>
    <row r="546" spans="7:29" x14ac:dyDescent="0.35">
      <c r="G546" s="2"/>
      <c r="H546" s="2"/>
      <c r="I546" s="2"/>
      <c r="J546" s="2"/>
      <c r="K546" s="2"/>
      <c r="L546" s="2"/>
      <c r="M546" s="2"/>
      <c r="N546" s="2"/>
      <c r="O546" s="2"/>
      <c r="P546" s="2"/>
      <c r="Q546" s="2"/>
      <c r="R546" s="2"/>
      <c r="S546" s="2"/>
      <c r="T546" s="2"/>
      <c r="U546" s="2"/>
      <c r="V546" s="2"/>
      <c r="W546" s="2"/>
      <c r="X546" s="2"/>
      <c r="Y546" s="2"/>
      <c r="Z546" s="2"/>
      <c r="AA546" s="2"/>
      <c r="AB546" s="2"/>
      <c r="AC546" s="2"/>
    </row>
    <row r="547" spans="7:29" x14ac:dyDescent="0.35">
      <c r="G547" s="2"/>
      <c r="H547" s="2"/>
      <c r="I547" s="2"/>
      <c r="J547" s="2"/>
      <c r="K547" s="2"/>
      <c r="L547" s="2"/>
      <c r="M547" s="2"/>
      <c r="N547" s="2"/>
      <c r="O547" s="2"/>
      <c r="P547" s="2"/>
      <c r="Q547" s="2"/>
      <c r="R547" s="2"/>
      <c r="S547" s="2"/>
      <c r="T547" s="2"/>
      <c r="U547" s="2"/>
      <c r="V547" s="2"/>
      <c r="W547" s="2"/>
      <c r="X547" s="2"/>
      <c r="Y547" s="2"/>
      <c r="Z547" s="2"/>
      <c r="AA547" s="2"/>
      <c r="AB547" s="2"/>
      <c r="AC547" s="2"/>
    </row>
    <row r="548" spans="7:29" x14ac:dyDescent="0.35">
      <c r="G548" s="2"/>
      <c r="H548" s="2"/>
      <c r="I548" s="2"/>
      <c r="J548" s="2"/>
      <c r="K548" s="2"/>
      <c r="L548" s="2"/>
      <c r="M548" s="2"/>
      <c r="N548" s="2"/>
      <c r="O548" s="2"/>
      <c r="P548" s="2"/>
      <c r="Q548" s="2"/>
      <c r="R548" s="2"/>
      <c r="S548" s="2"/>
      <c r="T548" s="2"/>
      <c r="U548" s="2"/>
      <c r="V548" s="2"/>
      <c r="W548" s="2"/>
      <c r="X548" s="2"/>
      <c r="Y548" s="2"/>
      <c r="Z548" s="2"/>
      <c r="AA548" s="2"/>
      <c r="AB548" s="2"/>
      <c r="AC548" s="2"/>
    </row>
    <row r="549" spans="7:29" x14ac:dyDescent="0.35">
      <c r="G549" s="2"/>
      <c r="H549" s="2"/>
      <c r="I549" s="2"/>
      <c r="J549" s="2"/>
      <c r="K549" s="2"/>
      <c r="L549" s="2"/>
      <c r="M549" s="2"/>
      <c r="N549" s="2"/>
      <c r="O549" s="2"/>
      <c r="P549" s="2"/>
      <c r="Q549" s="2"/>
      <c r="R549" s="2"/>
      <c r="S549" s="2"/>
      <c r="T549" s="2"/>
      <c r="U549" s="2"/>
      <c r="V549" s="2"/>
      <c r="W549" s="2"/>
      <c r="X549" s="2"/>
      <c r="Y549" s="2"/>
      <c r="Z549" s="2"/>
      <c r="AA549" s="2"/>
      <c r="AB549" s="2"/>
      <c r="AC549" s="2"/>
    </row>
    <row r="550" spans="7:29" x14ac:dyDescent="0.35">
      <c r="G550" s="2"/>
      <c r="H550" s="2"/>
      <c r="I550" s="2"/>
      <c r="J550" s="2"/>
      <c r="K550" s="2"/>
      <c r="L550" s="2"/>
      <c r="M550" s="2"/>
      <c r="N550" s="2"/>
      <c r="O550" s="2"/>
      <c r="P550" s="2"/>
      <c r="Q550" s="2"/>
      <c r="R550" s="2"/>
      <c r="S550" s="2"/>
      <c r="T550" s="2"/>
      <c r="U550" s="2"/>
      <c r="V550" s="2"/>
      <c r="W550" s="2"/>
      <c r="X550" s="2"/>
      <c r="Y550" s="2"/>
      <c r="Z550" s="2"/>
      <c r="AA550" s="2"/>
      <c r="AB550" s="2"/>
      <c r="AC550" s="2"/>
    </row>
    <row r="551" spans="7:29" x14ac:dyDescent="0.35">
      <c r="G551" s="2"/>
      <c r="H551" s="2"/>
      <c r="I551" s="2"/>
      <c r="J551" s="2"/>
      <c r="K551" s="2"/>
      <c r="L551" s="2"/>
      <c r="M551" s="2"/>
      <c r="N551" s="2"/>
      <c r="O551" s="2"/>
      <c r="P551" s="2"/>
      <c r="Q551" s="2"/>
      <c r="R551" s="2"/>
      <c r="S551" s="2"/>
      <c r="T551" s="2"/>
      <c r="U551" s="2"/>
      <c r="V551" s="2"/>
      <c r="W551" s="2"/>
      <c r="X551" s="2"/>
      <c r="Y551" s="2"/>
      <c r="Z551" s="2"/>
      <c r="AA551" s="2"/>
      <c r="AB551" s="2"/>
      <c r="AC551" s="2"/>
    </row>
    <row r="552" spans="7:29" x14ac:dyDescent="0.35">
      <c r="G552" s="2"/>
      <c r="H552" s="2"/>
      <c r="I552" s="2"/>
      <c r="J552" s="2"/>
      <c r="K552" s="2"/>
      <c r="L552" s="2"/>
      <c r="M552" s="2"/>
      <c r="N552" s="2"/>
      <c r="O552" s="2"/>
      <c r="P552" s="2"/>
      <c r="Q552" s="2"/>
      <c r="R552" s="2"/>
      <c r="S552" s="2"/>
      <c r="T552" s="2"/>
      <c r="U552" s="2"/>
      <c r="V552" s="2"/>
      <c r="W552" s="2"/>
      <c r="X552" s="2"/>
      <c r="Y552" s="2"/>
      <c r="Z552" s="2"/>
      <c r="AA552" s="2"/>
      <c r="AB552" s="2"/>
      <c r="AC552" s="2"/>
    </row>
    <row r="553" spans="7:29" x14ac:dyDescent="0.35">
      <c r="G553" s="2"/>
      <c r="H553" s="2"/>
      <c r="I553" s="2"/>
      <c r="J553" s="2"/>
      <c r="K553" s="2"/>
      <c r="L553" s="2"/>
      <c r="M553" s="2"/>
      <c r="N553" s="2"/>
      <c r="O553" s="2"/>
      <c r="P553" s="2"/>
      <c r="Q553" s="2"/>
      <c r="R553" s="2"/>
      <c r="S553" s="2"/>
      <c r="T553" s="2"/>
      <c r="U553" s="2"/>
      <c r="V553" s="2"/>
      <c r="W553" s="2"/>
      <c r="X553" s="2"/>
      <c r="Y553" s="2"/>
      <c r="Z553" s="2"/>
      <c r="AA553" s="2"/>
      <c r="AB553" s="2"/>
      <c r="AC553" s="2"/>
    </row>
    <row r="554" spans="7:29" x14ac:dyDescent="0.35">
      <c r="G554" s="2"/>
      <c r="H554" s="2"/>
      <c r="I554" s="2"/>
      <c r="J554" s="2"/>
      <c r="K554" s="2"/>
      <c r="L554" s="2"/>
      <c r="M554" s="2"/>
      <c r="N554" s="2"/>
      <c r="O554" s="2"/>
      <c r="P554" s="2"/>
      <c r="Q554" s="2"/>
      <c r="R554" s="2"/>
      <c r="S554" s="2"/>
      <c r="T554" s="2"/>
      <c r="U554" s="2"/>
      <c r="V554" s="2"/>
      <c r="W554" s="2"/>
      <c r="X554" s="2"/>
      <c r="Y554" s="2"/>
      <c r="Z554" s="2"/>
      <c r="AA554" s="2"/>
      <c r="AB554" s="2"/>
      <c r="AC554" s="2"/>
    </row>
    <row r="555" spans="7:29" x14ac:dyDescent="0.35">
      <c r="G555" s="2"/>
      <c r="H555" s="2"/>
      <c r="I555" s="2"/>
      <c r="J555" s="2"/>
      <c r="K555" s="2"/>
      <c r="L555" s="2"/>
      <c r="M555" s="2"/>
      <c r="N555" s="2"/>
      <c r="O555" s="2"/>
      <c r="P555" s="2"/>
      <c r="Q555" s="2"/>
      <c r="R555" s="2"/>
      <c r="S555" s="2"/>
      <c r="T555" s="2"/>
      <c r="U555" s="2"/>
      <c r="V555" s="2"/>
      <c r="W555" s="2"/>
      <c r="X555" s="2"/>
      <c r="Y555" s="2"/>
      <c r="Z555" s="2"/>
      <c r="AA555" s="2"/>
      <c r="AB555" s="2"/>
      <c r="AC555" s="2"/>
    </row>
    <row r="556" spans="7:29" x14ac:dyDescent="0.35">
      <c r="G556" s="2"/>
      <c r="H556" s="2"/>
      <c r="I556" s="2"/>
      <c r="J556" s="2"/>
      <c r="K556" s="2"/>
      <c r="L556" s="2"/>
      <c r="M556" s="2"/>
      <c r="N556" s="2"/>
      <c r="O556" s="2"/>
      <c r="P556" s="2"/>
      <c r="Q556" s="2"/>
      <c r="R556" s="2"/>
      <c r="S556" s="2"/>
      <c r="T556" s="2"/>
      <c r="U556" s="2"/>
      <c r="V556" s="2"/>
      <c r="W556" s="2"/>
      <c r="X556" s="2"/>
      <c r="Y556" s="2"/>
      <c r="Z556" s="2"/>
      <c r="AA556" s="2"/>
      <c r="AB556" s="2"/>
      <c r="AC556" s="2"/>
    </row>
    <row r="557" spans="7:29" x14ac:dyDescent="0.35">
      <c r="G557" s="2"/>
      <c r="H557" s="2"/>
      <c r="I557" s="2"/>
      <c r="J557" s="2"/>
      <c r="K557" s="2"/>
      <c r="L557" s="2"/>
      <c r="M557" s="2"/>
      <c r="N557" s="2"/>
      <c r="O557" s="2"/>
      <c r="P557" s="2"/>
      <c r="Q557" s="2"/>
      <c r="R557" s="2"/>
      <c r="S557" s="2"/>
      <c r="T557" s="2"/>
      <c r="U557" s="2"/>
      <c r="V557" s="2"/>
      <c r="W557" s="2"/>
      <c r="X557" s="2"/>
      <c r="Y557" s="2"/>
      <c r="Z557" s="2"/>
      <c r="AA557" s="2"/>
      <c r="AB557" s="2"/>
      <c r="AC557" s="2"/>
    </row>
    <row r="558" spans="7:29" x14ac:dyDescent="0.35">
      <c r="G558" s="2"/>
      <c r="H558" s="2"/>
      <c r="I558" s="2"/>
      <c r="J558" s="2"/>
      <c r="K558" s="2"/>
      <c r="L558" s="2"/>
      <c r="M558" s="2"/>
      <c r="N558" s="2"/>
      <c r="O558" s="2"/>
      <c r="P558" s="2"/>
      <c r="Q558" s="2"/>
      <c r="R558" s="2"/>
      <c r="S558" s="2"/>
      <c r="T558" s="2"/>
      <c r="U558" s="2"/>
      <c r="V558" s="2"/>
      <c r="W558" s="2"/>
      <c r="X558" s="2"/>
      <c r="Y558" s="2"/>
      <c r="Z558" s="2"/>
      <c r="AA558" s="2"/>
      <c r="AB558" s="2"/>
      <c r="AC558" s="2"/>
    </row>
    <row r="559" spans="7:29" x14ac:dyDescent="0.35">
      <c r="G559" s="2"/>
      <c r="H559" s="2"/>
      <c r="I559" s="2"/>
      <c r="J559" s="2"/>
      <c r="K559" s="2"/>
      <c r="L559" s="2"/>
      <c r="M559" s="2"/>
      <c r="N559" s="2"/>
      <c r="O559" s="2"/>
      <c r="P559" s="2"/>
      <c r="Q559" s="2"/>
      <c r="R559" s="2"/>
      <c r="S559" s="2"/>
      <c r="T559" s="2"/>
      <c r="U559" s="2"/>
      <c r="V559" s="2"/>
      <c r="W559" s="2"/>
      <c r="X559" s="2"/>
      <c r="Y559" s="2"/>
      <c r="Z559" s="2"/>
      <c r="AA559" s="2"/>
      <c r="AB559" s="2"/>
      <c r="AC559" s="2"/>
    </row>
    <row r="560" spans="7:29" x14ac:dyDescent="0.35">
      <c r="G560" s="2"/>
      <c r="H560" s="2"/>
      <c r="I560" s="2"/>
      <c r="J560" s="2"/>
      <c r="K560" s="2"/>
      <c r="L560" s="2"/>
      <c r="M560" s="2"/>
      <c r="N560" s="2"/>
      <c r="O560" s="2"/>
      <c r="P560" s="2"/>
      <c r="Q560" s="2"/>
      <c r="R560" s="2"/>
      <c r="S560" s="2"/>
      <c r="T560" s="2"/>
      <c r="U560" s="2"/>
      <c r="V560" s="2"/>
      <c r="W560" s="2"/>
      <c r="X560" s="2"/>
      <c r="Y560" s="2"/>
      <c r="Z560" s="2"/>
      <c r="AA560" s="2"/>
      <c r="AB560" s="2"/>
      <c r="AC560" s="2"/>
    </row>
    <row r="561" spans="7:29" x14ac:dyDescent="0.35">
      <c r="G561" s="2"/>
      <c r="H561" s="2"/>
      <c r="I561" s="2"/>
      <c r="J561" s="2"/>
      <c r="K561" s="2"/>
      <c r="L561" s="2"/>
      <c r="M561" s="2"/>
      <c r="N561" s="2"/>
      <c r="O561" s="2"/>
      <c r="P561" s="2"/>
      <c r="Q561" s="2"/>
      <c r="R561" s="2"/>
      <c r="S561" s="2"/>
      <c r="T561" s="2"/>
      <c r="U561" s="2"/>
      <c r="V561" s="2"/>
      <c r="W561" s="2"/>
      <c r="X561" s="2"/>
      <c r="Y561" s="2"/>
      <c r="Z561" s="2"/>
      <c r="AA561" s="2"/>
      <c r="AB561" s="2"/>
      <c r="AC561" s="2"/>
    </row>
    <row r="562" spans="7:29" x14ac:dyDescent="0.35">
      <c r="G562" s="2"/>
      <c r="H562" s="2"/>
      <c r="I562" s="2"/>
      <c r="J562" s="2"/>
      <c r="K562" s="2"/>
      <c r="L562" s="2"/>
      <c r="M562" s="2"/>
      <c r="N562" s="2"/>
      <c r="O562" s="2"/>
      <c r="P562" s="2"/>
      <c r="Q562" s="2"/>
      <c r="R562" s="2"/>
      <c r="S562" s="2"/>
      <c r="T562" s="2"/>
      <c r="U562" s="2"/>
      <c r="V562" s="2"/>
      <c r="W562" s="2"/>
      <c r="X562" s="2"/>
      <c r="Y562" s="2"/>
      <c r="Z562" s="2"/>
      <c r="AA562" s="2"/>
      <c r="AB562" s="2"/>
      <c r="AC562" s="2"/>
    </row>
    <row r="563" spans="7:29" x14ac:dyDescent="0.35">
      <c r="G563" s="2"/>
      <c r="H563" s="2"/>
      <c r="I563" s="2"/>
      <c r="J563" s="2"/>
      <c r="K563" s="2"/>
      <c r="L563" s="2"/>
      <c r="M563" s="2"/>
      <c r="N563" s="2"/>
      <c r="O563" s="2"/>
      <c r="P563" s="2"/>
      <c r="Q563" s="2"/>
      <c r="R563" s="2"/>
      <c r="S563" s="2"/>
      <c r="T563" s="2"/>
      <c r="U563" s="2"/>
      <c r="V563" s="2"/>
      <c r="W563" s="2"/>
      <c r="X563" s="2"/>
      <c r="Y563" s="2"/>
      <c r="Z563" s="2"/>
      <c r="AA563" s="2"/>
      <c r="AB563" s="2"/>
      <c r="AC563" s="2"/>
    </row>
    <row r="564" spans="7:29" x14ac:dyDescent="0.35">
      <c r="G564" s="2"/>
      <c r="H564" s="2"/>
      <c r="I564" s="2"/>
      <c r="J564" s="2"/>
      <c r="K564" s="2"/>
      <c r="L564" s="2"/>
      <c r="M564" s="2"/>
      <c r="N564" s="2"/>
      <c r="O564" s="2"/>
      <c r="P564" s="2"/>
      <c r="Q564" s="2"/>
      <c r="R564" s="2"/>
      <c r="S564" s="2"/>
      <c r="T564" s="2"/>
      <c r="U564" s="2"/>
      <c r="V564" s="2"/>
      <c r="W564" s="2"/>
      <c r="X564" s="2"/>
      <c r="Y564" s="2"/>
      <c r="Z564" s="2"/>
      <c r="AA564" s="2"/>
      <c r="AB564" s="2"/>
      <c r="AC564" s="2"/>
    </row>
    <row r="565" spans="7:29" x14ac:dyDescent="0.35">
      <c r="G565" s="2"/>
      <c r="H565" s="2"/>
      <c r="I565" s="2"/>
      <c r="J565" s="2"/>
      <c r="K565" s="2"/>
      <c r="L565" s="2"/>
      <c r="M565" s="2"/>
      <c r="N565" s="2"/>
      <c r="O565" s="2"/>
      <c r="P565" s="2"/>
      <c r="Q565" s="2"/>
      <c r="R565" s="2"/>
      <c r="S565" s="2"/>
      <c r="T565" s="2"/>
      <c r="U565" s="2"/>
      <c r="V565" s="2"/>
      <c r="W565" s="2"/>
      <c r="X565" s="2"/>
      <c r="Y565" s="2"/>
      <c r="Z565" s="2"/>
      <c r="AA565" s="2"/>
      <c r="AB565" s="2"/>
      <c r="AC565" s="2"/>
    </row>
    <row r="566" spans="7:29" x14ac:dyDescent="0.35">
      <c r="G566" s="2"/>
      <c r="H566" s="2"/>
      <c r="I566" s="2"/>
      <c r="J566" s="2"/>
      <c r="K566" s="2"/>
      <c r="L566" s="2"/>
      <c r="M566" s="2"/>
      <c r="N566" s="2"/>
      <c r="O566" s="2"/>
      <c r="P566" s="2"/>
      <c r="Q566" s="2"/>
      <c r="R566" s="2"/>
      <c r="S566" s="2"/>
      <c r="T566" s="2"/>
      <c r="U566" s="2"/>
      <c r="V566" s="2"/>
      <c r="W566" s="2"/>
      <c r="X566" s="2"/>
      <c r="Y566" s="2"/>
      <c r="Z566" s="2"/>
      <c r="AA566" s="2"/>
      <c r="AB566" s="2"/>
      <c r="AC566" s="2"/>
    </row>
    <row r="567" spans="7:29" x14ac:dyDescent="0.35">
      <c r="G567" s="2"/>
      <c r="H567" s="2"/>
      <c r="I567" s="2"/>
      <c r="J567" s="2"/>
      <c r="K567" s="2"/>
      <c r="L567" s="2"/>
      <c r="M567" s="2"/>
      <c r="N567" s="2"/>
      <c r="O567" s="2"/>
      <c r="P567" s="2"/>
      <c r="Q567" s="2"/>
      <c r="R567" s="2"/>
      <c r="S567" s="2"/>
      <c r="T567" s="2"/>
      <c r="U567" s="2"/>
      <c r="V567" s="2"/>
      <c r="W567" s="2"/>
      <c r="X567" s="2"/>
      <c r="Y567" s="2"/>
      <c r="Z567" s="2"/>
      <c r="AA567" s="2"/>
      <c r="AB567" s="2"/>
      <c r="AC567" s="2"/>
    </row>
    <row r="568" spans="7:29" x14ac:dyDescent="0.35">
      <c r="G568" s="2"/>
      <c r="H568" s="2"/>
      <c r="I568" s="2"/>
      <c r="J568" s="2"/>
      <c r="K568" s="2"/>
      <c r="L568" s="2"/>
      <c r="M568" s="2"/>
      <c r="N568" s="2"/>
      <c r="O568" s="2"/>
      <c r="P568" s="2"/>
      <c r="Q568" s="2"/>
      <c r="R568" s="2"/>
      <c r="S568" s="2"/>
      <c r="T568" s="2"/>
      <c r="U568" s="2"/>
      <c r="V568" s="2"/>
      <c r="W568" s="2"/>
      <c r="X568" s="2"/>
      <c r="Y568" s="2"/>
      <c r="Z568" s="2"/>
      <c r="AA568" s="2"/>
      <c r="AB568" s="2"/>
      <c r="AC568" s="2"/>
    </row>
    <row r="569" spans="7:29" x14ac:dyDescent="0.35">
      <c r="G569" s="2"/>
      <c r="H569" s="2"/>
      <c r="I569" s="2"/>
      <c r="J569" s="2"/>
      <c r="K569" s="2"/>
      <c r="L569" s="2"/>
      <c r="M569" s="2"/>
      <c r="N569" s="2"/>
      <c r="O569" s="2"/>
      <c r="P569" s="2"/>
      <c r="Q569" s="2"/>
      <c r="R569" s="2"/>
      <c r="S569" s="2"/>
      <c r="T569" s="2"/>
      <c r="U569" s="2"/>
      <c r="V569" s="2"/>
      <c r="W569" s="2"/>
      <c r="X569" s="2"/>
      <c r="Y569" s="2"/>
      <c r="Z569" s="2"/>
      <c r="AA569" s="2"/>
      <c r="AB569" s="2"/>
      <c r="AC569" s="2"/>
    </row>
    <row r="570" spans="7:29" x14ac:dyDescent="0.35">
      <c r="G570" s="2"/>
      <c r="H570" s="2"/>
      <c r="I570" s="2"/>
      <c r="J570" s="2"/>
      <c r="K570" s="2"/>
      <c r="L570" s="2"/>
      <c r="M570" s="2"/>
      <c r="N570" s="2"/>
      <c r="O570" s="2"/>
      <c r="P570" s="2"/>
      <c r="Q570" s="2"/>
      <c r="R570" s="2"/>
      <c r="S570" s="2"/>
      <c r="T570" s="2"/>
      <c r="U570" s="2"/>
      <c r="V570" s="2"/>
      <c r="W570" s="2"/>
      <c r="X570" s="2"/>
      <c r="Y570" s="2"/>
      <c r="Z570" s="2"/>
      <c r="AA570" s="2"/>
      <c r="AB570" s="2"/>
      <c r="AC570" s="2"/>
    </row>
    <row r="571" spans="7:29" x14ac:dyDescent="0.35">
      <c r="G571" s="2"/>
      <c r="H571" s="2"/>
      <c r="I571" s="2"/>
      <c r="J571" s="2"/>
      <c r="K571" s="2"/>
      <c r="L571" s="2"/>
      <c r="M571" s="2"/>
      <c r="N571" s="2"/>
      <c r="O571" s="2"/>
      <c r="P571" s="2"/>
      <c r="Q571" s="2"/>
      <c r="R571" s="2"/>
      <c r="S571" s="2"/>
      <c r="T571" s="2"/>
      <c r="U571" s="2"/>
      <c r="V571" s="2"/>
      <c r="W571" s="2"/>
      <c r="X571" s="2"/>
      <c r="Y571" s="2"/>
      <c r="Z571" s="2"/>
      <c r="AA571" s="2"/>
      <c r="AB571" s="2"/>
      <c r="AC571" s="2"/>
    </row>
    <row r="572" spans="7:29" x14ac:dyDescent="0.35">
      <c r="G572" s="2"/>
      <c r="H572" s="2"/>
      <c r="I572" s="2"/>
      <c r="J572" s="2"/>
      <c r="K572" s="2"/>
      <c r="L572" s="2"/>
      <c r="M572" s="2"/>
      <c r="N572" s="2"/>
      <c r="O572" s="2"/>
      <c r="P572" s="2"/>
      <c r="Q572" s="2"/>
      <c r="R572" s="2"/>
      <c r="S572" s="2"/>
      <c r="T572" s="2"/>
      <c r="U572" s="2"/>
      <c r="V572" s="2"/>
      <c r="W572" s="2"/>
      <c r="X572" s="2"/>
      <c r="Y572" s="2"/>
      <c r="Z572" s="2"/>
      <c r="AA572" s="2"/>
      <c r="AB572" s="2"/>
      <c r="AC572" s="2"/>
    </row>
    <row r="573" spans="7:29" x14ac:dyDescent="0.35">
      <c r="G573" s="2"/>
      <c r="H573" s="2"/>
      <c r="I573" s="2"/>
      <c r="J573" s="2"/>
      <c r="K573" s="2"/>
      <c r="L573" s="2"/>
      <c r="M573" s="2"/>
      <c r="N573" s="2"/>
      <c r="O573" s="2"/>
      <c r="P573" s="2"/>
      <c r="Q573" s="2"/>
      <c r="R573" s="2"/>
      <c r="S573" s="2"/>
      <c r="T573" s="2"/>
      <c r="U573" s="2"/>
      <c r="V573" s="2"/>
      <c r="W573" s="2"/>
      <c r="X573" s="2"/>
      <c r="Y573" s="2"/>
      <c r="Z573" s="2"/>
      <c r="AA573" s="2"/>
      <c r="AB573" s="2"/>
      <c r="AC573" s="2"/>
    </row>
    <row r="574" spans="7:29" x14ac:dyDescent="0.35">
      <c r="G574" s="2"/>
      <c r="H574" s="2"/>
      <c r="I574" s="2"/>
      <c r="J574" s="2"/>
      <c r="K574" s="2"/>
      <c r="L574" s="2"/>
      <c r="M574" s="2"/>
      <c r="N574" s="2"/>
      <c r="O574" s="2"/>
      <c r="P574" s="2"/>
      <c r="Q574" s="2"/>
      <c r="R574" s="2"/>
      <c r="S574" s="2"/>
      <c r="T574" s="2"/>
      <c r="U574" s="2"/>
      <c r="V574" s="2"/>
      <c r="W574" s="2"/>
      <c r="X574" s="2"/>
      <c r="Y574" s="2"/>
      <c r="Z574" s="2"/>
      <c r="AA574" s="2"/>
      <c r="AB574" s="2"/>
      <c r="AC574" s="2"/>
    </row>
    <row r="575" spans="7:29" x14ac:dyDescent="0.35">
      <c r="G575" s="2"/>
      <c r="H575" s="2"/>
      <c r="I575" s="2"/>
      <c r="J575" s="2"/>
      <c r="K575" s="2"/>
      <c r="L575" s="2"/>
      <c r="M575" s="2"/>
      <c r="N575" s="2"/>
      <c r="O575" s="2"/>
      <c r="P575" s="2"/>
      <c r="Q575" s="2"/>
      <c r="R575" s="2"/>
      <c r="S575" s="2"/>
      <c r="T575" s="2"/>
      <c r="U575" s="2"/>
      <c r="V575" s="2"/>
      <c r="W575" s="2"/>
      <c r="X575" s="2"/>
      <c r="Y575" s="2"/>
      <c r="Z575" s="2"/>
      <c r="AA575" s="2"/>
      <c r="AB575" s="2"/>
      <c r="AC575" s="2"/>
    </row>
    <row r="576" spans="7:29" x14ac:dyDescent="0.35">
      <c r="G576" s="2"/>
      <c r="H576" s="2"/>
      <c r="I576" s="2"/>
      <c r="J576" s="2"/>
      <c r="K576" s="2"/>
      <c r="L576" s="2"/>
      <c r="M576" s="2"/>
      <c r="N576" s="2"/>
      <c r="O576" s="2"/>
      <c r="P576" s="2"/>
      <c r="Q576" s="2"/>
      <c r="R576" s="2"/>
      <c r="S576" s="2"/>
      <c r="T576" s="2"/>
      <c r="U576" s="2"/>
      <c r="V576" s="2"/>
      <c r="W576" s="2"/>
      <c r="X576" s="2"/>
      <c r="Y576" s="2"/>
      <c r="Z576" s="2"/>
      <c r="AA576" s="2"/>
      <c r="AB576" s="2"/>
      <c r="AC576" s="2"/>
    </row>
    <row r="577" spans="7:29" x14ac:dyDescent="0.35">
      <c r="G577" s="2"/>
      <c r="H577" s="2"/>
      <c r="I577" s="2"/>
      <c r="J577" s="2"/>
      <c r="K577" s="2"/>
      <c r="L577" s="2"/>
      <c r="M577" s="2"/>
      <c r="N577" s="2"/>
      <c r="O577" s="2"/>
      <c r="P577" s="2"/>
      <c r="Q577" s="2"/>
      <c r="R577" s="2"/>
      <c r="S577" s="2"/>
      <c r="T577" s="2"/>
      <c r="U577" s="2"/>
      <c r="V577" s="2"/>
      <c r="W577" s="2"/>
      <c r="X577" s="2"/>
      <c r="Y577" s="2"/>
      <c r="Z577" s="2"/>
      <c r="AA577" s="2"/>
      <c r="AB577" s="2"/>
      <c r="AC577" s="2"/>
    </row>
    <row r="578" spans="7:29" x14ac:dyDescent="0.35">
      <c r="G578" s="2"/>
      <c r="H578" s="2"/>
      <c r="I578" s="2"/>
      <c r="J578" s="2"/>
      <c r="K578" s="2"/>
      <c r="L578" s="2"/>
      <c r="M578" s="2"/>
      <c r="N578" s="2"/>
      <c r="O578" s="2"/>
      <c r="P578" s="2"/>
      <c r="Q578" s="2"/>
      <c r="R578" s="2"/>
      <c r="S578" s="2"/>
      <c r="T578" s="2"/>
      <c r="U578" s="2"/>
      <c r="V578" s="2"/>
      <c r="W578" s="2"/>
      <c r="X578" s="2"/>
      <c r="Y578" s="2"/>
      <c r="Z578" s="2"/>
      <c r="AA578" s="2"/>
      <c r="AB578" s="2"/>
      <c r="AC578" s="2"/>
    </row>
    <row r="579" spans="7:29" x14ac:dyDescent="0.35">
      <c r="G579" s="2"/>
      <c r="H579" s="2"/>
      <c r="I579" s="2"/>
      <c r="J579" s="2"/>
      <c r="K579" s="2"/>
      <c r="L579" s="2"/>
      <c r="M579" s="2"/>
      <c r="N579" s="2"/>
      <c r="O579" s="2"/>
      <c r="P579" s="2"/>
      <c r="Q579" s="2"/>
      <c r="R579" s="2"/>
      <c r="S579" s="2"/>
      <c r="T579" s="2"/>
      <c r="U579" s="2"/>
      <c r="V579" s="2"/>
      <c r="W579" s="2"/>
      <c r="X579" s="2"/>
      <c r="Y579" s="2"/>
      <c r="Z579" s="2"/>
      <c r="AA579" s="2"/>
      <c r="AB579" s="2"/>
      <c r="AC579" s="2"/>
    </row>
    <row r="580" spans="7:29" x14ac:dyDescent="0.35">
      <c r="G580" s="2"/>
      <c r="H580" s="2"/>
      <c r="I580" s="2"/>
      <c r="J580" s="2"/>
      <c r="K580" s="2"/>
      <c r="L580" s="2"/>
      <c r="M580" s="2"/>
      <c r="N580" s="2"/>
      <c r="O580" s="2"/>
      <c r="P580" s="2"/>
      <c r="Q580" s="2"/>
      <c r="R580" s="2"/>
      <c r="S580" s="2"/>
      <c r="T580" s="2"/>
      <c r="U580" s="2"/>
      <c r="V580" s="2"/>
      <c r="W580" s="2"/>
      <c r="X580" s="2"/>
      <c r="Y580" s="2"/>
      <c r="Z580" s="2"/>
      <c r="AA580" s="2"/>
      <c r="AB580" s="2"/>
      <c r="AC580" s="2"/>
    </row>
    <row r="581" spans="7:29" x14ac:dyDescent="0.35">
      <c r="G581" s="2"/>
      <c r="H581" s="2"/>
      <c r="I581" s="2"/>
      <c r="J581" s="2"/>
      <c r="K581" s="2"/>
      <c r="L581" s="2"/>
      <c r="M581" s="2"/>
      <c r="N581" s="2"/>
      <c r="O581" s="2"/>
      <c r="P581" s="2"/>
      <c r="Q581" s="2"/>
      <c r="R581" s="2"/>
      <c r="S581" s="2"/>
      <c r="T581" s="2"/>
      <c r="U581" s="2"/>
      <c r="V581" s="2"/>
      <c r="W581" s="2"/>
      <c r="X581" s="2"/>
      <c r="Y581" s="2"/>
      <c r="Z581" s="2"/>
      <c r="AA581" s="2"/>
      <c r="AB581" s="2"/>
      <c r="AC581" s="2"/>
    </row>
    <row r="582" spans="7:29" x14ac:dyDescent="0.35">
      <c r="G582" s="2"/>
      <c r="H582" s="2"/>
      <c r="I582" s="2"/>
      <c r="J582" s="2"/>
      <c r="K582" s="2"/>
      <c r="L582" s="2"/>
      <c r="M582" s="2"/>
      <c r="N582" s="2"/>
      <c r="O582" s="2"/>
      <c r="P582" s="2"/>
      <c r="Q582" s="2"/>
      <c r="R582" s="2"/>
      <c r="S582" s="2"/>
      <c r="T582" s="2"/>
      <c r="U582" s="2"/>
      <c r="V582" s="2"/>
      <c r="W582" s="2"/>
      <c r="X582" s="2"/>
      <c r="Y582" s="2"/>
      <c r="Z582" s="2"/>
      <c r="AA582" s="2"/>
      <c r="AB582" s="2"/>
      <c r="AC582" s="2"/>
    </row>
    <row r="583" spans="7:29" x14ac:dyDescent="0.35">
      <c r="G583" s="2"/>
      <c r="H583" s="2"/>
      <c r="I583" s="2"/>
      <c r="J583" s="2"/>
      <c r="K583" s="2"/>
      <c r="L583" s="2"/>
      <c r="M583" s="2"/>
      <c r="N583" s="2"/>
      <c r="O583" s="2"/>
      <c r="P583" s="2"/>
      <c r="Q583" s="2"/>
      <c r="R583" s="2"/>
      <c r="S583" s="2"/>
      <c r="T583" s="2"/>
      <c r="U583" s="2"/>
      <c r="V583" s="2"/>
      <c r="W583" s="2"/>
      <c r="X583" s="2"/>
      <c r="Y583" s="2"/>
      <c r="Z583" s="2"/>
      <c r="AA583" s="2"/>
      <c r="AB583" s="2"/>
      <c r="AC583" s="2"/>
    </row>
    <row r="584" spans="7:29" x14ac:dyDescent="0.35">
      <c r="G584" s="2"/>
      <c r="H584" s="2"/>
      <c r="I584" s="2"/>
      <c r="J584" s="2"/>
      <c r="K584" s="2"/>
      <c r="L584" s="2"/>
      <c r="M584" s="2"/>
      <c r="N584" s="2"/>
      <c r="O584" s="2"/>
      <c r="P584" s="2"/>
      <c r="Q584" s="2"/>
      <c r="R584" s="2"/>
      <c r="S584" s="2"/>
      <c r="T584" s="2"/>
      <c r="U584" s="2"/>
      <c r="V584" s="2"/>
      <c r="W584" s="2"/>
      <c r="X584" s="2"/>
      <c r="Y584" s="2"/>
      <c r="Z584" s="2"/>
      <c r="AA584" s="2"/>
      <c r="AB584" s="2"/>
      <c r="AC584" s="2"/>
    </row>
    <row r="585" spans="7:29" x14ac:dyDescent="0.35">
      <c r="G585" s="2"/>
      <c r="H585" s="2"/>
      <c r="I585" s="2"/>
      <c r="J585" s="2"/>
      <c r="K585" s="2"/>
      <c r="L585" s="2"/>
      <c r="M585" s="2"/>
      <c r="N585" s="2"/>
      <c r="O585" s="2"/>
      <c r="P585" s="2"/>
      <c r="Q585" s="2"/>
      <c r="R585" s="2"/>
      <c r="S585" s="2"/>
      <c r="T585" s="2"/>
      <c r="U585" s="2"/>
      <c r="V585" s="2"/>
      <c r="W585" s="2"/>
      <c r="X585" s="2"/>
      <c r="Y585" s="2"/>
      <c r="Z585" s="2"/>
      <c r="AA585" s="2"/>
      <c r="AB585" s="2"/>
      <c r="AC585" s="2"/>
    </row>
    <row r="586" spans="7:29" x14ac:dyDescent="0.35">
      <c r="G586" s="2"/>
      <c r="H586" s="2"/>
      <c r="I586" s="2"/>
      <c r="J586" s="2"/>
      <c r="K586" s="2"/>
      <c r="L586" s="2"/>
      <c r="M586" s="2"/>
      <c r="N586" s="2"/>
      <c r="O586" s="2"/>
      <c r="P586" s="2"/>
      <c r="Q586" s="2"/>
      <c r="R586" s="2"/>
      <c r="S586" s="2"/>
      <c r="T586" s="2"/>
      <c r="U586" s="2"/>
      <c r="V586" s="2"/>
      <c r="W586" s="2"/>
      <c r="X586" s="2"/>
      <c r="Y586" s="2"/>
      <c r="Z586" s="2"/>
      <c r="AA586" s="2"/>
      <c r="AB586" s="2"/>
      <c r="AC586" s="2"/>
    </row>
    <row r="587" spans="7:29" x14ac:dyDescent="0.35">
      <c r="G587" s="2"/>
      <c r="H587" s="2"/>
      <c r="I587" s="2"/>
      <c r="J587" s="2"/>
      <c r="K587" s="2"/>
      <c r="L587" s="2"/>
      <c r="M587" s="2"/>
      <c r="N587" s="2"/>
      <c r="O587" s="2"/>
      <c r="P587" s="2"/>
      <c r="Q587" s="2"/>
      <c r="R587" s="2"/>
      <c r="S587" s="2"/>
      <c r="T587" s="2"/>
      <c r="U587" s="2"/>
      <c r="V587" s="2"/>
      <c r="W587" s="2"/>
      <c r="X587" s="2"/>
      <c r="Y587" s="2"/>
      <c r="Z587" s="2"/>
      <c r="AA587" s="2"/>
      <c r="AB587" s="2"/>
      <c r="AC587" s="2"/>
    </row>
    <row r="588" spans="7:29" x14ac:dyDescent="0.35">
      <c r="G588" s="2"/>
      <c r="H588" s="2"/>
      <c r="I588" s="2"/>
      <c r="J588" s="2"/>
      <c r="K588" s="2"/>
      <c r="L588" s="2"/>
      <c r="M588" s="2"/>
      <c r="N588" s="2"/>
      <c r="O588" s="2"/>
      <c r="P588" s="2"/>
      <c r="Q588" s="2"/>
      <c r="R588" s="2"/>
      <c r="S588" s="2"/>
      <c r="T588" s="2"/>
      <c r="U588" s="2"/>
      <c r="V588" s="2"/>
      <c r="W588" s="2"/>
      <c r="X588" s="2"/>
      <c r="Y588" s="2"/>
      <c r="Z588" s="2"/>
      <c r="AA588" s="2"/>
      <c r="AB588" s="2"/>
      <c r="AC588" s="2"/>
    </row>
    <row r="589" spans="7:29" x14ac:dyDescent="0.35">
      <c r="G589" s="2"/>
      <c r="H589" s="2"/>
      <c r="I589" s="2"/>
      <c r="J589" s="2"/>
      <c r="K589" s="2"/>
      <c r="L589" s="2"/>
      <c r="M589" s="2"/>
      <c r="N589" s="2"/>
      <c r="O589" s="2"/>
      <c r="P589" s="2"/>
      <c r="Q589" s="2"/>
      <c r="R589" s="2"/>
      <c r="S589" s="2"/>
      <c r="T589" s="2"/>
      <c r="U589" s="2"/>
      <c r="V589" s="2"/>
      <c r="W589" s="2"/>
      <c r="X589" s="2"/>
      <c r="Y589" s="2"/>
      <c r="Z589" s="2"/>
      <c r="AA589" s="2"/>
      <c r="AB589" s="2"/>
      <c r="AC589" s="2"/>
    </row>
    <row r="590" spans="7:29" x14ac:dyDescent="0.35">
      <c r="G590" s="2"/>
      <c r="H590" s="2"/>
      <c r="I590" s="2"/>
      <c r="J590" s="2"/>
      <c r="K590" s="2"/>
      <c r="L590" s="2"/>
      <c r="M590" s="2"/>
      <c r="N590" s="2"/>
      <c r="O590" s="2"/>
      <c r="P590" s="2"/>
      <c r="Q590" s="2"/>
      <c r="R590" s="2"/>
      <c r="S590" s="2"/>
      <c r="T590" s="2"/>
      <c r="U590" s="2"/>
      <c r="V590" s="2"/>
      <c r="W590" s="2"/>
      <c r="X590" s="2"/>
      <c r="Y590" s="2"/>
      <c r="Z590" s="2"/>
      <c r="AA590" s="2"/>
      <c r="AB590" s="2"/>
      <c r="AC590" s="2"/>
    </row>
    <row r="591" spans="7:29" x14ac:dyDescent="0.35">
      <c r="G591" s="2"/>
      <c r="H591" s="2"/>
      <c r="I591" s="2"/>
      <c r="J591" s="2"/>
      <c r="K591" s="2"/>
      <c r="L591" s="2"/>
      <c r="M591" s="2"/>
      <c r="N591" s="2"/>
      <c r="O591" s="2"/>
      <c r="P591" s="2"/>
      <c r="Q591" s="2"/>
      <c r="R591" s="2"/>
      <c r="S591" s="2"/>
      <c r="T591" s="2"/>
      <c r="U591" s="2"/>
      <c r="V591" s="2"/>
      <c r="W591" s="2"/>
      <c r="X591" s="2"/>
      <c r="Y591" s="2"/>
      <c r="Z591" s="2"/>
      <c r="AA591" s="2"/>
      <c r="AB591" s="2"/>
      <c r="AC591" s="2"/>
    </row>
    <row r="592" spans="7:29" x14ac:dyDescent="0.35">
      <c r="G592" s="2"/>
      <c r="H592" s="2"/>
      <c r="I592" s="2"/>
      <c r="J592" s="2"/>
      <c r="K592" s="2"/>
      <c r="L592" s="2"/>
      <c r="M592" s="2"/>
      <c r="N592" s="2"/>
      <c r="O592" s="2"/>
      <c r="P592" s="2"/>
      <c r="Q592" s="2"/>
      <c r="R592" s="2"/>
      <c r="S592" s="2"/>
      <c r="T592" s="2"/>
      <c r="U592" s="2"/>
      <c r="V592" s="2"/>
      <c r="W592" s="2"/>
      <c r="X592" s="2"/>
      <c r="Y592" s="2"/>
      <c r="Z592" s="2"/>
      <c r="AA592" s="2"/>
      <c r="AB592" s="2"/>
      <c r="AC592" s="2"/>
    </row>
    <row r="593" spans="7:29" x14ac:dyDescent="0.35">
      <c r="G593" s="2"/>
      <c r="H593" s="2"/>
      <c r="I593" s="2"/>
      <c r="J593" s="2"/>
      <c r="K593" s="2"/>
      <c r="L593" s="2"/>
      <c r="M593" s="2"/>
      <c r="N593" s="2"/>
      <c r="O593" s="2"/>
      <c r="P593" s="2"/>
      <c r="Q593" s="2"/>
      <c r="R593" s="2"/>
      <c r="S593" s="2"/>
      <c r="T593" s="2"/>
      <c r="U593" s="2"/>
      <c r="V593" s="2"/>
      <c r="W593" s="2"/>
      <c r="X593" s="2"/>
      <c r="Y593" s="2"/>
      <c r="Z593" s="2"/>
      <c r="AA593" s="2"/>
      <c r="AB593" s="2"/>
      <c r="AC593" s="2"/>
    </row>
    <row r="594" spans="7:29" x14ac:dyDescent="0.35">
      <c r="G594" s="2"/>
      <c r="H594" s="2"/>
      <c r="I594" s="2"/>
      <c r="J594" s="2"/>
      <c r="K594" s="2"/>
      <c r="L594" s="2"/>
      <c r="M594" s="2"/>
      <c r="N594" s="2"/>
      <c r="O594" s="2"/>
      <c r="P594" s="2"/>
      <c r="Q594" s="2"/>
      <c r="R594" s="2"/>
      <c r="S594" s="2"/>
      <c r="T594" s="2"/>
      <c r="U594" s="2"/>
      <c r="V594" s="2"/>
      <c r="W594" s="2"/>
      <c r="X594" s="2"/>
      <c r="Y594" s="2"/>
      <c r="Z594" s="2"/>
      <c r="AA594" s="2"/>
      <c r="AB594" s="2"/>
      <c r="AC594" s="2"/>
    </row>
    <row r="595" spans="7:29" x14ac:dyDescent="0.35">
      <c r="G595" s="2"/>
      <c r="H595" s="2"/>
      <c r="I595" s="2"/>
      <c r="J595" s="2"/>
      <c r="K595" s="2"/>
      <c r="L595" s="2"/>
      <c r="M595" s="2"/>
      <c r="N595" s="2"/>
      <c r="O595" s="2"/>
      <c r="P595" s="2"/>
      <c r="Q595" s="2"/>
      <c r="R595" s="2"/>
      <c r="S595" s="2"/>
      <c r="T595" s="2"/>
      <c r="U595" s="2"/>
      <c r="V595" s="2"/>
      <c r="W595" s="2"/>
      <c r="X595" s="2"/>
      <c r="Y595" s="2"/>
      <c r="Z595" s="2"/>
      <c r="AA595" s="2"/>
      <c r="AB595" s="2"/>
      <c r="AC595" s="2"/>
    </row>
    <row r="596" spans="7:29" x14ac:dyDescent="0.35">
      <c r="G596" s="2"/>
      <c r="H596" s="2"/>
      <c r="I596" s="2"/>
      <c r="J596" s="2"/>
      <c r="K596" s="2"/>
      <c r="L596" s="2"/>
      <c r="M596" s="2"/>
      <c r="N596" s="2"/>
      <c r="O596" s="2"/>
      <c r="P596" s="2"/>
      <c r="Q596" s="2"/>
      <c r="R596" s="2"/>
      <c r="S596" s="2"/>
      <c r="T596" s="2"/>
      <c r="U596" s="2"/>
      <c r="V596" s="2"/>
      <c r="W596" s="2"/>
      <c r="X596" s="2"/>
      <c r="Y596" s="2"/>
      <c r="Z596" s="2"/>
      <c r="AA596" s="2"/>
      <c r="AB596" s="2"/>
      <c r="AC596" s="2"/>
    </row>
    <row r="597" spans="7:29" x14ac:dyDescent="0.35">
      <c r="G597" s="2"/>
      <c r="H597" s="2"/>
      <c r="I597" s="2"/>
      <c r="J597" s="2"/>
      <c r="K597" s="2"/>
      <c r="L597" s="2"/>
      <c r="M597" s="2"/>
      <c r="N597" s="2"/>
      <c r="O597" s="2"/>
      <c r="P597" s="2"/>
      <c r="Q597" s="2"/>
      <c r="R597" s="2"/>
      <c r="S597" s="2"/>
      <c r="T597" s="2"/>
      <c r="U597" s="2"/>
      <c r="V597" s="2"/>
      <c r="W597" s="2"/>
      <c r="X597" s="2"/>
      <c r="Y597" s="2"/>
      <c r="Z597" s="2"/>
      <c r="AA597" s="2"/>
      <c r="AB597" s="2"/>
      <c r="AC597" s="2"/>
    </row>
    <row r="598" spans="7:29" x14ac:dyDescent="0.35">
      <c r="G598" s="2"/>
      <c r="H598" s="2"/>
      <c r="I598" s="2"/>
      <c r="J598" s="2"/>
      <c r="K598" s="2"/>
      <c r="L598" s="2"/>
      <c r="M598" s="2"/>
      <c r="N598" s="2"/>
      <c r="O598" s="2"/>
      <c r="P598" s="2"/>
      <c r="Q598" s="2"/>
      <c r="R598" s="2"/>
      <c r="S598" s="2"/>
      <c r="T598" s="2"/>
      <c r="U598" s="2"/>
      <c r="V598" s="2"/>
      <c r="W598" s="2"/>
      <c r="X598" s="2"/>
      <c r="Y598" s="2"/>
      <c r="Z598" s="2"/>
      <c r="AA598" s="2"/>
      <c r="AB598" s="2"/>
      <c r="AC598" s="2"/>
    </row>
    <row r="599" spans="7:29" x14ac:dyDescent="0.35">
      <c r="G599" s="2"/>
      <c r="H599" s="2"/>
      <c r="I599" s="2"/>
      <c r="J599" s="2"/>
      <c r="K599" s="2"/>
      <c r="L599" s="2"/>
      <c r="M599" s="2"/>
      <c r="N599" s="2"/>
      <c r="O599" s="2"/>
      <c r="P599" s="2"/>
      <c r="Q599" s="2"/>
      <c r="R599" s="2"/>
      <c r="S599" s="2"/>
      <c r="T599" s="2"/>
      <c r="U599" s="2"/>
      <c r="V599" s="2"/>
      <c r="W599" s="2"/>
      <c r="X599" s="2"/>
      <c r="Y599" s="2"/>
      <c r="Z599" s="2"/>
      <c r="AA599" s="2"/>
      <c r="AB599" s="2"/>
      <c r="AC599" s="2"/>
    </row>
    <row r="600" spans="7:29" x14ac:dyDescent="0.35">
      <c r="G600" s="2"/>
      <c r="H600" s="2"/>
      <c r="I600" s="2"/>
      <c r="J600" s="2"/>
      <c r="K600" s="2"/>
      <c r="L600" s="2"/>
      <c r="M600" s="2"/>
      <c r="N600" s="2"/>
      <c r="O600" s="2"/>
      <c r="P600" s="2"/>
      <c r="Q600" s="2"/>
      <c r="R600" s="2"/>
      <c r="S600" s="2"/>
      <c r="T600" s="2"/>
      <c r="U600" s="2"/>
      <c r="V600" s="2"/>
      <c r="W600" s="2"/>
      <c r="X600" s="2"/>
      <c r="Y600" s="2"/>
      <c r="Z600" s="2"/>
      <c r="AA600" s="2"/>
      <c r="AB600" s="2"/>
      <c r="AC600" s="2"/>
    </row>
    <row r="601" spans="7:29" x14ac:dyDescent="0.35">
      <c r="G601" s="2"/>
      <c r="H601" s="2"/>
      <c r="I601" s="2"/>
      <c r="J601" s="2"/>
      <c r="K601" s="2"/>
      <c r="L601" s="2"/>
      <c r="M601" s="2"/>
      <c r="N601" s="2"/>
      <c r="O601" s="2"/>
      <c r="P601" s="2"/>
      <c r="Q601" s="2"/>
      <c r="R601" s="2"/>
      <c r="S601" s="2"/>
      <c r="T601" s="2"/>
      <c r="U601" s="2"/>
      <c r="V601" s="2"/>
      <c r="W601" s="2"/>
      <c r="X601" s="2"/>
      <c r="Y601" s="2"/>
      <c r="Z601" s="2"/>
      <c r="AA601" s="2"/>
      <c r="AB601" s="2"/>
      <c r="AC601" s="2"/>
    </row>
    <row r="602" spans="7:29" x14ac:dyDescent="0.35">
      <c r="G602" s="2"/>
      <c r="H602" s="2"/>
      <c r="I602" s="2"/>
      <c r="J602" s="2"/>
      <c r="K602" s="2"/>
      <c r="L602" s="2"/>
      <c r="M602" s="2"/>
      <c r="N602" s="2"/>
      <c r="O602" s="2"/>
      <c r="P602" s="2"/>
      <c r="Q602" s="2"/>
      <c r="R602" s="2"/>
      <c r="S602" s="2"/>
      <c r="T602" s="2"/>
      <c r="U602" s="2"/>
      <c r="V602" s="2"/>
      <c r="W602" s="2"/>
      <c r="X602" s="2"/>
      <c r="Y602" s="2"/>
      <c r="Z602" s="2"/>
      <c r="AA602" s="2"/>
      <c r="AB602" s="2"/>
      <c r="AC602" s="2"/>
    </row>
    <row r="603" spans="7:29" x14ac:dyDescent="0.35">
      <c r="G603" s="2"/>
      <c r="H603" s="2"/>
      <c r="I603" s="2"/>
      <c r="J603" s="2"/>
      <c r="K603" s="2"/>
      <c r="L603" s="2"/>
      <c r="M603" s="2"/>
      <c r="N603" s="2"/>
      <c r="O603" s="2"/>
      <c r="P603" s="2"/>
      <c r="Q603" s="2"/>
      <c r="R603" s="2"/>
      <c r="S603" s="2"/>
      <c r="T603" s="2"/>
      <c r="U603" s="2"/>
      <c r="V603" s="2"/>
      <c r="W603" s="2"/>
      <c r="X603" s="2"/>
      <c r="Y603" s="2"/>
      <c r="Z603" s="2"/>
      <c r="AA603" s="2"/>
      <c r="AB603" s="2"/>
      <c r="AC603" s="2"/>
    </row>
    <row r="604" spans="7:29" x14ac:dyDescent="0.35">
      <c r="G604" s="2"/>
      <c r="H604" s="2"/>
      <c r="I604" s="2"/>
      <c r="J604" s="2"/>
      <c r="K604" s="2"/>
      <c r="L604" s="2"/>
      <c r="M604" s="2"/>
      <c r="N604" s="2"/>
      <c r="O604" s="2"/>
      <c r="P604" s="2"/>
      <c r="Q604" s="2"/>
      <c r="R604" s="2"/>
      <c r="S604" s="2"/>
      <c r="T604" s="2"/>
      <c r="U604" s="2"/>
      <c r="V604" s="2"/>
      <c r="W604" s="2"/>
      <c r="X604" s="2"/>
      <c r="Y604" s="2"/>
      <c r="Z604" s="2"/>
      <c r="AA604" s="2"/>
      <c r="AB604" s="2"/>
      <c r="AC604" s="2"/>
    </row>
    <row r="605" spans="7:29" x14ac:dyDescent="0.35">
      <c r="G605" s="2"/>
      <c r="H605" s="2"/>
      <c r="I605" s="2"/>
      <c r="J605" s="2"/>
      <c r="K605" s="2"/>
      <c r="L605" s="2"/>
      <c r="M605" s="2"/>
      <c r="N605" s="2"/>
      <c r="O605" s="2"/>
      <c r="P605" s="2"/>
      <c r="Q605" s="2"/>
      <c r="R605" s="2"/>
      <c r="S605" s="2"/>
      <c r="T605" s="2"/>
      <c r="U605" s="2"/>
      <c r="V605" s="2"/>
      <c r="W605" s="2"/>
      <c r="X605" s="2"/>
      <c r="Y605" s="2"/>
      <c r="Z605" s="2"/>
      <c r="AA605" s="2"/>
      <c r="AB605" s="2"/>
      <c r="AC605" s="2"/>
    </row>
    <row r="606" spans="7:29" x14ac:dyDescent="0.35">
      <c r="G606" s="2"/>
      <c r="H606" s="2"/>
      <c r="I606" s="2"/>
      <c r="J606" s="2"/>
      <c r="K606" s="2"/>
      <c r="L606" s="2"/>
      <c r="M606" s="2"/>
      <c r="N606" s="2"/>
      <c r="O606" s="2"/>
      <c r="P606" s="2"/>
      <c r="Q606" s="2"/>
      <c r="R606" s="2"/>
      <c r="S606" s="2"/>
      <c r="T606" s="2"/>
      <c r="U606" s="2"/>
      <c r="V606" s="2"/>
      <c r="W606" s="2"/>
      <c r="X606" s="2"/>
      <c r="Y606" s="2"/>
      <c r="Z606" s="2"/>
      <c r="AA606" s="2"/>
      <c r="AB606" s="2"/>
      <c r="AC606" s="2"/>
    </row>
    <row r="607" spans="7:29" x14ac:dyDescent="0.35">
      <c r="G607" s="2"/>
      <c r="H607" s="2"/>
      <c r="I607" s="2"/>
      <c r="J607" s="2"/>
      <c r="K607" s="2"/>
      <c r="L607" s="2"/>
      <c r="M607" s="2"/>
      <c r="N607" s="2"/>
      <c r="O607" s="2"/>
      <c r="P607" s="2"/>
      <c r="Q607" s="2"/>
      <c r="R607" s="2"/>
      <c r="S607" s="2"/>
      <c r="T607" s="2"/>
      <c r="U607" s="2"/>
      <c r="V607" s="2"/>
      <c r="W607" s="2"/>
      <c r="X607" s="2"/>
      <c r="Y607" s="2"/>
      <c r="Z607" s="2"/>
      <c r="AA607" s="2"/>
      <c r="AB607" s="2"/>
      <c r="AC607" s="2"/>
    </row>
    <row r="608" spans="7:29" x14ac:dyDescent="0.35">
      <c r="G608" s="2"/>
      <c r="H608" s="2"/>
      <c r="I608" s="2"/>
      <c r="J608" s="2"/>
      <c r="K608" s="2"/>
      <c r="L608" s="2"/>
      <c r="M608" s="2"/>
      <c r="N608" s="2"/>
      <c r="O608" s="2"/>
      <c r="P608" s="2"/>
      <c r="Q608" s="2"/>
      <c r="R608" s="2"/>
      <c r="S608" s="2"/>
      <c r="T608" s="2"/>
      <c r="U608" s="2"/>
      <c r="V608" s="2"/>
      <c r="W608" s="2"/>
      <c r="X608" s="2"/>
      <c r="Y608" s="2"/>
      <c r="Z608" s="2"/>
      <c r="AA608" s="2"/>
      <c r="AB608" s="2"/>
      <c r="AC608" s="2"/>
    </row>
    <row r="609" spans="7:29" x14ac:dyDescent="0.35">
      <c r="G609" s="2"/>
      <c r="H609" s="2"/>
      <c r="I609" s="2"/>
      <c r="J609" s="2"/>
      <c r="K609" s="2"/>
      <c r="L609" s="2"/>
      <c r="M609" s="2"/>
      <c r="N609" s="2"/>
      <c r="O609" s="2"/>
      <c r="P609" s="2"/>
      <c r="Q609" s="2"/>
      <c r="R609" s="2"/>
      <c r="S609" s="2"/>
      <c r="T609" s="2"/>
      <c r="U609" s="2"/>
      <c r="V609" s="2"/>
      <c r="W609" s="2"/>
      <c r="X609" s="2"/>
      <c r="Y609" s="2"/>
      <c r="Z609" s="2"/>
      <c r="AA609" s="2"/>
      <c r="AB609" s="2"/>
      <c r="AC609" s="2"/>
    </row>
    <row r="610" spans="7:29" x14ac:dyDescent="0.35">
      <c r="G610" s="2"/>
      <c r="H610" s="2"/>
      <c r="I610" s="2"/>
      <c r="J610" s="2"/>
      <c r="K610" s="2"/>
      <c r="L610" s="2"/>
      <c r="M610" s="2"/>
      <c r="N610" s="2"/>
      <c r="O610" s="2"/>
      <c r="P610" s="2"/>
      <c r="Q610" s="2"/>
      <c r="R610" s="2"/>
      <c r="S610" s="2"/>
      <c r="T610" s="2"/>
      <c r="U610" s="2"/>
      <c r="V610" s="2"/>
      <c r="W610" s="2"/>
      <c r="X610" s="2"/>
      <c r="Y610" s="2"/>
      <c r="Z610" s="2"/>
      <c r="AA610" s="2"/>
      <c r="AB610" s="2"/>
      <c r="AC610" s="2"/>
    </row>
    <row r="611" spans="7:29" x14ac:dyDescent="0.35">
      <c r="G611" s="2"/>
      <c r="H611" s="2"/>
      <c r="I611" s="2"/>
      <c r="J611" s="2"/>
      <c r="K611" s="2"/>
      <c r="L611" s="2"/>
      <c r="M611" s="2"/>
      <c r="N611" s="2"/>
      <c r="O611" s="2"/>
      <c r="P611" s="2"/>
      <c r="Q611" s="2"/>
      <c r="R611" s="2"/>
      <c r="S611" s="2"/>
      <c r="T611" s="2"/>
      <c r="U611" s="2"/>
      <c r="V611" s="2"/>
      <c r="W611" s="2"/>
      <c r="X611" s="2"/>
      <c r="Y611" s="2"/>
      <c r="Z611" s="2"/>
      <c r="AA611" s="2"/>
      <c r="AB611" s="2"/>
      <c r="AC611" s="2"/>
    </row>
    <row r="612" spans="7:29" x14ac:dyDescent="0.35">
      <c r="G612" s="2"/>
      <c r="H612" s="2"/>
      <c r="I612" s="2"/>
      <c r="J612" s="2"/>
      <c r="K612" s="2"/>
      <c r="L612" s="2"/>
      <c r="M612" s="2"/>
      <c r="N612" s="2"/>
      <c r="O612" s="2"/>
      <c r="P612" s="2"/>
      <c r="Q612" s="2"/>
      <c r="R612" s="2"/>
      <c r="S612" s="2"/>
      <c r="T612" s="2"/>
      <c r="U612" s="2"/>
      <c r="V612" s="2"/>
      <c r="W612" s="2"/>
      <c r="X612" s="2"/>
      <c r="Y612" s="2"/>
      <c r="Z612" s="2"/>
      <c r="AA612" s="2"/>
      <c r="AB612" s="2"/>
      <c r="AC612" s="2"/>
    </row>
    <row r="613" spans="7:29" x14ac:dyDescent="0.35">
      <c r="G613" s="2"/>
      <c r="H613" s="2"/>
      <c r="I613" s="2"/>
      <c r="J613" s="2"/>
      <c r="K613" s="2"/>
      <c r="L613" s="2"/>
      <c r="M613" s="2"/>
      <c r="N613" s="2"/>
      <c r="O613" s="2"/>
      <c r="P613" s="2"/>
      <c r="Q613" s="2"/>
      <c r="R613" s="2"/>
      <c r="S613" s="2"/>
      <c r="T613" s="2"/>
      <c r="U613" s="2"/>
      <c r="V613" s="2"/>
      <c r="W613" s="2"/>
      <c r="X613" s="2"/>
      <c r="Y613" s="2"/>
      <c r="Z613" s="2"/>
      <c r="AA613" s="2"/>
      <c r="AB613" s="2"/>
      <c r="AC613" s="2"/>
    </row>
    <row r="614" spans="7:29" x14ac:dyDescent="0.35">
      <c r="G614" s="2"/>
      <c r="H614" s="2"/>
      <c r="I614" s="2"/>
      <c r="J614" s="2"/>
      <c r="K614" s="2"/>
      <c r="L614" s="2"/>
      <c r="M614" s="2"/>
      <c r="N614" s="2"/>
      <c r="O614" s="2"/>
      <c r="P614" s="2"/>
      <c r="Q614" s="2"/>
      <c r="R614" s="2"/>
      <c r="S614" s="2"/>
      <c r="T614" s="2"/>
      <c r="U614" s="2"/>
      <c r="V614" s="2"/>
      <c r="W614" s="2"/>
      <c r="X614" s="2"/>
      <c r="Y614" s="2"/>
      <c r="Z614" s="2"/>
      <c r="AA614" s="2"/>
      <c r="AB614" s="2"/>
      <c r="AC614" s="2"/>
    </row>
    <row r="615" spans="7:29" x14ac:dyDescent="0.35">
      <c r="G615" s="2"/>
      <c r="H615" s="2"/>
      <c r="I615" s="2"/>
      <c r="J615" s="2"/>
      <c r="K615" s="2"/>
      <c r="L615" s="2"/>
      <c r="M615" s="2"/>
      <c r="N615" s="2"/>
      <c r="O615" s="2"/>
      <c r="P615" s="2"/>
      <c r="Q615" s="2"/>
      <c r="R615" s="2"/>
      <c r="S615" s="2"/>
      <c r="T615" s="2"/>
      <c r="U615" s="2"/>
      <c r="V615" s="2"/>
      <c r="W615" s="2"/>
      <c r="X615" s="2"/>
      <c r="Y615" s="2"/>
      <c r="Z615" s="2"/>
      <c r="AA615" s="2"/>
      <c r="AB615" s="2"/>
      <c r="AC615" s="2"/>
    </row>
    <row r="616" spans="7:29" x14ac:dyDescent="0.35">
      <c r="G616" s="2"/>
      <c r="H616" s="2"/>
      <c r="I616" s="2"/>
      <c r="J616" s="2"/>
      <c r="K616" s="2"/>
      <c r="L616" s="2"/>
      <c r="M616" s="2"/>
      <c r="N616" s="2"/>
      <c r="O616" s="2"/>
      <c r="P616" s="2"/>
      <c r="Q616" s="2"/>
      <c r="R616" s="2"/>
      <c r="S616" s="2"/>
      <c r="T616" s="2"/>
      <c r="U616" s="2"/>
      <c r="V616" s="2"/>
      <c r="W616" s="2"/>
      <c r="X616" s="2"/>
      <c r="Y616" s="2"/>
      <c r="Z616" s="2"/>
      <c r="AA616" s="2"/>
      <c r="AB616" s="2"/>
      <c r="AC616" s="2"/>
    </row>
    <row r="617" spans="7:29" x14ac:dyDescent="0.35">
      <c r="G617" s="2"/>
      <c r="H617" s="2"/>
      <c r="I617" s="2"/>
      <c r="J617" s="2"/>
      <c r="K617" s="2"/>
      <c r="L617" s="2"/>
      <c r="M617" s="2"/>
      <c r="N617" s="2"/>
      <c r="O617" s="2"/>
      <c r="P617" s="2"/>
      <c r="Q617" s="2"/>
      <c r="R617" s="2"/>
      <c r="S617" s="2"/>
      <c r="T617" s="2"/>
      <c r="U617" s="2"/>
      <c r="V617" s="2"/>
      <c r="W617" s="2"/>
      <c r="X617" s="2"/>
      <c r="Y617" s="2"/>
      <c r="Z617" s="2"/>
      <c r="AA617" s="2"/>
      <c r="AB617" s="2"/>
      <c r="AC617" s="2"/>
    </row>
    <row r="618" spans="7:29" x14ac:dyDescent="0.35">
      <c r="G618" s="2"/>
      <c r="H618" s="2"/>
      <c r="I618" s="2"/>
      <c r="J618" s="2"/>
      <c r="K618" s="2"/>
      <c r="L618" s="2"/>
      <c r="M618" s="2"/>
      <c r="N618" s="2"/>
      <c r="O618" s="2"/>
      <c r="P618" s="2"/>
      <c r="Q618" s="2"/>
      <c r="R618" s="2"/>
      <c r="S618" s="2"/>
      <c r="T618" s="2"/>
      <c r="U618" s="2"/>
      <c r="V618" s="2"/>
      <c r="W618" s="2"/>
      <c r="X618" s="2"/>
      <c r="Y618" s="2"/>
      <c r="Z618" s="2"/>
      <c r="AA618" s="2"/>
      <c r="AB618" s="2"/>
      <c r="AC618" s="2"/>
    </row>
    <row r="619" spans="7:29" x14ac:dyDescent="0.35">
      <c r="G619" s="2"/>
      <c r="H619" s="2"/>
      <c r="I619" s="2"/>
      <c r="J619" s="2"/>
      <c r="K619" s="2"/>
      <c r="L619" s="2"/>
      <c r="M619" s="2"/>
      <c r="N619" s="2"/>
      <c r="O619" s="2"/>
      <c r="P619" s="2"/>
      <c r="Q619" s="2"/>
      <c r="R619" s="2"/>
      <c r="S619" s="2"/>
      <c r="T619" s="2"/>
      <c r="U619" s="2"/>
      <c r="V619" s="2"/>
      <c r="W619" s="2"/>
      <c r="X619" s="2"/>
      <c r="Y619" s="2"/>
      <c r="Z619" s="2"/>
      <c r="AA619" s="2"/>
      <c r="AB619" s="2"/>
      <c r="AC619" s="2"/>
    </row>
    <row r="620" spans="7:29" x14ac:dyDescent="0.35">
      <c r="G620" s="2"/>
      <c r="H620" s="2"/>
      <c r="I620" s="2"/>
      <c r="J620" s="2"/>
      <c r="K620" s="2"/>
      <c r="L620" s="2"/>
      <c r="M620" s="2"/>
      <c r="N620" s="2"/>
      <c r="O620" s="2"/>
      <c r="P620" s="2"/>
      <c r="Q620" s="2"/>
      <c r="R620" s="2"/>
      <c r="S620" s="2"/>
      <c r="T620" s="2"/>
      <c r="U620" s="2"/>
      <c r="V620" s="2"/>
      <c r="W620" s="2"/>
      <c r="X620" s="2"/>
      <c r="Y620" s="2"/>
      <c r="Z620" s="2"/>
      <c r="AA620" s="2"/>
      <c r="AB620" s="2"/>
      <c r="AC620" s="2"/>
    </row>
    <row r="621" spans="7:29" x14ac:dyDescent="0.35">
      <c r="G621" s="2"/>
      <c r="H621" s="2"/>
      <c r="I621" s="2"/>
      <c r="J621" s="2"/>
      <c r="K621" s="2"/>
      <c r="L621" s="2"/>
      <c r="M621" s="2"/>
      <c r="N621" s="2"/>
      <c r="O621" s="2"/>
      <c r="P621" s="2"/>
      <c r="Q621" s="2"/>
      <c r="R621" s="2"/>
      <c r="S621" s="2"/>
      <c r="T621" s="2"/>
      <c r="U621" s="2"/>
      <c r="V621" s="2"/>
      <c r="W621" s="2"/>
      <c r="X621" s="2"/>
      <c r="Y621" s="2"/>
      <c r="Z621" s="2"/>
      <c r="AA621" s="2"/>
      <c r="AB621" s="2"/>
      <c r="AC621" s="2"/>
    </row>
    <row r="622" spans="7:29" x14ac:dyDescent="0.35">
      <c r="G622" s="2"/>
      <c r="H622" s="2"/>
      <c r="I622" s="2"/>
      <c r="J622" s="2"/>
      <c r="K622" s="2"/>
      <c r="L622" s="2"/>
      <c r="M622" s="2"/>
      <c r="N622" s="2"/>
      <c r="O622" s="2"/>
      <c r="P622" s="2"/>
      <c r="Q622" s="2"/>
      <c r="R622" s="2"/>
      <c r="S622" s="2"/>
      <c r="T622" s="2"/>
      <c r="U622" s="2"/>
      <c r="V622" s="2"/>
      <c r="W622" s="2"/>
      <c r="X622" s="2"/>
      <c r="Y622" s="2"/>
      <c r="Z622" s="2"/>
      <c r="AA622" s="2"/>
      <c r="AB622" s="2"/>
      <c r="AC622" s="2"/>
    </row>
    <row r="623" spans="7:29" x14ac:dyDescent="0.35">
      <c r="G623" s="2"/>
      <c r="H623" s="2"/>
      <c r="I623" s="2"/>
      <c r="J623" s="2"/>
      <c r="K623" s="2"/>
      <c r="L623" s="2"/>
      <c r="M623" s="2"/>
      <c r="N623" s="2"/>
      <c r="O623" s="2"/>
      <c r="P623" s="2"/>
      <c r="Q623" s="2"/>
      <c r="R623" s="2"/>
      <c r="S623" s="2"/>
      <c r="T623" s="2"/>
      <c r="U623" s="2"/>
      <c r="V623" s="2"/>
      <c r="W623" s="2"/>
      <c r="X623" s="2"/>
      <c r="Y623" s="2"/>
      <c r="Z623" s="2"/>
      <c r="AA623" s="2"/>
      <c r="AB623" s="2"/>
      <c r="AC623" s="2"/>
    </row>
    <row r="624" spans="7:29" x14ac:dyDescent="0.35">
      <c r="G624" s="2"/>
      <c r="H624" s="2"/>
      <c r="I624" s="2"/>
      <c r="J624" s="2"/>
      <c r="K624" s="2"/>
      <c r="L624" s="2"/>
      <c r="M624" s="2"/>
      <c r="N624" s="2"/>
      <c r="O624" s="2"/>
      <c r="P624" s="2"/>
      <c r="Q624" s="2"/>
      <c r="R624" s="2"/>
      <c r="S624" s="2"/>
      <c r="T624" s="2"/>
      <c r="U624" s="2"/>
      <c r="V624" s="2"/>
      <c r="W624" s="2"/>
      <c r="X624" s="2"/>
      <c r="Y624" s="2"/>
      <c r="Z624" s="2"/>
      <c r="AA624" s="2"/>
      <c r="AB624" s="2"/>
      <c r="AC624" s="2"/>
    </row>
    <row r="625" spans="7:29" x14ac:dyDescent="0.35">
      <c r="G625" s="2"/>
      <c r="H625" s="2"/>
      <c r="I625" s="2"/>
      <c r="J625" s="2"/>
      <c r="K625" s="2"/>
      <c r="L625" s="2"/>
      <c r="M625" s="2"/>
      <c r="N625" s="2"/>
      <c r="O625" s="2"/>
      <c r="P625" s="2"/>
      <c r="Q625" s="2"/>
      <c r="R625" s="2"/>
      <c r="S625" s="2"/>
      <c r="T625" s="2"/>
      <c r="U625" s="2"/>
      <c r="V625" s="2"/>
      <c r="W625" s="2"/>
      <c r="X625" s="2"/>
      <c r="Y625" s="2"/>
      <c r="Z625" s="2"/>
      <c r="AA625" s="2"/>
      <c r="AB625" s="2"/>
      <c r="AC625" s="2"/>
    </row>
    <row r="626" spans="7:29" x14ac:dyDescent="0.35">
      <c r="G626" s="2"/>
      <c r="H626" s="2"/>
      <c r="I626" s="2"/>
      <c r="J626" s="2"/>
      <c r="K626" s="2"/>
      <c r="L626" s="2"/>
      <c r="M626" s="2"/>
      <c r="N626" s="2"/>
      <c r="O626" s="2"/>
      <c r="P626" s="2"/>
      <c r="Q626" s="2"/>
      <c r="R626" s="2"/>
      <c r="S626" s="2"/>
      <c r="T626" s="2"/>
      <c r="U626" s="2"/>
      <c r="V626" s="2"/>
      <c r="W626" s="2"/>
      <c r="X626" s="2"/>
      <c r="Y626" s="2"/>
      <c r="Z626" s="2"/>
      <c r="AA626" s="2"/>
      <c r="AB626" s="2"/>
      <c r="AC626" s="2"/>
    </row>
    <row r="627" spans="7:29" x14ac:dyDescent="0.35">
      <c r="G627" s="2"/>
      <c r="H627" s="2"/>
      <c r="I627" s="2"/>
      <c r="J627" s="2"/>
      <c r="K627" s="2"/>
      <c r="L627" s="2"/>
      <c r="M627" s="2"/>
      <c r="N627" s="2"/>
      <c r="O627" s="2"/>
      <c r="P627" s="2"/>
      <c r="Q627" s="2"/>
      <c r="R627" s="2"/>
      <c r="S627" s="2"/>
      <c r="T627" s="2"/>
      <c r="U627" s="2"/>
      <c r="V627" s="2"/>
      <c r="W627" s="2"/>
      <c r="X627" s="2"/>
      <c r="Y627" s="2"/>
      <c r="Z627" s="2"/>
      <c r="AA627" s="2"/>
      <c r="AB627" s="2"/>
      <c r="AC627" s="2"/>
    </row>
    <row r="628" spans="7:29" x14ac:dyDescent="0.35">
      <c r="G628" s="2"/>
      <c r="H628" s="2"/>
      <c r="I628" s="2"/>
      <c r="J628" s="2"/>
      <c r="K628" s="2"/>
      <c r="L628" s="2"/>
      <c r="M628" s="2"/>
      <c r="N628" s="2"/>
      <c r="O628" s="2"/>
      <c r="P628" s="2"/>
      <c r="Q628" s="2"/>
      <c r="R628" s="2"/>
      <c r="S628" s="2"/>
      <c r="T628" s="2"/>
      <c r="U628" s="2"/>
      <c r="V628" s="2"/>
      <c r="W628" s="2"/>
      <c r="X628" s="2"/>
      <c r="Y628" s="2"/>
      <c r="Z628" s="2"/>
      <c r="AA628" s="2"/>
      <c r="AB628" s="2"/>
      <c r="AC628" s="2"/>
    </row>
    <row r="629" spans="7:29" x14ac:dyDescent="0.35">
      <c r="G629" s="2"/>
      <c r="H629" s="2"/>
      <c r="I629" s="2"/>
      <c r="J629" s="2"/>
      <c r="K629" s="2"/>
      <c r="L629" s="2"/>
      <c r="M629" s="2"/>
      <c r="N629" s="2"/>
      <c r="O629" s="2"/>
      <c r="P629" s="2"/>
      <c r="Q629" s="2"/>
      <c r="R629" s="2"/>
      <c r="S629" s="2"/>
      <c r="T629" s="2"/>
      <c r="U629" s="2"/>
      <c r="V629" s="2"/>
      <c r="W629" s="2"/>
      <c r="X629" s="2"/>
      <c r="Y629" s="2"/>
      <c r="Z629" s="2"/>
      <c r="AA629" s="2"/>
      <c r="AB629" s="2"/>
      <c r="AC629" s="2"/>
    </row>
    <row r="630" spans="7:29" x14ac:dyDescent="0.35">
      <c r="G630" s="2"/>
      <c r="H630" s="2"/>
      <c r="I630" s="2"/>
      <c r="J630" s="2"/>
      <c r="K630" s="2"/>
      <c r="L630" s="2"/>
      <c r="M630" s="2"/>
      <c r="N630" s="2"/>
      <c r="O630" s="2"/>
      <c r="P630" s="2"/>
      <c r="Q630" s="2"/>
      <c r="R630" s="2"/>
      <c r="S630" s="2"/>
      <c r="T630" s="2"/>
      <c r="U630" s="2"/>
      <c r="V630" s="2"/>
      <c r="W630" s="2"/>
      <c r="X630" s="2"/>
      <c r="Y630" s="2"/>
      <c r="Z630" s="2"/>
      <c r="AA630" s="2"/>
      <c r="AB630" s="2"/>
      <c r="AC630" s="2"/>
    </row>
    <row r="631" spans="7:29" x14ac:dyDescent="0.35">
      <c r="G631" s="2"/>
      <c r="H631" s="2"/>
      <c r="I631" s="2"/>
      <c r="J631" s="2"/>
      <c r="K631" s="2"/>
      <c r="L631" s="2"/>
      <c r="M631" s="2"/>
      <c r="N631" s="2"/>
      <c r="O631" s="2"/>
      <c r="P631" s="2"/>
      <c r="Q631" s="2"/>
      <c r="R631" s="2"/>
      <c r="S631" s="2"/>
      <c r="T631" s="2"/>
      <c r="U631" s="2"/>
      <c r="V631" s="2"/>
      <c r="W631" s="2"/>
      <c r="X631" s="2"/>
      <c r="Y631" s="2"/>
      <c r="Z631" s="2"/>
      <c r="AA631" s="2"/>
      <c r="AB631" s="2"/>
      <c r="AC631" s="2"/>
    </row>
    <row r="632" spans="7:29" x14ac:dyDescent="0.35">
      <c r="G632" s="2"/>
      <c r="H632" s="2"/>
      <c r="I632" s="2"/>
      <c r="J632" s="2"/>
      <c r="K632" s="2"/>
      <c r="L632" s="2"/>
      <c r="M632" s="2"/>
      <c r="N632" s="2"/>
      <c r="O632" s="2"/>
      <c r="P632" s="2"/>
      <c r="Q632" s="2"/>
      <c r="R632" s="2"/>
      <c r="S632" s="2"/>
      <c r="T632" s="2"/>
      <c r="U632" s="2"/>
      <c r="V632" s="2"/>
      <c r="W632" s="2"/>
      <c r="X632" s="2"/>
      <c r="Y632" s="2"/>
      <c r="Z632" s="2"/>
      <c r="AA632" s="2"/>
      <c r="AB632" s="2"/>
      <c r="AC632" s="2"/>
    </row>
    <row r="633" spans="7:29" x14ac:dyDescent="0.35">
      <c r="G633" s="2"/>
      <c r="H633" s="2"/>
      <c r="I633" s="2"/>
      <c r="J633" s="2"/>
      <c r="K633" s="2"/>
      <c r="L633" s="2"/>
      <c r="M633" s="2"/>
      <c r="N633" s="2"/>
      <c r="O633" s="2"/>
      <c r="P633" s="2"/>
      <c r="Q633" s="2"/>
      <c r="R633" s="2"/>
      <c r="S633" s="2"/>
      <c r="T633" s="2"/>
      <c r="U633" s="2"/>
      <c r="V633" s="2"/>
      <c r="W633" s="2"/>
      <c r="X633" s="2"/>
      <c r="Y633" s="2"/>
      <c r="Z633" s="2"/>
      <c r="AA633" s="2"/>
      <c r="AB633" s="2"/>
      <c r="AC633" s="2"/>
    </row>
    <row r="634" spans="7:29" x14ac:dyDescent="0.35">
      <c r="G634" s="2"/>
      <c r="H634" s="2"/>
      <c r="I634" s="2"/>
      <c r="J634" s="2"/>
      <c r="K634" s="2"/>
      <c r="L634" s="2"/>
      <c r="M634" s="2"/>
      <c r="N634" s="2"/>
      <c r="O634" s="2"/>
      <c r="P634" s="2"/>
      <c r="Q634" s="2"/>
      <c r="R634" s="2"/>
      <c r="S634" s="2"/>
      <c r="T634" s="2"/>
      <c r="U634" s="2"/>
      <c r="V634" s="2"/>
      <c r="W634" s="2"/>
      <c r="X634" s="2"/>
      <c r="Y634" s="2"/>
      <c r="Z634" s="2"/>
      <c r="AA634" s="2"/>
      <c r="AB634" s="2"/>
      <c r="AC634" s="2"/>
    </row>
    <row r="635" spans="7:29" x14ac:dyDescent="0.35">
      <c r="G635" s="2"/>
      <c r="H635" s="2"/>
      <c r="I635" s="2"/>
      <c r="J635" s="2"/>
      <c r="K635" s="2"/>
      <c r="L635" s="2"/>
      <c r="M635" s="2"/>
      <c r="N635" s="2"/>
      <c r="O635" s="2"/>
      <c r="P635" s="2"/>
      <c r="Q635" s="2"/>
      <c r="R635" s="2"/>
      <c r="S635" s="2"/>
      <c r="T635" s="2"/>
      <c r="U635" s="2"/>
      <c r="V635" s="2"/>
      <c r="W635" s="2"/>
      <c r="X635" s="2"/>
      <c r="Y635" s="2"/>
      <c r="Z635" s="2"/>
      <c r="AA635" s="2"/>
      <c r="AB635" s="2"/>
      <c r="AC635" s="2"/>
    </row>
    <row r="636" spans="7:29" x14ac:dyDescent="0.35">
      <c r="G636" s="2"/>
      <c r="H636" s="2"/>
      <c r="I636" s="2"/>
      <c r="J636" s="2"/>
      <c r="K636" s="2"/>
      <c r="L636" s="2"/>
      <c r="M636" s="2"/>
      <c r="N636" s="2"/>
      <c r="O636" s="2"/>
      <c r="P636" s="2"/>
      <c r="Q636" s="2"/>
      <c r="R636" s="2"/>
      <c r="S636" s="2"/>
      <c r="T636" s="2"/>
      <c r="U636" s="2"/>
      <c r="V636" s="2"/>
      <c r="W636" s="2"/>
      <c r="X636" s="2"/>
      <c r="Y636" s="2"/>
      <c r="Z636" s="2"/>
      <c r="AA636" s="2"/>
      <c r="AB636" s="2"/>
      <c r="AC636" s="2"/>
    </row>
    <row r="637" spans="7:29" x14ac:dyDescent="0.35">
      <c r="G637" s="2"/>
      <c r="H637" s="2"/>
      <c r="I637" s="2"/>
      <c r="J637" s="2"/>
      <c r="K637" s="2"/>
      <c r="L637" s="2"/>
      <c r="M637" s="2"/>
      <c r="N637" s="2"/>
      <c r="O637" s="2"/>
      <c r="P637" s="2"/>
      <c r="Q637" s="2"/>
      <c r="R637" s="2"/>
      <c r="S637" s="2"/>
      <c r="T637" s="2"/>
      <c r="U637" s="2"/>
      <c r="V637" s="2"/>
      <c r="W637" s="2"/>
      <c r="X637" s="2"/>
      <c r="Y637" s="2"/>
      <c r="Z637" s="2"/>
      <c r="AA637" s="2"/>
      <c r="AB637" s="2"/>
      <c r="AC637" s="2"/>
    </row>
    <row r="638" spans="7:29" x14ac:dyDescent="0.35">
      <c r="G638" s="2"/>
      <c r="H638" s="2"/>
      <c r="I638" s="2"/>
      <c r="J638" s="2"/>
      <c r="K638" s="2"/>
      <c r="L638" s="2"/>
      <c r="M638" s="2"/>
      <c r="N638" s="2"/>
      <c r="O638" s="2"/>
      <c r="P638" s="2"/>
      <c r="Q638" s="2"/>
      <c r="R638" s="2"/>
      <c r="S638" s="2"/>
      <c r="T638" s="2"/>
      <c r="U638" s="2"/>
      <c r="V638" s="2"/>
      <c r="W638" s="2"/>
      <c r="X638" s="2"/>
      <c r="Y638" s="2"/>
      <c r="Z638" s="2"/>
      <c r="AA638" s="2"/>
      <c r="AB638" s="2"/>
      <c r="AC638" s="2"/>
    </row>
    <row r="639" spans="7:29" x14ac:dyDescent="0.35">
      <c r="G639" s="2"/>
      <c r="H639" s="2"/>
      <c r="I639" s="2"/>
      <c r="J639" s="2"/>
      <c r="K639" s="2"/>
      <c r="L639" s="2"/>
      <c r="M639" s="2"/>
      <c r="N639" s="2"/>
      <c r="O639" s="2"/>
      <c r="P639" s="2"/>
      <c r="Q639" s="2"/>
      <c r="R639" s="2"/>
      <c r="S639" s="2"/>
      <c r="T639" s="2"/>
      <c r="U639" s="2"/>
      <c r="V639" s="2"/>
      <c r="W639" s="2"/>
      <c r="X639" s="2"/>
      <c r="Y639" s="2"/>
      <c r="Z639" s="2"/>
      <c r="AA639" s="2"/>
      <c r="AB639" s="2"/>
      <c r="AC639" s="2"/>
    </row>
    <row r="640" spans="7:29" x14ac:dyDescent="0.35">
      <c r="G640" s="2"/>
      <c r="H640" s="2"/>
      <c r="I640" s="2"/>
      <c r="J640" s="2"/>
      <c r="K640" s="2"/>
      <c r="L640" s="2"/>
      <c r="M640" s="2"/>
      <c r="N640" s="2"/>
      <c r="O640" s="2"/>
      <c r="P640" s="2"/>
      <c r="Q640" s="2"/>
      <c r="R640" s="2"/>
      <c r="S640" s="2"/>
      <c r="T640" s="2"/>
      <c r="U640" s="2"/>
      <c r="V640" s="2"/>
      <c r="W640" s="2"/>
      <c r="X640" s="2"/>
      <c r="Y640" s="2"/>
      <c r="Z640" s="2"/>
      <c r="AA640" s="2"/>
      <c r="AB640" s="2"/>
      <c r="AC640" s="2"/>
    </row>
    <row r="641" spans="7:29" x14ac:dyDescent="0.35">
      <c r="G641" s="2"/>
      <c r="H641" s="2"/>
      <c r="I641" s="2"/>
      <c r="J641" s="2"/>
      <c r="K641" s="2"/>
      <c r="L641" s="2"/>
      <c r="M641" s="2"/>
      <c r="N641" s="2"/>
      <c r="O641" s="2"/>
      <c r="P641" s="2"/>
      <c r="Q641" s="2"/>
      <c r="R641" s="2"/>
      <c r="S641" s="2"/>
      <c r="T641" s="2"/>
      <c r="U641" s="2"/>
      <c r="V641" s="2"/>
      <c r="W641" s="2"/>
      <c r="X641" s="2"/>
      <c r="Y641" s="2"/>
      <c r="Z641" s="2"/>
      <c r="AA641" s="2"/>
      <c r="AB641" s="2"/>
      <c r="AC641" s="2"/>
    </row>
    <row r="642" spans="7:29" x14ac:dyDescent="0.35">
      <c r="G642" s="2"/>
      <c r="H642" s="2"/>
      <c r="I642" s="2"/>
      <c r="J642" s="2"/>
      <c r="K642" s="2"/>
      <c r="L642" s="2"/>
      <c r="M642" s="2"/>
      <c r="N642" s="2"/>
      <c r="O642" s="2"/>
      <c r="P642" s="2"/>
      <c r="Q642" s="2"/>
      <c r="R642" s="2"/>
      <c r="S642" s="2"/>
      <c r="T642" s="2"/>
      <c r="U642" s="2"/>
      <c r="V642" s="2"/>
      <c r="W642" s="2"/>
      <c r="X642" s="2"/>
      <c r="Y642" s="2"/>
      <c r="Z642" s="2"/>
      <c r="AA642" s="2"/>
      <c r="AB642" s="2"/>
      <c r="AC642" s="2"/>
    </row>
    <row r="643" spans="7:29" x14ac:dyDescent="0.35">
      <c r="G643" s="2"/>
      <c r="H643" s="2"/>
      <c r="I643" s="2"/>
      <c r="J643" s="2"/>
      <c r="K643" s="2"/>
      <c r="L643" s="2"/>
      <c r="M643" s="2"/>
      <c r="N643" s="2"/>
      <c r="O643" s="2"/>
      <c r="P643" s="2"/>
      <c r="Q643" s="2"/>
      <c r="R643" s="2"/>
      <c r="S643" s="2"/>
      <c r="T643" s="2"/>
      <c r="U643" s="2"/>
      <c r="V643" s="2"/>
      <c r="W643" s="2"/>
      <c r="X643" s="2"/>
      <c r="Y643" s="2"/>
      <c r="Z643" s="2"/>
      <c r="AA643" s="2"/>
      <c r="AB643" s="2"/>
      <c r="AC643" s="2"/>
    </row>
    <row r="644" spans="7:29" x14ac:dyDescent="0.35">
      <c r="G644" s="2"/>
      <c r="H644" s="2"/>
      <c r="I644" s="2"/>
      <c r="J644" s="2"/>
      <c r="K644" s="2"/>
      <c r="L644" s="2"/>
      <c r="M644" s="2"/>
      <c r="N644" s="2"/>
      <c r="O644" s="2"/>
      <c r="P644" s="2"/>
      <c r="Q644" s="2"/>
      <c r="R644" s="2"/>
      <c r="S644" s="2"/>
      <c r="T644" s="2"/>
      <c r="U644" s="2"/>
      <c r="V644" s="2"/>
      <c r="W644" s="2"/>
      <c r="X644" s="2"/>
      <c r="Y644" s="2"/>
      <c r="Z644" s="2"/>
      <c r="AA644" s="2"/>
      <c r="AB644" s="2"/>
      <c r="AC644" s="2"/>
    </row>
    <row r="645" spans="7:29" x14ac:dyDescent="0.35">
      <c r="G645" s="2"/>
      <c r="H645" s="2"/>
      <c r="I645" s="2"/>
      <c r="J645" s="2"/>
      <c r="K645" s="2"/>
      <c r="L645" s="2"/>
      <c r="M645" s="2"/>
      <c r="N645" s="2"/>
      <c r="O645" s="2"/>
      <c r="P645" s="2"/>
      <c r="Q645" s="2"/>
      <c r="R645" s="2"/>
      <c r="S645" s="2"/>
      <c r="T645" s="2"/>
      <c r="U645" s="2"/>
      <c r="V645" s="2"/>
      <c r="W645" s="2"/>
      <c r="X645" s="2"/>
      <c r="Y645" s="2"/>
      <c r="Z645" s="2"/>
      <c r="AA645" s="2"/>
      <c r="AB645" s="2"/>
      <c r="AC645" s="2"/>
    </row>
    <row r="646" spans="7:29" x14ac:dyDescent="0.35">
      <c r="G646" s="2"/>
      <c r="H646" s="2"/>
      <c r="I646" s="2"/>
      <c r="J646" s="2"/>
      <c r="K646" s="2"/>
      <c r="L646" s="2"/>
      <c r="M646" s="2"/>
      <c r="N646" s="2"/>
      <c r="O646" s="2"/>
      <c r="P646" s="2"/>
      <c r="Q646" s="2"/>
      <c r="R646" s="2"/>
      <c r="S646" s="2"/>
      <c r="T646" s="2"/>
      <c r="U646" s="2"/>
      <c r="V646" s="2"/>
      <c r="W646" s="2"/>
      <c r="X646" s="2"/>
      <c r="Y646" s="2"/>
      <c r="Z646" s="2"/>
      <c r="AA646" s="2"/>
      <c r="AB646" s="2"/>
      <c r="AC646" s="2"/>
    </row>
    <row r="647" spans="7:29" x14ac:dyDescent="0.35">
      <c r="G647" s="2"/>
      <c r="H647" s="2"/>
      <c r="I647" s="2"/>
      <c r="J647" s="2"/>
      <c r="K647" s="2"/>
      <c r="L647" s="2"/>
      <c r="M647" s="2"/>
      <c r="N647" s="2"/>
      <c r="O647" s="2"/>
      <c r="P647" s="2"/>
      <c r="Q647" s="2"/>
      <c r="R647" s="2"/>
      <c r="S647" s="2"/>
      <c r="T647" s="2"/>
      <c r="U647" s="2"/>
      <c r="V647" s="2"/>
      <c r="W647" s="2"/>
      <c r="X647" s="2"/>
      <c r="Y647" s="2"/>
      <c r="Z647" s="2"/>
      <c r="AA647" s="2"/>
      <c r="AB647" s="2"/>
      <c r="AC647" s="2"/>
    </row>
    <row r="648" spans="7:29" x14ac:dyDescent="0.35">
      <c r="G648" s="2"/>
      <c r="H648" s="2"/>
      <c r="I648" s="2"/>
      <c r="J648" s="2"/>
      <c r="K648" s="2"/>
      <c r="L648" s="2"/>
      <c r="M648" s="2"/>
      <c r="N648" s="2"/>
      <c r="O648" s="2"/>
      <c r="P648" s="2"/>
      <c r="Q648" s="2"/>
      <c r="R648" s="2"/>
      <c r="S648" s="2"/>
      <c r="T648" s="2"/>
      <c r="U648" s="2"/>
      <c r="V648" s="2"/>
      <c r="W648" s="2"/>
      <c r="X648" s="2"/>
      <c r="Y648" s="2"/>
      <c r="Z648" s="2"/>
      <c r="AA648" s="2"/>
      <c r="AB648" s="2"/>
      <c r="AC648" s="2"/>
    </row>
    <row r="649" spans="7:29" x14ac:dyDescent="0.35">
      <c r="G649" s="2"/>
      <c r="H649" s="2"/>
      <c r="I649" s="2"/>
      <c r="J649" s="2"/>
      <c r="K649" s="2"/>
      <c r="L649" s="2"/>
      <c r="M649" s="2"/>
      <c r="N649" s="2"/>
      <c r="O649" s="2"/>
      <c r="P649" s="2"/>
      <c r="Q649" s="2"/>
      <c r="R649" s="2"/>
      <c r="S649" s="2"/>
      <c r="T649" s="2"/>
      <c r="U649" s="2"/>
      <c r="V649" s="2"/>
      <c r="W649" s="2"/>
      <c r="X649" s="2"/>
      <c r="Y649" s="2"/>
      <c r="Z649" s="2"/>
      <c r="AA649" s="2"/>
      <c r="AB649" s="2"/>
      <c r="AC649" s="2"/>
    </row>
    <row r="650" spans="7:29" x14ac:dyDescent="0.35">
      <c r="G650" s="2"/>
      <c r="H650" s="2"/>
      <c r="I650" s="2"/>
      <c r="J650" s="2"/>
      <c r="K650" s="2"/>
      <c r="L650" s="2"/>
      <c r="M650" s="2"/>
      <c r="N650" s="2"/>
      <c r="O650" s="2"/>
      <c r="P650" s="2"/>
      <c r="Q650" s="2"/>
      <c r="R650" s="2"/>
      <c r="S650" s="2"/>
      <c r="T650" s="2"/>
      <c r="U650" s="2"/>
      <c r="V650" s="2"/>
      <c r="W650" s="2"/>
      <c r="X650" s="2"/>
      <c r="Y650" s="2"/>
      <c r="Z650" s="2"/>
      <c r="AA650" s="2"/>
      <c r="AB650" s="2"/>
      <c r="AC650" s="2"/>
    </row>
    <row r="651" spans="7:29" x14ac:dyDescent="0.35">
      <c r="G651" s="2"/>
      <c r="H651" s="2"/>
      <c r="I651" s="2"/>
      <c r="J651" s="2"/>
      <c r="K651" s="2"/>
      <c r="L651" s="2"/>
      <c r="M651" s="2"/>
      <c r="N651" s="2"/>
      <c r="O651" s="2"/>
      <c r="P651" s="2"/>
      <c r="Q651" s="2"/>
      <c r="R651" s="2"/>
      <c r="S651" s="2"/>
      <c r="T651" s="2"/>
      <c r="U651" s="2"/>
      <c r="V651" s="2"/>
      <c r="W651" s="2"/>
      <c r="X651" s="2"/>
      <c r="Y651" s="2"/>
      <c r="Z651" s="2"/>
      <c r="AA651" s="2"/>
      <c r="AB651" s="2"/>
      <c r="AC651" s="2"/>
    </row>
    <row r="652" spans="7:29" x14ac:dyDescent="0.35">
      <c r="G652" s="2"/>
      <c r="H652" s="2"/>
      <c r="I652" s="2"/>
      <c r="J652" s="2"/>
      <c r="K652" s="2"/>
      <c r="L652" s="2"/>
      <c r="M652" s="2"/>
      <c r="N652" s="2"/>
      <c r="O652" s="2"/>
      <c r="P652" s="2"/>
      <c r="Q652" s="2"/>
      <c r="R652" s="2"/>
      <c r="S652" s="2"/>
      <c r="T652" s="2"/>
      <c r="U652" s="2"/>
      <c r="V652" s="2"/>
      <c r="W652" s="2"/>
      <c r="X652" s="2"/>
      <c r="Y652" s="2"/>
      <c r="Z652" s="2"/>
      <c r="AA652" s="2"/>
      <c r="AB652" s="2"/>
      <c r="AC652" s="2"/>
    </row>
    <row r="653" spans="7:29" x14ac:dyDescent="0.35">
      <c r="G653" s="2"/>
      <c r="H653" s="2"/>
      <c r="I653" s="2"/>
      <c r="J653" s="2"/>
      <c r="K653" s="2"/>
      <c r="L653" s="2"/>
      <c r="M653" s="2"/>
      <c r="N653" s="2"/>
      <c r="O653" s="2"/>
      <c r="P653" s="2"/>
      <c r="Q653" s="2"/>
      <c r="R653" s="2"/>
      <c r="S653" s="2"/>
      <c r="T653" s="2"/>
      <c r="U653" s="2"/>
      <c r="V653" s="2"/>
      <c r="W653" s="2"/>
      <c r="X653" s="2"/>
      <c r="Y653" s="2"/>
      <c r="Z653" s="2"/>
      <c r="AA653" s="2"/>
      <c r="AB653" s="2"/>
      <c r="AC653" s="2"/>
    </row>
    <row r="654" spans="7:29" x14ac:dyDescent="0.35">
      <c r="G654" s="2"/>
      <c r="H654" s="2"/>
      <c r="I654" s="2"/>
      <c r="J654" s="2"/>
      <c r="K654" s="2"/>
      <c r="L654" s="2"/>
      <c r="M654" s="2"/>
      <c r="N654" s="2"/>
      <c r="O654" s="2"/>
      <c r="P654" s="2"/>
      <c r="Q654" s="2"/>
      <c r="R654" s="2"/>
      <c r="S654" s="2"/>
      <c r="T654" s="2"/>
      <c r="U654" s="2"/>
      <c r="V654" s="2"/>
      <c r="W654" s="2"/>
      <c r="X654" s="2"/>
      <c r="Y654" s="2"/>
      <c r="Z654" s="2"/>
      <c r="AA654" s="2"/>
      <c r="AB654" s="2"/>
      <c r="AC654" s="2"/>
    </row>
    <row r="655" spans="7:29" x14ac:dyDescent="0.35">
      <c r="G655" s="2"/>
      <c r="H655" s="2"/>
      <c r="I655" s="2"/>
      <c r="J655" s="2"/>
      <c r="K655" s="2"/>
      <c r="L655" s="2"/>
      <c r="M655" s="2"/>
      <c r="N655" s="2"/>
      <c r="O655" s="2"/>
      <c r="P655" s="2"/>
      <c r="Q655" s="2"/>
      <c r="R655" s="2"/>
      <c r="S655" s="2"/>
      <c r="T655" s="2"/>
      <c r="U655" s="2"/>
      <c r="V655" s="2"/>
      <c r="W655" s="2"/>
      <c r="X655" s="2"/>
      <c r="Y655" s="2"/>
      <c r="Z655" s="2"/>
      <c r="AA655" s="2"/>
      <c r="AB655" s="2"/>
      <c r="AC655" s="2"/>
    </row>
    <row r="656" spans="7:29" x14ac:dyDescent="0.35">
      <c r="G656" s="2"/>
      <c r="H656" s="2"/>
      <c r="I656" s="2"/>
      <c r="J656" s="2"/>
      <c r="K656" s="2"/>
      <c r="L656" s="2"/>
      <c r="M656" s="2"/>
      <c r="N656" s="2"/>
      <c r="O656" s="2"/>
      <c r="P656" s="2"/>
      <c r="Q656" s="2"/>
      <c r="R656" s="2"/>
      <c r="S656" s="2"/>
      <c r="T656" s="2"/>
      <c r="U656" s="2"/>
      <c r="V656" s="2"/>
      <c r="W656" s="2"/>
      <c r="X656" s="2"/>
      <c r="Y656" s="2"/>
      <c r="Z656" s="2"/>
      <c r="AA656" s="2"/>
      <c r="AB656" s="2"/>
      <c r="AC656" s="2"/>
    </row>
    <row r="657" spans="7:29" x14ac:dyDescent="0.35">
      <c r="G657" s="2"/>
      <c r="H657" s="2"/>
      <c r="I657" s="2"/>
      <c r="J657" s="2"/>
      <c r="K657" s="2"/>
      <c r="L657" s="2"/>
      <c r="M657" s="2"/>
      <c r="N657" s="2"/>
      <c r="O657" s="2"/>
      <c r="P657" s="2"/>
      <c r="Q657" s="2"/>
      <c r="R657" s="2"/>
      <c r="S657" s="2"/>
      <c r="T657" s="2"/>
      <c r="U657" s="2"/>
      <c r="V657" s="2"/>
      <c r="W657" s="2"/>
      <c r="X657" s="2"/>
      <c r="Y657" s="2"/>
      <c r="Z657" s="2"/>
      <c r="AA657" s="2"/>
      <c r="AB657" s="2"/>
      <c r="AC657" s="2"/>
    </row>
    <row r="658" spans="7:29" x14ac:dyDescent="0.35">
      <c r="G658" s="2"/>
      <c r="H658" s="2"/>
      <c r="I658" s="2"/>
      <c r="J658" s="2"/>
      <c r="K658" s="2"/>
      <c r="L658" s="2"/>
      <c r="M658" s="2"/>
      <c r="N658" s="2"/>
      <c r="O658" s="2"/>
      <c r="P658" s="2"/>
      <c r="Q658" s="2"/>
      <c r="R658" s="2"/>
      <c r="S658" s="2"/>
      <c r="T658" s="2"/>
      <c r="U658" s="2"/>
      <c r="V658" s="2"/>
      <c r="W658" s="2"/>
      <c r="X658" s="2"/>
      <c r="Y658" s="2"/>
      <c r="Z658" s="2"/>
      <c r="AA658" s="2"/>
      <c r="AB658" s="2"/>
      <c r="AC658" s="2"/>
    </row>
    <row r="659" spans="7:29" x14ac:dyDescent="0.35">
      <c r="G659" s="2"/>
      <c r="H659" s="2"/>
      <c r="I659" s="2"/>
      <c r="J659" s="2"/>
      <c r="K659" s="2"/>
      <c r="L659" s="2"/>
      <c r="M659" s="2"/>
      <c r="N659" s="2"/>
      <c r="O659" s="2"/>
      <c r="P659" s="2"/>
      <c r="Q659" s="2"/>
      <c r="R659" s="2"/>
      <c r="S659" s="2"/>
      <c r="T659" s="2"/>
      <c r="U659" s="2"/>
      <c r="V659" s="2"/>
      <c r="W659" s="2"/>
      <c r="X659" s="2"/>
      <c r="Y659" s="2"/>
      <c r="Z659" s="2"/>
      <c r="AA659" s="2"/>
      <c r="AB659" s="2"/>
      <c r="AC659" s="2"/>
    </row>
    <row r="660" spans="7:29" x14ac:dyDescent="0.35">
      <c r="G660" s="2"/>
      <c r="H660" s="2"/>
      <c r="I660" s="2"/>
      <c r="J660" s="2"/>
      <c r="K660" s="2"/>
      <c r="L660" s="2"/>
      <c r="M660" s="2"/>
      <c r="N660" s="2"/>
      <c r="O660" s="2"/>
      <c r="P660" s="2"/>
      <c r="Q660" s="2"/>
      <c r="R660" s="2"/>
      <c r="S660" s="2"/>
      <c r="T660" s="2"/>
      <c r="U660" s="2"/>
      <c r="V660" s="2"/>
      <c r="W660" s="2"/>
      <c r="X660" s="2"/>
      <c r="Y660" s="2"/>
      <c r="Z660" s="2"/>
      <c r="AA660" s="2"/>
      <c r="AB660" s="2"/>
      <c r="AC660" s="2"/>
    </row>
    <row r="661" spans="7:29" x14ac:dyDescent="0.35">
      <c r="G661" s="2"/>
      <c r="H661" s="2"/>
      <c r="I661" s="2"/>
      <c r="J661" s="2"/>
      <c r="K661" s="2"/>
      <c r="L661" s="2"/>
      <c r="M661" s="2"/>
      <c r="N661" s="2"/>
      <c r="O661" s="2"/>
      <c r="P661" s="2"/>
      <c r="Q661" s="2"/>
      <c r="R661" s="2"/>
      <c r="S661" s="2"/>
      <c r="T661" s="2"/>
      <c r="U661" s="2"/>
      <c r="V661" s="2"/>
      <c r="W661" s="2"/>
      <c r="X661" s="2"/>
      <c r="Y661" s="2"/>
      <c r="Z661" s="2"/>
      <c r="AA661" s="2"/>
      <c r="AB661" s="2"/>
      <c r="AC661" s="2"/>
    </row>
    <row r="662" spans="7:29" x14ac:dyDescent="0.35">
      <c r="G662" s="2"/>
      <c r="H662" s="2"/>
      <c r="I662" s="2"/>
      <c r="J662" s="2"/>
      <c r="K662" s="2"/>
      <c r="L662" s="2"/>
      <c r="M662" s="2"/>
      <c r="N662" s="2"/>
      <c r="O662" s="2"/>
      <c r="P662" s="2"/>
      <c r="Q662" s="2"/>
      <c r="R662" s="2"/>
      <c r="S662" s="2"/>
      <c r="T662" s="2"/>
      <c r="U662" s="2"/>
      <c r="V662" s="2"/>
      <c r="W662" s="2"/>
      <c r="X662" s="2"/>
      <c r="Y662" s="2"/>
      <c r="Z662" s="2"/>
      <c r="AA662" s="2"/>
      <c r="AB662" s="2"/>
      <c r="AC662" s="2"/>
    </row>
    <row r="663" spans="7:29" x14ac:dyDescent="0.35">
      <c r="G663" s="2"/>
      <c r="H663" s="2"/>
      <c r="I663" s="2"/>
      <c r="J663" s="2"/>
      <c r="K663" s="2"/>
      <c r="L663" s="2"/>
      <c r="M663" s="2"/>
      <c r="N663" s="2"/>
      <c r="O663" s="2"/>
      <c r="P663" s="2"/>
      <c r="Q663" s="2"/>
      <c r="R663" s="2"/>
      <c r="S663" s="2"/>
      <c r="T663" s="2"/>
      <c r="U663" s="2"/>
      <c r="V663" s="2"/>
      <c r="W663" s="2"/>
      <c r="X663" s="2"/>
      <c r="Y663" s="2"/>
      <c r="Z663" s="2"/>
      <c r="AA663" s="2"/>
      <c r="AB663" s="2"/>
      <c r="AC663" s="2"/>
    </row>
    <row r="664" spans="7:29" x14ac:dyDescent="0.35">
      <c r="G664" s="2"/>
      <c r="H664" s="2"/>
      <c r="I664" s="2"/>
      <c r="J664" s="2"/>
      <c r="K664" s="2"/>
      <c r="L664" s="2"/>
      <c r="M664" s="2"/>
      <c r="N664" s="2"/>
      <c r="O664" s="2"/>
      <c r="P664" s="2"/>
      <c r="Q664" s="2"/>
      <c r="R664" s="2"/>
      <c r="S664" s="2"/>
      <c r="T664" s="2"/>
      <c r="U664" s="2"/>
      <c r="V664" s="2"/>
      <c r="W664" s="2"/>
      <c r="X664" s="2"/>
      <c r="Y664" s="2"/>
      <c r="Z664" s="2"/>
      <c r="AA664" s="2"/>
      <c r="AB664" s="2"/>
      <c r="AC664" s="2"/>
    </row>
    <row r="665" spans="7:29" x14ac:dyDescent="0.35">
      <c r="G665" s="2"/>
      <c r="H665" s="2"/>
      <c r="I665" s="2"/>
      <c r="J665" s="2"/>
      <c r="K665" s="2"/>
      <c r="L665" s="2"/>
      <c r="M665" s="2"/>
      <c r="N665" s="2"/>
      <c r="O665" s="2"/>
      <c r="P665" s="2"/>
      <c r="Q665" s="2"/>
      <c r="R665" s="2"/>
      <c r="S665" s="2"/>
      <c r="T665" s="2"/>
      <c r="U665" s="2"/>
      <c r="V665" s="2"/>
      <c r="W665" s="2"/>
      <c r="X665" s="2"/>
      <c r="Y665" s="2"/>
      <c r="Z665" s="2"/>
      <c r="AA665" s="2"/>
      <c r="AB665" s="2"/>
      <c r="AC665" s="2"/>
    </row>
    <row r="666" spans="7:29" x14ac:dyDescent="0.35">
      <c r="G666" s="2"/>
      <c r="H666" s="2"/>
      <c r="I666" s="2"/>
      <c r="J666" s="2"/>
      <c r="K666" s="2"/>
      <c r="L666" s="2"/>
      <c r="M666" s="2"/>
      <c r="N666" s="2"/>
      <c r="O666" s="2"/>
      <c r="P666" s="2"/>
      <c r="Q666" s="2"/>
      <c r="R666" s="2"/>
      <c r="S666" s="2"/>
      <c r="T666" s="2"/>
      <c r="U666" s="2"/>
      <c r="V666" s="2"/>
      <c r="W666" s="2"/>
      <c r="X666" s="2"/>
      <c r="Y666" s="2"/>
      <c r="Z666" s="2"/>
      <c r="AA666" s="2"/>
      <c r="AB666" s="2"/>
      <c r="AC666" s="2"/>
    </row>
    <row r="667" spans="7:29" x14ac:dyDescent="0.35">
      <c r="G667" s="2"/>
      <c r="H667" s="2"/>
      <c r="I667" s="2"/>
      <c r="J667" s="2"/>
      <c r="K667" s="2"/>
      <c r="L667" s="2"/>
      <c r="M667" s="2"/>
      <c r="N667" s="2"/>
      <c r="O667" s="2"/>
      <c r="P667" s="2"/>
      <c r="Q667" s="2"/>
      <c r="R667" s="2"/>
      <c r="S667" s="2"/>
      <c r="T667" s="2"/>
      <c r="U667" s="2"/>
      <c r="V667" s="2"/>
      <c r="W667" s="2"/>
      <c r="X667" s="2"/>
      <c r="Y667" s="2"/>
      <c r="Z667" s="2"/>
      <c r="AA667" s="2"/>
      <c r="AB667" s="2"/>
      <c r="AC667" s="2"/>
    </row>
    <row r="668" spans="7:29" x14ac:dyDescent="0.35">
      <c r="G668" s="2"/>
      <c r="H668" s="2"/>
      <c r="I668" s="2"/>
      <c r="J668" s="2"/>
      <c r="K668" s="2"/>
      <c r="L668" s="2"/>
      <c r="M668" s="2"/>
      <c r="N668" s="2"/>
      <c r="O668" s="2"/>
      <c r="P668" s="2"/>
      <c r="Q668" s="2"/>
      <c r="R668" s="2"/>
      <c r="S668" s="2"/>
      <c r="T668" s="2"/>
      <c r="U668" s="2"/>
      <c r="V668" s="2"/>
      <c r="W668" s="2"/>
      <c r="X668" s="2"/>
      <c r="Y668" s="2"/>
      <c r="Z668" s="2"/>
      <c r="AA668" s="2"/>
      <c r="AB668" s="2"/>
      <c r="AC668" s="2"/>
    </row>
    <row r="669" spans="7:29" x14ac:dyDescent="0.35">
      <c r="G669" s="2"/>
      <c r="H669" s="2"/>
      <c r="I669" s="2"/>
      <c r="J669" s="2"/>
      <c r="K669" s="2"/>
      <c r="L669" s="2"/>
      <c r="M669" s="2"/>
      <c r="N669" s="2"/>
      <c r="O669" s="2"/>
      <c r="P669" s="2"/>
      <c r="Q669" s="2"/>
      <c r="R669" s="2"/>
      <c r="S669" s="2"/>
      <c r="T669" s="2"/>
      <c r="U669" s="2"/>
      <c r="V669" s="2"/>
      <c r="W669" s="2"/>
      <c r="X669" s="2"/>
      <c r="Y669" s="2"/>
      <c r="Z669" s="2"/>
      <c r="AA669" s="2"/>
      <c r="AB669" s="2"/>
      <c r="AC669" s="2"/>
    </row>
    <row r="670" spans="7:29" x14ac:dyDescent="0.35">
      <c r="G670" s="2"/>
      <c r="H670" s="2"/>
      <c r="I670" s="2"/>
      <c r="J670" s="2"/>
      <c r="K670" s="2"/>
      <c r="L670" s="2"/>
      <c r="M670" s="2"/>
      <c r="N670" s="2"/>
      <c r="O670" s="2"/>
      <c r="P670" s="2"/>
      <c r="Q670" s="2"/>
      <c r="R670" s="2"/>
      <c r="S670" s="2"/>
      <c r="T670" s="2"/>
      <c r="U670" s="2"/>
      <c r="V670" s="2"/>
      <c r="W670" s="2"/>
      <c r="X670" s="2"/>
      <c r="Y670" s="2"/>
      <c r="Z670" s="2"/>
      <c r="AA670" s="2"/>
      <c r="AB670" s="2"/>
      <c r="AC670" s="2"/>
    </row>
    <row r="671" spans="7:29" x14ac:dyDescent="0.35">
      <c r="G671" s="2"/>
      <c r="H671" s="2"/>
      <c r="I671" s="2"/>
      <c r="J671" s="2"/>
      <c r="K671" s="2"/>
      <c r="L671" s="2"/>
      <c r="M671" s="2"/>
      <c r="N671" s="2"/>
      <c r="O671" s="2"/>
      <c r="P671" s="2"/>
      <c r="Q671" s="2"/>
      <c r="R671" s="2"/>
      <c r="S671" s="2"/>
      <c r="T671" s="2"/>
      <c r="U671" s="2"/>
      <c r="V671" s="2"/>
      <c r="W671" s="2"/>
      <c r="X671" s="2"/>
      <c r="Y671" s="2"/>
      <c r="Z671" s="2"/>
      <c r="AA671" s="2"/>
      <c r="AB671" s="2"/>
      <c r="AC671" s="2"/>
    </row>
    <row r="672" spans="7:29" x14ac:dyDescent="0.35">
      <c r="G672" s="2"/>
      <c r="H672" s="2"/>
      <c r="I672" s="2"/>
      <c r="J672" s="2"/>
      <c r="K672" s="2"/>
      <c r="L672" s="2"/>
      <c r="M672" s="2"/>
      <c r="N672" s="2"/>
      <c r="O672" s="2"/>
      <c r="P672" s="2"/>
      <c r="Q672" s="2"/>
      <c r="R672" s="2"/>
      <c r="S672" s="2"/>
      <c r="T672" s="2"/>
      <c r="U672" s="2"/>
      <c r="V672" s="2"/>
      <c r="W672" s="2"/>
      <c r="X672" s="2"/>
      <c r="Y672" s="2"/>
      <c r="Z672" s="2"/>
      <c r="AA672" s="2"/>
      <c r="AB672" s="2"/>
      <c r="AC672" s="2"/>
    </row>
    <row r="673" spans="7:29" x14ac:dyDescent="0.35">
      <c r="G673" s="2"/>
      <c r="H673" s="2"/>
      <c r="I673" s="2"/>
      <c r="J673" s="2"/>
      <c r="K673" s="2"/>
      <c r="L673" s="2"/>
      <c r="M673" s="2"/>
      <c r="N673" s="2"/>
      <c r="O673" s="2"/>
      <c r="P673" s="2"/>
      <c r="Q673" s="2"/>
      <c r="R673" s="2"/>
      <c r="S673" s="2"/>
      <c r="T673" s="2"/>
      <c r="U673" s="2"/>
      <c r="V673" s="2"/>
      <c r="W673" s="2"/>
      <c r="X673" s="2"/>
      <c r="Y673" s="2"/>
      <c r="Z673" s="2"/>
      <c r="AA673" s="2"/>
      <c r="AB673" s="2"/>
      <c r="AC673" s="2"/>
    </row>
    <row r="674" spans="7:29" x14ac:dyDescent="0.35">
      <c r="G674" s="2"/>
      <c r="H674" s="2"/>
      <c r="I674" s="2"/>
      <c r="J674" s="2"/>
      <c r="K674" s="2"/>
      <c r="L674" s="2"/>
      <c r="M674" s="2"/>
      <c r="N674" s="2"/>
      <c r="O674" s="2"/>
      <c r="P674" s="2"/>
      <c r="Q674" s="2"/>
      <c r="R674" s="2"/>
      <c r="S674" s="2"/>
      <c r="T674" s="2"/>
      <c r="U674" s="2"/>
      <c r="V674" s="2"/>
      <c r="W674" s="2"/>
      <c r="X674" s="2"/>
      <c r="Y674" s="2"/>
      <c r="Z674" s="2"/>
      <c r="AA674" s="2"/>
      <c r="AB674" s="2"/>
      <c r="AC674" s="2"/>
    </row>
    <row r="675" spans="7:29" x14ac:dyDescent="0.35">
      <c r="G675" s="2"/>
      <c r="H675" s="2"/>
      <c r="I675" s="2"/>
      <c r="J675" s="2"/>
      <c r="K675" s="2"/>
      <c r="L675" s="2"/>
      <c r="M675" s="2"/>
      <c r="N675" s="2"/>
      <c r="O675" s="2"/>
      <c r="P675" s="2"/>
      <c r="Q675" s="2"/>
      <c r="R675" s="2"/>
      <c r="S675" s="2"/>
      <c r="T675" s="2"/>
      <c r="U675" s="2"/>
      <c r="V675" s="2"/>
      <c r="W675" s="2"/>
      <c r="X675" s="2"/>
      <c r="Y675" s="2"/>
      <c r="Z675" s="2"/>
      <c r="AA675" s="2"/>
      <c r="AB675" s="2"/>
      <c r="AC675" s="2"/>
    </row>
    <row r="676" spans="7:29" x14ac:dyDescent="0.35">
      <c r="G676" s="2"/>
      <c r="H676" s="2"/>
      <c r="I676" s="2"/>
      <c r="J676" s="2"/>
      <c r="K676" s="2"/>
      <c r="L676" s="2"/>
      <c r="M676" s="2"/>
      <c r="N676" s="2"/>
      <c r="O676" s="2"/>
      <c r="P676" s="2"/>
      <c r="Q676" s="2"/>
      <c r="R676" s="2"/>
      <c r="S676" s="2"/>
      <c r="T676" s="2"/>
      <c r="U676" s="2"/>
      <c r="V676" s="2"/>
      <c r="W676" s="2"/>
      <c r="X676" s="2"/>
      <c r="Y676" s="2"/>
      <c r="Z676" s="2"/>
      <c r="AA676" s="2"/>
      <c r="AB676" s="2"/>
      <c r="AC676" s="2"/>
    </row>
    <row r="677" spans="7:29" x14ac:dyDescent="0.35">
      <c r="G677" s="2"/>
      <c r="H677" s="2"/>
      <c r="I677" s="2"/>
      <c r="J677" s="2"/>
      <c r="K677" s="2"/>
      <c r="L677" s="2"/>
      <c r="M677" s="2"/>
      <c r="N677" s="2"/>
      <c r="O677" s="2"/>
      <c r="P677" s="2"/>
      <c r="Q677" s="2"/>
      <c r="R677" s="2"/>
      <c r="S677" s="2"/>
      <c r="T677" s="2"/>
      <c r="U677" s="2"/>
      <c r="V677" s="2"/>
      <c r="W677" s="2"/>
      <c r="X677" s="2"/>
      <c r="Y677" s="2"/>
      <c r="Z677" s="2"/>
      <c r="AA677" s="2"/>
      <c r="AB677" s="2"/>
      <c r="AC677" s="2"/>
    </row>
    <row r="678" spans="7:29" x14ac:dyDescent="0.35">
      <c r="G678" s="2"/>
      <c r="H678" s="2"/>
      <c r="I678" s="2"/>
      <c r="J678" s="2"/>
      <c r="K678" s="2"/>
      <c r="L678" s="2"/>
      <c r="M678" s="2"/>
      <c r="N678" s="2"/>
      <c r="O678" s="2"/>
      <c r="P678" s="2"/>
      <c r="Q678" s="2"/>
      <c r="R678" s="2"/>
      <c r="S678" s="2"/>
      <c r="T678" s="2"/>
      <c r="U678" s="2"/>
      <c r="V678" s="2"/>
      <c r="W678" s="2"/>
      <c r="X678" s="2"/>
      <c r="Y678" s="2"/>
      <c r="Z678" s="2"/>
      <c r="AA678" s="2"/>
      <c r="AB678" s="2"/>
      <c r="AC678" s="2"/>
    </row>
    <row r="679" spans="7:29" x14ac:dyDescent="0.35">
      <c r="G679" s="2"/>
      <c r="H679" s="2"/>
      <c r="I679" s="2"/>
      <c r="J679" s="2"/>
      <c r="K679" s="2"/>
      <c r="L679" s="2"/>
      <c r="M679" s="2"/>
      <c r="N679" s="2"/>
      <c r="O679" s="2"/>
      <c r="P679" s="2"/>
      <c r="Q679" s="2"/>
      <c r="R679" s="2"/>
      <c r="S679" s="2"/>
      <c r="T679" s="2"/>
      <c r="U679" s="2"/>
      <c r="V679" s="2"/>
      <c r="W679" s="2"/>
      <c r="X679" s="2"/>
      <c r="Y679" s="2"/>
      <c r="Z679" s="2"/>
      <c r="AA679" s="2"/>
      <c r="AB679" s="2"/>
      <c r="AC679" s="2"/>
    </row>
    <row r="680" spans="7:29" x14ac:dyDescent="0.35">
      <c r="G680" s="2"/>
      <c r="H680" s="2"/>
      <c r="I680" s="2"/>
      <c r="J680" s="2"/>
      <c r="K680" s="2"/>
      <c r="L680" s="2"/>
      <c r="M680" s="2"/>
      <c r="N680" s="2"/>
      <c r="O680" s="2"/>
      <c r="P680" s="2"/>
      <c r="Q680" s="2"/>
      <c r="R680" s="2"/>
      <c r="S680" s="2"/>
      <c r="T680" s="2"/>
      <c r="U680" s="2"/>
      <c r="V680" s="2"/>
      <c r="W680" s="2"/>
      <c r="X680" s="2"/>
      <c r="Y680" s="2"/>
      <c r="Z680" s="2"/>
      <c r="AA680" s="2"/>
      <c r="AB680" s="2"/>
      <c r="AC680" s="2"/>
    </row>
    <row r="681" spans="7:29" x14ac:dyDescent="0.35">
      <c r="G681" s="2"/>
      <c r="H681" s="2"/>
      <c r="I681" s="2"/>
      <c r="J681" s="2"/>
      <c r="K681" s="2"/>
      <c r="L681" s="2"/>
      <c r="M681" s="2"/>
      <c r="N681" s="2"/>
      <c r="O681" s="2"/>
      <c r="P681" s="2"/>
      <c r="Q681" s="2"/>
      <c r="R681" s="2"/>
      <c r="S681" s="2"/>
      <c r="T681" s="2"/>
      <c r="U681" s="2"/>
      <c r="V681" s="2"/>
      <c r="W681" s="2"/>
      <c r="X681" s="2"/>
      <c r="Y681" s="2"/>
      <c r="Z681" s="2"/>
      <c r="AA681" s="2"/>
      <c r="AB681" s="2"/>
      <c r="AC681" s="2"/>
    </row>
    <row r="682" spans="7:29" x14ac:dyDescent="0.35">
      <c r="G682" s="2"/>
      <c r="H682" s="2"/>
      <c r="I682" s="2"/>
      <c r="J682" s="2"/>
      <c r="K682" s="2"/>
      <c r="L682" s="2"/>
      <c r="M682" s="2"/>
      <c r="N682" s="2"/>
      <c r="O682" s="2"/>
      <c r="P682" s="2"/>
      <c r="Q682" s="2"/>
      <c r="R682" s="2"/>
      <c r="S682" s="2"/>
      <c r="T682" s="2"/>
      <c r="U682" s="2"/>
      <c r="V682" s="2"/>
      <c r="W682" s="2"/>
      <c r="X682" s="2"/>
      <c r="Y682" s="2"/>
      <c r="Z682" s="2"/>
      <c r="AA682" s="2"/>
      <c r="AB682" s="2"/>
      <c r="AC682" s="2"/>
    </row>
    <row r="683" spans="7:29" x14ac:dyDescent="0.35">
      <c r="G683" s="2"/>
      <c r="H683" s="2"/>
      <c r="I683" s="2"/>
      <c r="J683" s="2"/>
      <c r="K683" s="2"/>
      <c r="L683" s="2"/>
      <c r="M683" s="2"/>
      <c r="N683" s="2"/>
      <c r="O683" s="2"/>
      <c r="P683" s="2"/>
      <c r="Q683" s="2"/>
      <c r="R683" s="2"/>
      <c r="S683" s="2"/>
      <c r="T683" s="2"/>
      <c r="U683" s="2"/>
      <c r="V683" s="2"/>
      <c r="W683" s="2"/>
      <c r="X683" s="2"/>
      <c r="Y683" s="2"/>
      <c r="Z683" s="2"/>
      <c r="AA683" s="2"/>
      <c r="AB683" s="2"/>
      <c r="AC683" s="2"/>
    </row>
    <row r="684" spans="7:29" x14ac:dyDescent="0.35">
      <c r="G684" s="2"/>
      <c r="H684" s="2"/>
      <c r="I684" s="2"/>
      <c r="J684" s="2"/>
      <c r="K684" s="2"/>
      <c r="L684" s="2"/>
      <c r="M684" s="2"/>
      <c r="N684" s="2"/>
      <c r="O684" s="2"/>
      <c r="P684" s="2"/>
      <c r="Q684" s="2"/>
      <c r="R684" s="2"/>
      <c r="S684" s="2"/>
      <c r="T684" s="2"/>
      <c r="U684" s="2"/>
      <c r="V684" s="2"/>
      <c r="W684" s="2"/>
      <c r="X684" s="2"/>
      <c r="Y684" s="2"/>
      <c r="Z684" s="2"/>
      <c r="AA684" s="2"/>
      <c r="AB684" s="2"/>
      <c r="AC684" s="2"/>
    </row>
    <row r="685" spans="7:29" x14ac:dyDescent="0.35">
      <c r="G685" s="2"/>
      <c r="H685" s="2"/>
      <c r="I685" s="2"/>
      <c r="J685" s="2"/>
      <c r="K685" s="2"/>
      <c r="L685" s="2"/>
      <c r="M685" s="2"/>
      <c r="N685" s="2"/>
      <c r="O685" s="2"/>
      <c r="P685" s="2"/>
      <c r="Q685" s="2"/>
      <c r="R685" s="2"/>
      <c r="S685" s="2"/>
      <c r="T685" s="2"/>
      <c r="U685" s="2"/>
      <c r="V685" s="2"/>
      <c r="W685" s="2"/>
      <c r="X685" s="2"/>
      <c r="Y685" s="2"/>
      <c r="Z685" s="2"/>
      <c r="AA685" s="2"/>
      <c r="AB685" s="2"/>
      <c r="AC685" s="2"/>
    </row>
    <row r="686" spans="7:29" x14ac:dyDescent="0.35">
      <c r="G686" s="2"/>
      <c r="H686" s="2"/>
      <c r="I686" s="2"/>
      <c r="J686" s="2"/>
      <c r="K686" s="2"/>
      <c r="L686" s="2"/>
      <c r="M686" s="2"/>
      <c r="N686" s="2"/>
      <c r="O686" s="2"/>
      <c r="P686" s="2"/>
      <c r="Q686" s="2"/>
      <c r="R686" s="2"/>
      <c r="S686" s="2"/>
      <c r="T686" s="2"/>
      <c r="U686" s="2"/>
      <c r="V686" s="2"/>
      <c r="W686" s="2"/>
      <c r="X686" s="2"/>
      <c r="Y686" s="2"/>
      <c r="Z686" s="2"/>
      <c r="AA686" s="2"/>
      <c r="AB686" s="2"/>
      <c r="AC686" s="2"/>
    </row>
    <row r="687" spans="7:29" x14ac:dyDescent="0.35">
      <c r="G687" s="2"/>
      <c r="H687" s="2"/>
      <c r="I687" s="2"/>
      <c r="J687" s="2"/>
      <c r="K687" s="2"/>
      <c r="L687" s="2"/>
      <c r="M687" s="2"/>
      <c r="N687" s="2"/>
      <c r="O687" s="2"/>
      <c r="P687" s="2"/>
      <c r="Q687" s="2"/>
      <c r="R687" s="2"/>
      <c r="S687" s="2"/>
      <c r="T687" s="2"/>
      <c r="U687" s="2"/>
      <c r="V687" s="2"/>
      <c r="W687" s="2"/>
      <c r="X687" s="2"/>
      <c r="Y687" s="2"/>
      <c r="Z687" s="2"/>
      <c r="AA687" s="2"/>
      <c r="AB687" s="2"/>
      <c r="AC687" s="2"/>
    </row>
    <row r="688" spans="7:29" x14ac:dyDescent="0.35">
      <c r="G688" s="2"/>
      <c r="H688" s="2"/>
      <c r="I688" s="2"/>
      <c r="J688" s="2"/>
      <c r="K688" s="2"/>
      <c r="L688" s="2"/>
      <c r="M688" s="2"/>
      <c r="N688" s="2"/>
      <c r="O688" s="2"/>
      <c r="P688" s="2"/>
      <c r="Q688" s="2"/>
      <c r="R688" s="2"/>
      <c r="S688" s="2"/>
      <c r="T688" s="2"/>
      <c r="U688" s="2"/>
      <c r="V688" s="2"/>
      <c r="W688" s="2"/>
      <c r="X688" s="2"/>
      <c r="Y688" s="2"/>
      <c r="Z688" s="2"/>
      <c r="AA688" s="2"/>
      <c r="AB688" s="2"/>
      <c r="AC688" s="2"/>
    </row>
    <row r="689" spans="7:29" x14ac:dyDescent="0.35">
      <c r="G689" s="2"/>
      <c r="H689" s="2"/>
      <c r="I689" s="2"/>
      <c r="J689" s="2"/>
      <c r="K689" s="2"/>
      <c r="L689" s="2"/>
      <c r="M689" s="2"/>
      <c r="N689" s="2"/>
      <c r="O689" s="2"/>
      <c r="P689" s="2"/>
      <c r="Q689" s="2"/>
      <c r="R689" s="2"/>
      <c r="S689" s="2"/>
      <c r="T689" s="2"/>
      <c r="U689" s="2"/>
      <c r="V689" s="2"/>
      <c r="W689" s="2"/>
      <c r="X689" s="2"/>
      <c r="Y689" s="2"/>
      <c r="Z689" s="2"/>
      <c r="AA689" s="2"/>
      <c r="AB689" s="2"/>
      <c r="AC689" s="2"/>
    </row>
    <row r="690" spans="7:29" x14ac:dyDescent="0.35">
      <c r="G690" s="2"/>
      <c r="H690" s="2"/>
      <c r="I690" s="2"/>
      <c r="J690" s="2"/>
      <c r="K690" s="2"/>
      <c r="L690" s="2"/>
      <c r="M690" s="2"/>
      <c r="N690" s="2"/>
      <c r="O690" s="2"/>
      <c r="P690" s="2"/>
      <c r="Q690" s="2"/>
      <c r="R690" s="2"/>
      <c r="S690" s="2"/>
      <c r="T690" s="2"/>
      <c r="U690" s="2"/>
      <c r="V690" s="2"/>
      <c r="W690" s="2"/>
      <c r="X690" s="2"/>
      <c r="Y690" s="2"/>
      <c r="Z690" s="2"/>
      <c r="AA690" s="2"/>
      <c r="AB690" s="2"/>
      <c r="AC690" s="2"/>
    </row>
    <row r="691" spans="7:29" x14ac:dyDescent="0.35">
      <c r="G691" s="2"/>
      <c r="H691" s="2"/>
      <c r="I691" s="2"/>
      <c r="J691" s="2"/>
      <c r="K691" s="2"/>
      <c r="L691" s="2"/>
      <c r="M691" s="2"/>
      <c r="N691" s="2"/>
      <c r="O691" s="2"/>
      <c r="P691" s="2"/>
      <c r="Q691" s="2"/>
      <c r="R691" s="2"/>
      <c r="S691" s="2"/>
      <c r="T691" s="2"/>
      <c r="U691" s="2"/>
      <c r="V691" s="2"/>
      <c r="W691" s="2"/>
      <c r="X691" s="2"/>
      <c r="Y691" s="2"/>
      <c r="Z691" s="2"/>
      <c r="AA691" s="2"/>
      <c r="AB691" s="2"/>
      <c r="AC691" s="2"/>
    </row>
    <row r="692" spans="7:29" x14ac:dyDescent="0.35">
      <c r="G692" s="2"/>
      <c r="H692" s="2"/>
      <c r="I692" s="2"/>
      <c r="J692" s="2"/>
      <c r="K692" s="2"/>
      <c r="L692" s="2"/>
      <c r="M692" s="2"/>
      <c r="N692" s="2"/>
      <c r="O692" s="2"/>
      <c r="P692" s="2"/>
      <c r="Q692" s="2"/>
      <c r="R692" s="2"/>
      <c r="S692" s="2"/>
      <c r="T692" s="2"/>
      <c r="U692" s="2"/>
      <c r="V692" s="2"/>
      <c r="W692" s="2"/>
      <c r="X692" s="2"/>
      <c r="Y692" s="2"/>
      <c r="Z692" s="2"/>
      <c r="AA692" s="2"/>
      <c r="AB692" s="2"/>
      <c r="AC692" s="2"/>
    </row>
    <row r="693" spans="7:29" x14ac:dyDescent="0.35">
      <c r="G693" s="2"/>
      <c r="H693" s="2"/>
      <c r="I693" s="2"/>
      <c r="J693" s="2"/>
      <c r="K693" s="2"/>
      <c r="L693" s="2"/>
      <c r="M693" s="2"/>
      <c r="N693" s="2"/>
      <c r="O693" s="2"/>
      <c r="P693" s="2"/>
      <c r="Q693" s="2"/>
      <c r="R693" s="2"/>
      <c r="S693" s="2"/>
      <c r="T693" s="2"/>
      <c r="U693" s="2"/>
      <c r="V693" s="2"/>
      <c r="W693" s="2"/>
      <c r="X693" s="2"/>
      <c r="Y693" s="2"/>
      <c r="Z693" s="2"/>
      <c r="AA693" s="2"/>
      <c r="AB693" s="2"/>
      <c r="AC693" s="2"/>
    </row>
    <row r="694" spans="7:29" x14ac:dyDescent="0.35">
      <c r="G694" s="2"/>
      <c r="H694" s="2"/>
      <c r="I694" s="2"/>
      <c r="J694" s="2"/>
      <c r="K694" s="2"/>
      <c r="L694" s="2"/>
      <c r="M694" s="2"/>
      <c r="N694" s="2"/>
      <c r="O694" s="2"/>
      <c r="P694" s="2"/>
      <c r="Q694" s="2"/>
      <c r="R694" s="2"/>
      <c r="S694" s="2"/>
      <c r="T694" s="2"/>
      <c r="U694" s="2"/>
      <c r="V694" s="2"/>
      <c r="W694" s="2"/>
      <c r="X694" s="2"/>
      <c r="Y694" s="2"/>
      <c r="Z694" s="2"/>
      <c r="AA694" s="2"/>
      <c r="AB694" s="2"/>
      <c r="AC694" s="2"/>
    </row>
    <row r="695" spans="7:29" x14ac:dyDescent="0.35">
      <c r="G695" s="2"/>
      <c r="H695" s="2"/>
      <c r="I695" s="2"/>
      <c r="J695" s="2"/>
      <c r="K695" s="2"/>
      <c r="L695" s="2"/>
      <c r="M695" s="2"/>
      <c r="N695" s="2"/>
      <c r="O695" s="2"/>
      <c r="P695" s="2"/>
      <c r="Q695" s="2"/>
      <c r="R695" s="2"/>
      <c r="S695" s="2"/>
      <c r="T695" s="2"/>
      <c r="U695" s="2"/>
      <c r="V695" s="2"/>
      <c r="W695" s="2"/>
      <c r="X695" s="2"/>
      <c r="Y695" s="2"/>
      <c r="Z695" s="2"/>
      <c r="AA695" s="2"/>
      <c r="AB695" s="2"/>
      <c r="AC695" s="2"/>
    </row>
    <row r="696" spans="7:29" x14ac:dyDescent="0.35">
      <c r="G696" s="2"/>
      <c r="H696" s="2"/>
      <c r="I696" s="2"/>
      <c r="J696" s="2"/>
      <c r="K696" s="2"/>
      <c r="L696" s="2"/>
      <c r="M696" s="2"/>
      <c r="N696" s="2"/>
      <c r="O696" s="2"/>
      <c r="P696" s="2"/>
      <c r="Q696" s="2"/>
      <c r="R696" s="2"/>
      <c r="S696" s="2"/>
      <c r="T696" s="2"/>
      <c r="U696" s="2"/>
      <c r="V696" s="2"/>
      <c r="W696" s="2"/>
      <c r="X696" s="2"/>
      <c r="Y696" s="2"/>
      <c r="Z696" s="2"/>
      <c r="AA696" s="2"/>
      <c r="AB696" s="2"/>
      <c r="AC696" s="2"/>
    </row>
    <row r="697" spans="7:29" x14ac:dyDescent="0.35">
      <c r="G697" s="2"/>
      <c r="H697" s="2"/>
      <c r="I697" s="2"/>
      <c r="J697" s="2"/>
      <c r="K697" s="2"/>
      <c r="L697" s="2"/>
      <c r="M697" s="2"/>
      <c r="N697" s="2"/>
      <c r="O697" s="2"/>
      <c r="P697" s="2"/>
      <c r="Q697" s="2"/>
      <c r="R697" s="2"/>
      <c r="S697" s="2"/>
      <c r="T697" s="2"/>
      <c r="U697" s="2"/>
      <c r="V697" s="2"/>
      <c r="W697" s="2"/>
      <c r="X697" s="2"/>
      <c r="Y697" s="2"/>
      <c r="Z697" s="2"/>
      <c r="AA697" s="2"/>
      <c r="AB697" s="2"/>
      <c r="AC697" s="2"/>
    </row>
    <row r="698" spans="7:29" x14ac:dyDescent="0.35">
      <c r="G698" s="2"/>
      <c r="H698" s="2"/>
      <c r="I698" s="2"/>
      <c r="J698" s="2"/>
      <c r="K698" s="2"/>
      <c r="L698" s="2"/>
      <c r="M698" s="2"/>
      <c r="N698" s="2"/>
      <c r="O698" s="2"/>
      <c r="P698" s="2"/>
      <c r="Q698" s="2"/>
      <c r="R698" s="2"/>
      <c r="S698" s="2"/>
      <c r="T698" s="2"/>
      <c r="U698" s="2"/>
      <c r="V698" s="2"/>
      <c r="W698" s="2"/>
      <c r="X698" s="2"/>
      <c r="Y698" s="2"/>
      <c r="Z698" s="2"/>
      <c r="AA698" s="2"/>
      <c r="AB698" s="2"/>
      <c r="AC698" s="2"/>
    </row>
    <row r="699" spans="7:29" x14ac:dyDescent="0.35">
      <c r="G699" s="2"/>
      <c r="H699" s="2"/>
      <c r="I699" s="2"/>
      <c r="J699" s="2"/>
      <c r="K699" s="2"/>
      <c r="L699" s="2"/>
      <c r="M699" s="2"/>
      <c r="N699" s="2"/>
      <c r="O699" s="2"/>
      <c r="P699" s="2"/>
      <c r="Q699" s="2"/>
      <c r="R699" s="2"/>
      <c r="S699" s="2"/>
      <c r="T699" s="2"/>
      <c r="U699" s="2"/>
      <c r="V699" s="2"/>
      <c r="W699" s="2"/>
      <c r="X699" s="2"/>
      <c r="Y699" s="2"/>
      <c r="Z699" s="2"/>
      <c r="AA699" s="2"/>
      <c r="AB699" s="2"/>
      <c r="AC699" s="2"/>
    </row>
    <row r="700" spans="7:29" x14ac:dyDescent="0.35">
      <c r="G700" s="2"/>
      <c r="H700" s="2"/>
      <c r="I700" s="2"/>
      <c r="J700" s="2"/>
      <c r="K700" s="2"/>
      <c r="L700" s="2"/>
      <c r="M700" s="2"/>
      <c r="N700" s="2"/>
      <c r="O700" s="2"/>
      <c r="P700" s="2"/>
      <c r="Q700" s="2"/>
      <c r="R700" s="2"/>
      <c r="S700" s="2"/>
      <c r="T700" s="2"/>
      <c r="U700" s="2"/>
      <c r="V700" s="2"/>
      <c r="W700" s="2"/>
      <c r="X700" s="2"/>
      <c r="Y700" s="2"/>
      <c r="Z700" s="2"/>
      <c r="AA700" s="2"/>
      <c r="AB700" s="2"/>
      <c r="AC700" s="2"/>
    </row>
    <row r="701" spans="7:29" x14ac:dyDescent="0.35">
      <c r="G701" s="2"/>
      <c r="H701" s="2"/>
      <c r="I701" s="2"/>
      <c r="J701" s="2"/>
      <c r="K701" s="2"/>
      <c r="L701" s="2"/>
      <c r="M701" s="2"/>
      <c r="N701" s="2"/>
      <c r="O701" s="2"/>
      <c r="P701" s="2"/>
      <c r="Q701" s="2"/>
      <c r="R701" s="2"/>
      <c r="S701" s="2"/>
      <c r="T701" s="2"/>
      <c r="U701" s="2"/>
      <c r="V701" s="2"/>
      <c r="W701" s="2"/>
      <c r="X701" s="2"/>
      <c r="Y701" s="2"/>
      <c r="Z701" s="2"/>
      <c r="AA701" s="2"/>
      <c r="AB701" s="2"/>
      <c r="AC701" s="2"/>
    </row>
    <row r="702" spans="7:29" x14ac:dyDescent="0.35">
      <c r="G702" s="2"/>
      <c r="H702" s="2"/>
      <c r="I702" s="2"/>
      <c r="J702" s="2"/>
      <c r="K702" s="2"/>
      <c r="L702" s="2"/>
      <c r="M702" s="2"/>
      <c r="N702" s="2"/>
      <c r="O702" s="2"/>
      <c r="P702" s="2"/>
      <c r="Q702" s="2"/>
      <c r="R702" s="2"/>
      <c r="S702" s="2"/>
      <c r="T702" s="2"/>
      <c r="U702" s="2"/>
      <c r="V702" s="2"/>
      <c r="W702" s="2"/>
      <c r="X702" s="2"/>
      <c r="Y702" s="2"/>
      <c r="Z702" s="2"/>
      <c r="AA702" s="2"/>
      <c r="AB702" s="2"/>
      <c r="AC702" s="2"/>
    </row>
    <row r="703" spans="7:29" x14ac:dyDescent="0.35">
      <c r="G703" s="2"/>
      <c r="H703" s="2"/>
      <c r="I703" s="2"/>
      <c r="J703" s="2"/>
      <c r="K703" s="2"/>
      <c r="L703" s="2"/>
      <c r="M703" s="2"/>
      <c r="N703" s="2"/>
      <c r="O703" s="2"/>
      <c r="P703" s="2"/>
      <c r="Q703" s="2"/>
      <c r="R703" s="2"/>
      <c r="S703" s="2"/>
      <c r="T703" s="2"/>
      <c r="U703" s="2"/>
      <c r="V703" s="2"/>
      <c r="W703" s="2"/>
      <c r="X703" s="2"/>
      <c r="Y703" s="2"/>
      <c r="Z703" s="2"/>
      <c r="AA703" s="2"/>
      <c r="AB703" s="2"/>
      <c r="AC703" s="2"/>
    </row>
    <row r="704" spans="7:29" x14ac:dyDescent="0.35">
      <c r="G704" s="2"/>
      <c r="H704" s="2"/>
      <c r="I704" s="2"/>
      <c r="J704" s="2"/>
      <c r="K704" s="2"/>
      <c r="L704" s="2"/>
      <c r="M704" s="2"/>
      <c r="N704" s="2"/>
      <c r="O704" s="2"/>
      <c r="P704" s="2"/>
      <c r="Q704" s="2"/>
      <c r="R704" s="2"/>
      <c r="S704" s="2"/>
      <c r="T704" s="2"/>
      <c r="U704" s="2"/>
      <c r="V704" s="2"/>
      <c r="W704" s="2"/>
      <c r="X704" s="2"/>
      <c r="Y704" s="2"/>
      <c r="Z704" s="2"/>
      <c r="AA704" s="2"/>
      <c r="AB704" s="2"/>
      <c r="AC704" s="2"/>
    </row>
    <row r="705" spans="7:29" x14ac:dyDescent="0.35">
      <c r="G705" s="2"/>
      <c r="H705" s="2"/>
      <c r="I705" s="2"/>
      <c r="J705" s="2"/>
      <c r="K705" s="2"/>
      <c r="L705" s="2"/>
      <c r="M705" s="2"/>
      <c r="N705" s="2"/>
      <c r="O705" s="2"/>
      <c r="P705" s="2"/>
      <c r="Q705" s="2"/>
      <c r="R705" s="2"/>
      <c r="S705" s="2"/>
      <c r="T705" s="2"/>
      <c r="U705" s="2"/>
      <c r="V705" s="2"/>
      <c r="W705" s="2"/>
      <c r="X705" s="2"/>
      <c r="Y705" s="2"/>
      <c r="Z705" s="2"/>
      <c r="AA705" s="2"/>
      <c r="AB705" s="2"/>
      <c r="AC705" s="2"/>
    </row>
    <row r="706" spans="7:29" x14ac:dyDescent="0.35">
      <c r="G706" s="2"/>
      <c r="H706" s="2"/>
      <c r="I706" s="2"/>
      <c r="J706" s="2"/>
      <c r="K706" s="2"/>
      <c r="L706" s="2"/>
      <c r="M706" s="2"/>
      <c r="N706" s="2"/>
      <c r="O706" s="2"/>
      <c r="P706" s="2"/>
      <c r="Q706" s="2"/>
      <c r="R706" s="2"/>
      <c r="S706" s="2"/>
      <c r="T706" s="2"/>
      <c r="U706" s="2"/>
      <c r="V706" s="2"/>
      <c r="W706" s="2"/>
      <c r="X706" s="2"/>
      <c r="Y706" s="2"/>
      <c r="Z706" s="2"/>
      <c r="AA706" s="2"/>
      <c r="AB706" s="2"/>
      <c r="AC706" s="2"/>
    </row>
    <row r="707" spans="7:29" x14ac:dyDescent="0.35">
      <c r="G707" s="2"/>
      <c r="H707" s="2"/>
      <c r="I707" s="2"/>
      <c r="J707" s="2"/>
      <c r="K707" s="2"/>
      <c r="L707" s="2"/>
      <c r="M707" s="2"/>
      <c r="N707" s="2"/>
      <c r="O707" s="2"/>
      <c r="P707" s="2"/>
      <c r="Q707" s="2"/>
      <c r="R707" s="2"/>
      <c r="S707" s="2"/>
      <c r="T707" s="2"/>
      <c r="U707" s="2"/>
      <c r="V707" s="2"/>
      <c r="W707" s="2"/>
      <c r="X707" s="2"/>
      <c r="Y707" s="2"/>
      <c r="Z707" s="2"/>
      <c r="AA707" s="2"/>
      <c r="AB707" s="2"/>
      <c r="AC707" s="2"/>
    </row>
    <row r="708" spans="7:29" x14ac:dyDescent="0.35">
      <c r="G708" s="2"/>
      <c r="H708" s="2"/>
      <c r="I708" s="2"/>
      <c r="J708" s="2"/>
      <c r="K708" s="2"/>
      <c r="L708" s="2"/>
      <c r="M708" s="2"/>
      <c r="N708" s="2"/>
      <c r="O708" s="2"/>
      <c r="P708" s="2"/>
      <c r="Q708" s="2"/>
      <c r="R708" s="2"/>
      <c r="S708" s="2"/>
      <c r="T708" s="2"/>
      <c r="U708" s="2"/>
      <c r="V708" s="2"/>
      <c r="W708" s="2"/>
      <c r="X708" s="2"/>
      <c r="Y708" s="2"/>
      <c r="Z708" s="2"/>
      <c r="AA708" s="2"/>
      <c r="AB708" s="2"/>
      <c r="AC708" s="2"/>
    </row>
    <row r="709" spans="7:29" x14ac:dyDescent="0.35">
      <c r="G709" s="2"/>
      <c r="H709" s="2"/>
      <c r="I709" s="2"/>
      <c r="J709" s="2"/>
      <c r="K709" s="2"/>
      <c r="L709" s="2"/>
      <c r="M709" s="2"/>
      <c r="N709" s="2"/>
      <c r="O709" s="2"/>
      <c r="P709" s="2"/>
      <c r="Q709" s="2"/>
      <c r="R709" s="2"/>
      <c r="S709" s="2"/>
      <c r="T709" s="2"/>
      <c r="U709" s="2"/>
      <c r="V709" s="2"/>
      <c r="W709" s="2"/>
      <c r="X709" s="2"/>
      <c r="Y709" s="2"/>
      <c r="Z709" s="2"/>
      <c r="AA709" s="2"/>
      <c r="AB709" s="2"/>
      <c r="AC709" s="2"/>
    </row>
    <row r="710" spans="7:29" x14ac:dyDescent="0.35">
      <c r="G710" s="2"/>
      <c r="H710" s="2"/>
      <c r="I710" s="2"/>
      <c r="J710" s="2"/>
      <c r="K710" s="2"/>
      <c r="L710" s="2"/>
      <c r="M710" s="2"/>
      <c r="N710" s="2"/>
      <c r="O710" s="2"/>
      <c r="P710" s="2"/>
      <c r="Q710" s="2"/>
      <c r="R710" s="2"/>
      <c r="S710" s="2"/>
      <c r="T710" s="2"/>
      <c r="U710" s="2"/>
      <c r="V710" s="2"/>
      <c r="W710" s="2"/>
      <c r="X710" s="2"/>
      <c r="Y710" s="2"/>
      <c r="Z710" s="2"/>
      <c r="AA710" s="2"/>
      <c r="AB710" s="2"/>
      <c r="AC710" s="2"/>
    </row>
    <row r="711" spans="7:29" x14ac:dyDescent="0.35">
      <c r="G711" s="2"/>
      <c r="H711" s="2"/>
      <c r="I711" s="2"/>
      <c r="J711" s="2"/>
      <c r="K711" s="2"/>
      <c r="L711" s="2"/>
      <c r="M711" s="2"/>
      <c r="N711" s="2"/>
      <c r="O711" s="2"/>
      <c r="P711" s="2"/>
      <c r="Q711" s="2"/>
      <c r="R711" s="2"/>
      <c r="S711" s="2"/>
      <c r="T711" s="2"/>
      <c r="U711" s="2"/>
      <c r="V711" s="2"/>
      <c r="W711" s="2"/>
      <c r="X711" s="2"/>
      <c r="Y711" s="2"/>
      <c r="Z711" s="2"/>
      <c r="AA711" s="2"/>
      <c r="AB711" s="2"/>
      <c r="AC711" s="2"/>
    </row>
    <row r="712" spans="7:29" x14ac:dyDescent="0.35">
      <c r="G712" s="2"/>
      <c r="H712" s="2"/>
      <c r="I712" s="2"/>
      <c r="J712" s="2"/>
      <c r="K712" s="2"/>
      <c r="L712" s="2"/>
      <c r="M712" s="2"/>
      <c r="N712" s="2"/>
      <c r="O712" s="2"/>
      <c r="P712" s="2"/>
      <c r="Q712" s="2"/>
      <c r="R712" s="2"/>
      <c r="S712" s="2"/>
      <c r="T712" s="2"/>
      <c r="U712" s="2"/>
      <c r="V712" s="2"/>
      <c r="W712" s="2"/>
      <c r="X712" s="2"/>
      <c r="Y712" s="2"/>
      <c r="Z712" s="2"/>
      <c r="AA712" s="2"/>
      <c r="AB712" s="2"/>
      <c r="AC712" s="2"/>
    </row>
    <row r="713" spans="7:29" x14ac:dyDescent="0.35">
      <c r="G713" s="2"/>
      <c r="H713" s="2"/>
      <c r="I713" s="2"/>
      <c r="J713" s="2"/>
      <c r="K713" s="2"/>
      <c r="L713" s="2"/>
      <c r="M713" s="2"/>
      <c r="N713" s="2"/>
      <c r="O713" s="2"/>
      <c r="P713" s="2"/>
      <c r="Q713" s="2"/>
      <c r="R713" s="2"/>
      <c r="S713" s="2"/>
      <c r="T713" s="2"/>
      <c r="U713" s="2"/>
      <c r="V713" s="2"/>
      <c r="W713" s="2"/>
      <c r="X713" s="2"/>
      <c r="Y713" s="2"/>
      <c r="Z713" s="2"/>
      <c r="AA713" s="2"/>
      <c r="AB713" s="2"/>
      <c r="AC713" s="2"/>
    </row>
    <row r="714" spans="7:29" x14ac:dyDescent="0.35">
      <c r="G714" s="2"/>
      <c r="H714" s="2"/>
      <c r="I714" s="2"/>
      <c r="J714" s="2"/>
      <c r="K714" s="2"/>
      <c r="L714" s="2"/>
      <c r="M714" s="2"/>
      <c r="N714" s="2"/>
      <c r="O714" s="2"/>
      <c r="P714" s="2"/>
      <c r="Q714" s="2"/>
      <c r="R714" s="2"/>
      <c r="S714" s="2"/>
      <c r="T714" s="2"/>
      <c r="U714" s="2"/>
      <c r="V714" s="2"/>
      <c r="W714" s="2"/>
      <c r="X714" s="2"/>
      <c r="Y714" s="2"/>
      <c r="Z714" s="2"/>
      <c r="AA714" s="2"/>
      <c r="AB714" s="2"/>
      <c r="AC714" s="2"/>
    </row>
    <row r="715" spans="7:29" x14ac:dyDescent="0.35">
      <c r="G715" s="2"/>
      <c r="H715" s="2"/>
      <c r="I715" s="2"/>
      <c r="J715" s="2"/>
      <c r="K715" s="2"/>
      <c r="L715" s="2"/>
      <c r="M715" s="2"/>
      <c r="N715" s="2"/>
      <c r="O715" s="2"/>
      <c r="P715" s="2"/>
      <c r="Q715" s="2"/>
      <c r="R715" s="2"/>
      <c r="S715" s="2"/>
      <c r="T715" s="2"/>
      <c r="U715" s="2"/>
      <c r="V715" s="2"/>
      <c r="W715" s="2"/>
      <c r="X715" s="2"/>
      <c r="Y715" s="2"/>
      <c r="Z715" s="2"/>
      <c r="AA715" s="2"/>
      <c r="AB715" s="2"/>
      <c r="AC715" s="2"/>
    </row>
    <row r="716" spans="7:29" x14ac:dyDescent="0.35">
      <c r="G716" s="2"/>
      <c r="H716" s="2"/>
      <c r="I716" s="2"/>
      <c r="J716" s="2"/>
      <c r="K716" s="2"/>
      <c r="L716" s="2"/>
      <c r="M716" s="2"/>
      <c r="N716" s="2"/>
      <c r="O716" s="2"/>
      <c r="P716" s="2"/>
      <c r="Q716" s="2"/>
      <c r="R716" s="2"/>
      <c r="S716" s="2"/>
      <c r="T716" s="2"/>
      <c r="U716" s="2"/>
      <c r="V716" s="2"/>
      <c r="W716" s="2"/>
      <c r="X716" s="2"/>
      <c r="Y716" s="2"/>
      <c r="Z716" s="2"/>
      <c r="AA716" s="2"/>
      <c r="AB716" s="2"/>
      <c r="AC716" s="2"/>
    </row>
    <row r="717" spans="7:29" x14ac:dyDescent="0.35">
      <c r="G717" s="2"/>
      <c r="H717" s="2"/>
      <c r="I717" s="2"/>
      <c r="J717" s="2"/>
      <c r="K717" s="2"/>
      <c r="L717" s="2"/>
      <c r="M717" s="2"/>
      <c r="N717" s="2"/>
      <c r="O717" s="2"/>
      <c r="P717" s="2"/>
      <c r="Q717" s="2"/>
      <c r="R717" s="2"/>
      <c r="S717" s="2"/>
      <c r="T717" s="2"/>
      <c r="U717" s="2"/>
      <c r="V717" s="2"/>
      <c r="W717" s="2"/>
      <c r="X717" s="2"/>
      <c r="Y717" s="2"/>
      <c r="Z717" s="2"/>
      <c r="AA717" s="2"/>
      <c r="AB717" s="2"/>
      <c r="AC717" s="2"/>
    </row>
    <row r="718" spans="7:29" x14ac:dyDescent="0.35">
      <c r="G718" s="2"/>
      <c r="H718" s="2"/>
      <c r="I718" s="2"/>
      <c r="J718" s="2"/>
      <c r="K718" s="2"/>
      <c r="L718" s="2"/>
      <c r="M718" s="2"/>
      <c r="N718" s="2"/>
      <c r="O718" s="2"/>
      <c r="P718" s="2"/>
      <c r="Q718" s="2"/>
      <c r="R718" s="2"/>
      <c r="S718" s="2"/>
      <c r="T718" s="2"/>
      <c r="U718" s="2"/>
      <c r="V718" s="2"/>
      <c r="W718" s="2"/>
      <c r="X718" s="2"/>
      <c r="Y718" s="2"/>
      <c r="Z718" s="2"/>
      <c r="AA718" s="2"/>
      <c r="AB718" s="2"/>
      <c r="AC718" s="2"/>
    </row>
    <row r="719" spans="7:29" x14ac:dyDescent="0.35">
      <c r="G719" s="2"/>
      <c r="H719" s="2"/>
      <c r="I719" s="2"/>
      <c r="J719" s="2"/>
      <c r="K719" s="2"/>
      <c r="L719" s="2"/>
      <c r="M719" s="2"/>
      <c r="N719" s="2"/>
      <c r="O719" s="2"/>
      <c r="P719" s="2"/>
      <c r="Q719" s="2"/>
      <c r="R719" s="2"/>
      <c r="S719" s="2"/>
      <c r="T719" s="2"/>
      <c r="U719" s="2"/>
      <c r="V719" s="2"/>
      <c r="W719" s="2"/>
      <c r="X719" s="2"/>
      <c r="Y719" s="2"/>
      <c r="Z719" s="2"/>
      <c r="AA719" s="2"/>
      <c r="AB719" s="2"/>
      <c r="AC719" s="2"/>
    </row>
    <row r="720" spans="7:29" x14ac:dyDescent="0.35">
      <c r="G720" s="2"/>
      <c r="H720" s="2"/>
      <c r="I720" s="2"/>
      <c r="J720" s="2"/>
      <c r="K720" s="2"/>
      <c r="L720" s="2"/>
      <c r="M720" s="2"/>
      <c r="N720" s="2"/>
      <c r="O720" s="2"/>
      <c r="P720" s="2"/>
      <c r="Q720" s="2"/>
      <c r="R720" s="2"/>
      <c r="S720" s="2"/>
      <c r="T720" s="2"/>
      <c r="U720" s="2"/>
      <c r="V720" s="2"/>
      <c r="W720" s="2"/>
      <c r="X720" s="2"/>
      <c r="Y720" s="2"/>
      <c r="Z720" s="2"/>
      <c r="AA720" s="2"/>
      <c r="AB720" s="2"/>
      <c r="AC720" s="2"/>
    </row>
    <row r="721" spans="7:29" x14ac:dyDescent="0.35">
      <c r="G721" s="2"/>
      <c r="H721" s="2"/>
      <c r="I721" s="2"/>
      <c r="J721" s="2"/>
      <c r="K721" s="2"/>
      <c r="L721" s="2"/>
      <c r="M721" s="2"/>
      <c r="N721" s="2"/>
      <c r="O721" s="2"/>
      <c r="P721" s="2"/>
      <c r="Q721" s="2"/>
      <c r="R721" s="2"/>
      <c r="S721" s="2"/>
      <c r="T721" s="2"/>
      <c r="U721" s="2"/>
      <c r="V721" s="2"/>
      <c r="W721" s="2"/>
      <c r="X721" s="2"/>
      <c r="Y721" s="2"/>
      <c r="Z721" s="2"/>
      <c r="AA721" s="2"/>
      <c r="AB721" s="2"/>
      <c r="AC721" s="2"/>
    </row>
    <row r="722" spans="7:29" x14ac:dyDescent="0.35">
      <c r="G722" s="2"/>
      <c r="H722" s="2"/>
      <c r="I722" s="2"/>
      <c r="J722" s="2"/>
      <c r="K722" s="2"/>
      <c r="L722" s="2"/>
      <c r="M722" s="2"/>
      <c r="N722" s="2"/>
      <c r="O722" s="2"/>
      <c r="P722" s="2"/>
      <c r="Q722" s="2"/>
      <c r="R722" s="2"/>
      <c r="S722" s="2"/>
      <c r="T722" s="2"/>
      <c r="U722" s="2"/>
      <c r="V722" s="2"/>
      <c r="W722" s="2"/>
      <c r="X722" s="2"/>
      <c r="Y722" s="2"/>
      <c r="Z722" s="2"/>
      <c r="AA722" s="2"/>
      <c r="AB722" s="2"/>
      <c r="AC722" s="2"/>
    </row>
    <row r="723" spans="7:29" x14ac:dyDescent="0.35">
      <c r="G723" s="2"/>
      <c r="H723" s="2"/>
      <c r="I723" s="2"/>
      <c r="J723" s="2"/>
      <c r="K723" s="2"/>
      <c r="L723" s="2"/>
      <c r="M723" s="2"/>
      <c r="N723" s="2"/>
      <c r="O723" s="2"/>
      <c r="P723" s="2"/>
      <c r="Q723" s="2"/>
      <c r="R723" s="2"/>
      <c r="S723" s="2"/>
      <c r="T723" s="2"/>
      <c r="U723" s="2"/>
      <c r="V723" s="2"/>
      <c r="W723" s="2"/>
      <c r="X723" s="2"/>
      <c r="Y723" s="2"/>
      <c r="Z723" s="2"/>
      <c r="AA723" s="2"/>
      <c r="AB723" s="2"/>
      <c r="AC723" s="2"/>
    </row>
    <row r="724" spans="7:29" x14ac:dyDescent="0.35">
      <c r="G724" s="2"/>
      <c r="H724" s="2"/>
      <c r="I724" s="2"/>
      <c r="J724" s="2"/>
      <c r="K724" s="2"/>
      <c r="L724" s="2"/>
      <c r="M724" s="2"/>
      <c r="N724" s="2"/>
      <c r="O724" s="2"/>
      <c r="P724" s="2"/>
      <c r="Q724" s="2"/>
      <c r="R724" s="2"/>
      <c r="S724" s="2"/>
      <c r="T724" s="2"/>
      <c r="U724" s="2"/>
      <c r="V724" s="2"/>
      <c r="W724" s="2"/>
      <c r="X724" s="2"/>
      <c r="Y724" s="2"/>
      <c r="Z724" s="2"/>
      <c r="AA724" s="2"/>
      <c r="AB724" s="2"/>
      <c r="AC724" s="2"/>
    </row>
    <row r="725" spans="7:29" x14ac:dyDescent="0.35">
      <c r="G725" s="2"/>
      <c r="H725" s="2"/>
      <c r="I725" s="2"/>
      <c r="J725" s="2"/>
      <c r="K725" s="2"/>
      <c r="L725" s="2"/>
      <c r="M725" s="2"/>
      <c r="N725" s="2"/>
      <c r="O725" s="2"/>
      <c r="P725" s="2"/>
      <c r="Q725" s="2"/>
      <c r="R725" s="2"/>
      <c r="S725" s="2"/>
      <c r="T725" s="2"/>
      <c r="U725" s="2"/>
      <c r="V725" s="2"/>
      <c r="W725" s="2"/>
      <c r="X725" s="2"/>
      <c r="Y725" s="2"/>
      <c r="Z725" s="2"/>
      <c r="AA725" s="2"/>
      <c r="AB725" s="2"/>
      <c r="AC725" s="2"/>
    </row>
    <row r="726" spans="7:29" x14ac:dyDescent="0.35">
      <c r="G726" s="2"/>
      <c r="H726" s="2"/>
      <c r="I726" s="2"/>
      <c r="J726" s="2"/>
      <c r="K726" s="2"/>
      <c r="L726" s="2"/>
      <c r="M726" s="2"/>
      <c r="N726" s="2"/>
      <c r="O726" s="2"/>
      <c r="P726" s="2"/>
      <c r="Q726" s="2"/>
      <c r="R726" s="2"/>
      <c r="S726" s="2"/>
      <c r="T726" s="2"/>
      <c r="U726" s="2"/>
      <c r="V726" s="2"/>
      <c r="W726" s="2"/>
      <c r="X726" s="2"/>
      <c r="Y726" s="2"/>
      <c r="Z726" s="2"/>
      <c r="AA726" s="2"/>
      <c r="AB726" s="2"/>
      <c r="AC726" s="2"/>
    </row>
    <row r="727" spans="7:29" x14ac:dyDescent="0.35">
      <c r="G727" s="2"/>
      <c r="H727" s="2"/>
      <c r="I727" s="2"/>
      <c r="J727" s="2"/>
      <c r="K727" s="2"/>
      <c r="L727" s="2"/>
      <c r="M727" s="2"/>
      <c r="N727" s="2"/>
      <c r="O727" s="2"/>
      <c r="P727" s="2"/>
      <c r="Q727" s="2"/>
      <c r="R727" s="2"/>
      <c r="S727" s="2"/>
      <c r="T727" s="2"/>
      <c r="U727" s="2"/>
      <c r="V727" s="2"/>
      <c r="W727" s="2"/>
      <c r="X727" s="2"/>
      <c r="Y727" s="2"/>
      <c r="Z727" s="2"/>
      <c r="AA727" s="2"/>
      <c r="AB727" s="2"/>
      <c r="AC727" s="2"/>
    </row>
    <row r="728" spans="7:29" x14ac:dyDescent="0.35">
      <c r="G728" s="2"/>
      <c r="H728" s="2"/>
      <c r="I728" s="2"/>
      <c r="J728" s="2"/>
      <c r="K728" s="2"/>
      <c r="L728" s="2"/>
      <c r="M728" s="2"/>
      <c r="N728" s="2"/>
      <c r="O728" s="2"/>
      <c r="P728" s="2"/>
      <c r="Q728" s="2"/>
      <c r="R728" s="2"/>
      <c r="S728" s="2"/>
      <c r="T728" s="2"/>
      <c r="U728" s="2"/>
      <c r="V728" s="2"/>
      <c r="W728" s="2"/>
      <c r="X728" s="2"/>
      <c r="Y728" s="2"/>
      <c r="Z728" s="2"/>
      <c r="AA728" s="2"/>
      <c r="AB728" s="2"/>
      <c r="AC728" s="2"/>
    </row>
    <row r="729" spans="7:29" x14ac:dyDescent="0.35">
      <c r="G729" s="2"/>
      <c r="H729" s="2"/>
      <c r="I729" s="2"/>
      <c r="J729" s="2"/>
      <c r="K729" s="2"/>
      <c r="L729" s="2"/>
      <c r="M729" s="2"/>
      <c r="N729" s="2"/>
      <c r="O729" s="2"/>
      <c r="P729" s="2"/>
      <c r="Q729" s="2"/>
      <c r="R729" s="2"/>
      <c r="S729" s="2"/>
      <c r="T729" s="2"/>
      <c r="U729" s="2"/>
      <c r="V729" s="2"/>
      <c r="W729" s="2"/>
      <c r="X729" s="2"/>
      <c r="Y729" s="2"/>
      <c r="Z729" s="2"/>
      <c r="AA729" s="2"/>
      <c r="AB729" s="2"/>
      <c r="AC729" s="2"/>
    </row>
    <row r="730" spans="7:29" x14ac:dyDescent="0.35">
      <c r="G730" s="2"/>
      <c r="H730" s="2"/>
      <c r="I730" s="2"/>
      <c r="J730" s="2"/>
      <c r="K730" s="2"/>
      <c r="L730" s="2"/>
      <c r="M730" s="2"/>
      <c r="N730" s="2"/>
      <c r="O730" s="2"/>
      <c r="P730" s="2"/>
      <c r="Q730" s="2"/>
      <c r="R730" s="2"/>
      <c r="S730" s="2"/>
      <c r="T730" s="2"/>
      <c r="U730" s="2"/>
      <c r="V730" s="2"/>
      <c r="W730" s="2"/>
      <c r="X730" s="2"/>
      <c r="Y730" s="2"/>
      <c r="Z730" s="2"/>
      <c r="AA730" s="2"/>
      <c r="AB730" s="2"/>
      <c r="AC730" s="2"/>
    </row>
    <row r="731" spans="7:29" x14ac:dyDescent="0.35">
      <c r="G731" s="2"/>
      <c r="H731" s="2"/>
      <c r="I731" s="2"/>
      <c r="J731" s="2"/>
      <c r="K731" s="2"/>
      <c r="L731" s="2"/>
      <c r="M731" s="2"/>
      <c r="N731" s="2"/>
      <c r="O731" s="2"/>
      <c r="P731" s="2"/>
      <c r="Q731" s="2"/>
      <c r="R731" s="2"/>
      <c r="S731" s="2"/>
      <c r="T731" s="2"/>
      <c r="U731" s="2"/>
      <c r="V731" s="2"/>
      <c r="W731" s="2"/>
      <c r="X731" s="2"/>
      <c r="Y731" s="2"/>
      <c r="Z731" s="2"/>
      <c r="AA731" s="2"/>
      <c r="AB731" s="2"/>
      <c r="AC731" s="2"/>
    </row>
    <row r="732" spans="7:29" x14ac:dyDescent="0.35">
      <c r="G732" s="2"/>
      <c r="H732" s="2"/>
      <c r="I732" s="2"/>
      <c r="J732" s="2"/>
      <c r="K732" s="2"/>
      <c r="L732" s="2"/>
      <c r="M732" s="2"/>
      <c r="N732" s="2"/>
      <c r="O732" s="2"/>
      <c r="P732" s="2"/>
      <c r="Q732" s="2"/>
      <c r="R732" s="2"/>
      <c r="S732" s="2"/>
      <c r="T732" s="2"/>
      <c r="U732" s="2"/>
      <c r="V732" s="2"/>
      <c r="W732" s="2"/>
      <c r="X732" s="2"/>
      <c r="Y732" s="2"/>
      <c r="Z732" s="2"/>
      <c r="AA732" s="2"/>
      <c r="AB732" s="2"/>
      <c r="AC732" s="2"/>
    </row>
    <row r="733" spans="7:29" x14ac:dyDescent="0.35">
      <c r="G733" s="2"/>
      <c r="H733" s="2"/>
      <c r="I733" s="2"/>
      <c r="J733" s="2"/>
      <c r="K733" s="2"/>
      <c r="L733" s="2"/>
      <c r="M733" s="2"/>
      <c r="N733" s="2"/>
      <c r="O733" s="2"/>
      <c r="P733" s="2"/>
      <c r="Q733" s="2"/>
      <c r="R733" s="2"/>
      <c r="S733" s="2"/>
      <c r="T733" s="2"/>
      <c r="U733" s="2"/>
      <c r="V733" s="2"/>
      <c r="W733" s="2"/>
      <c r="X733" s="2"/>
      <c r="Y733" s="2"/>
      <c r="Z733" s="2"/>
      <c r="AA733" s="2"/>
      <c r="AB733" s="2"/>
      <c r="AC733" s="2"/>
    </row>
    <row r="734" spans="7:29" x14ac:dyDescent="0.35">
      <c r="G734" s="2"/>
      <c r="H734" s="2"/>
      <c r="I734" s="2"/>
      <c r="J734" s="2"/>
      <c r="K734" s="2"/>
      <c r="L734" s="2"/>
      <c r="M734" s="2"/>
      <c r="N734" s="2"/>
      <c r="O734" s="2"/>
      <c r="P734" s="2"/>
      <c r="Q734" s="2"/>
      <c r="R734" s="2"/>
      <c r="S734" s="2"/>
      <c r="T734" s="2"/>
      <c r="U734" s="2"/>
      <c r="V734" s="2"/>
      <c r="W734" s="2"/>
      <c r="X734" s="2"/>
      <c r="Y734" s="2"/>
      <c r="Z734" s="2"/>
      <c r="AA734" s="2"/>
      <c r="AB734" s="2"/>
      <c r="AC734" s="2"/>
    </row>
    <row r="735" spans="7:29" x14ac:dyDescent="0.35">
      <c r="G735" s="2"/>
      <c r="H735" s="2"/>
      <c r="I735" s="2"/>
      <c r="J735" s="2"/>
      <c r="K735" s="2"/>
      <c r="L735" s="2"/>
      <c r="M735" s="2"/>
      <c r="N735" s="2"/>
      <c r="O735" s="2"/>
      <c r="P735" s="2"/>
      <c r="Q735" s="2"/>
      <c r="R735" s="2"/>
      <c r="S735" s="2"/>
      <c r="T735" s="2"/>
      <c r="U735" s="2"/>
      <c r="V735" s="2"/>
      <c r="W735" s="2"/>
      <c r="X735" s="2"/>
      <c r="Y735" s="2"/>
      <c r="Z735" s="2"/>
      <c r="AA735" s="2"/>
      <c r="AB735" s="2"/>
      <c r="AC735" s="2"/>
    </row>
    <row r="736" spans="7:29" x14ac:dyDescent="0.35">
      <c r="G736" s="2"/>
      <c r="H736" s="2"/>
      <c r="I736" s="2"/>
      <c r="J736" s="2"/>
      <c r="K736" s="2"/>
      <c r="L736" s="2"/>
      <c r="M736" s="2"/>
      <c r="N736" s="2"/>
      <c r="O736" s="2"/>
      <c r="P736" s="2"/>
      <c r="Q736" s="2"/>
      <c r="R736" s="2"/>
      <c r="S736" s="2"/>
      <c r="T736" s="2"/>
      <c r="U736" s="2"/>
      <c r="V736" s="2"/>
      <c r="W736" s="2"/>
      <c r="X736" s="2"/>
      <c r="Y736" s="2"/>
      <c r="Z736" s="2"/>
      <c r="AA736" s="2"/>
      <c r="AB736" s="2"/>
      <c r="AC736" s="2"/>
    </row>
    <row r="737" spans="7:29" x14ac:dyDescent="0.35">
      <c r="G737" s="2"/>
      <c r="H737" s="2"/>
      <c r="I737" s="2"/>
      <c r="J737" s="2"/>
      <c r="K737" s="2"/>
      <c r="L737" s="2"/>
      <c r="M737" s="2"/>
      <c r="N737" s="2"/>
      <c r="O737" s="2"/>
      <c r="P737" s="2"/>
      <c r="Q737" s="2"/>
      <c r="R737" s="2"/>
      <c r="S737" s="2"/>
      <c r="T737" s="2"/>
      <c r="U737" s="2"/>
      <c r="V737" s="2"/>
      <c r="W737" s="2"/>
      <c r="X737" s="2"/>
      <c r="Y737" s="2"/>
      <c r="Z737" s="2"/>
      <c r="AA737" s="2"/>
      <c r="AB737" s="2"/>
      <c r="AC737" s="2"/>
    </row>
    <row r="738" spans="7:29" x14ac:dyDescent="0.35">
      <c r="G738" s="2"/>
      <c r="H738" s="2"/>
      <c r="I738" s="2"/>
      <c r="J738" s="2"/>
      <c r="K738" s="2"/>
      <c r="L738" s="2"/>
      <c r="M738" s="2"/>
      <c r="N738" s="2"/>
      <c r="O738" s="2"/>
      <c r="P738" s="2"/>
      <c r="Q738" s="2"/>
      <c r="R738" s="2"/>
      <c r="S738" s="2"/>
      <c r="T738" s="2"/>
      <c r="U738" s="2"/>
      <c r="V738" s="2"/>
      <c r="W738" s="2"/>
      <c r="X738" s="2"/>
      <c r="Y738" s="2"/>
      <c r="Z738" s="2"/>
      <c r="AA738" s="2"/>
      <c r="AB738" s="2"/>
      <c r="AC738" s="2"/>
    </row>
    <row r="739" spans="7:29" x14ac:dyDescent="0.35">
      <c r="G739" s="2"/>
      <c r="H739" s="2"/>
      <c r="I739" s="2"/>
      <c r="J739" s="2"/>
      <c r="K739" s="2"/>
      <c r="L739" s="2"/>
      <c r="M739" s="2"/>
      <c r="N739" s="2"/>
      <c r="O739" s="2"/>
      <c r="P739" s="2"/>
      <c r="Q739" s="2"/>
      <c r="R739" s="2"/>
      <c r="S739" s="2"/>
      <c r="T739" s="2"/>
      <c r="U739" s="2"/>
      <c r="V739" s="2"/>
      <c r="W739" s="2"/>
      <c r="X739" s="2"/>
      <c r="Y739" s="2"/>
      <c r="Z739" s="2"/>
      <c r="AA739" s="2"/>
      <c r="AB739" s="2"/>
      <c r="AC739" s="2"/>
    </row>
    <row r="740" spans="7:29" x14ac:dyDescent="0.35">
      <c r="G740" s="2"/>
      <c r="H740" s="2"/>
      <c r="I740" s="2"/>
      <c r="J740" s="2"/>
      <c r="K740" s="2"/>
      <c r="L740" s="2"/>
      <c r="M740" s="2"/>
      <c r="N740" s="2"/>
      <c r="O740" s="2"/>
      <c r="P740" s="2"/>
      <c r="Q740" s="2"/>
      <c r="R740" s="2"/>
      <c r="S740" s="2"/>
      <c r="T740" s="2"/>
      <c r="U740" s="2"/>
      <c r="V740" s="2"/>
      <c r="W740" s="2"/>
      <c r="X740" s="2"/>
      <c r="Y740" s="2"/>
      <c r="Z740" s="2"/>
      <c r="AA740" s="2"/>
      <c r="AB740" s="2"/>
      <c r="AC740" s="2"/>
    </row>
    <row r="741" spans="7:29" x14ac:dyDescent="0.35">
      <c r="G741" s="2"/>
      <c r="H741" s="2"/>
      <c r="I741" s="2"/>
      <c r="J741" s="2"/>
      <c r="K741" s="2"/>
      <c r="L741" s="2"/>
      <c r="M741" s="2"/>
      <c r="N741" s="2"/>
      <c r="O741" s="2"/>
      <c r="P741" s="2"/>
      <c r="Q741" s="2"/>
      <c r="R741" s="2"/>
      <c r="S741" s="2"/>
      <c r="T741" s="2"/>
      <c r="U741" s="2"/>
      <c r="V741" s="2"/>
      <c r="W741" s="2"/>
      <c r="X741" s="2"/>
      <c r="Y741" s="2"/>
      <c r="Z741" s="2"/>
      <c r="AA741" s="2"/>
      <c r="AB741" s="2"/>
      <c r="AC741" s="2"/>
    </row>
    <row r="742" spans="7:29" x14ac:dyDescent="0.35">
      <c r="G742" s="2"/>
      <c r="H742" s="2"/>
      <c r="I742" s="2"/>
      <c r="J742" s="2"/>
      <c r="K742" s="2"/>
      <c r="L742" s="2"/>
      <c r="M742" s="2"/>
      <c r="N742" s="2"/>
      <c r="O742" s="2"/>
      <c r="P742" s="2"/>
      <c r="Q742" s="2"/>
      <c r="R742" s="2"/>
      <c r="S742" s="2"/>
      <c r="T742" s="2"/>
      <c r="U742" s="2"/>
      <c r="V742" s="2"/>
      <c r="W742" s="2"/>
      <c r="X742" s="2"/>
      <c r="Y742" s="2"/>
      <c r="Z742" s="2"/>
      <c r="AA742" s="2"/>
      <c r="AB742" s="2"/>
      <c r="AC742" s="2"/>
    </row>
    <row r="743" spans="7:29" x14ac:dyDescent="0.35">
      <c r="G743" s="2"/>
      <c r="H743" s="2"/>
      <c r="I743" s="2"/>
      <c r="J743" s="2"/>
      <c r="K743" s="2"/>
      <c r="L743" s="2"/>
      <c r="M743" s="2"/>
      <c r="N743" s="2"/>
      <c r="O743" s="2"/>
      <c r="P743" s="2"/>
      <c r="Q743" s="2"/>
      <c r="R743" s="2"/>
      <c r="S743" s="2"/>
      <c r="T743" s="2"/>
      <c r="U743" s="2"/>
      <c r="V743" s="2"/>
      <c r="W743" s="2"/>
      <c r="X743" s="2"/>
      <c r="Y743" s="2"/>
      <c r="Z743" s="2"/>
      <c r="AA743" s="2"/>
      <c r="AB743" s="2"/>
      <c r="AC743" s="2"/>
    </row>
    <row r="744" spans="7:29" x14ac:dyDescent="0.35">
      <c r="G744" s="2"/>
      <c r="H744" s="2"/>
      <c r="I744" s="2"/>
      <c r="J744" s="2"/>
      <c r="K744" s="2"/>
      <c r="L744" s="2"/>
      <c r="M744" s="2"/>
      <c r="N744" s="2"/>
      <c r="O744" s="2"/>
      <c r="P744" s="2"/>
      <c r="Q744" s="2"/>
      <c r="R744" s="2"/>
      <c r="S744" s="2"/>
      <c r="T744" s="2"/>
      <c r="U744" s="2"/>
      <c r="V744" s="2"/>
      <c r="W744" s="2"/>
      <c r="X744" s="2"/>
      <c r="Y744" s="2"/>
      <c r="Z744" s="2"/>
      <c r="AA744" s="2"/>
      <c r="AB744" s="2"/>
      <c r="AC744" s="2"/>
    </row>
    <row r="745" spans="7:29" x14ac:dyDescent="0.35">
      <c r="G745" s="2"/>
      <c r="H745" s="2"/>
      <c r="I745" s="2"/>
      <c r="J745" s="2"/>
      <c r="K745" s="2"/>
      <c r="L745" s="2"/>
      <c r="M745" s="2"/>
      <c r="N745" s="2"/>
      <c r="O745" s="2"/>
      <c r="P745" s="2"/>
      <c r="Q745" s="2"/>
      <c r="R745" s="2"/>
      <c r="S745" s="2"/>
      <c r="T745" s="2"/>
      <c r="U745" s="2"/>
      <c r="V745" s="2"/>
      <c r="W745" s="2"/>
      <c r="X745" s="2"/>
      <c r="Y745" s="2"/>
      <c r="Z745" s="2"/>
      <c r="AA745" s="2"/>
      <c r="AB745" s="2"/>
      <c r="AC745" s="2"/>
    </row>
    <row r="746" spans="7:29" x14ac:dyDescent="0.35">
      <c r="G746" s="2"/>
      <c r="H746" s="2"/>
      <c r="I746" s="2"/>
      <c r="J746" s="2"/>
      <c r="K746" s="2"/>
      <c r="L746" s="2"/>
      <c r="M746" s="2"/>
      <c r="N746" s="2"/>
      <c r="O746" s="2"/>
      <c r="P746" s="2"/>
      <c r="Q746" s="2"/>
      <c r="R746" s="2"/>
      <c r="S746" s="2"/>
      <c r="T746" s="2"/>
      <c r="U746" s="2"/>
      <c r="V746" s="2"/>
      <c r="W746" s="2"/>
      <c r="X746" s="2"/>
      <c r="Y746" s="2"/>
      <c r="Z746" s="2"/>
      <c r="AA746" s="2"/>
      <c r="AB746" s="2"/>
      <c r="AC746" s="2"/>
    </row>
    <row r="747" spans="7:29" x14ac:dyDescent="0.35">
      <c r="G747" s="2"/>
      <c r="H747" s="2"/>
      <c r="I747" s="2"/>
      <c r="J747" s="2"/>
      <c r="K747" s="2"/>
      <c r="L747" s="2"/>
      <c r="M747" s="2"/>
      <c r="N747" s="2"/>
      <c r="O747" s="2"/>
      <c r="P747" s="2"/>
      <c r="Q747" s="2"/>
      <c r="R747" s="2"/>
      <c r="S747" s="2"/>
      <c r="T747" s="2"/>
      <c r="U747" s="2"/>
      <c r="V747" s="2"/>
      <c r="W747" s="2"/>
      <c r="X747" s="2"/>
      <c r="Y747" s="2"/>
      <c r="Z747" s="2"/>
      <c r="AA747" s="2"/>
      <c r="AB747" s="2"/>
      <c r="AC747" s="2"/>
    </row>
    <row r="748" spans="7:29" x14ac:dyDescent="0.35">
      <c r="G748" s="2"/>
      <c r="H748" s="2"/>
      <c r="I748" s="2"/>
      <c r="J748" s="2"/>
      <c r="K748" s="2"/>
      <c r="L748" s="2"/>
      <c r="M748" s="2"/>
      <c r="N748" s="2"/>
      <c r="O748" s="2"/>
      <c r="P748" s="2"/>
      <c r="Q748" s="2"/>
      <c r="R748" s="2"/>
      <c r="S748" s="2"/>
      <c r="T748" s="2"/>
      <c r="U748" s="2"/>
      <c r="V748" s="2"/>
      <c r="W748" s="2"/>
      <c r="X748" s="2"/>
      <c r="Y748" s="2"/>
      <c r="Z748" s="2"/>
      <c r="AA748" s="2"/>
      <c r="AB748" s="2"/>
      <c r="AC748" s="2"/>
    </row>
    <row r="749" spans="7:29" x14ac:dyDescent="0.35">
      <c r="G749" s="2"/>
      <c r="H749" s="2"/>
      <c r="I749" s="2"/>
      <c r="J749" s="2"/>
      <c r="K749" s="2"/>
      <c r="L749" s="2"/>
      <c r="M749" s="2"/>
      <c r="N749" s="2"/>
      <c r="O749" s="2"/>
      <c r="P749" s="2"/>
      <c r="Q749" s="2"/>
      <c r="R749" s="2"/>
      <c r="S749" s="2"/>
      <c r="T749" s="2"/>
      <c r="U749" s="2"/>
      <c r="V749" s="2"/>
      <c r="W749" s="2"/>
      <c r="X749" s="2"/>
      <c r="Y749" s="2"/>
      <c r="Z749" s="2"/>
      <c r="AA749" s="2"/>
      <c r="AB749" s="2"/>
      <c r="AC749" s="2"/>
    </row>
    <row r="750" spans="7:29" x14ac:dyDescent="0.35">
      <c r="G750" s="2"/>
      <c r="H750" s="2"/>
      <c r="I750" s="2"/>
      <c r="J750" s="2"/>
      <c r="K750" s="2"/>
      <c r="L750" s="2"/>
      <c r="M750" s="2"/>
      <c r="N750" s="2"/>
      <c r="O750" s="2"/>
      <c r="P750" s="2"/>
      <c r="Q750" s="2"/>
      <c r="R750" s="2"/>
      <c r="S750" s="2"/>
      <c r="T750" s="2"/>
      <c r="U750" s="2"/>
      <c r="V750" s="2"/>
      <c r="W750" s="2"/>
      <c r="X750" s="2"/>
      <c r="Y750" s="2"/>
      <c r="Z750" s="2"/>
      <c r="AA750" s="2"/>
      <c r="AB750" s="2"/>
      <c r="AC750" s="2"/>
    </row>
    <row r="751" spans="7:29" x14ac:dyDescent="0.35">
      <c r="G751" s="2"/>
      <c r="H751" s="2"/>
      <c r="I751" s="2"/>
      <c r="J751" s="2"/>
      <c r="K751" s="2"/>
      <c r="L751" s="2"/>
      <c r="M751" s="2"/>
      <c r="N751" s="2"/>
      <c r="O751" s="2"/>
      <c r="P751" s="2"/>
      <c r="Q751" s="2"/>
      <c r="R751" s="2"/>
      <c r="S751" s="2"/>
      <c r="T751" s="2"/>
      <c r="U751" s="2"/>
      <c r="V751" s="2"/>
      <c r="W751" s="2"/>
      <c r="X751" s="2"/>
      <c r="Y751" s="2"/>
      <c r="Z751" s="2"/>
      <c r="AA751" s="2"/>
      <c r="AB751" s="2"/>
      <c r="AC751" s="2"/>
    </row>
    <row r="752" spans="7:29" x14ac:dyDescent="0.35">
      <c r="G752" s="2"/>
      <c r="H752" s="2"/>
      <c r="I752" s="2"/>
      <c r="J752" s="2"/>
      <c r="K752" s="2"/>
      <c r="L752" s="2"/>
      <c r="M752" s="2"/>
      <c r="N752" s="2"/>
      <c r="O752" s="2"/>
      <c r="P752" s="2"/>
      <c r="Q752" s="2"/>
      <c r="R752" s="2"/>
      <c r="S752" s="2"/>
      <c r="T752" s="2"/>
      <c r="U752" s="2"/>
      <c r="V752" s="2"/>
      <c r="W752" s="2"/>
      <c r="X752" s="2"/>
      <c r="Y752" s="2"/>
      <c r="Z752" s="2"/>
      <c r="AA752" s="2"/>
      <c r="AB752" s="2"/>
      <c r="AC752" s="2"/>
    </row>
    <row r="753" spans="7:29" x14ac:dyDescent="0.35">
      <c r="G753" s="2"/>
      <c r="H753" s="2"/>
      <c r="I753" s="2"/>
      <c r="J753" s="2"/>
      <c r="K753" s="2"/>
      <c r="L753" s="2"/>
      <c r="M753" s="2"/>
      <c r="N753" s="2"/>
      <c r="O753" s="2"/>
      <c r="P753" s="2"/>
      <c r="Q753" s="2"/>
      <c r="R753" s="2"/>
      <c r="S753" s="2"/>
      <c r="T753" s="2"/>
      <c r="U753" s="2"/>
      <c r="V753" s="2"/>
      <c r="W753" s="2"/>
      <c r="X753" s="2"/>
      <c r="Y753" s="2"/>
      <c r="Z753" s="2"/>
      <c r="AA753" s="2"/>
      <c r="AB753" s="2"/>
      <c r="AC753" s="2"/>
    </row>
    <row r="754" spans="7:29" x14ac:dyDescent="0.35">
      <c r="G754" s="2"/>
      <c r="H754" s="2"/>
      <c r="I754" s="2"/>
      <c r="J754" s="2"/>
      <c r="K754" s="2"/>
      <c r="L754" s="2"/>
      <c r="M754" s="2"/>
      <c r="N754" s="2"/>
      <c r="O754" s="2"/>
      <c r="P754" s="2"/>
      <c r="Q754" s="2"/>
      <c r="R754" s="2"/>
      <c r="S754" s="2"/>
      <c r="T754" s="2"/>
      <c r="U754" s="2"/>
      <c r="V754" s="2"/>
      <c r="W754" s="2"/>
      <c r="X754" s="2"/>
      <c r="Y754" s="2"/>
      <c r="Z754" s="2"/>
      <c r="AA754" s="2"/>
      <c r="AB754" s="2"/>
      <c r="AC754" s="2"/>
    </row>
    <row r="755" spans="7:29" x14ac:dyDescent="0.35">
      <c r="G755" s="2"/>
      <c r="H755" s="2"/>
      <c r="I755" s="2"/>
      <c r="J755" s="2"/>
      <c r="K755" s="2"/>
      <c r="L755" s="2"/>
      <c r="M755" s="2"/>
      <c r="N755" s="2"/>
      <c r="O755" s="2"/>
      <c r="P755" s="2"/>
      <c r="Q755" s="2"/>
      <c r="R755" s="2"/>
      <c r="S755" s="2"/>
      <c r="T755" s="2"/>
      <c r="U755" s="2"/>
      <c r="V755" s="2"/>
      <c r="W755" s="2"/>
      <c r="X755" s="2"/>
      <c r="Y755" s="2"/>
      <c r="Z755" s="2"/>
      <c r="AA755" s="2"/>
      <c r="AB755" s="2"/>
      <c r="AC755" s="2"/>
    </row>
    <row r="756" spans="7:29" x14ac:dyDescent="0.35">
      <c r="G756" s="2"/>
      <c r="H756" s="2"/>
      <c r="I756" s="2"/>
      <c r="J756" s="2"/>
      <c r="K756" s="2"/>
      <c r="L756" s="2"/>
      <c r="M756" s="2"/>
      <c r="N756" s="2"/>
      <c r="O756" s="2"/>
      <c r="P756" s="2"/>
      <c r="Q756" s="2"/>
      <c r="R756" s="2"/>
      <c r="S756" s="2"/>
      <c r="T756" s="2"/>
      <c r="U756" s="2"/>
      <c r="V756" s="2"/>
      <c r="W756" s="2"/>
      <c r="X756" s="2"/>
      <c r="Y756" s="2"/>
      <c r="Z756" s="2"/>
      <c r="AA756" s="2"/>
      <c r="AB756" s="2"/>
      <c r="AC756" s="2"/>
    </row>
    <row r="757" spans="7:29" x14ac:dyDescent="0.35">
      <c r="G757" s="2"/>
      <c r="H757" s="2"/>
      <c r="I757" s="2"/>
      <c r="J757" s="2"/>
      <c r="K757" s="2"/>
      <c r="L757" s="2"/>
      <c r="M757" s="2"/>
      <c r="N757" s="2"/>
      <c r="O757" s="2"/>
      <c r="P757" s="2"/>
      <c r="Q757" s="2"/>
      <c r="R757" s="2"/>
      <c r="S757" s="2"/>
      <c r="T757" s="2"/>
      <c r="U757" s="2"/>
      <c r="V757" s="2"/>
      <c r="W757" s="2"/>
      <c r="X757" s="2"/>
      <c r="Y757" s="2"/>
      <c r="Z757" s="2"/>
      <c r="AA757" s="2"/>
      <c r="AB757" s="2"/>
      <c r="AC757" s="2"/>
    </row>
    <row r="758" spans="7:29" x14ac:dyDescent="0.35">
      <c r="G758" s="2"/>
      <c r="H758" s="2"/>
      <c r="I758" s="2"/>
      <c r="J758" s="2"/>
      <c r="K758" s="2"/>
      <c r="L758" s="2"/>
      <c r="M758" s="2"/>
      <c r="N758" s="2"/>
      <c r="O758" s="2"/>
      <c r="P758" s="2"/>
      <c r="Q758" s="2"/>
      <c r="R758" s="2"/>
      <c r="S758" s="2"/>
      <c r="T758" s="2"/>
      <c r="U758" s="2"/>
      <c r="V758" s="2"/>
      <c r="W758" s="2"/>
      <c r="X758" s="2"/>
      <c r="Y758" s="2"/>
      <c r="Z758" s="2"/>
      <c r="AA758" s="2"/>
      <c r="AB758" s="2"/>
      <c r="AC758" s="2"/>
    </row>
    <row r="759" spans="7:29" x14ac:dyDescent="0.35">
      <c r="G759" s="2"/>
      <c r="H759" s="2"/>
      <c r="I759" s="2"/>
      <c r="J759" s="2"/>
      <c r="K759" s="2"/>
      <c r="L759" s="2"/>
      <c r="M759" s="2"/>
      <c r="N759" s="2"/>
      <c r="O759" s="2"/>
      <c r="P759" s="2"/>
      <c r="Q759" s="2"/>
      <c r="R759" s="2"/>
      <c r="S759" s="2"/>
      <c r="T759" s="2"/>
      <c r="U759" s="2"/>
      <c r="V759" s="2"/>
      <c r="W759" s="2"/>
      <c r="X759" s="2"/>
      <c r="Y759" s="2"/>
      <c r="Z759" s="2"/>
      <c r="AA759" s="2"/>
      <c r="AB759" s="2"/>
      <c r="AC759" s="2"/>
    </row>
    <row r="760" spans="7:29" x14ac:dyDescent="0.35">
      <c r="G760" s="2"/>
      <c r="H760" s="2"/>
      <c r="I760" s="2"/>
      <c r="J760" s="2"/>
      <c r="K760" s="2"/>
      <c r="L760" s="2"/>
      <c r="M760" s="2"/>
      <c r="N760" s="2"/>
      <c r="O760" s="2"/>
      <c r="P760" s="2"/>
      <c r="Q760" s="2"/>
      <c r="R760" s="2"/>
      <c r="S760" s="2"/>
      <c r="T760" s="2"/>
      <c r="U760" s="2"/>
      <c r="V760" s="2"/>
      <c r="W760" s="2"/>
      <c r="X760" s="2"/>
      <c r="Y760" s="2"/>
      <c r="Z760" s="2"/>
      <c r="AA760" s="2"/>
      <c r="AB760" s="2"/>
      <c r="AC760" s="2"/>
    </row>
    <row r="761" spans="7:29" x14ac:dyDescent="0.35">
      <c r="G761" s="2"/>
      <c r="H761" s="2"/>
      <c r="I761" s="2"/>
      <c r="J761" s="2"/>
      <c r="K761" s="2"/>
      <c r="L761" s="2"/>
      <c r="M761" s="2"/>
      <c r="N761" s="2"/>
      <c r="O761" s="2"/>
      <c r="P761" s="2"/>
      <c r="Q761" s="2"/>
      <c r="R761" s="2"/>
      <c r="S761" s="2"/>
      <c r="T761" s="2"/>
      <c r="U761" s="2"/>
      <c r="V761" s="2"/>
      <c r="W761" s="2"/>
      <c r="X761" s="2"/>
      <c r="Y761" s="2"/>
      <c r="Z761" s="2"/>
      <c r="AA761" s="2"/>
      <c r="AB761" s="2"/>
      <c r="AC761" s="2"/>
    </row>
    <row r="762" spans="7:29" x14ac:dyDescent="0.35">
      <c r="G762" s="2"/>
      <c r="H762" s="2"/>
      <c r="I762" s="2"/>
      <c r="J762" s="2"/>
      <c r="K762" s="2"/>
      <c r="L762" s="2"/>
      <c r="M762" s="2"/>
      <c r="N762" s="2"/>
      <c r="O762" s="2"/>
      <c r="P762" s="2"/>
      <c r="Q762" s="2"/>
      <c r="R762" s="2"/>
      <c r="S762" s="2"/>
      <c r="T762" s="2"/>
      <c r="U762" s="2"/>
      <c r="V762" s="2"/>
      <c r="W762" s="2"/>
      <c r="X762" s="2"/>
      <c r="Y762" s="2"/>
      <c r="Z762" s="2"/>
      <c r="AA762" s="2"/>
      <c r="AB762" s="2"/>
      <c r="AC762" s="2"/>
    </row>
    <row r="763" spans="7:29" x14ac:dyDescent="0.35">
      <c r="G763" s="2"/>
      <c r="H763" s="2"/>
      <c r="I763" s="2"/>
      <c r="J763" s="2"/>
      <c r="K763" s="2"/>
      <c r="L763" s="2"/>
      <c r="M763" s="2"/>
      <c r="N763" s="2"/>
      <c r="O763" s="2"/>
      <c r="P763" s="2"/>
      <c r="Q763" s="2"/>
      <c r="R763" s="2"/>
      <c r="S763" s="2"/>
      <c r="T763" s="2"/>
      <c r="U763" s="2"/>
      <c r="V763" s="2"/>
      <c r="W763" s="2"/>
      <c r="X763" s="2"/>
      <c r="Y763" s="2"/>
      <c r="Z763" s="2"/>
      <c r="AA763" s="2"/>
      <c r="AB763" s="2"/>
      <c r="AC763" s="2"/>
    </row>
    <row r="764" spans="7:29" x14ac:dyDescent="0.35">
      <c r="G764" s="2"/>
      <c r="H764" s="2"/>
      <c r="I764" s="2"/>
      <c r="J764" s="2"/>
      <c r="K764" s="2"/>
      <c r="L764" s="2"/>
      <c r="M764" s="2"/>
      <c r="N764" s="2"/>
      <c r="O764" s="2"/>
      <c r="P764" s="2"/>
      <c r="Q764" s="2"/>
      <c r="R764" s="2"/>
      <c r="S764" s="2"/>
      <c r="T764" s="2"/>
      <c r="U764" s="2"/>
      <c r="V764" s="2"/>
      <c r="W764" s="2"/>
      <c r="X764" s="2"/>
      <c r="Y764" s="2"/>
      <c r="Z764" s="2"/>
      <c r="AA764" s="2"/>
      <c r="AB764" s="2"/>
      <c r="AC764" s="2"/>
    </row>
    <row r="765" spans="7:29" x14ac:dyDescent="0.35">
      <c r="G765" s="2"/>
      <c r="H765" s="2"/>
      <c r="I765" s="2"/>
      <c r="J765" s="2"/>
      <c r="K765" s="2"/>
      <c r="L765" s="2"/>
      <c r="M765" s="2"/>
      <c r="N765" s="2"/>
      <c r="O765" s="2"/>
      <c r="P765" s="2"/>
      <c r="Q765" s="2"/>
      <c r="R765" s="2"/>
      <c r="S765" s="2"/>
      <c r="T765" s="2"/>
      <c r="U765" s="2"/>
      <c r="V765" s="2"/>
      <c r="W765" s="2"/>
      <c r="X765" s="2"/>
      <c r="Y765" s="2"/>
      <c r="Z765" s="2"/>
      <c r="AA765" s="2"/>
      <c r="AB765" s="2"/>
      <c r="AC765" s="2"/>
    </row>
    <row r="766" spans="7:29" x14ac:dyDescent="0.35">
      <c r="G766" s="2"/>
      <c r="H766" s="2"/>
      <c r="I766" s="2"/>
      <c r="J766" s="2"/>
      <c r="K766" s="2"/>
      <c r="L766" s="2"/>
      <c r="M766" s="2"/>
      <c r="N766" s="2"/>
      <c r="O766" s="2"/>
      <c r="P766" s="2"/>
      <c r="Q766" s="2"/>
      <c r="R766" s="2"/>
      <c r="S766" s="2"/>
      <c r="T766" s="2"/>
      <c r="U766" s="2"/>
      <c r="V766" s="2"/>
      <c r="W766" s="2"/>
      <c r="X766" s="2"/>
      <c r="Y766" s="2"/>
      <c r="Z766" s="2"/>
      <c r="AA766" s="2"/>
      <c r="AB766" s="2"/>
      <c r="AC766" s="2"/>
    </row>
    <row r="767" spans="7:29" x14ac:dyDescent="0.35">
      <c r="G767" s="2"/>
      <c r="H767" s="2"/>
      <c r="I767" s="2"/>
      <c r="J767" s="2"/>
      <c r="K767" s="2"/>
      <c r="L767" s="2"/>
      <c r="M767" s="2"/>
      <c r="N767" s="2"/>
      <c r="O767" s="2"/>
      <c r="P767" s="2"/>
      <c r="Q767" s="2"/>
      <c r="R767" s="2"/>
      <c r="S767" s="2"/>
      <c r="T767" s="2"/>
      <c r="U767" s="2"/>
      <c r="V767" s="2"/>
      <c r="W767" s="2"/>
      <c r="X767" s="2"/>
      <c r="Y767" s="2"/>
      <c r="Z767" s="2"/>
      <c r="AA767" s="2"/>
      <c r="AB767" s="2"/>
      <c r="AC767" s="2"/>
    </row>
    <row r="768" spans="7:29" x14ac:dyDescent="0.35">
      <c r="G768" s="2"/>
      <c r="H768" s="2"/>
      <c r="I768" s="2"/>
      <c r="J768" s="2"/>
      <c r="K768" s="2"/>
      <c r="L768" s="2"/>
      <c r="M768" s="2"/>
      <c r="N768" s="2"/>
      <c r="O768" s="2"/>
      <c r="P768" s="2"/>
      <c r="Q768" s="2"/>
      <c r="R768" s="2"/>
      <c r="S768" s="2"/>
      <c r="T768" s="2"/>
      <c r="U768" s="2"/>
      <c r="V768" s="2"/>
      <c r="W768" s="2"/>
      <c r="X768" s="2"/>
      <c r="Y768" s="2"/>
      <c r="Z768" s="2"/>
      <c r="AA768" s="2"/>
      <c r="AB768" s="2"/>
      <c r="AC768" s="2"/>
    </row>
    <row r="769" spans="7:29" x14ac:dyDescent="0.35">
      <c r="G769" s="2"/>
      <c r="H769" s="2"/>
      <c r="I769" s="2"/>
      <c r="J769" s="2"/>
      <c r="K769" s="2"/>
      <c r="L769" s="2"/>
      <c r="M769" s="2"/>
      <c r="N769" s="2"/>
      <c r="O769" s="2"/>
      <c r="P769" s="2"/>
      <c r="Q769" s="2"/>
      <c r="R769" s="2"/>
      <c r="S769" s="2"/>
      <c r="T769" s="2"/>
      <c r="U769" s="2"/>
      <c r="V769" s="2"/>
      <c r="W769" s="2"/>
      <c r="X769" s="2"/>
      <c r="Y769" s="2"/>
      <c r="Z769" s="2"/>
      <c r="AA769" s="2"/>
      <c r="AB769" s="2"/>
      <c r="AC769" s="2"/>
    </row>
    <row r="770" spans="7:29" x14ac:dyDescent="0.35">
      <c r="G770" s="2"/>
      <c r="H770" s="2"/>
      <c r="I770" s="2"/>
      <c r="J770" s="2"/>
      <c r="K770" s="2"/>
      <c r="L770" s="2"/>
      <c r="M770" s="2"/>
      <c r="N770" s="2"/>
      <c r="O770" s="2"/>
      <c r="P770" s="2"/>
      <c r="Q770" s="2"/>
      <c r="R770" s="2"/>
      <c r="S770" s="2"/>
      <c r="T770" s="2"/>
      <c r="U770" s="2"/>
      <c r="V770" s="2"/>
      <c r="W770" s="2"/>
      <c r="X770" s="2"/>
      <c r="Y770" s="2"/>
      <c r="Z770" s="2"/>
      <c r="AA770" s="2"/>
      <c r="AB770" s="2"/>
      <c r="AC770" s="2"/>
    </row>
    <row r="771" spans="7:29" x14ac:dyDescent="0.35">
      <c r="G771" s="2"/>
      <c r="H771" s="2"/>
      <c r="I771" s="2"/>
      <c r="J771" s="2"/>
      <c r="K771" s="2"/>
      <c r="L771" s="2"/>
      <c r="M771" s="2"/>
      <c r="N771" s="2"/>
      <c r="O771" s="2"/>
      <c r="P771" s="2"/>
      <c r="Q771" s="2"/>
      <c r="R771" s="2"/>
      <c r="S771" s="2"/>
      <c r="T771" s="2"/>
      <c r="U771" s="2"/>
      <c r="V771" s="2"/>
      <c r="W771" s="2"/>
      <c r="X771" s="2"/>
      <c r="Y771" s="2"/>
      <c r="Z771" s="2"/>
      <c r="AA771" s="2"/>
      <c r="AB771" s="2"/>
      <c r="AC771" s="2"/>
    </row>
    <row r="772" spans="7:29" x14ac:dyDescent="0.35">
      <c r="G772" s="2"/>
      <c r="H772" s="2"/>
      <c r="I772" s="2"/>
      <c r="J772" s="2"/>
      <c r="K772" s="2"/>
      <c r="L772" s="2"/>
      <c r="M772" s="2"/>
      <c r="N772" s="2"/>
      <c r="O772" s="2"/>
      <c r="P772" s="2"/>
      <c r="Q772" s="2"/>
      <c r="R772" s="2"/>
      <c r="S772" s="2"/>
      <c r="T772" s="2"/>
      <c r="U772" s="2"/>
      <c r="V772" s="2"/>
      <c r="W772" s="2"/>
      <c r="X772" s="2"/>
      <c r="Y772" s="2"/>
      <c r="Z772" s="2"/>
      <c r="AA772" s="2"/>
      <c r="AB772" s="2"/>
      <c r="AC772" s="2"/>
    </row>
    <row r="773" spans="7:29" x14ac:dyDescent="0.35">
      <c r="G773" s="2"/>
      <c r="H773" s="2"/>
      <c r="I773" s="2"/>
      <c r="J773" s="2"/>
      <c r="K773" s="2"/>
      <c r="L773" s="2"/>
      <c r="M773" s="2"/>
      <c r="N773" s="2"/>
      <c r="O773" s="2"/>
      <c r="P773" s="2"/>
      <c r="Q773" s="2"/>
      <c r="R773" s="2"/>
      <c r="S773" s="2"/>
      <c r="T773" s="2"/>
      <c r="U773" s="2"/>
      <c r="V773" s="2"/>
      <c r="W773" s="2"/>
      <c r="X773" s="2"/>
      <c r="Y773" s="2"/>
      <c r="Z773" s="2"/>
      <c r="AA773" s="2"/>
      <c r="AB773" s="2"/>
      <c r="AC773" s="2"/>
    </row>
    <row r="774" spans="7:29" x14ac:dyDescent="0.35">
      <c r="G774" s="2"/>
      <c r="H774" s="2"/>
      <c r="I774" s="2"/>
      <c r="J774" s="2"/>
      <c r="K774" s="2"/>
      <c r="L774" s="2"/>
      <c r="M774" s="2"/>
      <c r="N774" s="2"/>
      <c r="O774" s="2"/>
      <c r="P774" s="2"/>
      <c r="Q774" s="2"/>
      <c r="R774" s="2"/>
      <c r="S774" s="2"/>
      <c r="T774" s="2"/>
      <c r="U774" s="2"/>
      <c r="V774" s="2"/>
      <c r="W774" s="2"/>
      <c r="X774" s="2"/>
      <c r="Y774" s="2"/>
      <c r="Z774" s="2"/>
      <c r="AA774" s="2"/>
      <c r="AB774" s="2"/>
      <c r="AC774" s="2"/>
    </row>
    <row r="775" spans="7:29" x14ac:dyDescent="0.35">
      <c r="G775" s="2"/>
      <c r="H775" s="2"/>
      <c r="I775" s="2"/>
      <c r="J775" s="2"/>
      <c r="K775" s="2"/>
      <c r="L775" s="2"/>
      <c r="M775" s="2"/>
      <c r="N775" s="2"/>
      <c r="O775" s="2"/>
      <c r="P775" s="2"/>
      <c r="Q775" s="2"/>
      <c r="R775" s="2"/>
      <c r="S775" s="2"/>
      <c r="T775" s="2"/>
      <c r="U775" s="2"/>
      <c r="V775" s="2"/>
      <c r="W775" s="2"/>
      <c r="X775" s="2"/>
      <c r="Y775" s="2"/>
      <c r="Z775" s="2"/>
      <c r="AA775" s="2"/>
      <c r="AB775" s="2"/>
      <c r="AC775" s="2"/>
    </row>
    <row r="776" spans="7:29" x14ac:dyDescent="0.35">
      <c r="G776" s="2"/>
      <c r="H776" s="2"/>
      <c r="I776" s="2"/>
      <c r="J776" s="2"/>
      <c r="K776" s="2"/>
      <c r="L776" s="2"/>
      <c r="M776" s="2"/>
      <c r="N776" s="2"/>
      <c r="O776" s="2"/>
      <c r="P776" s="2"/>
      <c r="Q776" s="2"/>
      <c r="R776" s="2"/>
      <c r="S776" s="2"/>
      <c r="T776" s="2"/>
      <c r="U776" s="2"/>
      <c r="V776" s="2"/>
      <c r="W776" s="2"/>
      <c r="X776" s="2"/>
      <c r="Y776" s="2"/>
      <c r="Z776" s="2"/>
      <c r="AA776" s="2"/>
      <c r="AB776" s="2"/>
      <c r="AC776" s="2"/>
    </row>
    <row r="777" spans="7:29" x14ac:dyDescent="0.35">
      <c r="G777" s="2"/>
      <c r="H777" s="2"/>
      <c r="I777" s="2"/>
      <c r="J777" s="2"/>
      <c r="K777" s="2"/>
      <c r="L777" s="2"/>
      <c r="M777" s="2"/>
      <c r="N777" s="2"/>
      <c r="O777" s="2"/>
      <c r="P777" s="2"/>
      <c r="Q777" s="2"/>
      <c r="R777" s="2"/>
      <c r="S777" s="2"/>
      <c r="T777" s="2"/>
      <c r="U777" s="2"/>
      <c r="V777" s="2"/>
      <c r="W777" s="2"/>
      <c r="X777" s="2"/>
      <c r="Y777" s="2"/>
      <c r="Z777" s="2"/>
      <c r="AA777" s="2"/>
      <c r="AB777" s="2"/>
      <c r="AC777" s="2"/>
    </row>
    <row r="778" spans="7:29" x14ac:dyDescent="0.35">
      <c r="G778" s="2"/>
      <c r="H778" s="2"/>
      <c r="I778" s="2"/>
      <c r="J778" s="2"/>
      <c r="K778" s="2"/>
      <c r="L778" s="2"/>
      <c r="M778" s="2"/>
      <c r="N778" s="2"/>
      <c r="O778" s="2"/>
      <c r="P778" s="2"/>
      <c r="Q778" s="2"/>
      <c r="R778" s="2"/>
      <c r="S778" s="2"/>
      <c r="T778" s="2"/>
      <c r="U778" s="2"/>
      <c r="V778" s="2"/>
      <c r="W778" s="2"/>
      <c r="X778" s="2"/>
      <c r="Y778" s="2"/>
      <c r="Z778" s="2"/>
      <c r="AA778" s="2"/>
      <c r="AB778" s="2"/>
      <c r="AC778" s="2"/>
    </row>
    <row r="779" spans="7:29" x14ac:dyDescent="0.35">
      <c r="G779" s="2"/>
      <c r="H779" s="2"/>
      <c r="I779" s="2"/>
      <c r="J779" s="2"/>
      <c r="K779" s="2"/>
      <c r="L779" s="2"/>
      <c r="M779" s="2"/>
      <c r="N779" s="2"/>
      <c r="O779" s="2"/>
      <c r="P779" s="2"/>
      <c r="Q779" s="2"/>
      <c r="R779" s="2"/>
      <c r="S779" s="2"/>
      <c r="T779" s="2"/>
      <c r="U779" s="2"/>
      <c r="V779" s="2"/>
      <c r="W779" s="2"/>
      <c r="X779" s="2"/>
      <c r="Y779" s="2"/>
      <c r="Z779" s="2"/>
      <c r="AA779" s="2"/>
      <c r="AB779" s="2"/>
      <c r="AC779" s="2"/>
    </row>
    <row r="780" spans="7:29" x14ac:dyDescent="0.35">
      <c r="G780" s="2"/>
      <c r="H780" s="2"/>
      <c r="I780" s="2"/>
      <c r="J780" s="2"/>
      <c r="K780" s="2"/>
      <c r="L780" s="2"/>
      <c r="M780" s="2"/>
      <c r="N780" s="2"/>
      <c r="O780" s="2"/>
      <c r="P780" s="2"/>
      <c r="Q780" s="2"/>
      <c r="R780" s="2"/>
      <c r="S780" s="2"/>
      <c r="T780" s="2"/>
      <c r="U780" s="2"/>
      <c r="V780" s="2"/>
      <c r="W780" s="2"/>
      <c r="X780" s="2"/>
      <c r="Y780" s="2"/>
      <c r="Z780" s="2"/>
      <c r="AA780" s="2"/>
      <c r="AB780" s="2"/>
      <c r="AC780" s="2"/>
    </row>
    <row r="781" spans="7:29" x14ac:dyDescent="0.35">
      <c r="G781" s="2"/>
      <c r="H781" s="2"/>
      <c r="I781" s="2"/>
      <c r="J781" s="2"/>
      <c r="K781" s="2"/>
      <c r="L781" s="2"/>
      <c r="M781" s="2"/>
      <c r="N781" s="2"/>
      <c r="O781" s="2"/>
      <c r="P781" s="2"/>
      <c r="Q781" s="2"/>
      <c r="R781" s="2"/>
      <c r="S781" s="2"/>
      <c r="T781" s="2"/>
      <c r="U781" s="2"/>
      <c r="V781" s="2"/>
      <c r="W781" s="2"/>
      <c r="X781" s="2"/>
      <c r="Y781" s="2"/>
      <c r="Z781" s="2"/>
      <c r="AA781" s="2"/>
      <c r="AB781" s="2"/>
      <c r="AC781" s="2"/>
    </row>
    <row r="782" spans="7:29" x14ac:dyDescent="0.35">
      <c r="G782" s="2"/>
      <c r="H782" s="2"/>
      <c r="I782" s="2"/>
      <c r="J782" s="2"/>
      <c r="K782" s="2"/>
      <c r="L782" s="2"/>
      <c r="M782" s="2"/>
      <c r="N782" s="2"/>
      <c r="O782" s="2"/>
      <c r="P782" s="2"/>
      <c r="Q782" s="2"/>
      <c r="R782" s="2"/>
      <c r="S782" s="2"/>
      <c r="T782" s="2"/>
      <c r="U782" s="2"/>
      <c r="V782" s="2"/>
      <c r="W782" s="2"/>
      <c r="X782" s="2"/>
      <c r="Y782" s="2"/>
      <c r="Z782" s="2"/>
      <c r="AA782" s="2"/>
      <c r="AB782" s="2"/>
      <c r="AC782" s="2"/>
    </row>
    <row r="783" spans="7:29" x14ac:dyDescent="0.35">
      <c r="G783" s="2"/>
      <c r="H783" s="2"/>
      <c r="I783" s="2"/>
      <c r="J783" s="2"/>
      <c r="K783" s="2"/>
      <c r="L783" s="2"/>
      <c r="M783" s="2"/>
      <c r="N783" s="2"/>
      <c r="O783" s="2"/>
      <c r="P783" s="2"/>
      <c r="Q783" s="2"/>
      <c r="R783" s="2"/>
      <c r="S783" s="2"/>
      <c r="T783" s="2"/>
      <c r="U783" s="2"/>
      <c r="V783" s="2"/>
      <c r="W783" s="2"/>
      <c r="X783" s="2"/>
      <c r="Y783" s="2"/>
      <c r="Z783" s="2"/>
      <c r="AA783" s="2"/>
      <c r="AB783" s="2"/>
      <c r="AC783" s="2"/>
    </row>
    <row r="784" spans="7:29" x14ac:dyDescent="0.35">
      <c r="G784" s="2"/>
      <c r="H784" s="2"/>
      <c r="I784" s="2"/>
      <c r="J784" s="2"/>
      <c r="K784" s="2"/>
      <c r="L784" s="2"/>
      <c r="M784" s="2"/>
      <c r="N784" s="2"/>
      <c r="O784" s="2"/>
      <c r="P784" s="2"/>
      <c r="Q784" s="2"/>
      <c r="R784" s="2"/>
      <c r="S784" s="2"/>
      <c r="T784" s="2"/>
      <c r="U784" s="2"/>
      <c r="V784" s="2"/>
      <c r="W784" s="2"/>
      <c r="X784" s="2"/>
      <c r="Y784" s="2"/>
      <c r="Z784" s="2"/>
      <c r="AA784" s="2"/>
      <c r="AB784" s="2"/>
      <c r="AC784" s="2"/>
    </row>
    <row r="785" spans="7:29" x14ac:dyDescent="0.35">
      <c r="G785" s="2"/>
      <c r="H785" s="2"/>
      <c r="I785" s="2"/>
      <c r="J785" s="2"/>
      <c r="K785" s="2"/>
      <c r="L785" s="2"/>
      <c r="M785" s="2"/>
      <c r="N785" s="2"/>
      <c r="O785" s="2"/>
      <c r="P785" s="2"/>
      <c r="Q785" s="2"/>
      <c r="R785" s="2"/>
      <c r="S785" s="2"/>
      <c r="T785" s="2"/>
      <c r="U785" s="2"/>
      <c r="V785" s="2"/>
      <c r="W785" s="2"/>
      <c r="X785" s="2"/>
      <c r="Y785" s="2"/>
      <c r="Z785" s="2"/>
      <c r="AA785" s="2"/>
      <c r="AB785" s="2"/>
      <c r="AC785" s="2"/>
    </row>
    <row r="786" spans="7:29" x14ac:dyDescent="0.35">
      <c r="G786" s="2"/>
      <c r="H786" s="2"/>
      <c r="I786" s="2"/>
      <c r="J786" s="2"/>
      <c r="K786" s="2"/>
      <c r="L786" s="2"/>
      <c r="M786" s="2"/>
      <c r="N786" s="2"/>
      <c r="O786" s="2"/>
      <c r="P786" s="2"/>
      <c r="Q786" s="2"/>
      <c r="R786" s="2"/>
      <c r="S786" s="2"/>
      <c r="T786" s="2"/>
      <c r="U786" s="2"/>
      <c r="V786" s="2"/>
      <c r="W786" s="2"/>
      <c r="X786" s="2"/>
      <c r="Y786" s="2"/>
      <c r="Z786" s="2"/>
      <c r="AA786" s="2"/>
      <c r="AB786" s="2"/>
      <c r="AC786" s="2"/>
    </row>
    <row r="787" spans="7:29" x14ac:dyDescent="0.35">
      <c r="G787" s="2"/>
      <c r="H787" s="2"/>
      <c r="I787" s="2"/>
      <c r="J787" s="2"/>
      <c r="K787" s="2"/>
      <c r="L787" s="2"/>
      <c r="M787" s="2"/>
      <c r="N787" s="2"/>
      <c r="O787" s="2"/>
      <c r="P787" s="2"/>
      <c r="Q787" s="2"/>
      <c r="R787" s="2"/>
      <c r="S787" s="2"/>
      <c r="T787" s="2"/>
      <c r="U787" s="2"/>
      <c r="V787" s="2"/>
      <c r="W787" s="2"/>
      <c r="X787" s="2"/>
      <c r="Y787" s="2"/>
      <c r="Z787" s="2"/>
      <c r="AA787" s="2"/>
      <c r="AB787" s="2"/>
      <c r="AC787" s="2"/>
    </row>
    <row r="788" spans="7:29" x14ac:dyDescent="0.35">
      <c r="G788" s="2"/>
      <c r="H788" s="2"/>
      <c r="I788" s="2"/>
      <c r="J788" s="2"/>
      <c r="K788" s="2"/>
      <c r="L788" s="2"/>
      <c r="M788" s="2"/>
      <c r="N788" s="2"/>
      <c r="O788" s="2"/>
      <c r="P788" s="2"/>
      <c r="Q788" s="2"/>
      <c r="R788" s="2"/>
      <c r="S788" s="2"/>
      <c r="T788" s="2"/>
      <c r="U788" s="2"/>
      <c r="V788" s="2"/>
      <c r="W788" s="2"/>
      <c r="X788" s="2"/>
      <c r="Y788" s="2"/>
      <c r="Z788" s="2"/>
      <c r="AA788" s="2"/>
      <c r="AB788" s="2"/>
      <c r="AC788" s="2"/>
    </row>
    <row r="789" spans="7:29" x14ac:dyDescent="0.35">
      <c r="G789" s="2"/>
      <c r="H789" s="2"/>
      <c r="I789" s="2"/>
      <c r="J789" s="2"/>
      <c r="K789" s="2"/>
      <c r="L789" s="2"/>
      <c r="M789" s="2"/>
      <c r="N789" s="2"/>
      <c r="O789" s="2"/>
      <c r="P789" s="2"/>
      <c r="Q789" s="2"/>
      <c r="R789" s="2"/>
      <c r="S789" s="2"/>
      <c r="T789" s="2"/>
      <c r="U789" s="2"/>
      <c r="V789" s="2"/>
      <c r="W789" s="2"/>
      <c r="X789" s="2"/>
      <c r="Y789" s="2"/>
      <c r="Z789" s="2"/>
      <c r="AA789" s="2"/>
      <c r="AB789" s="2"/>
      <c r="AC789" s="2"/>
    </row>
    <row r="790" spans="7:29" x14ac:dyDescent="0.35">
      <c r="G790" s="2"/>
      <c r="H790" s="2"/>
      <c r="I790" s="2"/>
      <c r="J790" s="2"/>
      <c r="K790" s="2"/>
      <c r="L790" s="2"/>
      <c r="M790" s="2"/>
      <c r="N790" s="2"/>
      <c r="O790" s="2"/>
      <c r="P790" s="2"/>
      <c r="Q790" s="2"/>
      <c r="R790" s="2"/>
      <c r="S790" s="2"/>
      <c r="T790" s="2"/>
      <c r="U790" s="2"/>
      <c r="V790" s="2"/>
      <c r="W790" s="2"/>
      <c r="X790" s="2"/>
      <c r="Y790" s="2"/>
      <c r="Z790" s="2"/>
      <c r="AA790" s="2"/>
      <c r="AB790" s="2"/>
      <c r="AC790" s="2"/>
    </row>
    <row r="791" spans="7:29" x14ac:dyDescent="0.35">
      <c r="G791" s="2"/>
      <c r="H791" s="2"/>
      <c r="I791" s="2"/>
      <c r="J791" s="2"/>
      <c r="K791" s="2"/>
      <c r="L791" s="2"/>
      <c r="M791" s="2"/>
      <c r="N791" s="2"/>
      <c r="O791" s="2"/>
      <c r="P791" s="2"/>
      <c r="Q791" s="2"/>
      <c r="R791" s="2"/>
      <c r="S791" s="2"/>
      <c r="T791" s="2"/>
      <c r="U791" s="2"/>
      <c r="V791" s="2"/>
      <c r="W791" s="2"/>
      <c r="X791" s="2"/>
      <c r="Y791" s="2"/>
      <c r="Z791" s="2"/>
      <c r="AA791" s="2"/>
      <c r="AB791" s="2"/>
      <c r="AC791" s="2"/>
    </row>
    <row r="792" spans="7:29" x14ac:dyDescent="0.35">
      <c r="G792" s="2"/>
      <c r="H792" s="2"/>
      <c r="I792" s="2"/>
      <c r="J792" s="2"/>
      <c r="K792" s="2"/>
      <c r="L792" s="2"/>
      <c r="M792" s="2"/>
      <c r="N792" s="2"/>
      <c r="O792" s="2"/>
      <c r="P792" s="2"/>
      <c r="Q792" s="2"/>
      <c r="R792" s="2"/>
      <c r="S792" s="2"/>
      <c r="T792" s="2"/>
      <c r="U792" s="2"/>
      <c r="V792" s="2"/>
      <c r="W792" s="2"/>
      <c r="X792" s="2"/>
      <c r="Y792" s="2"/>
      <c r="Z792" s="2"/>
      <c r="AA792" s="2"/>
      <c r="AB792" s="2"/>
      <c r="AC792" s="2"/>
    </row>
    <row r="793" spans="7:29" x14ac:dyDescent="0.35">
      <c r="G793" s="2"/>
      <c r="H793" s="2"/>
      <c r="I793" s="2"/>
      <c r="J793" s="2"/>
      <c r="K793" s="2"/>
      <c r="L793" s="2"/>
      <c r="M793" s="2"/>
      <c r="N793" s="2"/>
      <c r="O793" s="2"/>
      <c r="P793" s="2"/>
      <c r="Q793" s="2"/>
      <c r="R793" s="2"/>
      <c r="S793" s="2"/>
      <c r="T793" s="2"/>
      <c r="U793" s="2"/>
      <c r="V793" s="2"/>
      <c r="W793" s="2"/>
      <c r="X793" s="2"/>
      <c r="Y793" s="2"/>
      <c r="Z793" s="2"/>
      <c r="AA793" s="2"/>
      <c r="AB793" s="2"/>
      <c r="AC793" s="2"/>
    </row>
    <row r="794" spans="7:29" x14ac:dyDescent="0.35">
      <c r="G794" s="2"/>
      <c r="H794" s="2"/>
      <c r="I794" s="2"/>
      <c r="J794" s="2"/>
      <c r="K794" s="2"/>
      <c r="L794" s="2"/>
      <c r="M794" s="2"/>
      <c r="N794" s="2"/>
      <c r="O794" s="2"/>
      <c r="P794" s="2"/>
      <c r="Q794" s="2"/>
      <c r="R794" s="2"/>
      <c r="S794" s="2"/>
      <c r="T794" s="2"/>
      <c r="U794" s="2"/>
      <c r="V794" s="2"/>
      <c r="W794" s="2"/>
      <c r="X794" s="2"/>
      <c r="Y794" s="2"/>
      <c r="Z794" s="2"/>
      <c r="AA794" s="2"/>
      <c r="AB794" s="2"/>
      <c r="AC794" s="2"/>
    </row>
    <row r="795" spans="7:29" x14ac:dyDescent="0.35">
      <c r="G795" s="2"/>
      <c r="H795" s="2"/>
      <c r="I795" s="2"/>
      <c r="J795" s="2"/>
      <c r="K795" s="2"/>
      <c r="L795" s="2"/>
      <c r="M795" s="2"/>
      <c r="N795" s="2"/>
      <c r="O795" s="2"/>
      <c r="P795" s="2"/>
      <c r="Q795" s="2"/>
      <c r="R795" s="2"/>
      <c r="S795" s="2"/>
      <c r="T795" s="2"/>
      <c r="U795" s="2"/>
      <c r="V795" s="2"/>
      <c r="W795" s="2"/>
      <c r="X795" s="2"/>
      <c r="Y795" s="2"/>
      <c r="Z795" s="2"/>
      <c r="AA795" s="2"/>
      <c r="AB795" s="2"/>
      <c r="AC795" s="2"/>
    </row>
    <row r="796" spans="7:29" x14ac:dyDescent="0.35">
      <c r="G796" s="2"/>
      <c r="H796" s="2"/>
      <c r="I796" s="2"/>
      <c r="J796" s="2"/>
      <c r="K796" s="2"/>
      <c r="L796" s="2"/>
      <c r="M796" s="2"/>
      <c r="N796" s="2"/>
      <c r="O796" s="2"/>
      <c r="P796" s="2"/>
      <c r="Q796" s="2"/>
      <c r="R796" s="2"/>
      <c r="S796" s="2"/>
      <c r="T796" s="2"/>
      <c r="U796" s="2"/>
      <c r="V796" s="2"/>
      <c r="W796" s="2"/>
      <c r="X796" s="2"/>
      <c r="Y796" s="2"/>
      <c r="Z796" s="2"/>
      <c r="AA796" s="2"/>
      <c r="AB796" s="2"/>
      <c r="AC796" s="2"/>
    </row>
    <row r="797" spans="7:29" x14ac:dyDescent="0.35">
      <c r="G797" s="2"/>
      <c r="H797" s="2"/>
      <c r="I797" s="2"/>
      <c r="J797" s="2"/>
      <c r="K797" s="2"/>
      <c r="L797" s="2"/>
      <c r="M797" s="2"/>
      <c r="N797" s="2"/>
      <c r="O797" s="2"/>
      <c r="P797" s="2"/>
      <c r="Q797" s="2"/>
      <c r="R797" s="2"/>
      <c r="S797" s="2"/>
      <c r="T797" s="2"/>
      <c r="U797" s="2"/>
      <c r="V797" s="2"/>
      <c r="W797" s="2"/>
      <c r="X797" s="2"/>
      <c r="Y797" s="2"/>
      <c r="Z797" s="2"/>
      <c r="AA797" s="2"/>
      <c r="AB797" s="2"/>
      <c r="AC797" s="2"/>
    </row>
    <row r="798" spans="7:29" x14ac:dyDescent="0.35">
      <c r="G798" s="2"/>
      <c r="H798" s="2"/>
      <c r="I798" s="2"/>
      <c r="J798" s="2"/>
      <c r="K798" s="2"/>
      <c r="L798" s="2"/>
      <c r="M798" s="2"/>
      <c r="N798" s="2"/>
      <c r="O798" s="2"/>
      <c r="P798" s="2"/>
      <c r="Q798" s="2"/>
      <c r="R798" s="2"/>
      <c r="S798" s="2"/>
      <c r="T798" s="2"/>
      <c r="U798" s="2"/>
      <c r="V798" s="2"/>
      <c r="W798" s="2"/>
      <c r="X798" s="2"/>
      <c r="Y798" s="2"/>
      <c r="Z798" s="2"/>
      <c r="AA798" s="2"/>
      <c r="AB798" s="2"/>
      <c r="AC798" s="2"/>
    </row>
    <row r="799" spans="7:29" x14ac:dyDescent="0.35">
      <c r="G799" s="2"/>
      <c r="H799" s="2"/>
      <c r="I799" s="2"/>
      <c r="J799" s="2"/>
      <c r="K799" s="2"/>
      <c r="L799" s="2"/>
      <c r="M799" s="2"/>
      <c r="N799" s="2"/>
      <c r="O799" s="2"/>
      <c r="P799" s="2"/>
      <c r="Q799" s="2"/>
      <c r="R799" s="2"/>
      <c r="S799" s="2"/>
      <c r="T799" s="2"/>
      <c r="U799" s="2"/>
      <c r="V799" s="2"/>
      <c r="W799" s="2"/>
      <c r="X799" s="2"/>
      <c r="Y799" s="2"/>
      <c r="Z799" s="2"/>
      <c r="AA799" s="2"/>
      <c r="AB799" s="2"/>
      <c r="AC799" s="2"/>
    </row>
    <row r="800" spans="7:29" x14ac:dyDescent="0.35">
      <c r="G800" s="2"/>
      <c r="H800" s="2"/>
      <c r="I800" s="2"/>
      <c r="J800" s="2"/>
      <c r="K800" s="2"/>
      <c r="L800" s="2"/>
      <c r="M800" s="2"/>
      <c r="N800" s="2"/>
      <c r="O800" s="2"/>
      <c r="P800" s="2"/>
      <c r="Q800" s="2"/>
      <c r="R800" s="2"/>
      <c r="S800" s="2"/>
      <c r="T800" s="2"/>
      <c r="U800" s="2"/>
      <c r="V800" s="2"/>
      <c r="W800" s="2"/>
      <c r="X800" s="2"/>
      <c r="Y800" s="2"/>
      <c r="Z800" s="2"/>
      <c r="AA800" s="2"/>
      <c r="AB800" s="2"/>
      <c r="AC800" s="2"/>
    </row>
    <row r="801" spans="7:29" x14ac:dyDescent="0.35">
      <c r="G801" s="2"/>
      <c r="H801" s="2"/>
      <c r="I801" s="2"/>
      <c r="J801" s="2"/>
      <c r="K801" s="2"/>
      <c r="L801" s="2"/>
      <c r="M801" s="2"/>
      <c r="N801" s="2"/>
      <c r="O801" s="2"/>
      <c r="P801" s="2"/>
      <c r="Q801" s="2"/>
      <c r="R801" s="2"/>
      <c r="S801" s="2"/>
      <c r="T801" s="2"/>
      <c r="U801" s="2"/>
      <c r="V801" s="2"/>
      <c r="W801" s="2"/>
      <c r="X801" s="2"/>
      <c r="Y801" s="2"/>
      <c r="Z801" s="2"/>
      <c r="AA801" s="2"/>
      <c r="AB801" s="2"/>
      <c r="AC801" s="2"/>
    </row>
    <row r="802" spans="7:29" x14ac:dyDescent="0.35">
      <c r="G802" s="2"/>
      <c r="H802" s="2"/>
      <c r="I802" s="2"/>
      <c r="J802" s="2"/>
      <c r="K802" s="2"/>
      <c r="L802" s="2"/>
      <c r="M802" s="2"/>
      <c r="N802" s="2"/>
      <c r="O802" s="2"/>
      <c r="P802" s="2"/>
      <c r="Q802" s="2"/>
      <c r="R802" s="2"/>
      <c r="S802" s="2"/>
      <c r="T802" s="2"/>
      <c r="U802" s="2"/>
      <c r="V802" s="2"/>
      <c r="W802" s="2"/>
      <c r="X802" s="2"/>
      <c r="Y802" s="2"/>
      <c r="Z802" s="2"/>
      <c r="AA802" s="2"/>
      <c r="AB802" s="2"/>
      <c r="AC802" s="2"/>
    </row>
    <row r="803" spans="7:29" x14ac:dyDescent="0.35">
      <c r="G803" s="2"/>
      <c r="H803" s="2"/>
      <c r="I803" s="2"/>
      <c r="J803" s="2"/>
      <c r="K803" s="2"/>
      <c r="L803" s="2"/>
      <c r="M803" s="2"/>
      <c r="N803" s="2"/>
      <c r="O803" s="2"/>
      <c r="P803" s="2"/>
      <c r="Q803" s="2"/>
      <c r="R803" s="2"/>
      <c r="S803" s="2"/>
      <c r="T803" s="2"/>
      <c r="U803" s="2"/>
      <c r="V803" s="2"/>
      <c r="W803" s="2"/>
      <c r="X803" s="2"/>
      <c r="Y803" s="2"/>
      <c r="Z803" s="2"/>
      <c r="AA803" s="2"/>
      <c r="AB803" s="2"/>
      <c r="AC803" s="2"/>
    </row>
    <row r="804" spans="7:29" x14ac:dyDescent="0.35">
      <c r="G804" s="2"/>
      <c r="H804" s="2"/>
      <c r="I804" s="2"/>
      <c r="J804" s="2"/>
      <c r="K804" s="2"/>
      <c r="L804" s="2"/>
      <c r="M804" s="2"/>
      <c r="N804" s="2"/>
      <c r="O804" s="2"/>
      <c r="P804" s="2"/>
      <c r="Q804" s="2"/>
      <c r="R804" s="2"/>
      <c r="S804" s="2"/>
      <c r="T804" s="2"/>
      <c r="U804" s="2"/>
      <c r="V804" s="2"/>
      <c r="W804" s="2"/>
      <c r="X804" s="2"/>
      <c r="Y804" s="2"/>
      <c r="Z804" s="2"/>
      <c r="AA804" s="2"/>
      <c r="AB804" s="2"/>
      <c r="AC804" s="2"/>
    </row>
    <row r="805" spans="7:29" x14ac:dyDescent="0.35">
      <c r="G805" s="2"/>
      <c r="H805" s="2"/>
      <c r="I805" s="2"/>
      <c r="J805" s="2"/>
      <c r="K805" s="2"/>
      <c r="L805" s="2"/>
      <c r="M805" s="2"/>
      <c r="N805" s="2"/>
      <c r="O805" s="2"/>
      <c r="P805" s="2"/>
      <c r="Q805" s="2"/>
      <c r="R805" s="2"/>
      <c r="S805" s="2"/>
      <c r="T805" s="2"/>
      <c r="U805" s="2"/>
      <c r="V805" s="2"/>
      <c r="W805" s="2"/>
      <c r="X805" s="2"/>
      <c r="Y805" s="2"/>
      <c r="Z805" s="2"/>
      <c r="AA805" s="2"/>
      <c r="AB805" s="2"/>
      <c r="AC805" s="2"/>
    </row>
    <row r="806" spans="7:29" x14ac:dyDescent="0.35">
      <c r="G806" s="2"/>
      <c r="H806" s="2"/>
      <c r="I806" s="2"/>
      <c r="J806" s="2"/>
      <c r="K806" s="2"/>
      <c r="L806" s="2"/>
      <c r="M806" s="2"/>
      <c r="N806" s="2"/>
      <c r="O806" s="2"/>
      <c r="P806" s="2"/>
      <c r="Q806" s="2"/>
      <c r="R806" s="2"/>
      <c r="S806" s="2"/>
      <c r="T806" s="2"/>
      <c r="U806" s="2"/>
      <c r="V806" s="2"/>
      <c r="W806" s="2"/>
      <c r="X806" s="2"/>
      <c r="Y806" s="2"/>
      <c r="Z806" s="2"/>
      <c r="AA806" s="2"/>
      <c r="AB806" s="2"/>
      <c r="AC806" s="2"/>
    </row>
    <row r="807" spans="7:29" x14ac:dyDescent="0.35">
      <c r="G807" s="2"/>
      <c r="H807" s="2"/>
      <c r="I807" s="2"/>
      <c r="J807" s="2"/>
      <c r="K807" s="2"/>
      <c r="L807" s="2"/>
      <c r="M807" s="2"/>
      <c r="N807" s="2"/>
      <c r="O807" s="2"/>
      <c r="P807" s="2"/>
      <c r="Q807" s="2"/>
      <c r="R807" s="2"/>
      <c r="S807" s="2"/>
      <c r="T807" s="2"/>
      <c r="U807" s="2"/>
      <c r="V807" s="2"/>
      <c r="W807" s="2"/>
      <c r="X807" s="2"/>
      <c r="Y807" s="2"/>
      <c r="Z807" s="2"/>
      <c r="AA807" s="2"/>
      <c r="AB807" s="2"/>
      <c r="AC807" s="2"/>
    </row>
    <row r="808" spans="7:29" x14ac:dyDescent="0.35">
      <c r="G808" s="2"/>
      <c r="H808" s="2"/>
      <c r="I808" s="2"/>
      <c r="J808" s="2"/>
      <c r="K808" s="2"/>
      <c r="L808" s="2"/>
      <c r="M808" s="2"/>
      <c r="N808" s="2"/>
      <c r="O808" s="2"/>
      <c r="P808" s="2"/>
      <c r="Q808" s="2"/>
      <c r="R808" s="2"/>
      <c r="S808" s="2"/>
      <c r="T808" s="2"/>
      <c r="U808" s="2"/>
      <c r="V808" s="2"/>
      <c r="W808" s="2"/>
      <c r="X808" s="2"/>
      <c r="Y808" s="2"/>
      <c r="Z808" s="2"/>
      <c r="AA808" s="2"/>
      <c r="AB808" s="2"/>
      <c r="AC808" s="2"/>
    </row>
    <row r="809" spans="7:29" x14ac:dyDescent="0.35">
      <c r="G809" s="2"/>
      <c r="H809" s="2"/>
      <c r="I809" s="2"/>
      <c r="J809" s="2"/>
      <c r="K809" s="2"/>
      <c r="L809" s="2"/>
      <c r="M809" s="2"/>
      <c r="N809" s="2"/>
      <c r="O809" s="2"/>
      <c r="P809" s="2"/>
      <c r="Q809" s="2"/>
      <c r="R809" s="2"/>
      <c r="S809" s="2"/>
      <c r="T809" s="2"/>
      <c r="U809" s="2"/>
      <c r="V809" s="2"/>
      <c r="W809" s="2"/>
      <c r="X809" s="2"/>
      <c r="Y809" s="2"/>
      <c r="Z809" s="2"/>
      <c r="AA809" s="2"/>
      <c r="AB809" s="2"/>
      <c r="AC809" s="2"/>
    </row>
    <row r="810" spans="7:29" x14ac:dyDescent="0.35">
      <c r="G810" s="2"/>
      <c r="H810" s="2"/>
      <c r="I810" s="2"/>
      <c r="J810" s="2"/>
      <c r="K810" s="2"/>
      <c r="L810" s="2"/>
      <c r="M810" s="2"/>
      <c r="N810" s="2"/>
      <c r="O810" s="2"/>
      <c r="P810" s="2"/>
      <c r="Q810" s="2"/>
      <c r="R810" s="2"/>
      <c r="S810" s="2"/>
      <c r="T810" s="2"/>
      <c r="U810" s="2"/>
      <c r="V810" s="2"/>
      <c r="W810" s="2"/>
      <c r="X810" s="2"/>
      <c r="Y810" s="2"/>
      <c r="Z810" s="2"/>
      <c r="AA810" s="2"/>
      <c r="AB810" s="2"/>
      <c r="AC810" s="2"/>
    </row>
    <row r="811" spans="7:29" x14ac:dyDescent="0.35">
      <c r="G811" s="2"/>
      <c r="H811" s="2"/>
      <c r="I811" s="2"/>
      <c r="J811" s="2"/>
      <c r="K811" s="2"/>
      <c r="L811" s="2"/>
      <c r="M811" s="2"/>
      <c r="N811" s="2"/>
      <c r="O811" s="2"/>
      <c r="P811" s="2"/>
      <c r="Q811" s="2"/>
      <c r="R811" s="2"/>
      <c r="S811" s="2"/>
      <c r="T811" s="2"/>
      <c r="U811" s="2"/>
      <c r="V811" s="2"/>
      <c r="W811" s="2"/>
      <c r="X811" s="2"/>
      <c r="Y811" s="2"/>
      <c r="Z811" s="2"/>
      <c r="AA811" s="2"/>
      <c r="AB811" s="2"/>
      <c r="AC811" s="2"/>
    </row>
    <row r="812" spans="7:29" x14ac:dyDescent="0.35">
      <c r="G812" s="2"/>
      <c r="H812" s="2"/>
      <c r="I812" s="2"/>
      <c r="J812" s="2"/>
      <c r="K812" s="2"/>
      <c r="L812" s="2"/>
      <c r="M812" s="2"/>
      <c r="N812" s="2"/>
      <c r="O812" s="2"/>
      <c r="P812" s="2"/>
      <c r="Q812" s="2"/>
      <c r="R812" s="2"/>
      <c r="S812" s="2"/>
      <c r="T812" s="2"/>
      <c r="U812" s="2"/>
      <c r="V812" s="2"/>
      <c r="W812" s="2"/>
      <c r="X812" s="2"/>
      <c r="Y812" s="2"/>
      <c r="Z812" s="2"/>
      <c r="AA812" s="2"/>
      <c r="AB812" s="2"/>
      <c r="AC812" s="2"/>
    </row>
    <row r="813" spans="7:29" x14ac:dyDescent="0.35">
      <c r="G813" s="2"/>
      <c r="H813" s="2"/>
      <c r="I813" s="2"/>
      <c r="J813" s="2"/>
      <c r="K813" s="2"/>
      <c r="L813" s="2"/>
      <c r="M813" s="2"/>
      <c r="N813" s="2"/>
      <c r="O813" s="2"/>
      <c r="P813" s="2"/>
      <c r="Q813" s="2"/>
      <c r="R813" s="2"/>
      <c r="S813" s="2"/>
      <c r="T813" s="2"/>
      <c r="U813" s="2"/>
      <c r="V813" s="2"/>
      <c r="W813" s="2"/>
      <c r="X813" s="2"/>
      <c r="Y813" s="2"/>
      <c r="Z813" s="2"/>
      <c r="AA813" s="2"/>
      <c r="AB813" s="2"/>
      <c r="AC813" s="2"/>
    </row>
    <row r="814" spans="7:29" x14ac:dyDescent="0.35">
      <c r="G814" s="2"/>
      <c r="H814" s="2"/>
      <c r="I814" s="2"/>
      <c r="J814" s="2"/>
      <c r="K814" s="2"/>
      <c r="L814" s="2"/>
      <c r="M814" s="2"/>
      <c r="N814" s="2"/>
      <c r="O814" s="2"/>
      <c r="P814" s="2"/>
      <c r="Q814" s="2"/>
      <c r="R814" s="2"/>
      <c r="S814" s="2"/>
      <c r="T814" s="2"/>
      <c r="U814" s="2"/>
      <c r="V814" s="2"/>
      <c r="W814" s="2"/>
      <c r="X814" s="2"/>
      <c r="Y814" s="2"/>
      <c r="Z814" s="2"/>
      <c r="AA814" s="2"/>
      <c r="AB814" s="2"/>
      <c r="AC814" s="2"/>
    </row>
    <row r="815" spans="7:29" x14ac:dyDescent="0.35">
      <c r="G815" s="2"/>
      <c r="H815" s="2"/>
      <c r="I815" s="2"/>
      <c r="J815" s="2"/>
      <c r="K815" s="2"/>
      <c r="L815" s="2"/>
      <c r="M815" s="2"/>
      <c r="N815" s="2"/>
      <c r="O815" s="2"/>
      <c r="P815" s="2"/>
      <c r="Q815" s="2"/>
      <c r="R815" s="2"/>
      <c r="S815" s="2"/>
      <c r="T815" s="2"/>
      <c r="U815" s="2"/>
      <c r="V815" s="2"/>
      <c r="W815" s="2"/>
      <c r="X815" s="2"/>
      <c r="Y815" s="2"/>
      <c r="Z815" s="2"/>
      <c r="AA815" s="2"/>
      <c r="AB815" s="2"/>
      <c r="AC815" s="2"/>
    </row>
    <row r="816" spans="7:29" x14ac:dyDescent="0.35">
      <c r="G816" s="2"/>
      <c r="H816" s="2"/>
      <c r="I816" s="2"/>
      <c r="J816" s="2"/>
      <c r="K816" s="2"/>
      <c r="L816" s="2"/>
      <c r="M816" s="2"/>
      <c r="N816" s="2"/>
      <c r="O816" s="2"/>
      <c r="P816" s="2"/>
      <c r="Q816" s="2"/>
      <c r="R816" s="2"/>
      <c r="S816" s="2"/>
      <c r="T816" s="2"/>
      <c r="U816" s="2"/>
      <c r="V816" s="2"/>
      <c r="W816" s="2"/>
      <c r="X816" s="2"/>
      <c r="Y816" s="2"/>
      <c r="Z816" s="2"/>
      <c r="AA816" s="2"/>
      <c r="AB816" s="2"/>
      <c r="AC816" s="2"/>
    </row>
    <row r="817" spans="7:29" x14ac:dyDescent="0.35">
      <c r="G817" s="2"/>
      <c r="H817" s="2"/>
      <c r="I817" s="2"/>
      <c r="J817" s="2"/>
      <c r="K817" s="2"/>
      <c r="L817" s="2"/>
      <c r="M817" s="2"/>
      <c r="N817" s="2"/>
      <c r="O817" s="2"/>
      <c r="P817" s="2"/>
      <c r="Q817" s="2"/>
      <c r="R817" s="2"/>
      <c r="S817" s="2"/>
      <c r="T817" s="2"/>
      <c r="U817" s="2"/>
      <c r="V817" s="2"/>
      <c r="W817" s="2"/>
      <c r="X817" s="2"/>
      <c r="Y817" s="2"/>
      <c r="Z817" s="2"/>
      <c r="AA817" s="2"/>
      <c r="AB817" s="2"/>
      <c r="AC817" s="2"/>
    </row>
    <row r="818" spans="7:29" x14ac:dyDescent="0.35">
      <c r="G818" s="2"/>
      <c r="H818" s="2"/>
      <c r="I818" s="2"/>
      <c r="J818" s="2"/>
      <c r="K818" s="2"/>
      <c r="L818" s="2"/>
      <c r="M818" s="2"/>
      <c r="N818" s="2"/>
      <c r="O818" s="2"/>
      <c r="P818" s="2"/>
      <c r="Q818" s="2"/>
      <c r="R818" s="2"/>
      <c r="S818" s="2"/>
      <c r="T818" s="2"/>
      <c r="U818" s="2"/>
      <c r="V818" s="2"/>
      <c r="W818" s="2"/>
      <c r="X818" s="2"/>
      <c r="Y818" s="2"/>
      <c r="Z818" s="2"/>
      <c r="AA818" s="2"/>
      <c r="AB818" s="2"/>
      <c r="AC818" s="2"/>
    </row>
    <row r="819" spans="7:29" x14ac:dyDescent="0.35">
      <c r="G819" s="2"/>
      <c r="H819" s="2"/>
      <c r="I819" s="2"/>
      <c r="J819" s="2"/>
      <c r="K819" s="2"/>
      <c r="L819" s="2"/>
      <c r="M819" s="2"/>
      <c r="N819" s="2"/>
      <c r="O819" s="2"/>
      <c r="P819" s="2"/>
      <c r="Q819" s="2"/>
      <c r="R819" s="2"/>
      <c r="S819" s="2"/>
      <c r="T819" s="2"/>
      <c r="U819" s="2"/>
      <c r="V819" s="2"/>
      <c r="W819" s="2"/>
      <c r="X819" s="2"/>
      <c r="Y819" s="2"/>
      <c r="Z819" s="2"/>
      <c r="AA819" s="2"/>
      <c r="AB819" s="2"/>
      <c r="AC819" s="2"/>
    </row>
    <row r="820" spans="7:29" x14ac:dyDescent="0.35">
      <c r="G820" s="2"/>
      <c r="H820" s="2"/>
      <c r="I820" s="2"/>
      <c r="J820" s="2"/>
      <c r="K820" s="2"/>
      <c r="L820" s="2"/>
      <c r="M820" s="2"/>
      <c r="N820" s="2"/>
      <c r="O820" s="2"/>
      <c r="P820" s="2"/>
      <c r="Q820" s="2"/>
      <c r="R820" s="2"/>
      <c r="S820" s="2"/>
      <c r="T820" s="2"/>
      <c r="U820" s="2"/>
      <c r="V820" s="2"/>
      <c r="W820" s="2"/>
      <c r="X820" s="2"/>
      <c r="Y820" s="2"/>
      <c r="Z820" s="2"/>
      <c r="AA820" s="2"/>
      <c r="AB820" s="2"/>
      <c r="AC820" s="2"/>
    </row>
    <row r="821" spans="7:29" x14ac:dyDescent="0.35">
      <c r="G821" s="2"/>
      <c r="H821" s="2"/>
      <c r="I821" s="2"/>
      <c r="J821" s="2"/>
      <c r="K821" s="2"/>
      <c r="L821" s="2"/>
      <c r="M821" s="2"/>
      <c r="N821" s="2"/>
      <c r="O821" s="2"/>
      <c r="P821" s="2"/>
      <c r="Q821" s="2"/>
      <c r="R821" s="2"/>
      <c r="S821" s="2"/>
      <c r="T821" s="2"/>
      <c r="U821" s="2"/>
      <c r="V821" s="2"/>
      <c r="W821" s="2"/>
      <c r="X821" s="2"/>
      <c r="Y821" s="2"/>
      <c r="Z821" s="2"/>
      <c r="AA821" s="2"/>
      <c r="AB821" s="2"/>
      <c r="AC821" s="2"/>
    </row>
    <row r="822" spans="7:29" x14ac:dyDescent="0.35">
      <c r="G822" s="2"/>
      <c r="H822" s="2"/>
      <c r="I822" s="2"/>
      <c r="J822" s="2"/>
      <c r="K822" s="2"/>
      <c r="L822" s="2"/>
      <c r="M822" s="2"/>
      <c r="N822" s="2"/>
      <c r="O822" s="2"/>
      <c r="P822" s="2"/>
      <c r="Q822" s="2"/>
      <c r="R822" s="2"/>
      <c r="S822" s="2"/>
      <c r="T822" s="2"/>
      <c r="U822" s="2"/>
      <c r="V822" s="2"/>
      <c r="W822" s="2"/>
      <c r="X822" s="2"/>
      <c r="Y822" s="2"/>
      <c r="Z822" s="2"/>
      <c r="AA822" s="2"/>
      <c r="AB822" s="2"/>
      <c r="AC822" s="2"/>
    </row>
    <row r="823" spans="7:29" x14ac:dyDescent="0.35">
      <c r="G823" s="2"/>
      <c r="H823" s="2"/>
      <c r="I823" s="2"/>
      <c r="J823" s="2"/>
      <c r="K823" s="2"/>
      <c r="L823" s="2"/>
      <c r="M823" s="2"/>
      <c r="N823" s="2"/>
      <c r="O823" s="2"/>
      <c r="P823" s="2"/>
      <c r="Q823" s="2"/>
      <c r="R823" s="2"/>
      <c r="S823" s="2"/>
      <c r="T823" s="2"/>
      <c r="U823" s="2"/>
      <c r="V823" s="2"/>
      <c r="W823" s="2"/>
      <c r="X823" s="2"/>
      <c r="Y823" s="2"/>
      <c r="Z823" s="2"/>
      <c r="AA823" s="2"/>
      <c r="AB823" s="2"/>
      <c r="AC823" s="2"/>
    </row>
    <row r="824" spans="7:29" x14ac:dyDescent="0.35">
      <c r="G824" s="2"/>
      <c r="H824" s="2"/>
      <c r="I824" s="2"/>
      <c r="J824" s="2"/>
      <c r="K824" s="2"/>
      <c r="L824" s="2"/>
      <c r="M824" s="2"/>
      <c r="N824" s="2"/>
      <c r="O824" s="2"/>
      <c r="P824" s="2"/>
      <c r="Q824" s="2"/>
      <c r="R824" s="2"/>
      <c r="S824" s="2"/>
      <c r="T824" s="2"/>
      <c r="U824" s="2"/>
      <c r="V824" s="2"/>
      <c r="W824" s="2"/>
      <c r="X824" s="2"/>
      <c r="Y824" s="2"/>
      <c r="Z824" s="2"/>
      <c r="AA824" s="2"/>
      <c r="AB824" s="2"/>
      <c r="AC824" s="2"/>
    </row>
    <row r="825" spans="7:29" x14ac:dyDescent="0.35">
      <c r="G825" s="2"/>
      <c r="H825" s="2"/>
      <c r="I825" s="2"/>
      <c r="J825" s="2"/>
      <c r="K825" s="2"/>
      <c r="L825" s="2"/>
      <c r="M825" s="2"/>
      <c r="N825" s="2"/>
      <c r="O825" s="2"/>
      <c r="P825" s="2"/>
      <c r="Q825" s="2"/>
      <c r="R825" s="2"/>
      <c r="S825" s="2"/>
      <c r="T825" s="2"/>
      <c r="U825" s="2"/>
      <c r="V825" s="2"/>
      <c r="W825" s="2"/>
      <c r="X825" s="2"/>
      <c r="Y825" s="2"/>
      <c r="Z825" s="2"/>
      <c r="AA825" s="2"/>
      <c r="AB825" s="2"/>
      <c r="AC825" s="2"/>
    </row>
    <row r="826" spans="7:29" x14ac:dyDescent="0.35">
      <c r="G826" s="2"/>
      <c r="H826" s="2"/>
      <c r="I826" s="2"/>
      <c r="J826" s="2"/>
      <c r="K826" s="2"/>
      <c r="L826" s="2"/>
      <c r="M826" s="2"/>
      <c r="N826" s="2"/>
      <c r="O826" s="2"/>
      <c r="P826" s="2"/>
      <c r="Q826" s="2"/>
      <c r="R826" s="2"/>
      <c r="S826" s="2"/>
      <c r="T826" s="2"/>
      <c r="U826" s="2"/>
      <c r="V826" s="2"/>
      <c r="W826" s="2"/>
      <c r="X826" s="2"/>
      <c r="Y826" s="2"/>
      <c r="Z826" s="2"/>
      <c r="AA826" s="2"/>
      <c r="AB826" s="2"/>
      <c r="AC826" s="2"/>
    </row>
    <row r="827" spans="7:29" x14ac:dyDescent="0.35">
      <c r="G827" s="2"/>
      <c r="H827" s="2"/>
      <c r="I827" s="2"/>
      <c r="J827" s="2"/>
      <c r="K827" s="2"/>
      <c r="L827" s="2"/>
      <c r="M827" s="2"/>
      <c r="N827" s="2"/>
      <c r="O827" s="2"/>
      <c r="P827" s="2"/>
      <c r="Q827" s="2"/>
      <c r="R827" s="2"/>
      <c r="S827" s="2"/>
      <c r="T827" s="2"/>
      <c r="U827" s="2"/>
      <c r="V827" s="2"/>
      <c r="W827" s="2"/>
      <c r="X827" s="2"/>
      <c r="Y827" s="2"/>
      <c r="Z827" s="2"/>
      <c r="AA827" s="2"/>
      <c r="AB827" s="2"/>
      <c r="AC827" s="2"/>
    </row>
    <row r="828" spans="7:29" x14ac:dyDescent="0.35">
      <c r="G828" s="2"/>
      <c r="H828" s="2"/>
      <c r="I828" s="2"/>
      <c r="J828" s="2"/>
      <c r="K828" s="2"/>
      <c r="L828" s="2"/>
      <c r="M828" s="2"/>
      <c r="N828" s="2"/>
      <c r="O828" s="2"/>
      <c r="P828" s="2"/>
      <c r="Q828" s="2"/>
      <c r="R828" s="2"/>
      <c r="S828" s="2"/>
      <c r="T828" s="2"/>
      <c r="U828" s="2"/>
      <c r="V828" s="2"/>
      <c r="W828" s="2"/>
      <c r="X828" s="2"/>
      <c r="Y828" s="2"/>
      <c r="Z828" s="2"/>
      <c r="AA828" s="2"/>
      <c r="AB828" s="2"/>
      <c r="AC828" s="2"/>
    </row>
    <row r="829" spans="7:29" x14ac:dyDescent="0.35">
      <c r="G829" s="2"/>
      <c r="H829" s="2"/>
      <c r="I829" s="2"/>
      <c r="J829" s="2"/>
      <c r="K829" s="2"/>
      <c r="L829" s="2"/>
      <c r="M829" s="2"/>
      <c r="N829" s="2"/>
      <c r="O829" s="2"/>
      <c r="P829" s="2"/>
      <c r="Q829" s="2"/>
      <c r="R829" s="2"/>
      <c r="S829" s="2"/>
      <c r="T829" s="2"/>
      <c r="U829" s="2"/>
      <c r="V829" s="2"/>
      <c r="W829" s="2"/>
      <c r="X829" s="2"/>
      <c r="Y829" s="2"/>
      <c r="Z829" s="2"/>
      <c r="AA829" s="2"/>
      <c r="AB829" s="2"/>
      <c r="AC829" s="2"/>
    </row>
    <row r="830" spans="7:29" x14ac:dyDescent="0.35">
      <c r="G830" s="2"/>
      <c r="H830" s="2"/>
      <c r="I830" s="2"/>
      <c r="J830" s="2"/>
      <c r="K830" s="2"/>
      <c r="L830" s="2"/>
      <c r="M830" s="2"/>
      <c r="N830" s="2"/>
      <c r="O830" s="2"/>
      <c r="P830" s="2"/>
      <c r="Q830" s="2"/>
      <c r="R830" s="2"/>
      <c r="S830" s="2"/>
      <c r="T830" s="2"/>
      <c r="U830" s="2"/>
      <c r="V830" s="2"/>
      <c r="W830" s="2"/>
      <c r="X830" s="2"/>
      <c r="Y830" s="2"/>
      <c r="Z830" s="2"/>
      <c r="AA830" s="2"/>
      <c r="AB830" s="2"/>
      <c r="AC830" s="2"/>
    </row>
    <row r="831" spans="7:29" x14ac:dyDescent="0.35">
      <c r="G831" s="2"/>
      <c r="H831" s="2"/>
      <c r="I831" s="2"/>
      <c r="J831" s="2"/>
      <c r="K831" s="2"/>
      <c r="L831" s="2"/>
      <c r="M831" s="2"/>
      <c r="N831" s="2"/>
      <c r="O831" s="2"/>
      <c r="P831" s="2"/>
      <c r="Q831" s="2"/>
      <c r="R831" s="2"/>
      <c r="S831" s="2"/>
      <c r="T831" s="2"/>
      <c r="U831" s="2"/>
      <c r="V831" s="2"/>
      <c r="W831" s="2"/>
      <c r="X831" s="2"/>
      <c r="Y831" s="2"/>
      <c r="Z831" s="2"/>
      <c r="AA831" s="2"/>
      <c r="AB831" s="2"/>
      <c r="AC831" s="2"/>
    </row>
    <row r="832" spans="7:29" x14ac:dyDescent="0.35">
      <c r="G832" s="2"/>
      <c r="H832" s="2"/>
      <c r="I832" s="2"/>
      <c r="J832" s="2"/>
      <c r="K832" s="2"/>
      <c r="L832" s="2"/>
      <c r="M832" s="2"/>
      <c r="N832" s="2"/>
      <c r="O832" s="2"/>
      <c r="P832" s="2"/>
      <c r="Q832" s="2"/>
      <c r="R832" s="2"/>
      <c r="S832" s="2"/>
      <c r="T832" s="2"/>
      <c r="U832" s="2"/>
      <c r="V832" s="2"/>
      <c r="W832" s="2"/>
      <c r="X832" s="2"/>
      <c r="Y832" s="2"/>
      <c r="Z832" s="2"/>
      <c r="AA832" s="2"/>
      <c r="AB832" s="2"/>
      <c r="AC832" s="2"/>
    </row>
    <row r="833" spans="7:29" x14ac:dyDescent="0.35">
      <c r="G833" s="2"/>
      <c r="H833" s="2"/>
      <c r="I833" s="2"/>
      <c r="J833" s="2"/>
      <c r="K833" s="2"/>
      <c r="L833" s="2"/>
      <c r="M833" s="2"/>
      <c r="N833" s="2"/>
      <c r="O833" s="2"/>
      <c r="P833" s="2"/>
      <c r="Q833" s="2"/>
      <c r="R833" s="2"/>
      <c r="S833" s="2"/>
      <c r="T833" s="2"/>
      <c r="U833" s="2"/>
      <c r="V833" s="2"/>
      <c r="W833" s="2"/>
      <c r="X833" s="2"/>
      <c r="Y833" s="2"/>
      <c r="Z833" s="2"/>
      <c r="AA833" s="2"/>
      <c r="AB833" s="2"/>
      <c r="AC833" s="2"/>
    </row>
    <row r="834" spans="7:29" x14ac:dyDescent="0.35">
      <c r="G834" s="2"/>
      <c r="H834" s="2"/>
      <c r="I834" s="2"/>
      <c r="J834" s="2"/>
      <c r="K834" s="2"/>
      <c r="L834" s="2"/>
      <c r="M834" s="2"/>
      <c r="N834" s="2"/>
      <c r="O834" s="2"/>
      <c r="P834" s="2"/>
      <c r="Q834" s="2"/>
      <c r="R834" s="2"/>
      <c r="S834" s="2"/>
      <c r="T834" s="2"/>
      <c r="U834" s="2"/>
      <c r="V834" s="2"/>
      <c r="W834" s="2"/>
      <c r="X834" s="2"/>
      <c r="Y834" s="2"/>
      <c r="Z834" s="2"/>
      <c r="AA834" s="2"/>
      <c r="AB834" s="2"/>
      <c r="AC834" s="2"/>
    </row>
    <row r="835" spans="7:29" x14ac:dyDescent="0.35">
      <c r="G835" s="2"/>
      <c r="H835" s="2"/>
      <c r="I835" s="2"/>
      <c r="J835" s="2"/>
      <c r="K835" s="2"/>
      <c r="L835" s="2"/>
      <c r="M835" s="2"/>
      <c r="N835" s="2"/>
      <c r="O835" s="2"/>
      <c r="P835" s="2"/>
      <c r="Q835" s="2"/>
      <c r="R835" s="2"/>
      <c r="S835" s="2"/>
      <c r="T835" s="2"/>
      <c r="U835" s="2"/>
      <c r="V835" s="2"/>
      <c r="W835" s="2"/>
      <c r="X835" s="2"/>
      <c r="Y835" s="2"/>
      <c r="Z835" s="2"/>
      <c r="AA835" s="2"/>
      <c r="AB835" s="2"/>
      <c r="AC835" s="2"/>
    </row>
    <row r="836" spans="7:29" x14ac:dyDescent="0.35">
      <c r="G836" s="2"/>
      <c r="H836" s="2"/>
      <c r="I836" s="2"/>
      <c r="J836" s="2"/>
      <c r="K836" s="2"/>
      <c r="L836" s="2"/>
      <c r="M836" s="2"/>
      <c r="N836" s="2"/>
      <c r="O836" s="2"/>
      <c r="P836" s="2"/>
      <c r="Q836" s="2"/>
      <c r="R836" s="2"/>
      <c r="S836" s="2"/>
      <c r="T836" s="2"/>
      <c r="U836" s="2"/>
      <c r="V836" s="2"/>
      <c r="W836" s="2"/>
      <c r="X836" s="2"/>
      <c r="Y836" s="2"/>
      <c r="Z836" s="2"/>
      <c r="AA836" s="2"/>
      <c r="AB836" s="2"/>
      <c r="AC836" s="2"/>
    </row>
    <row r="837" spans="7:29" x14ac:dyDescent="0.35">
      <c r="G837" s="2"/>
      <c r="H837" s="2"/>
      <c r="I837" s="2"/>
      <c r="J837" s="2"/>
      <c r="K837" s="2"/>
      <c r="L837" s="2"/>
      <c r="M837" s="2"/>
      <c r="N837" s="2"/>
      <c r="O837" s="2"/>
      <c r="P837" s="2"/>
      <c r="Q837" s="2"/>
      <c r="R837" s="2"/>
      <c r="S837" s="2"/>
      <c r="T837" s="2"/>
      <c r="U837" s="2"/>
      <c r="V837" s="2"/>
      <c r="W837" s="2"/>
      <c r="X837" s="2"/>
      <c r="Y837" s="2"/>
      <c r="Z837" s="2"/>
      <c r="AA837" s="2"/>
      <c r="AB837" s="2"/>
      <c r="AC837" s="2"/>
    </row>
    <row r="838" spans="7:29" x14ac:dyDescent="0.35">
      <c r="G838" s="2"/>
      <c r="H838" s="2"/>
      <c r="I838" s="2"/>
      <c r="J838" s="2"/>
      <c r="K838" s="2"/>
      <c r="L838" s="2"/>
      <c r="M838" s="2"/>
      <c r="N838" s="2"/>
      <c r="O838" s="2"/>
      <c r="P838" s="2"/>
      <c r="Q838" s="2"/>
      <c r="R838" s="2"/>
      <c r="S838" s="2"/>
      <c r="T838" s="2"/>
      <c r="U838" s="2"/>
      <c r="V838" s="2"/>
      <c r="W838" s="2"/>
      <c r="X838" s="2"/>
      <c r="Y838" s="2"/>
      <c r="Z838" s="2"/>
      <c r="AA838" s="2"/>
      <c r="AB838" s="2"/>
      <c r="AC838" s="2"/>
    </row>
    <row r="839" spans="7:29" x14ac:dyDescent="0.35">
      <c r="G839" s="2"/>
      <c r="H839" s="2"/>
      <c r="I839" s="2"/>
      <c r="J839" s="2"/>
      <c r="K839" s="2"/>
      <c r="L839" s="2"/>
      <c r="M839" s="2"/>
      <c r="N839" s="2"/>
      <c r="O839" s="2"/>
      <c r="P839" s="2"/>
      <c r="Q839" s="2"/>
      <c r="R839" s="2"/>
      <c r="S839" s="2"/>
      <c r="T839" s="2"/>
      <c r="U839" s="2"/>
      <c r="V839" s="2"/>
      <c r="W839" s="2"/>
      <c r="X839" s="2"/>
      <c r="Y839" s="2"/>
      <c r="Z839" s="2"/>
      <c r="AA839" s="2"/>
      <c r="AB839" s="2"/>
      <c r="AC839" s="2"/>
    </row>
    <row r="840" spans="7:29" x14ac:dyDescent="0.35">
      <c r="G840" s="2"/>
      <c r="H840" s="2"/>
      <c r="I840" s="2"/>
      <c r="J840" s="2"/>
      <c r="K840" s="2"/>
      <c r="L840" s="2"/>
      <c r="M840" s="2"/>
      <c r="N840" s="2"/>
      <c r="O840" s="2"/>
      <c r="P840" s="2"/>
      <c r="Q840" s="2"/>
      <c r="R840" s="2"/>
      <c r="S840" s="2"/>
      <c r="T840" s="2"/>
      <c r="U840" s="2"/>
      <c r="V840" s="2"/>
      <c r="W840" s="2"/>
      <c r="X840" s="2"/>
      <c r="Y840" s="2"/>
      <c r="Z840" s="2"/>
      <c r="AA840" s="2"/>
      <c r="AB840" s="2"/>
      <c r="AC840" s="2"/>
    </row>
    <row r="841" spans="7:29" x14ac:dyDescent="0.35">
      <c r="G841" s="2"/>
      <c r="H841" s="2"/>
      <c r="I841" s="2"/>
      <c r="J841" s="2"/>
      <c r="K841" s="2"/>
      <c r="L841" s="2"/>
      <c r="M841" s="2"/>
      <c r="N841" s="2"/>
      <c r="O841" s="2"/>
      <c r="P841" s="2"/>
      <c r="Q841" s="2"/>
      <c r="R841" s="2"/>
      <c r="S841" s="2"/>
      <c r="T841" s="2"/>
      <c r="U841" s="2"/>
      <c r="V841" s="2"/>
      <c r="W841" s="2"/>
      <c r="X841" s="2"/>
      <c r="Y841" s="2"/>
      <c r="Z841" s="2"/>
      <c r="AA841" s="2"/>
      <c r="AB841" s="2"/>
      <c r="AC841" s="2"/>
    </row>
    <row r="842" spans="7:29" x14ac:dyDescent="0.35">
      <c r="G842" s="2"/>
      <c r="H842" s="2"/>
      <c r="I842" s="2"/>
      <c r="J842" s="2"/>
      <c r="K842" s="2"/>
      <c r="L842" s="2"/>
      <c r="M842" s="2"/>
      <c r="N842" s="2"/>
      <c r="O842" s="2"/>
      <c r="P842" s="2"/>
      <c r="Q842" s="2"/>
      <c r="R842" s="2"/>
      <c r="S842" s="2"/>
      <c r="T842" s="2"/>
      <c r="U842" s="2"/>
      <c r="V842" s="2"/>
      <c r="W842" s="2"/>
      <c r="X842" s="2"/>
      <c r="Y842" s="2"/>
      <c r="Z842" s="2"/>
      <c r="AA842" s="2"/>
      <c r="AB842" s="2"/>
      <c r="AC842" s="2"/>
    </row>
    <row r="843" spans="7:29" x14ac:dyDescent="0.35">
      <c r="G843" s="2"/>
      <c r="H843" s="2"/>
      <c r="I843" s="2"/>
      <c r="J843" s="2"/>
      <c r="K843" s="2"/>
      <c r="L843" s="2"/>
      <c r="M843" s="2"/>
      <c r="N843" s="2"/>
      <c r="O843" s="2"/>
      <c r="P843" s="2"/>
      <c r="Q843" s="2"/>
      <c r="R843" s="2"/>
      <c r="S843" s="2"/>
      <c r="T843" s="2"/>
      <c r="U843" s="2"/>
      <c r="V843" s="2"/>
      <c r="W843" s="2"/>
      <c r="X843" s="2"/>
      <c r="Y843" s="2"/>
      <c r="Z843" s="2"/>
      <c r="AA843" s="2"/>
      <c r="AB843" s="2"/>
      <c r="AC843" s="2"/>
    </row>
    <row r="844" spans="7:29" x14ac:dyDescent="0.35">
      <c r="G844" s="2"/>
      <c r="H844" s="2"/>
      <c r="I844" s="2"/>
      <c r="J844" s="2"/>
      <c r="K844" s="2"/>
      <c r="L844" s="2"/>
      <c r="M844" s="2"/>
      <c r="N844" s="2"/>
      <c r="O844" s="2"/>
      <c r="P844" s="2"/>
      <c r="Q844" s="2"/>
      <c r="R844" s="2"/>
      <c r="S844" s="2"/>
      <c r="T844" s="2"/>
      <c r="U844" s="2"/>
      <c r="V844" s="2"/>
      <c r="W844" s="2"/>
      <c r="X844" s="2"/>
      <c r="Y844" s="2"/>
      <c r="Z844" s="2"/>
      <c r="AA844" s="2"/>
      <c r="AB844" s="2"/>
      <c r="AC844" s="2"/>
    </row>
    <row r="845" spans="7:29" x14ac:dyDescent="0.35">
      <c r="G845" s="2"/>
      <c r="H845" s="2"/>
      <c r="I845" s="2"/>
      <c r="J845" s="2"/>
      <c r="K845" s="2"/>
      <c r="L845" s="2"/>
      <c r="M845" s="2"/>
      <c r="N845" s="2"/>
      <c r="O845" s="2"/>
      <c r="P845" s="2"/>
      <c r="Q845" s="2"/>
      <c r="R845" s="2"/>
      <c r="S845" s="2"/>
      <c r="T845" s="2"/>
      <c r="U845" s="2"/>
      <c r="V845" s="2"/>
      <c r="W845" s="2"/>
      <c r="X845" s="2"/>
      <c r="Y845" s="2"/>
      <c r="Z845" s="2"/>
      <c r="AA845" s="2"/>
      <c r="AB845" s="2"/>
      <c r="AC845" s="2"/>
    </row>
    <row r="846" spans="7:29" x14ac:dyDescent="0.35">
      <c r="G846" s="2"/>
      <c r="H846" s="2"/>
      <c r="I846" s="2"/>
      <c r="J846" s="2"/>
      <c r="K846" s="2"/>
      <c r="L846" s="2"/>
      <c r="M846" s="2"/>
      <c r="N846" s="2"/>
      <c r="O846" s="2"/>
      <c r="P846" s="2"/>
      <c r="Q846" s="2"/>
      <c r="R846" s="2"/>
      <c r="S846" s="2"/>
      <c r="T846" s="2"/>
      <c r="U846" s="2"/>
      <c r="V846" s="2"/>
      <c r="W846" s="2"/>
      <c r="X846" s="2"/>
      <c r="Y846" s="2"/>
      <c r="Z846" s="2"/>
      <c r="AA846" s="2"/>
      <c r="AB846" s="2"/>
      <c r="AC846" s="2"/>
    </row>
    <row r="847" spans="7:29" x14ac:dyDescent="0.35">
      <c r="G847" s="2"/>
      <c r="H847" s="2"/>
      <c r="I847" s="2"/>
      <c r="J847" s="2"/>
      <c r="K847" s="2"/>
      <c r="L847" s="2"/>
      <c r="M847" s="2"/>
      <c r="N847" s="2"/>
      <c r="O847" s="2"/>
      <c r="P847" s="2"/>
      <c r="Q847" s="2"/>
      <c r="R847" s="2"/>
      <c r="S847" s="2"/>
      <c r="T847" s="2"/>
      <c r="U847" s="2"/>
      <c r="V847" s="2"/>
      <c r="W847" s="2"/>
      <c r="X847" s="2"/>
      <c r="Y847" s="2"/>
      <c r="Z847" s="2"/>
      <c r="AA847" s="2"/>
      <c r="AB847" s="2"/>
      <c r="AC847" s="2"/>
    </row>
    <row r="848" spans="7:29" x14ac:dyDescent="0.35">
      <c r="G848" s="2"/>
      <c r="H848" s="2"/>
      <c r="I848" s="2"/>
      <c r="J848" s="2"/>
      <c r="K848" s="2"/>
      <c r="L848" s="2"/>
      <c r="M848" s="2"/>
      <c r="N848" s="2"/>
      <c r="O848" s="2"/>
      <c r="P848" s="2"/>
      <c r="Q848" s="2"/>
      <c r="R848" s="2"/>
      <c r="S848" s="2"/>
      <c r="T848" s="2"/>
      <c r="U848" s="2"/>
      <c r="V848" s="2"/>
      <c r="W848" s="2"/>
      <c r="X848" s="2"/>
      <c r="Y848" s="2"/>
      <c r="Z848" s="2"/>
      <c r="AA848" s="2"/>
      <c r="AB848" s="2"/>
      <c r="AC848" s="2"/>
    </row>
    <row r="849" spans="7:29" x14ac:dyDescent="0.35">
      <c r="G849" s="2"/>
      <c r="H849" s="2"/>
      <c r="I849" s="2"/>
      <c r="J849" s="2"/>
      <c r="K849" s="2"/>
      <c r="L849" s="2"/>
      <c r="M849" s="2"/>
      <c r="N849" s="2"/>
      <c r="O849" s="2"/>
      <c r="P849" s="2"/>
      <c r="Q849" s="2"/>
      <c r="R849" s="2"/>
      <c r="S849" s="2"/>
      <c r="T849" s="2"/>
      <c r="U849" s="2"/>
      <c r="V849" s="2"/>
      <c r="W849" s="2"/>
      <c r="X849" s="2"/>
      <c r="Y849" s="2"/>
      <c r="Z849" s="2"/>
      <c r="AA849" s="2"/>
      <c r="AB849" s="2"/>
      <c r="AC849" s="2"/>
    </row>
    <row r="850" spans="7:29" x14ac:dyDescent="0.35">
      <c r="G850" s="2"/>
      <c r="H850" s="2"/>
      <c r="I850" s="2"/>
      <c r="J850" s="2"/>
      <c r="K850" s="2"/>
      <c r="L850" s="2"/>
      <c r="M850" s="2"/>
      <c r="N850" s="2"/>
      <c r="O850" s="2"/>
      <c r="P850" s="2"/>
      <c r="Q850" s="2"/>
      <c r="R850" s="2"/>
      <c r="S850" s="2"/>
      <c r="T850" s="2"/>
      <c r="U850" s="2"/>
      <c r="V850" s="2"/>
      <c r="W850" s="2"/>
      <c r="X850" s="2"/>
      <c r="Y850" s="2"/>
      <c r="Z850" s="2"/>
      <c r="AA850" s="2"/>
      <c r="AB850" s="2"/>
      <c r="AC850" s="2"/>
    </row>
    <row r="851" spans="7:29" x14ac:dyDescent="0.35">
      <c r="G851" s="2"/>
      <c r="H851" s="2"/>
      <c r="I851" s="2"/>
      <c r="J851" s="2"/>
      <c r="K851" s="2"/>
      <c r="L851" s="2"/>
      <c r="M851" s="2"/>
      <c r="N851" s="2"/>
      <c r="O851" s="2"/>
      <c r="P851" s="2"/>
      <c r="Q851" s="2"/>
      <c r="R851" s="2"/>
      <c r="S851" s="2"/>
      <c r="T851" s="2"/>
      <c r="U851" s="2"/>
      <c r="V851" s="2"/>
      <c r="W851" s="2"/>
      <c r="X851" s="2"/>
      <c r="Y851" s="2"/>
      <c r="Z851" s="2"/>
      <c r="AA851" s="2"/>
      <c r="AB851" s="2"/>
      <c r="AC851" s="2"/>
    </row>
    <row r="852" spans="7:29" x14ac:dyDescent="0.35">
      <c r="G852" s="2"/>
      <c r="H852" s="2"/>
      <c r="I852" s="2"/>
      <c r="J852" s="2"/>
      <c r="K852" s="2"/>
      <c r="L852" s="2"/>
      <c r="M852" s="2"/>
      <c r="N852" s="2"/>
      <c r="O852" s="2"/>
      <c r="P852" s="2"/>
      <c r="Q852" s="2"/>
      <c r="R852" s="2"/>
      <c r="S852" s="2"/>
      <c r="T852" s="2"/>
      <c r="U852" s="2"/>
      <c r="V852" s="2"/>
      <c r="W852" s="2"/>
      <c r="X852" s="2"/>
      <c r="Y852" s="2"/>
      <c r="Z852" s="2"/>
      <c r="AA852" s="2"/>
      <c r="AB852" s="2"/>
      <c r="AC852" s="2"/>
    </row>
    <row r="853" spans="7:29" x14ac:dyDescent="0.35">
      <c r="G853" s="2"/>
      <c r="H853" s="2"/>
      <c r="I853" s="2"/>
      <c r="J853" s="2"/>
      <c r="K853" s="2"/>
      <c r="L853" s="2"/>
      <c r="M853" s="2"/>
      <c r="N853" s="2"/>
      <c r="O853" s="2"/>
      <c r="P853" s="2"/>
      <c r="Q853" s="2"/>
      <c r="R853" s="2"/>
      <c r="S853" s="2"/>
      <c r="T853" s="2"/>
      <c r="U853" s="2"/>
      <c r="V853" s="2"/>
      <c r="W853" s="2"/>
      <c r="X853" s="2"/>
      <c r="Y853" s="2"/>
      <c r="Z853" s="2"/>
      <c r="AA853" s="2"/>
      <c r="AB853" s="2"/>
      <c r="AC853" s="2"/>
    </row>
    <row r="854" spans="7:29" x14ac:dyDescent="0.35">
      <c r="G854" s="2"/>
      <c r="H854" s="2"/>
      <c r="I854" s="2"/>
      <c r="J854" s="2"/>
      <c r="K854" s="2"/>
      <c r="L854" s="2"/>
      <c r="M854" s="2"/>
      <c r="N854" s="2"/>
      <c r="O854" s="2"/>
      <c r="P854" s="2"/>
      <c r="Q854" s="2"/>
      <c r="R854" s="2"/>
      <c r="S854" s="2"/>
      <c r="T854" s="2"/>
      <c r="U854" s="2"/>
      <c r="V854" s="2"/>
      <c r="W854" s="2"/>
      <c r="X854" s="2"/>
      <c r="Y854" s="2"/>
      <c r="Z854" s="2"/>
      <c r="AA854" s="2"/>
      <c r="AB854" s="2"/>
      <c r="AC854" s="2"/>
    </row>
    <row r="855" spans="7:29" x14ac:dyDescent="0.35">
      <c r="G855" s="2"/>
      <c r="H855" s="2"/>
      <c r="I855" s="2"/>
      <c r="J855" s="2"/>
      <c r="K855" s="2"/>
      <c r="L855" s="2"/>
      <c r="M855" s="2"/>
      <c r="N855" s="2"/>
      <c r="O855" s="2"/>
      <c r="P855" s="2"/>
      <c r="Q855" s="2"/>
      <c r="R855" s="2"/>
      <c r="S855" s="2"/>
      <c r="T855" s="2"/>
      <c r="U855" s="2"/>
      <c r="V855" s="2"/>
      <c r="W855" s="2"/>
      <c r="X855" s="2"/>
      <c r="Y855" s="2"/>
      <c r="Z855" s="2"/>
      <c r="AA855" s="2"/>
      <c r="AB855" s="2"/>
      <c r="AC855" s="2"/>
    </row>
    <row r="856" spans="7:29" x14ac:dyDescent="0.35">
      <c r="G856" s="2"/>
      <c r="H856" s="2"/>
      <c r="I856" s="2"/>
      <c r="J856" s="2"/>
      <c r="K856" s="2"/>
      <c r="L856" s="2"/>
      <c r="M856" s="2"/>
      <c r="N856" s="2"/>
      <c r="O856" s="2"/>
      <c r="P856" s="2"/>
      <c r="Q856" s="2"/>
      <c r="R856" s="2"/>
      <c r="S856" s="2"/>
      <c r="T856" s="2"/>
      <c r="U856" s="2"/>
      <c r="V856" s="2"/>
      <c r="W856" s="2"/>
      <c r="X856" s="2"/>
      <c r="Y856" s="2"/>
      <c r="Z856" s="2"/>
      <c r="AA856" s="2"/>
      <c r="AB856" s="2"/>
      <c r="AC856" s="2"/>
    </row>
    <row r="857" spans="7:29" x14ac:dyDescent="0.35">
      <c r="G857" s="2"/>
      <c r="H857" s="2"/>
      <c r="I857" s="2"/>
      <c r="J857" s="2"/>
      <c r="K857" s="2"/>
      <c r="L857" s="2"/>
      <c r="M857" s="2"/>
      <c r="N857" s="2"/>
      <c r="O857" s="2"/>
      <c r="P857" s="2"/>
      <c r="Q857" s="2"/>
      <c r="R857" s="2"/>
      <c r="S857" s="2"/>
      <c r="T857" s="2"/>
      <c r="U857" s="2"/>
      <c r="V857" s="2"/>
      <c r="W857" s="2"/>
      <c r="X857" s="2"/>
      <c r="Y857" s="2"/>
      <c r="Z857" s="2"/>
      <c r="AA857" s="2"/>
      <c r="AB857" s="2"/>
      <c r="AC857" s="2"/>
    </row>
    <row r="858" spans="7:29" x14ac:dyDescent="0.35">
      <c r="G858" s="2"/>
      <c r="H858" s="2"/>
      <c r="I858" s="2"/>
      <c r="J858" s="2"/>
      <c r="K858" s="2"/>
      <c r="L858" s="2"/>
      <c r="M858" s="2"/>
      <c r="N858" s="2"/>
      <c r="O858" s="2"/>
      <c r="P858" s="2"/>
      <c r="Q858" s="2"/>
      <c r="R858" s="2"/>
      <c r="S858" s="2"/>
      <c r="T858" s="2"/>
      <c r="U858" s="2"/>
      <c r="V858" s="2"/>
      <c r="W858" s="2"/>
      <c r="X858" s="2"/>
      <c r="Y858" s="2"/>
      <c r="Z858" s="2"/>
      <c r="AA858" s="2"/>
      <c r="AB858" s="2"/>
      <c r="AC858" s="2"/>
    </row>
    <row r="859" spans="7:29" x14ac:dyDescent="0.35">
      <c r="G859" s="2"/>
      <c r="H859" s="2"/>
      <c r="I859" s="2"/>
      <c r="J859" s="2"/>
      <c r="K859" s="2"/>
      <c r="L859" s="2"/>
      <c r="M859" s="2"/>
      <c r="N859" s="2"/>
      <c r="O859" s="2"/>
      <c r="P859" s="2"/>
      <c r="Q859" s="2"/>
      <c r="R859" s="2"/>
      <c r="S859" s="2"/>
      <c r="T859" s="2"/>
      <c r="U859" s="2"/>
      <c r="V859" s="2"/>
      <c r="W859" s="2"/>
      <c r="X859" s="2"/>
      <c r="Y859" s="2"/>
      <c r="Z859" s="2"/>
      <c r="AA859" s="2"/>
      <c r="AB859" s="2"/>
      <c r="AC859" s="2"/>
    </row>
    <row r="860" spans="7:29" x14ac:dyDescent="0.35">
      <c r="G860" s="2"/>
      <c r="H860" s="2"/>
      <c r="I860" s="2"/>
      <c r="J860" s="2"/>
      <c r="K860" s="2"/>
      <c r="L860" s="2"/>
      <c r="M860" s="2"/>
      <c r="N860" s="2"/>
      <c r="O860" s="2"/>
      <c r="P860" s="2"/>
      <c r="Q860" s="2"/>
      <c r="R860" s="2"/>
      <c r="S860" s="2"/>
      <c r="T860" s="2"/>
      <c r="U860" s="2"/>
      <c r="V860" s="2"/>
      <c r="W860" s="2"/>
      <c r="X860" s="2"/>
      <c r="Y860" s="2"/>
      <c r="Z860" s="2"/>
      <c r="AA860" s="2"/>
      <c r="AB860" s="2"/>
      <c r="AC860" s="2"/>
    </row>
    <row r="861" spans="7:29" x14ac:dyDescent="0.35">
      <c r="G861" s="2"/>
      <c r="H861" s="2"/>
      <c r="I861" s="2"/>
      <c r="J861" s="2"/>
      <c r="K861" s="2"/>
      <c r="L861" s="2"/>
      <c r="M861" s="2"/>
      <c r="N861" s="2"/>
      <c r="O861" s="2"/>
      <c r="P861" s="2"/>
      <c r="Q861" s="2"/>
      <c r="R861" s="2"/>
      <c r="S861" s="2"/>
      <c r="T861" s="2"/>
      <c r="U861" s="2"/>
      <c r="V861" s="2"/>
      <c r="W861" s="2"/>
      <c r="X861" s="2"/>
      <c r="Y861" s="2"/>
      <c r="Z861" s="2"/>
      <c r="AA861" s="2"/>
      <c r="AB861" s="2"/>
      <c r="AC861" s="2"/>
    </row>
    <row r="862" spans="7:29" x14ac:dyDescent="0.35">
      <c r="G862" s="2"/>
      <c r="H862" s="2"/>
      <c r="I862" s="2"/>
      <c r="J862" s="2"/>
      <c r="K862" s="2"/>
      <c r="L862" s="2"/>
      <c r="M862" s="2"/>
      <c r="N862" s="2"/>
      <c r="O862" s="2"/>
      <c r="P862" s="2"/>
      <c r="Q862" s="2"/>
      <c r="R862" s="2"/>
      <c r="S862" s="2"/>
      <c r="T862" s="2"/>
      <c r="U862" s="2"/>
      <c r="V862" s="2"/>
      <c r="W862" s="2"/>
      <c r="X862" s="2"/>
      <c r="Y862" s="2"/>
      <c r="Z862" s="2"/>
      <c r="AA862" s="2"/>
      <c r="AB862" s="2"/>
      <c r="AC862" s="2"/>
    </row>
    <row r="863" spans="7:29" x14ac:dyDescent="0.35">
      <c r="G863" s="2"/>
      <c r="H863" s="2"/>
      <c r="I863" s="2"/>
      <c r="J863" s="2"/>
      <c r="K863" s="2"/>
      <c r="L863" s="2"/>
      <c r="M863" s="2"/>
      <c r="N863" s="2"/>
      <c r="O863" s="2"/>
      <c r="P863" s="2"/>
      <c r="Q863" s="2"/>
      <c r="R863" s="2"/>
      <c r="S863" s="2"/>
      <c r="T863" s="2"/>
      <c r="U863" s="2"/>
      <c r="V863" s="2"/>
      <c r="W863" s="2"/>
      <c r="X863" s="2"/>
      <c r="Y863" s="2"/>
      <c r="Z863" s="2"/>
      <c r="AA863" s="2"/>
      <c r="AB863" s="2"/>
      <c r="AC863" s="2"/>
    </row>
    <row r="864" spans="7:29" x14ac:dyDescent="0.35">
      <c r="G864" s="2"/>
      <c r="H864" s="2"/>
      <c r="I864" s="2"/>
      <c r="J864" s="2"/>
      <c r="K864" s="2"/>
      <c r="L864" s="2"/>
      <c r="M864" s="2"/>
      <c r="N864" s="2"/>
      <c r="O864" s="2"/>
      <c r="P864" s="2"/>
      <c r="Q864" s="2"/>
      <c r="R864" s="2"/>
      <c r="S864" s="2"/>
      <c r="T864" s="2"/>
      <c r="U864" s="2"/>
      <c r="V864" s="2"/>
      <c r="W864" s="2"/>
      <c r="X864" s="2"/>
      <c r="Y864" s="2"/>
      <c r="Z864" s="2"/>
      <c r="AA864" s="2"/>
      <c r="AB864" s="2"/>
      <c r="AC864" s="2"/>
    </row>
    <row r="865" spans="7:29" x14ac:dyDescent="0.35">
      <c r="G865" s="2"/>
      <c r="H865" s="2"/>
      <c r="I865" s="2"/>
      <c r="J865" s="2"/>
      <c r="K865" s="2"/>
      <c r="L865" s="2"/>
      <c r="M865" s="2"/>
      <c r="N865" s="2"/>
      <c r="O865" s="2"/>
      <c r="P865" s="2"/>
      <c r="Q865" s="2"/>
      <c r="R865" s="2"/>
      <c r="S865" s="2"/>
      <c r="T865" s="2"/>
      <c r="U865" s="2"/>
      <c r="V865" s="2"/>
      <c r="W865" s="2"/>
      <c r="X865" s="2"/>
      <c r="Y865" s="2"/>
      <c r="Z865" s="2"/>
      <c r="AA865" s="2"/>
      <c r="AB865" s="2"/>
      <c r="AC865" s="2"/>
    </row>
    <row r="866" spans="7:29" x14ac:dyDescent="0.35">
      <c r="G866" s="2"/>
      <c r="H866" s="2"/>
      <c r="I866" s="2"/>
      <c r="J866" s="2"/>
      <c r="K866" s="2"/>
      <c r="L866" s="2"/>
      <c r="M866" s="2"/>
      <c r="N866" s="2"/>
      <c r="O866" s="2"/>
      <c r="P866" s="2"/>
      <c r="Q866" s="2"/>
      <c r="R866" s="2"/>
      <c r="S866" s="2"/>
      <c r="T866" s="2"/>
      <c r="U866" s="2"/>
      <c r="V866" s="2"/>
      <c r="W866" s="2"/>
      <c r="X866" s="2"/>
      <c r="Y866" s="2"/>
      <c r="Z866" s="2"/>
      <c r="AA866" s="2"/>
      <c r="AB866" s="2"/>
      <c r="AC866" s="2"/>
    </row>
    <row r="867" spans="7:29" x14ac:dyDescent="0.35">
      <c r="G867" s="2"/>
      <c r="H867" s="2"/>
      <c r="I867" s="2"/>
      <c r="J867" s="2"/>
      <c r="K867" s="2"/>
      <c r="L867" s="2"/>
      <c r="M867" s="2"/>
      <c r="N867" s="2"/>
      <c r="O867" s="2"/>
      <c r="P867" s="2"/>
      <c r="Q867" s="2"/>
      <c r="R867" s="2"/>
      <c r="S867" s="2"/>
      <c r="T867" s="2"/>
      <c r="U867" s="2"/>
      <c r="V867" s="2"/>
      <c r="W867" s="2"/>
      <c r="X867" s="2"/>
      <c r="Y867" s="2"/>
      <c r="Z867" s="2"/>
      <c r="AA867" s="2"/>
      <c r="AB867" s="2"/>
      <c r="AC867" s="2"/>
    </row>
    <row r="868" spans="7:29" x14ac:dyDescent="0.35">
      <c r="G868" s="2"/>
      <c r="H868" s="2"/>
      <c r="I868" s="2"/>
      <c r="J868" s="2"/>
      <c r="K868" s="2"/>
      <c r="L868" s="2"/>
      <c r="M868" s="2"/>
      <c r="N868" s="2"/>
      <c r="O868" s="2"/>
      <c r="P868" s="2"/>
      <c r="Q868" s="2"/>
      <c r="R868" s="2"/>
      <c r="S868" s="2"/>
      <c r="T868" s="2"/>
      <c r="U868" s="2"/>
      <c r="V868" s="2"/>
      <c r="W868" s="2"/>
      <c r="X868" s="2"/>
      <c r="Y868" s="2"/>
      <c r="Z868" s="2"/>
      <c r="AA868" s="2"/>
      <c r="AB868" s="2"/>
      <c r="AC868" s="2"/>
    </row>
    <row r="869" spans="7:29" x14ac:dyDescent="0.35">
      <c r="G869" s="2"/>
      <c r="H869" s="2"/>
      <c r="I869" s="2"/>
      <c r="J869" s="2"/>
      <c r="K869" s="2"/>
      <c r="L869" s="2"/>
      <c r="M869" s="2"/>
      <c r="N869" s="2"/>
      <c r="O869" s="2"/>
      <c r="P869" s="2"/>
      <c r="Q869" s="2"/>
      <c r="R869" s="2"/>
      <c r="S869" s="2"/>
      <c r="T869" s="2"/>
      <c r="U869" s="2"/>
      <c r="V869" s="2"/>
      <c r="W869" s="2"/>
      <c r="X869" s="2"/>
      <c r="Y869" s="2"/>
      <c r="Z869" s="2"/>
      <c r="AA869" s="2"/>
      <c r="AB869" s="2"/>
      <c r="AC869" s="2"/>
    </row>
    <row r="870" spans="7:29" x14ac:dyDescent="0.35">
      <c r="G870" s="2"/>
      <c r="H870" s="2"/>
      <c r="I870" s="2"/>
      <c r="J870" s="2"/>
      <c r="K870" s="2"/>
      <c r="L870" s="2"/>
      <c r="M870" s="2"/>
      <c r="N870" s="2"/>
      <c r="O870" s="2"/>
      <c r="P870" s="2"/>
      <c r="Q870" s="2"/>
      <c r="R870" s="2"/>
      <c r="S870" s="2"/>
      <c r="T870" s="2"/>
      <c r="U870" s="2"/>
      <c r="V870" s="2"/>
      <c r="W870" s="2"/>
      <c r="X870" s="2"/>
      <c r="Y870" s="2"/>
      <c r="Z870" s="2"/>
      <c r="AA870" s="2"/>
      <c r="AB870" s="2"/>
      <c r="AC870" s="2"/>
    </row>
    <row r="871" spans="7:29" x14ac:dyDescent="0.35">
      <c r="G871" s="2"/>
      <c r="H871" s="2"/>
      <c r="I871" s="2"/>
      <c r="J871" s="2"/>
      <c r="K871" s="2"/>
      <c r="L871" s="2"/>
      <c r="M871" s="2"/>
      <c r="N871" s="2"/>
      <c r="O871" s="2"/>
      <c r="P871" s="2"/>
      <c r="Q871" s="2"/>
      <c r="R871" s="2"/>
      <c r="S871" s="2"/>
      <c r="T871" s="2"/>
      <c r="U871" s="2"/>
      <c r="V871" s="2"/>
      <c r="W871" s="2"/>
      <c r="X871" s="2"/>
      <c r="Y871" s="2"/>
      <c r="Z871" s="2"/>
      <c r="AA871" s="2"/>
      <c r="AB871" s="2"/>
      <c r="AC871" s="2"/>
    </row>
    <row r="872" spans="7:29" x14ac:dyDescent="0.35">
      <c r="G872" s="2"/>
      <c r="H872" s="2"/>
      <c r="I872" s="2"/>
      <c r="J872" s="2"/>
      <c r="K872" s="2"/>
      <c r="L872" s="2"/>
      <c r="M872" s="2"/>
      <c r="N872" s="2"/>
      <c r="O872" s="2"/>
      <c r="P872" s="2"/>
      <c r="Q872" s="2"/>
      <c r="R872" s="2"/>
      <c r="S872" s="2"/>
      <c r="T872" s="2"/>
      <c r="U872" s="2"/>
      <c r="V872" s="2"/>
      <c r="W872" s="2"/>
      <c r="X872" s="2"/>
      <c r="Y872" s="2"/>
      <c r="Z872" s="2"/>
      <c r="AA872" s="2"/>
      <c r="AB872" s="2"/>
      <c r="AC872" s="2"/>
    </row>
    <row r="873" spans="7:29" x14ac:dyDescent="0.35">
      <c r="G873" s="2"/>
      <c r="H873" s="2"/>
      <c r="I873" s="2"/>
      <c r="J873" s="2"/>
      <c r="K873" s="2"/>
      <c r="L873" s="2"/>
      <c r="M873" s="2"/>
      <c r="N873" s="2"/>
      <c r="O873" s="2"/>
      <c r="P873" s="2"/>
      <c r="Q873" s="2"/>
      <c r="R873" s="2"/>
      <c r="S873" s="2"/>
      <c r="T873" s="2"/>
      <c r="U873" s="2"/>
      <c r="V873" s="2"/>
      <c r="W873" s="2"/>
      <c r="X873" s="2"/>
      <c r="Y873" s="2"/>
      <c r="Z873" s="2"/>
      <c r="AA873" s="2"/>
      <c r="AB873" s="2"/>
      <c r="AC873" s="2"/>
    </row>
    <row r="874" spans="7:29" x14ac:dyDescent="0.35">
      <c r="G874" s="2"/>
      <c r="H874" s="2"/>
      <c r="I874" s="2"/>
      <c r="J874" s="2"/>
      <c r="K874" s="2"/>
      <c r="L874" s="2"/>
      <c r="M874" s="2"/>
      <c r="N874" s="2"/>
      <c r="O874" s="2"/>
      <c r="P874" s="2"/>
      <c r="Q874" s="2"/>
      <c r="R874" s="2"/>
      <c r="S874" s="2"/>
      <c r="T874" s="2"/>
      <c r="U874" s="2"/>
      <c r="V874" s="2"/>
      <c r="W874" s="2"/>
      <c r="X874" s="2"/>
      <c r="Y874" s="2"/>
      <c r="Z874" s="2"/>
      <c r="AA874" s="2"/>
      <c r="AB874" s="2"/>
      <c r="AC874" s="2"/>
    </row>
    <row r="875" spans="7:29" x14ac:dyDescent="0.35">
      <c r="G875" s="2"/>
      <c r="H875" s="2"/>
      <c r="I875" s="2"/>
      <c r="J875" s="2"/>
      <c r="K875" s="2"/>
      <c r="L875" s="2"/>
      <c r="M875" s="2"/>
      <c r="N875" s="2"/>
      <c r="O875" s="2"/>
      <c r="P875" s="2"/>
      <c r="Q875" s="2"/>
      <c r="R875" s="2"/>
      <c r="S875" s="2"/>
      <c r="T875" s="2"/>
      <c r="U875" s="2"/>
      <c r="V875" s="2"/>
      <c r="W875" s="2"/>
      <c r="X875" s="2"/>
      <c r="Y875" s="2"/>
      <c r="Z875" s="2"/>
      <c r="AA875" s="2"/>
      <c r="AB875" s="2"/>
      <c r="AC875" s="2"/>
    </row>
    <row r="876" spans="7:29" x14ac:dyDescent="0.35">
      <c r="G876" s="2"/>
      <c r="H876" s="2"/>
      <c r="I876" s="2"/>
      <c r="J876" s="2"/>
      <c r="K876" s="2"/>
      <c r="L876" s="2"/>
      <c r="M876" s="2"/>
      <c r="N876" s="2"/>
      <c r="O876" s="2"/>
      <c r="P876" s="2"/>
      <c r="Q876" s="2"/>
      <c r="R876" s="2"/>
      <c r="S876" s="2"/>
      <c r="T876" s="2"/>
      <c r="U876" s="2"/>
      <c r="V876" s="2"/>
      <c r="W876" s="2"/>
      <c r="X876" s="2"/>
      <c r="Y876" s="2"/>
      <c r="Z876" s="2"/>
      <c r="AA876" s="2"/>
      <c r="AB876" s="2"/>
      <c r="AC876" s="2"/>
    </row>
    <row r="877" spans="7:29" x14ac:dyDescent="0.35">
      <c r="G877" s="2"/>
      <c r="H877" s="2"/>
      <c r="I877" s="2"/>
      <c r="J877" s="2"/>
      <c r="K877" s="2"/>
      <c r="L877" s="2"/>
      <c r="M877" s="2"/>
      <c r="N877" s="2"/>
      <c r="O877" s="2"/>
      <c r="P877" s="2"/>
      <c r="Q877" s="2"/>
      <c r="R877" s="2"/>
      <c r="S877" s="2"/>
      <c r="T877" s="2"/>
      <c r="U877" s="2"/>
      <c r="V877" s="2"/>
      <c r="W877" s="2"/>
      <c r="X877" s="2"/>
      <c r="Y877" s="2"/>
      <c r="Z877" s="2"/>
      <c r="AA877" s="2"/>
      <c r="AB877" s="2"/>
      <c r="AC877" s="2"/>
    </row>
    <row r="878" spans="7:29" x14ac:dyDescent="0.35">
      <c r="G878" s="2"/>
      <c r="H878" s="2"/>
      <c r="I878" s="2"/>
      <c r="J878" s="2"/>
      <c r="K878" s="2"/>
      <c r="L878" s="2"/>
      <c r="M878" s="2"/>
      <c r="N878" s="2"/>
      <c r="O878" s="2"/>
      <c r="P878" s="2"/>
      <c r="Q878" s="2"/>
      <c r="R878" s="2"/>
      <c r="S878" s="2"/>
      <c r="T878" s="2"/>
      <c r="U878" s="2"/>
      <c r="V878" s="2"/>
      <c r="W878" s="2"/>
      <c r="X878" s="2"/>
      <c r="Y878" s="2"/>
      <c r="Z878" s="2"/>
      <c r="AA878" s="2"/>
      <c r="AB878" s="2"/>
      <c r="AC878" s="2"/>
    </row>
    <row r="879" spans="7:29" x14ac:dyDescent="0.35">
      <c r="G879" s="2"/>
      <c r="H879" s="2"/>
      <c r="I879" s="2"/>
      <c r="J879" s="2"/>
      <c r="K879" s="2"/>
      <c r="L879" s="2"/>
      <c r="M879" s="2"/>
      <c r="N879" s="2"/>
      <c r="O879" s="2"/>
      <c r="P879" s="2"/>
      <c r="Q879" s="2"/>
      <c r="R879" s="2"/>
      <c r="S879" s="2"/>
      <c r="T879" s="2"/>
      <c r="U879" s="2"/>
      <c r="V879" s="2"/>
      <c r="W879" s="2"/>
      <c r="X879" s="2"/>
      <c r="Y879" s="2"/>
      <c r="Z879" s="2"/>
      <c r="AA879" s="2"/>
      <c r="AB879" s="2"/>
      <c r="AC879" s="2"/>
    </row>
    <row r="880" spans="7:29" x14ac:dyDescent="0.35">
      <c r="G880" s="2"/>
      <c r="H880" s="2"/>
      <c r="I880" s="2"/>
      <c r="J880" s="2"/>
      <c r="K880" s="2"/>
      <c r="L880" s="2"/>
      <c r="M880" s="2"/>
      <c r="N880" s="2"/>
      <c r="O880" s="2"/>
      <c r="P880" s="2"/>
      <c r="Q880" s="2"/>
      <c r="R880" s="2"/>
      <c r="S880" s="2"/>
      <c r="T880" s="2"/>
      <c r="U880" s="2"/>
      <c r="V880" s="2"/>
      <c r="W880" s="2"/>
      <c r="X880" s="2"/>
      <c r="Y880" s="2"/>
      <c r="Z880" s="2"/>
      <c r="AA880" s="2"/>
      <c r="AB880" s="2"/>
      <c r="AC880" s="2"/>
    </row>
    <row r="881" spans="7:29" x14ac:dyDescent="0.35">
      <c r="G881" s="2"/>
      <c r="H881" s="2"/>
      <c r="I881" s="2"/>
      <c r="J881" s="2"/>
      <c r="K881" s="2"/>
      <c r="L881" s="2"/>
      <c r="M881" s="2"/>
      <c r="N881" s="2"/>
      <c r="O881" s="2"/>
      <c r="P881" s="2"/>
      <c r="Q881" s="2"/>
      <c r="R881" s="2"/>
      <c r="S881" s="2"/>
      <c r="T881" s="2"/>
      <c r="U881" s="2"/>
      <c r="V881" s="2"/>
      <c r="W881" s="2"/>
      <c r="X881" s="2"/>
      <c r="Y881" s="2"/>
      <c r="Z881" s="2"/>
      <c r="AA881" s="2"/>
      <c r="AB881" s="2"/>
      <c r="AC881" s="2"/>
    </row>
    <row r="882" spans="7:29" x14ac:dyDescent="0.35">
      <c r="G882" s="2"/>
      <c r="H882" s="2"/>
      <c r="I882" s="2"/>
      <c r="J882" s="2"/>
      <c r="K882" s="2"/>
      <c r="L882" s="2"/>
      <c r="M882" s="2"/>
      <c r="N882" s="2"/>
      <c r="O882" s="2"/>
      <c r="P882" s="2"/>
      <c r="Q882" s="2"/>
      <c r="R882" s="2"/>
      <c r="S882" s="2"/>
      <c r="T882" s="2"/>
      <c r="U882" s="2"/>
      <c r="V882" s="2"/>
      <c r="W882" s="2"/>
      <c r="X882" s="2"/>
      <c r="Y882" s="2"/>
      <c r="Z882" s="2"/>
      <c r="AA882" s="2"/>
      <c r="AB882" s="2"/>
      <c r="AC882" s="2"/>
    </row>
    <row r="883" spans="7:29" x14ac:dyDescent="0.35">
      <c r="G883" s="2"/>
      <c r="H883" s="2"/>
      <c r="I883" s="2"/>
      <c r="J883" s="2"/>
      <c r="K883" s="2"/>
      <c r="L883" s="2"/>
      <c r="M883" s="2"/>
      <c r="N883" s="2"/>
      <c r="O883" s="2"/>
      <c r="P883" s="2"/>
      <c r="Q883" s="2"/>
      <c r="R883" s="2"/>
      <c r="S883" s="2"/>
      <c r="T883" s="2"/>
      <c r="U883" s="2"/>
      <c r="V883" s="2"/>
      <c r="W883" s="2"/>
      <c r="X883" s="2"/>
      <c r="Y883" s="2"/>
      <c r="Z883" s="2"/>
      <c r="AA883" s="2"/>
      <c r="AB883" s="2"/>
      <c r="AC883" s="2"/>
    </row>
    <row r="884" spans="7:29" x14ac:dyDescent="0.35">
      <c r="G884" s="2"/>
      <c r="H884" s="2"/>
      <c r="I884" s="2"/>
      <c r="J884" s="2"/>
      <c r="K884" s="2"/>
      <c r="L884" s="2"/>
      <c r="M884" s="2"/>
      <c r="N884" s="2"/>
      <c r="O884" s="2"/>
      <c r="P884" s="2"/>
      <c r="Q884" s="2"/>
      <c r="R884" s="2"/>
      <c r="S884" s="2"/>
      <c r="T884" s="2"/>
      <c r="U884" s="2"/>
      <c r="V884" s="2"/>
      <c r="W884" s="2"/>
      <c r="X884" s="2"/>
      <c r="Y884" s="2"/>
      <c r="Z884" s="2"/>
      <c r="AA884" s="2"/>
      <c r="AB884" s="2"/>
      <c r="AC884" s="2"/>
    </row>
    <row r="885" spans="7:29" x14ac:dyDescent="0.35">
      <c r="G885" s="2"/>
      <c r="H885" s="2"/>
      <c r="I885" s="2"/>
      <c r="J885" s="2"/>
      <c r="K885" s="2"/>
      <c r="L885" s="2"/>
      <c r="M885" s="2"/>
      <c r="N885" s="2"/>
      <c r="O885" s="2"/>
      <c r="P885" s="2"/>
      <c r="Q885" s="2"/>
      <c r="R885" s="2"/>
      <c r="S885" s="2"/>
      <c r="T885" s="2"/>
      <c r="U885" s="2"/>
      <c r="V885" s="2"/>
      <c r="W885" s="2"/>
      <c r="X885" s="2"/>
      <c r="Y885" s="2"/>
      <c r="Z885" s="2"/>
      <c r="AA885" s="2"/>
      <c r="AB885" s="2"/>
      <c r="AC885" s="2"/>
    </row>
    <row r="886" spans="7:29" x14ac:dyDescent="0.35">
      <c r="G886" s="2"/>
      <c r="H886" s="2"/>
      <c r="I886" s="2"/>
      <c r="J886" s="2"/>
      <c r="K886" s="2"/>
      <c r="L886" s="2"/>
      <c r="M886" s="2"/>
      <c r="N886" s="2"/>
      <c r="O886" s="2"/>
      <c r="P886" s="2"/>
      <c r="Q886" s="2"/>
      <c r="R886" s="2"/>
      <c r="S886" s="2"/>
      <c r="T886" s="2"/>
      <c r="U886" s="2"/>
      <c r="V886" s="2"/>
      <c r="W886" s="2"/>
      <c r="X886" s="2"/>
      <c r="Y886" s="2"/>
      <c r="Z886" s="2"/>
      <c r="AA886" s="2"/>
      <c r="AB886" s="2"/>
      <c r="AC886" s="2"/>
    </row>
    <row r="887" spans="7:29" x14ac:dyDescent="0.35">
      <c r="G887" s="2"/>
      <c r="H887" s="2"/>
      <c r="I887" s="2"/>
      <c r="J887" s="2"/>
      <c r="K887" s="2"/>
      <c r="L887" s="2"/>
      <c r="M887" s="2"/>
      <c r="N887" s="2"/>
      <c r="O887" s="2"/>
      <c r="P887" s="2"/>
      <c r="Q887" s="2"/>
      <c r="R887" s="2"/>
      <c r="S887" s="2"/>
      <c r="T887" s="2"/>
      <c r="U887" s="2"/>
      <c r="V887" s="2"/>
      <c r="W887" s="2"/>
      <c r="X887" s="2"/>
      <c r="Y887" s="2"/>
      <c r="Z887" s="2"/>
      <c r="AA887" s="2"/>
      <c r="AB887" s="2"/>
      <c r="AC887" s="2"/>
    </row>
    <row r="888" spans="7:29" x14ac:dyDescent="0.35">
      <c r="G888" s="2"/>
      <c r="H888" s="2"/>
      <c r="I888" s="2"/>
      <c r="J888" s="2"/>
      <c r="K888" s="2"/>
      <c r="L888" s="2"/>
      <c r="M888" s="2"/>
      <c r="N888" s="2"/>
      <c r="O888" s="2"/>
      <c r="P888" s="2"/>
      <c r="Q888" s="2"/>
      <c r="R888" s="2"/>
      <c r="S888" s="2"/>
      <c r="T888" s="2"/>
      <c r="U888" s="2"/>
      <c r="V888" s="2"/>
      <c r="W888" s="2"/>
      <c r="X888" s="2"/>
      <c r="Y888" s="2"/>
      <c r="Z888" s="2"/>
      <c r="AA888" s="2"/>
      <c r="AB888" s="2"/>
      <c r="AC888" s="2"/>
    </row>
    <row r="889" spans="7:29" x14ac:dyDescent="0.35">
      <c r="G889" s="2"/>
      <c r="H889" s="2"/>
      <c r="I889" s="2"/>
      <c r="J889" s="2"/>
      <c r="K889" s="2"/>
      <c r="L889" s="2"/>
      <c r="M889" s="2"/>
      <c r="N889" s="2"/>
      <c r="O889" s="2"/>
      <c r="P889" s="2"/>
      <c r="Q889" s="2"/>
      <c r="R889" s="2"/>
      <c r="S889" s="2"/>
      <c r="T889" s="2"/>
      <c r="U889" s="2"/>
      <c r="V889" s="2"/>
      <c r="W889" s="2"/>
      <c r="X889" s="2"/>
      <c r="Y889" s="2"/>
      <c r="Z889" s="2"/>
      <c r="AA889" s="2"/>
      <c r="AB889" s="2"/>
      <c r="AC889" s="2"/>
    </row>
    <row r="890" spans="7:29" x14ac:dyDescent="0.35">
      <c r="G890" s="2"/>
      <c r="H890" s="2"/>
      <c r="I890" s="2"/>
      <c r="J890" s="2"/>
      <c r="K890" s="2"/>
      <c r="L890" s="2"/>
      <c r="M890" s="2"/>
      <c r="N890" s="2"/>
      <c r="O890" s="2"/>
      <c r="P890" s="2"/>
      <c r="Q890" s="2"/>
      <c r="R890" s="2"/>
      <c r="S890" s="2"/>
      <c r="T890" s="2"/>
      <c r="U890" s="2"/>
      <c r="V890" s="2"/>
      <c r="W890" s="2"/>
      <c r="X890" s="2"/>
      <c r="Y890" s="2"/>
      <c r="Z890" s="2"/>
      <c r="AA890" s="2"/>
      <c r="AB890" s="2"/>
      <c r="AC890" s="2"/>
    </row>
    <row r="891" spans="7:29" x14ac:dyDescent="0.35">
      <c r="G891" s="2"/>
      <c r="H891" s="2"/>
      <c r="I891" s="2"/>
      <c r="J891" s="2"/>
      <c r="K891" s="2"/>
      <c r="L891" s="2"/>
      <c r="M891" s="2"/>
      <c r="N891" s="2"/>
      <c r="O891" s="2"/>
      <c r="P891" s="2"/>
      <c r="Q891" s="2"/>
      <c r="R891" s="2"/>
      <c r="S891" s="2"/>
      <c r="T891" s="2"/>
      <c r="U891" s="2"/>
      <c r="V891" s="2"/>
      <c r="W891" s="2"/>
      <c r="X891" s="2"/>
      <c r="Y891" s="2"/>
      <c r="Z891" s="2"/>
      <c r="AA891" s="2"/>
      <c r="AB891" s="2"/>
      <c r="AC891" s="2"/>
    </row>
    <row r="892" spans="7:29" x14ac:dyDescent="0.35">
      <c r="G892" s="2"/>
      <c r="H892" s="2"/>
      <c r="I892" s="2"/>
      <c r="J892" s="2"/>
      <c r="K892" s="2"/>
      <c r="L892" s="2"/>
      <c r="M892" s="2"/>
      <c r="N892" s="2"/>
      <c r="O892" s="2"/>
      <c r="P892" s="2"/>
      <c r="Q892" s="2"/>
      <c r="R892" s="2"/>
      <c r="S892" s="2"/>
      <c r="T892" s="2"/>
      <c r="U892" s="2"/>
      <c r="V892" s="2"/>
      <c r="W892" s="2"/>
      <c r="X892" s="2"/>
      <c r="Y892" s="2"/>
      <c r="Z892" s="2"/>
      <c r="AA892" s="2"/>
      <c r="AB892" s="2"/>
      <c r="AC892" s="2"/>
    </row>
    <row r="893" spans="7:29" x14ac:dyDescent="0.35">
      <c r="G893" s="2"/>
      <c r="H893" s="2"/>
      <c r="I893" s="2"/>
      <c r="J893" s="2"/>
      <c r="K893" s="2"/>
      <c r="L893" s="2"/>
      <c r="M893" s="2"/>
      <c r="N893" s="2"/>
      <c r="O893" s="2"/>
      <c r="P893" s="2"/>
      <c r="Q893" s="2"/>
      <c r="R893" s="2"/>
      <c r="S893" s="2"/>
      <c r="T893" s="2"/>
      <c r="U893" s="2"/>
      <c r="V893" s="2"/>
      <c r="W893" s="2"/>
      <c r="X893" s="2"/>
      <c r="Y893" s="2"/>
      <c r="Z893" s="2"/>
      <c r="AA893" s="2"/>
      <c r="AB893" s="2"/>
      <c r="AC893" s="2"/>
    </row>
    <row r="894" spans="7:29" x14ac:dyDescent="0.35">
      <c r="G894" s="2"/>
      <c r="H894" s="2"/>
      <c r="I894" s="2"/>
      <c r="J894" s="2"/>
      <c r="K894" s="2"/>
      <c r="L894" s="2"/>
      <c r="M894" s="2"/>
      <c r="N894" s="2"/>
      <c r="O894" s="2"/>
      <c r="P894" s="2"/>
      <c r="Q894" s="2"/>
      <c r="R894" s="2"/>
      <c r="S894" s="2"/>
      <c r="T894" s="2"/>
      <c r="U894" s="2"/>
      <c r="V894" s="2"/>
      <c r="W894" s="2"/>
      <c r="X894" s="2"/>
      <c r="Y894" s="2"/>
      <c r="Z894" s="2"/>
      <c r="AA894" s="2"/>
      <c r="AB894" s="2"/>
      <c r="AC894" s="2"/>
    </row>
    <row r="895" spans="7:29" x14ac:dyDescent="0.35">
      <c r="G895" s="2"/>
      <c r="H895" s="2"/>
      <c r="I895" s="2"/>
      <c r="J895" s="2"/>
      <c r="K895" s="2"/>
      <c r="L895" s="2"/>
      <c r="M895" s="2"/>
      <c r="N895" s="2"/>
      <c r="O895" s="2"/>
      <c r="P895" s="2"/>
      <c r="Q895" s="2"/>
      <c r="R895" s="2"/>
      <c r="S895" s="2"/>
      <c r="T895" s="2"/>
      <c r="U895" s="2"/>
      <c r="V895" s="2"/>
      <c r="W895" s="2"/>
      <c r="X895" s="2"/>
      <c r="Y895" s="2"/>
      <c r="Z895" s="2"/>
      <c r="AA895" s="2"/>
      <c r="AB895" s="2"/>
      <c r="AC895" s="2"/>
    </row>
    <row r="896" spans="7:29" x14ac:dyDescent="0.35">
      <c r="G896" s="2"/>
      <c r="H896" s="2"/>
      <c r="I896" s="2"/>
      <c r="J896" s="2"/>
      <c r="K896" s="2"/>
      <c r="L896" s="2"/>
      <c r="M896" s="2"/>
      <c r="N896" s="2"/>
      <c r="O896" s="2"/>
      <c r="P896" s="2"/>
      <c r="Q896" s="2"/>
      <c r="R896" s="2"/>
      <c r="S896" s="2"/>
      <c r="T896" s="2"/>
      <c r="U896" s="2"/>
      <c r="V896" s="2"/>
      <c r="W896" s="2"/>
      <c r="X896" s="2"/>
      <c r="Y896" s="2"/>
      <c r="Z896" s="2"/>
      <c r="AA896" s="2"/>
      <c r="AB896" s="2"/>
      <c r="AC896" s="2"/>
    </row>
    <row r="897" spans="7:29" x14ac:dyDescent="0.35">
      <c r="G897" s="2"/>
      <c r="H897" s="2"/>
      <c r="I897" s="2"/>
      <c r="J897" s="2"/>
      <c r="K897" s="2"/>
      <c r="L897" s="2"/>
      <c r="M897" s="2"/>
      <c r="N897" s="2"/>
      <c r="O897" s="2"/>
      <c r="P897" s="2"/>
      <c r="Q897" s="2"/>
      <c r="R897" s="2"/>
      <c r="S897" s="2"/>
      <c r="T897" s="2"/>
      <c r="U897" s="2"/>
      <c r="V897" s="2"/>
      <c r="W897" s="2"/>
      <c r="X897" s="2"/>
      <c r="Y897" s="2"/>
      <c r="Z897" s="2"/>
      <c r="AA897" s="2"/>
      <c r="AB897" s="2"/>
      <c r="AC897" s="2"/>
    </row>
    <row r="898" spans="7:29" x14ac:dyDescent="0.35">
      <c r="G898" s="2"/>
      <c r="H898" s="2"/>
      <c r="I898" s="2"/>
      <c r="J898" s="2"/>
      <c r="K898" s="2"/>
      <c r="L898" s="2"/>
      <c r="M898" s="2"/>
      <c r="N898" s="2"/>
      <c r="O898" s="2"/>
      <c r="P898" s="2"/>
      <c r="Q898" s="2"/>
      <c r="R898" s="2"/>
      <c r="S898" s="2"/>
      <c r="T898" s="2"/>
      <c r="U898" s="2"/>
      <c r="V898" s="2"/>
      <c r="W898" s="2"/>
      <c r="X898" s="2"/>
      <c r="Y898" s="2"/>
      <c r="Z898" s="2"/>
      <c r="AA898" s="2"/>
      <c r="AB898" s="2"/>
      <c r="AC898" s="2"/>
    </row>
    <row r="899" spans="7:29" x14ac:dyDescent="0.35">
      <c r="G899" s="2"/>
      <c r="H899" s="2"/>
      <c r="I899" s="2"/>
      <c r="J899" s="2"/>
      <c r="K899" s="2"/>
      <c r="L899" s="2"/>
      <c r="M899" s="2"/>
      <c r="N899" s="2"/>
      <c r="O899" s="2"/>
      <c r="P899" s="2"/>
      <c r="Q899" s="2"/>
      <c r="R899" s="2"/>
      <c r="S899" s="2"/>
      <c r="T899" s="2"/>
      <c r="U899" s="2"/>
      <c r="V899" s="2"/>
      <c r="W899" s="2"/>
      <c r="X899" s="2"/>
      <c r="Y899" s="2"/>
      <c r="Z899" s="2"/>
      <c r="AA899" s="2"/>
      <c r="AB899" s="2"/>
      <c r="AC899" s="2"/>
    </row>
    <row r="900" spans="7:29" x14ac:dyDescent="0.35">
      <c r="G900" s="2"/>
      <c r="H900" s="2"/>
      <c r="I900" s="2"/>
      <c r="J900" s="2"/>
      <c r="K900" s="2"/>
      <c r="L900" s="2"/>
      <c r="M900" s="2"/>
      <c r="N900" s="2"/>
      <c r="O900" s="2"/>
      <c r="P900" s="2"/>
      <c r="Q900" s="2"/>
      <c r="R900" s="2"/>
      <c r="S900" s="2"/>
      <c r="T900" s="2"/>
      <c r="U900" s="2"/>
      <c r="V900" s="2"/>
      <c r="W900" s="2"/>
      <c r="X900" s="2"/>
      <c r="Y900" s="2"/>
      <c r="Z900" s="2"/>
      <c r="AA900" s="2"/>
      <c r="AB900" s="2"/>
      <c r="AC900" s="2"/>
    </row>
    <row r="901" spans="7:29" x14ac:dyDescent="0.35">
      <c r="G901" s="2"/>
      <c r="H901" s="2"/>
      <c r="I901" s="2"/>
      <c r="J901" s="2"/>
      <c r="K901" s="2"/>
      <c r="L901" s="2"/>
      <c r="M901" s="2"/>
      <c r="N901" s="2"/>
      <c r="O901" s="2"/>
      <c r="P901" s="2"/>
      <c r="Q901" s="2"/>
      <c r="R901" s="2"/>
      <c r="S901" s="2"/>
      <c r="T901" s="2"/>
      <c r="U901" s="2"/>
      <c r="V901" s="2"/>
      <c r="W901" s="2"/>
      <c r="X901" s="2"/>
      <c r="Y901" s="2"/>
      <c r="Z901" s="2"/>
      <c r="AA901" s="2"/>
      <c r="AB901" s="2"/>
      <c r="AC901" s="2"/>
    </row>
    <row r="902" spans="7:29" x14ac:dyDescent="0.35">
      <c r="G902" s="2"/>
      <c r="H902" s="2"/>
      <c r="I902" s="2"/>
      <c r="J902" s="2"/>
      <c r="K902" s="2"/>
      <c r="L902" s="2"/>
      <c r="M902" s="2"/>
      <c r="N902" s="2"/>
      <c r="O902" s="2"/>
      <c r="P902" s="2"/>
      <c r="Q902" s="2"/>
      <c r="R902" s="2"/>
      <c r="S902" s="2"/>
      <c r="T902" s="2"/>
      <c r="U902" s="2"/>
      <c r="V902" s="2"/>
      <c r="W902" s="2"/>
      <c r="X902" s="2"/>
      <c r="Y902" s="2"/>
      <c r="Z902" s="2"/>
      <c r="AA902" s="2"/>
      <c r="AB902" s="2"/>
      <c r="AC902" s="2"/>
    </row>
    <row r="903" spans="7:29" x14ac:dyDescent="0.35">
      <c r="G903" s="2"/>
      <c r="H903" s="2"/>
      <c r="I903" s="2"/>
      <c r="J903" s="2"/>
      <c r="K903" s="2"/>
      <c r="L903" s="2"/>
      <c r="M903" s="2"/>
      <c r="N903" s="2"/>
      <c r="O903" s="2"/>
      <c r="P903" s="2"/>
      <c r="Q903" s="2"/>
      <c r="R903" s="2"/>
      <c r="S903" s="2"/>
      <c r="T903" s="2"/>
      <c r="U903" s="2"/>
      <c r="V903" s="2"/>
      <c r="W903" s="2"/>
      <c r="X903" s="2"/>
      <c r="Y903" s="2"/>
      <c r="Z903" s="2"/>
      <c r="AA903" s="2"/>
      <c r="AB903" s="2"/>
      <c r="AC903" s="2"/>
    </row>
    <row r="904" spans="7:29" x14ac:dyDescent="0.35">
      <c r="G904" s="2"/>
      <c r="H904" s="2"/>
      <c r="I904" s="2"/>
      <c r="J904" s="2"/>
      <c r="K904" s="2"/>
      <c r="L904" s="2"/>
      <c r="M904" s="2"/>
      <c r="N904" s="2"/>
      <c r="O904" s="2"/>
      <c r="P904" s="2"/>
      <c r="Q904" s="2"/>
      <c r="R904" s="2"/>
      <c r="S904" s="2"/>
      <c r="T904" s="2"/>
      <c r="U904" s="2"/>
      <c r="V904" s="2"/>
      <c r="W904" s="2"/>
      <c r="X904" s="2"/>
      <c r="Y904" s="2"/>
      <c r="Z904" s="2"/>
      <c r="AA904" s="2"/>
      <c r="AB904" s="2"/>
      <c r="AC904" s="2"/>
    </row>
    <row r="905" spans="7:29" x14ac:dyDescent="0.35">
      <c r="G905" s="2"/>
      <c r="H905" s="2"/>
      <c r="I905" s="2"/>
      <c r="J905" s="2"/>
      <c r="K905" s="2"/>
      <c r="L905" s="2"/>
      <c r="M905" s="2"/>
      <c r="N905" s="2"/>
      <c r="O905" s="2"/>
      <c r="P905" s="2"/>
      <c r="Q905" s="2"/>
      <c r="R905" s="2"/>
      <c r="S905" s="2"/>
      <c r="T905" s="2"/>
      <c r="U905" s="2"/>
      <c r="V905" s="2"/>
      <c r="W905" s="2"/>
      <c r="X905" s="2"/>
      <c r="Y905" s="2"/>
      <c r="Z905" s="2"/>
      <c r="AA905" s="2"/>
      <c r="AB905" s="2"/>
      <c r="AC905" s="2"/>
    </row>
    <row r="906" spans="7:29" x14ac:dyDescent="0.35">
      <c r="G906" s="2"/>
      <c r="H906" s="2"/>
      <c r="I906" s="2"/>
      <c r="J906" s="2"/>
      <c r="K906" s="2"/>
      <c r="L906" s="2"/>
      <c r="M906" s="2"/>
      <c r="N906" s="2"/>
      <c r="O906" s="2"/>
      <c r="P906" s="2"/>
      <c r="Q906" s="2"/>
      <c r="R906" s="2"/>
      <c r="S906" s="2"/>
      <c r="T906" s="2"/>
      <c r="U906" s="2"/>
      <c r="V906" s="2"/>
      <c r="W906" s="2"/>
      <c r="X906" s="2"/>
      <c r="Y906" s="2"/>
      <c r="Z906" s="2"/>
      <c r="AA906" s="2"/>
      <c r="AB906" s="2"/>
      <c r="AC906" s="2"/>
    </row>
    <row r="907" spans="7:29" x14ac:dyDescent="0.35">
      <c r="G907" s="2"/>
      <c r="H907" s="2"/>
      <c r="I907" s="2"/>
      <c r="J907" s="2"/>
      <c r="K907" s="2"/>
      <c r="L907" s="2"/>
      <c r="M907" s="2"/>
      <c r="N907" s="2"/>
      <c r="O907" s="2"/>
      <c r="P907" s="2"/>
      <c r="Q907" s="2"/>
      <c r="R907" s="2"/>
      <c r="S907" s="2"/>
      <c r="T907" s="2"/>
      <c r="U907" s="2"/>
      <c r="V907" s="2"/>
      <c r="W907" s="2"/>
      <c r="X907" s="2"/>
      <c r="Y907" s="2"/>
      <c r="Z907" s="2"/>
      <c r="AA907" s="2"/>
      <c r="AB907" s="2"/>
      <c r="AC907" s="2"/>
    </row>
    <row r="908" spans="7:29" x14ac:dyDescent="0.35">
      <c r="G908" s="2"/>
      <c r="H908" s="2"/>
      <c r="I908" s="2"/>
      <c r="J908" s="2"/>
      <c r="K908" s="2"/>
      <c r="L908" s="2"/>
      <c r="M908" s="2"/>
      <c r="N908" s="2"/>
      <c r="O908" s="2"/>
      <c r="P908" s="2"/>
      <c r="Q908" s="2"/>
      <c r="R908" s="2"/>
      <c r="S908" s="2"/>
      <c r="T908" s="2"/>
      <c r="U908" s="2"/>
      <c r="V908" s="2"/>
      <c r="W908" s="2"/>
      <c r="X908" s="2"/>
      <c r="Y908" s="2"/>
      <c r="Z908" s="2"/>
      <c r="AA908" s="2"/>
      <c r="AB908" s="2"/>
      <c r="AC908" s="2"/>
    </row>
    <row r="909" spans="7:29" x14ac:dyDescent="0.35">
      <c r="G909" s="2"/>
      <c r="H909" s="2"/>
      <c r="I909" s="2"/>
      <c r="J909" s="2"/>
      <c r="K909" s="2"/>
      <c r="L909" s="2"/>
      <c r="M909" s="2"/>
      <c r="N909" s="2"/>
      <c r="O909" s="2"/>
      <c r="P909" s="2"/>
      <c r="Q909" s="2"/>
      <c r="R909" s="2"/>
      <c r="S909" s="2"/>
      <c r="T909" s="2"/>
      <c r="U909" s="2"/>
      <c r="V909" s="2"/>
      <c r="W909" s="2"/>
      <c r="X909" s="2"/>
      <c r="Y909" s="2"/>
      <c r="Z909" s="2"/>
      <c r="AA909" s="2"/>
      <c r="AB909" s="2"/>
      <c r="AC909" s="2"/>
    </row>
    <row r="910" spans="7:29" x14ac:dyDescent="0.35">
      <c r="G910" s="2"/>
      <c r="H910" s="2"/>
      <c r="I910" s="2"/>
      <c r="J910" s="2"/>
      <c r="K910" s="2"/>
      <c r="L910" s="2"/>
      <c r="M910" s="2"/>
      <c r="N910" s="2"/>
      <c r="O910" s="2"/>
      <c r="P910" s="2"/>
      <c r="Q910" s="2"/>
      <c r="R910" s="2"/>
      <c r="S910" s="2"/>
      <c r="T910" s="2"/>
      <c r="U910" s="2"/>
      <c r="V910" s="2"/>
      <c r="W910" s="2"/>
      <c r="X910" s="2"/>
      <c r="Y910" s="2"/>
      <c r="Z910" s="2"/>
      <c r="AA910" s="2"/>
      <c r="AB910" s="2"/>
      <c r="AC910" s="2"/>
    </row>
    <row r="911" spans="7:29" x14ac:dyDescent="0.35">
      <c r="G911" s="2"/>
      <c r="H911" s="2"/>
      <c r="I911" s="2"/>
      <c r="J911" s="2"/>
      <c r="K911" s="2"/>
      <c r="L911" s="2"/>
      <c r="M911" s="2"/>
      <c r="N911" s="2"/>
      <c r="O911" s="2"/>
      <c r="P911" s="2"/>
      <c r="Q911" s="2"/>
      <c r="R911" s="2"/>
      <c r="S911" s="2"/>
      <c r="T911" s="2"/>
      <c r="U911" s="2"/>
      <c r="V911" s="2"/>
      <c r="W911" s="2"/>
      <c r="X911" s="2"/>
      <c r="Y911" s="2"/>
      <c r="Z911" s="2"/>
      <c r="AA911" s="2"/>
      <c r="AB911" s="2"/>
      <c r="AC911" s="2"/>
    </row>
    <row r="912" spans="7:29" x14ac:dyDescent="0.35">
      <c r="G912" s="2"/>
      <c r="H912" s="2"/>
      <c r="I912" s="2"/>
      <c r="J912" s="2"/>
      <c r="K912" s="2"/>
      <c r="L912" s="2"/>
      <c r="M912" s="2"/>
      <c r="N912" s="2"/>
      <c r="O912" s="2"/>
      <c r="P912" s="2"/>
      <c r="Q912" s="2"/>
      <c r="R912" s="2"/>
      <c r="S912" s="2"/>
      <c r="T912" s="2"/>
      <c r="U912" s="2"/>
      <c r="V912" s="2"/>
      <c r="W912" s="2"/>
      <c r="X912" s="2"/>
      <c r="Y912" s="2"/>
      <c r="Z912" s="2"/>
      <c r="AA912" s="2"/>
      <c r="AB912" s="2"/>
      <c r="AC912" s="2"/>
    </row>
    <row r="913" spans="7:29" x14ac:dyDescent="0.35">
      <c r="G913" s="2"/>
      <c r="H913" s="2"/>
      <c r="I913" s="2"/>
      <c r="J913" s="2"/>
      <c r="K913" s="2"/>
      <c r="L913" s="2"/>
      <c r="M913" s="2"/>
      <c r="N913" s="2"/>
      <c r="O913" s="2"/>
      <c r="P913" s="2"/>
      <c r="Q913" s="2"/>
      <c r="R913" s="2"/>
      <c r="S913" s="2"/>
      <c r="T913" s="2"/>
      <c r="U913" s="2"/>
      <c r="V913" s="2"/>
      <c r="W913" s="2"/>
      <c r="X913" s="2"/>
      <c r="Y913" s="2"/>
      <c r="Z913" s="2"/>
      <c r="AA913" s="2"/>
      <c r="AB913" s="2"/>
      <c r="AC913" s="2"/>
    </row>
    <row r="914" spans="7:29" x14ac:dyDescent="0.35">
      <c r="G914" s="2"/>
      <c r="H914" s="2"/>
      <c r="I914" s="2"/>
      <c r="J914" s="2"/>
      <c r="K914" s="2"/>
      <c r="L914" s="2"/>
      <c r="M914" s="2"/>
      <c r="N914" s="2"/>
      <c r="O914" s="2"/>
      <c r="P914" s="2"/>
      <c r="Q914" s="2"/>
      <c r="R914" s="2"/>
      <c r="S914" s="2"/>
      <c r="T914" s="2"/>
      <c r="U914" s="2"/>
      <c r="V914" s="2"/>
      <c r="W914" s="2"/>
      <c r="X914" s="2"/>
      <c r="Y914" s="2"/>
      <c r="Z914" s="2"/>
      <c r="AA914" s="2"/>
      <c r="AB914" s="2"/>
      <c r="AC914" s="2"/>
    </row>
    <row r="915" spans="7:29" x14ac:dyDescent="0.35">
      <c r="G915" s="2"/>
      <c r="H915" s="2"/>
      <c r="I915" s="2"/>
      <c r="J915" s="2"/>
      <c r="K915" s="2"/>
      <c r="L915" s="2"/>
      <c r="M915" s="2"/>
      <c r="N915" s="2"/>
      <c r="O915" s="2"/>
      <c r="P915" s="2"/>
      <c r="Q915" s="2"/>
      <c r="R915" s="2"/>
      <c r="S915" s="2"/>
      <c r="T915" s="2"/>
      <c r="U915" s="2"/>
      <c r="V915" s="2"/>
      <c r="W915" s="2"/>
      <c r="X915" s="2"/>
      <c r="Y915" s="2"/>
      <c r="Z915" s="2"/>
      <c r="AA915" s="2"/>
      <c r="AB915" s="2"/>
      <c r="AC915" s="2"/>
    </row>
    <row r="916" spans="7:29" x14ac:dyDescent="0.35">
      <c r="G916" s="2"/>
      <c r="H916" s="2"/>
      <c r="I916" s="2"/>
      <c r="J916" s="2"/>
      <c r="K916" s="2"/>
      <c r="L916" s="2"/>
      <c r="M916" s="2"/>
      <c r="N916" s="2"/>
      <c r="O916" s="2"/>
      <c r="P916" s="2"/>
      <c r="Q916" s="2"/>
      <c r="R916" s="2"/>
      <c r="S916" s="2"/>
      <c r="T916" s="2"/>
      <c r="U916" s="2"/>
      <c r="V916" s="2"/>
      <c r="W916" s="2"/>
      <c r="X916" s="2"/>
      <c r="Y916" s="2"/>
      <c r="Z916" s="2"/>
      <c r="AA916" s="2"/>
      <c r="AB916" s="2"/>
      <c r="AC916" s="2"/>
    </row>
    <row r="917" spans="7:29" x14ac:dyDescent="0.35">
      <c r="G917" s="2"/>
      <c r="H917" s="2"/>
      <c r="I917" s="2"/>
      <c r="J917" s="2"/>
      <c r="K917" s="2"/>
      <c r="L917" s="2"/>
      <c r="M917" s="2"/>
      <c r="N917" s="2"/>
      <c r="O917" s="2"/>
      <c r="P917" s="2"/>
      <c r="Q917" s="2"/>
      <c r="R917" s="2"/>
      <c r="S917" s="2"/>
      <c r="T917" s="2"/>
      <c r="U917" s="2"/>
      <c r="V917" s="2"/>
      <c r="W917" s="2"/>
      <c r="X917" s="2"/>
      <c r="Y917" s="2"/>
      <c r="Z917" s="2"/>
      <c r="AA917" s="2"/>
      <c r="AB917" s="2"/>
      <c r="AC917" s="2"/>
    </row>
    <row r="918" spans="7:29" x14ac:dyDescent="0.35">
      <c r="G918" s="2"/>
      <c r="H918" s="2"/>
      <c r="I918" s="2"/>
      <c r="J918" s="2"/>
      <c r="K918" s="2"/>
      <c r="L918" s="2"/>
      <c r="M918" s="2"/>
      <c r="N918" s="2"/>
      <c r="O918" s="2"/>
      <c r="P918" s="2"/>
      <c r="Q918" s="2"/>
      <c r="R918" s="2"/>
      <c r="S918" s="2"/>
      <c r="T918" s="2"/>
      <c r="U918" s="2"/>
      <c r="V918" s="2"/>
      <c r="W918" s="2"/>
      <c r="X918" s="2"/>
      <c r="Y918" s="2"/>
      <c r="Z918" s="2"/>
      <c r="AA918" s="2"/>
      <c r="AB918" s="2"/>
      <c r="AC918" s="2"/>
    </row>
    <row r="919" spans="7:29" x14ac:dyDescent="0.35">
      <c r="G919" s="2"/>
      <c r="H919" s="2"/>
      <c r="I919" s="2"/>
      <c r="J919" s="2"/>
      <c r="K919" s="2"/>
      <c r="L919" s="2"/>
      <c r="M919" s="2"/>
      <c r="N919" s="2"/>
      <c r="O919" s="2"/>
      <c r="P919" s="2"/>
      <c r="Q919" s="2"/>
      <c r="R919" s="2"/>
      <c r="S919" s="2"/>
      <c r="T919" s="2"/>
      <c r="U919" s="2"/>
      <c r="V919" s="2"/>
      <c r="W919" s="2"/>
      <c r="X919" s="2"/>
      <c r="Y919" s="2"/>
      <c r="Z919" s="2"/>
      <c r="AA919" s="2"/>
      <c r="AB919" s="2"/>
      <c r="AC919" s="2"/>
    </row>
    <row r="920" spans="7:29" x14ac:dyDescent="0.35">
      <c r="G920" s="2"/>
      <c r="H920" s="2"/>
      <c r="I920" s="2"/>
      <c r="J920" s="2"/>
      <c r="K920" s="2"/>
      <c r="L920" s="2"/>
      <c r="M920" s="2"/>
      <c r="N920" s="2"/>
      <c r="O920" s="2"/>
      <c r="P920" s="2"/>
      <c r="Q920" s="2"/>
      <c r="R920" s="2"/>
      <c r="S920" s="2"/>
      <c r="T920" s="2"/>
      <c r="U920" s="2"/>
      <c r="V920" s="2"/>
      <c r="W920" s="2"/>
      <c r="X920" s="2"/>
      <c r="Y920" s="2"/>
      <c r="Z920" s="2"/>
      <c r="AA920" s="2"/>
      <c r="AB920" s="2"/>
      <c r="AC920" s="2"/>
    </row>
    <row r="921" spans="7:29" x14ac:dyDescent="0.35">
      <c r="G921" s="2"/>
      <c r="H921" s="2"/>
      <c r="I921" s="2"/>
      <c r="J921" s="2"/>
      <c r="K921" s="2"/>
      <c r="L921" s="2"/>
      <c r="M921" s="2"/>
      <c r="N921" s="2"/>
      <c r="O921" s="2"/>
      <c r="P921" s="2"/>
      <c r="Q921" s="2"/>
      <c r="R921" s="2"/>
      <c r="S921" s="2"/>
      <c r="T921" s="2"/>
      <c r="U921" s="2"/>
      <c r="V921" s="2"/>
      <c r="W921" s="2"/>
      <c r="X921" s="2"/>
      <c r="Y921" s="2"/>
      <c r="Z921" s="2"/>
      <c r="AA921" s="2"/>
      <c r="AB921" s="2"/>
      <c r="AC921" s="2"/>
    </row>
    <row r="922" spans="7:29" x14ac:dyDescent="0.35">
      <c r="G922" s="2"/>
      <c r="H922" s="2"/>
      <c r="I922" s="2"/>
      <c r="J922" s="2"/>
      <c r="K922" s="2"/>
      <c r="L922" s="2"/>
      <c r="M922" s="2"/>
      <c r="N922" s="2"/>
      <c r="O922" s="2"/>
      <c r="P922" s="2"/>
      <c r="Q922" s="2"/>
      <c r="R922" s="2"/>
      <c r="S922" s="2"/>
      <c r="T922" s="2"/>
      <c r="U922" s="2"/>
      <c r="V922" s="2"/>
      <c r="W922" s="2"/>
      <c r="X922" s="2"/>
      <c r="Y922" s="2"/>
      <c r="Z922" s="2"/>
      <c r="AA922" s="2"/>
      <c r="AB922" s="2"/>
      <c r="AC922" s="2"/>
    </row>
    <row r="923" spans="7:29" x14ac:dyDescent="0.35">
      <c r="G923" s="2"/>
      <c r="H923" s="2"/>
      <c r="I923" s="2"/>
      <c r="J923" s="2"/>
      <c r="K923" s="2"/>
      <c r="L923" s="2"/>
      <c r="M923" s="2"/>
      <c r="N923" s="2"/>
      <c r="O923" s="2"/>
      <c r="P923" s="2"/>
      <c r="Q923" s="2"/>
      <c r="R923" s="2"/>
      <c r="S923" s="2"/>
      <c r="T923" s="2"/>
      <c r="U923" s="2"/>
      <c r="V923" s="2"/>
      <c r="W923" s="2"/>
      <c r="X923" s="2"/>
      <c r="Y923" s="2"/>
      <c r="Z923" s="2"/>
      <c r="AA923" s="2"/>
      <c r="AB923" s="2"/>
      <c r="AC923" s="2"/>
    </row>
    <row r="924" spans="7:29" x14ac:dyDescent="0.35">
      <c r="G924" s="2"/>
      <c r="H924" s="2"/>
      <c r="I924" s="2"/>
      <c r="J924" s="2"/>
      <c r="K924" s="2"/>
      <c r="L924" s="2"/>
      <c r="M924" s="2"/>
      <c r="N924" s="2"/>
      <c r="O924" s="2"/>
      <c r="P924" s="2"/>
      <c r="Q924" s="2"/>
      <c r="R924" s="2"/>
      <c r="S924" s="2"/>
      <c r="T924" s="2"/>
      <c r="U924" s="2"/>
      <c r="V924" s="2"/>
      <c r="W924" s="2"/>
      <c r="X924" s="2"/>
      <c r="Y924" s="2"/>
      <c r="Z924" s="2"/>
      <c r="AA924" s="2"/>
      <c r="AB924" s="2"/>
      <c r="AC924" s="2"/>
    </row>
    <row r="925" spans="7:29" x14ac:dyDescent="0.35">
      <c r="G925" s="2"/>
      <c r="H925" s="2"/>
      <c r="I925" s="2"/>
      <c r="J925" s="2"/>
      <c r="K925" s="2"/>
      <c r="L925" s="2"/>
      <c r="M925" s="2"/>
      <c r="N925" s="2"/>
      <c r="O925" s="2"/>
      <c r="P925" s="2"/>
      <c r="Q925" s="2"/>
      <c r="R925" s="2"/>
      <c r="S925" s="2"/>
      <c r="T925" s="2"/>
      <c r="U925" s="2"/>
      <c r="V925" s="2"/>
      <c r="W925" s="2"/>
      <c r="X925" s="2"/>
      <c r="Y925" s="2"/>
      <c r="Z925" s="2"/>
      <c r="AA925" s="2"/>
      <c r="AB925" s="2"/>
      <c r="AC925" s="2"/>
    </row>
    <row r="926" spans="7:29" x14ac:dyDescent="0.35">
      <c r="G926" s="2"/>
      <c r="H926" s="2"/>
      <c r="I926" s="2"/>
      <c r="J926" s="2"/>
      <c r="K926" s="2"/>
      <c r="L926" s="2"/>
      <c r="M926" s="2"/>
      <c r="N926" s="2"/>
      <c r="O926" s="2"/>
      <c r="P926" s="2"/>
      <c r="Q926" s="2"/>
      <c r="R926" s="2"/>
      <c r="S926" s="2"/>
      <c r="T926" s="2"/>
      <c r="U926" s="2"/>
      <c r="V926" s="2"/>
      <c r="W926" s="2"/>
      <c r="X926" s="2"/>
      <c r="Y926" s="2"/>
      <c r="Z926" s="2"/>
      <c r="AA926" s="2"/>
      <c r="AB926" s="2"/>
      <c r="AC926" s="2"/>
    </row>
    <row r="927" spans="7:29" x14ac:dyDescent="0.35">
      <c r="G927" s="2"/>
      <c r="H927" s="2"/>
      <c r="I927" s="2"/>
      <c r="J927" s="2"/>
      <c r="K927" s="2"/>
      <c r="L927" s="2"/>
      <c r="M927" s="2"/>
      <c r="N927" s="2"/>
      <c r="O927" s="2"/>
      <c r="P927" s="2"/>
      <c r="Q927" s="2"/>
      <c r="R927" s="2"/>
      <c r="S927" s="2"/>
      <c r="T927" s="2"/>
      <c r="U927" s="2"/>
      <c r="V927" s="2"/>
      <c r="W927" s="2"/>
      <c r="X927" s="2"/>
      <c r="Y927" s="2"/>
      <c r="Z927" s="2"/>
      <c r="AA927" s="2"/>
      <c r="AB927" s="2"/>
      <c r="AC927" s="2"/>
    </row>
    <row r="928" spans="7:29" x14ac:dyDescent="0.35">
      <c r="G928" s="2"/>
      <c r="H928" s="2"/>
      <c r="I928" s="2"/>
      <c r="J928" s="2"/>
      <c r="K928" s="2"/>
      <c r="L928" s="2"/>
      <c r="M928" s="2"/>
      <c r="N928" s="2"/>
      <c r="O928" s="2"/>
      <c r="P928" s="2"/>
      <c r="Q928" s="2"/>
      <c r="R928" s="2"/>
      <c r="S928" s="2"/>
      <c r="T928" s="2"/>
      <c r="U928" s="2"/>
      <c r="V928" s="2"/>
      <c r="W928" s="2"/>
      <c r="X928" s="2"/>
      <c r="Y928" s="2"/>
      <c r="Z928" s="2"/>
      <c r="AA928" s="2"/>
      <c r="AB928" s="2"/>
      <c r="AC928" s="2"/>
    </row>
    <row r="929" spans="7:29" x14ac:dyDescent="0.35">
      <c r="G929" s="2"/>
      <c r="H929" s="2"/>
      <c r="I929" s="2"/>
      <c r="J929" s="2"/>
      <c r="K929" s="2"/>
      <c r="L929" s="2"/>
      <c r="M929" s="2"/>
      <c r="N929" s="2"/>
      <c r="O929" s="2"/>
      <c r="P929" s="2"/>
      <c r="Q929" s="2"/>
      <c r="R929" s="2"/>
      <c r="S929" s="2"/>
      <c r="T929" s="2"/>
      <c r="U929" s="2"/>
      <c r="V929" s="2"/>
      <c r="W929" s="2"/>
      <c r="X929" s="2"/>
      <c r="Y929" s="2"/>
      <c r="Z929" s="2"/>
      <c r="AA929" s="2"/>
      <c r="AB929" s="2"/>
      <c r="AC929" s="2"/>
    </row>
    <row r="930" spans="7:29" x14ac:dyDescent="0.35">
      <c r="G930" s="2"/>
      <c r="H930" s="2"/>
      <c r="I930" s="2"/>
      <c r="J930" s="2"/>
      <c r="K930" s="2"/>
      <c r="L930" s="2"/>
      <c r="M930" s="2"/>
      <c r="N930" s="2"/>
      <c r="O930" s="2"/>
      <c r="P930" s="2"/>
      <c r="Q930" s="2"/>
      <c r="R930" s="2"/>
      <c r="S930" s="2"/>
      <c r="T930" s="2"/>
      <c r="U930" s="2"/>
      <c r="V930" s="2"/>
      <c r="W930" s="2"/>
      <c r="X930" s="2"/>
      <c r="Y930" s="2"/>
      <c r="Z930" s="2"/>
      <c r="AA930" s="2"/>
      <c r="AB930" s="2"/>
      <c r="AC930" s="2"/>
    </row>
    <row r="931" spans="7:29" x14ac:dyDescent="0.35">
      <c r="G931" s="2"/>
      <c r="H931" s="2"/>
      <c r="I931" s="2"/>
      <c r="J931" s="2"/>
      <c r="K931" s="2"/>
      <c r="L931" s="2"/>
      <c r="M931" s="2"/>
      <c r="N931" s="2"/>
      <c r="O931" s="2"/>
      <c r="P931" s="2"/>
      <c r="Q931" s="2"/>
      <c r="R931" s="2"/>
      <c r="S931" s="2"/>
      <c r="T931" s="2"/>
      <c r="U931" s="2"/>
      <c r="V931" s="2"/>
      <c r="W931" s="2"/>
      <c r="X931" s="2"/>
      <c r="Y931" s="2"/>
      <c r="Z931" s="2"/>
      <c r="AA931" s="2"/>
      <c r="AB931" s="2"/>
      <c r="AC931" s="2"/>
    </row>
    <row r="932" spans="7:29" x14ac:dyDescent="0.35">
      <c r="G932" s="2"/>
      <c r="H932" s="2"/>
      <c r="I932" s="2"/>
      <c r="J932" s="2"/>
      <c r="K932" s="2"/>
      <c r="L932" s="2"/>
      <c r="M932" s="2"/>
      <c r="N932" s="2"/>
      <c r="O932" s="2"/>
      <c r="P932" s="2"/>
      <c r="Q932" s="2"/>
      <c r="R932" s="2"/>
      <c r="S932" s="2"/>
      <c r="T932" s="2"/>
      <c r="U932" s="2"/>
      <c r="V932" s="2"/>
      <c r="W932" s="2"/>
      <c r="X932" s="2"/>
      <c r="Y932" s="2"/>
      <c r="Z932" s="2"/>
      <c r="AA932" s="2"/>
      <c r="AB932" s="2"/>
      <c r="AC932" s="2"/>
    </row>
    <row r="933" spans="7:29" x14ac:dyDescent="0.35">
      <c r="G933" s="2"/>
      <c r="H933" s="2"/>
      <c r="I933" s="2"/>
      <c r="J933" s="2"/>
      <c r="K933" s="2"/>
      <c r="L933" s="2"/>
      <c r="M933" s="2"/>
      <c r="N933" s="2"/>
      <c r="O933" s="2"/>
      <c r="P933" s="2"/>
      <c r="Q933" s="2"/>
      <c r="R933" s="2"/>
      <c r="S933" s="2"/>
      <c r="T933" s="2"/>
      <c r="U933" s="2"/>
      <c r="V933" s="2"/>
      <c r="W933" s="2"/>
      <c r="X933" s="2"/>
      <c r="Y933" s="2"/>
      <c r="Z933" s="2"/>
      <c r="AA933" s="2"/>
      <c r="AB933" s="2"/>
      <c r="AC933" s="2"/>
    </row>
    <row r="934" spans="7:29" x14ac:dyDescent="0.35">
      <c r="G934" s="2"/>
      <c r="H934" s="2"/>
      <c r="I934" s="2"/>
      <c r="J934" s="2"/>
      <c r="K934" s="2"/>
      <c r="L934" s="2"/>
      <c r="M934" s="2"/>
      <c r="N934" s="2"/>
      <c r="O934" s="2"/>
      <c r="P934" s="2"/>
      <c r="Q934" s="2"/>
      <c r="R934" s="2"/>
      <c r="S934" s="2"/>
      <c r="T934" s="2"/>
      <c r="U934" s="2"/>
      <c r="V934" s="2"/>
      <c r="W934" s="2"/>
      <c r="X934" s="2"/>
      <c r="Y934" s="2"/>
      <c r="Z934" s="2"/>
      <c r="AA934" s="2"/>
      <c r="AB934" s="2"/>
      <c r="AC934" s="2"/>
    </row>
    <row r="935" spans="7:29" x14ac:dyDescent="0.35">
      <c r="G935" s="2"/>
      <c r="H935" s="2"/>
      <c r="I935" s="2"/>
      <c r="J935" s="2"/>
      <c r="K935" s="2"/>
      <c r="L935" s="2"/>
      <c r="M935" s="2"/>
      <c r="N935" s="2"/>
      <c r="O935" s="2"/>
      <c r="P935" s="2"/>
      <c r="Q935" s="2"/>
      <c r="R935" s="2"/>
      <c r="S935" s="2"/>
      <c r="T935" s="2"/>
      <c r="U935" s="2"/>
      <c r="V935" s="2"/>
      <c r="W935" s="2"/>
      <c r="X935" s="2"/>
      <c r="Y935" s="2"/>
      <c r="Z935" s="2"/>
      <c r="AA935" s="2"/>
      <c r="AB935" s="2"/>
      <c r="AC935" s="2"/>
    </row>
    <row r="936" spans="7:29" x14ac:dyDescent="0.35">
      <c r="G936" s="2"/>
      <c r="H936" s="2"/>
      <c r="I936" s="2"/>
      <c r="J936" s="2"/>
      <c r="K936" s="2"/>
      <c r="L936" s="2"/>
      <c r="M936" s="2"/>
      <c r="N936" s="2"/>
      <c r="O936" s="2"/>
      <c r="P936" s="2"/>
      <c r="Q936" s="2"/>
      <c r="R936" s="2"/>
      <c r="S936" s="2"/>
      <c r="T936" s="2"/>
      <c r="U936" s="2"/>
      <c r="V936" s="2"/>
      <c r="W936" s="2"/>
      <c r="X936" s="2"/>
      <c r="Y936" s="2"/>
      <c r="Z936" s="2"/>
      <c r="AA936" s="2"/>
      <c r="AB936" s="2"/>
      <c r="AC936" s="2"/>
    </row>
    <row r="937" spans="7:29" x14ac:dyDescent="0.35">
      <c r="G937" s="2"/>
      <c r="H937" s="2"/>
      <c r="I937" s="2"/>
      <c r="J937" s="2"/>
      <c r="K937" s="2"/>
      <c r="L937" s="2"/>
      <c r="M937" s="2"/>
      <c r="N937" s="2"/>
      <c r="O937" s="2"/>
      <c r="P937" s="2"/>
      <c r="Q937" s="2"/>
      <c r="R937" s="2"/>
      <c r="S937" s="2"/>
      <c r="T937" s="2"/>
      <c r="U937" s="2"/>
      <c r="V937" s="2"/>
      <c r="W937" s="2"/>
      <c r="X937" s="2"/>
      <c r="Y937" s="2"/>
      <c r="Z937" s="2"/>
      <c r="AA937" s="2"/>
      <c r="AB937" s="2"/>
      <c r="AC937" s="2"/>
    </row>
    <row r="938" spans="7:29" x14ac:dyDescent="0.35">
      <c r="G938" s="2"/>
      <c r="H938" s="2"/>
      <c r="I938" s="2"/>
      <c r="J938" s="2"/>
      <c r="K938" s="2"/>
      <c r="L938" s="2"/>
      <c r="M938" s="2"/>
      <c r="N938" s="2"/>
      <c r="O938" s="2"/>
      <c r="P938" s="2"/>
      <c r="Q938" s="2"/>
      <c r="R938" s="2"/>
      <c r="S938" s="2"/>
      <c r="T938" s="2"/>
      <c r="U938" s="2"/>
      <c r="V938" s="2"/>
      <c r="W938" s="2"/>
      <c r="X938" s="2"/>
      <c r="Y938" s="2"/>
      <c r="Z938" s="2"/>
      <c r="AA938" s="2"/>
      <c r="AB938" s="2"/>
      <c r="AC938" s="2"/>
    </row>
    <row r="939" spans="7:29" x14ac:dyDescent="0.35">
      <c r="G939" s="2"/>
      <c r="H939" s="2"/>
      <c r="I939" s="2"/>
      <c r="J939" s="2"/>
      <c r="K939" s="2"/>
      <c r="L939" s="2"/>
      <c r="M939" s="2"/>
      <c r="N939" s="2"/>
      <c r="O939" s="2"/>
      <c r="P939" s="2"/>
      <c r="Q939" s="2"/>
      <c r="R939" s="2"/>
      <c r="S939" s="2"/>
      <c r="T939" s="2"/>
      <c r="U939" s="2"/>
      <c r="V939" s="2"/>
      <c r="W939" s="2"/>
      <c r="X939" s="2"/>
      <c r="Y939" s="2"/>
      <c r="Z939" s="2"/>
      <c r="AA939" s="2"/>
      <c r="AB939" s="2"/>
      <c r="AC939" s="2"/>
    </row>
    <row r="940" spans="7:29" x14ac:dyDescent="0.35">
      <c r="G940" s="2"/>
      <c r="H940" s="2"/>
      <c r="I940" s="2"/>
      <c r="J940" s="2"/>
      <c r="K940" s="2"/>
      <c r="L940" s="2"/>
      <c r="M940" s="2"/>
      <c r="N940" s="2"/>
      <c r="O940" s="2"/>
      <c r="P940" s="2"/>
      <c r="Q940" s="2"/>
      <c r="R940" s="2"/>
      <c r="S940" s="2"/>
      <c r="T940" s="2"/>
      <c r="U940" s="2"/>
      <c r="V940" s="2"/>
      <c r="W940" s="2"/>
      <c r="X940" s="2"/>
      <c r="Y940" s="2"/>
      <c r="Z940" s="2"/>
      <c r="AA940" s="2"/>
      <c r="AB940" s="2"/>
      <c r="AC940" s="2"/>
    </row>
    <row r="941" spans="7:29" x14ac:dyDescent="0.35">
      <c r="G941" s="2"/>
      <c r="H941" s="2"/>
      <c r="I941" s="2"/>
      <c r="J941" s="2"/>
      <c r="K941" s="2"/>
      <c r="L941" s="2"/>
      <c r="M941" s="2"/>
      <c r="N941" s="2"/>
      <c r="O941" s="2"/>
      <c r="P941" s="2"/>
      <c r="Q941" s="2"/>
      <c r="R941" s="2"/>
      <c r="S941" s="2"/>
      <c r="T941" s="2"/>
      <c r="U941" s="2"/>
      <c r="V941" s="2"/>
      <c r="W941" s="2"/>
      <c r="X941" s="2"/>
      <c r="Y941" s="2"/>
      <c r="Z941" s="2"/>
      <c r="AA941" s="2"/>
      <c r="AB941" s="2"/>
      <c r="AC941" s="2"/>
    </row>
    <row r="942" spans="7:29" x14ac:dyDescent="0.35">
      <c r="G942" s="2"/>
      <c r="H942" s="2"/>
      <c r="I942" s="2"/>
      <c r="J942" s="2"/>
      <c r="K942" s="2"/>
      <c r="L942" s="2"/>
      <c r="M942" s="2"/>
      <c r="N942" s="2"/>
      <c r="O942" s="2"/>
      <c r="P942" s="2"/>
      <c r="Q942" s="2"/>
      <c r="R942" s="2"/>
      <c r="S942" s="2"/>
      <c r="T942" s="2"/>
      <c r="U942" s="2"/>
      <c r="V942" s="2"/>
      <c r="W942" s="2"/>
      <c r="X942" s="2"/>
      <c r="Y942" s="2"/>
      <c r="Z942" s="2"/>
      <c r="AA942" s="2"/>
      <c r="AB942" s="2"/>
      <c r="AC942" s="2"/>
    </row>
    <row r="943" spans="7:29" x14ac:dyDescent="0.35">
      <c r="G943" s="2"/>
      <c r="H943" s="2"/>
      <c r="I943" s="2"/>
      <c r="J943" s="2"/>
      <c r="K943" s="2"/>
      <c r="L943" s="2"/>
      <c r="M943" s="2"/>
      <c r="N943" s="2"/>
      <c r="O943" s="2"/>
      <c r="P943" s="2"/>
      <c r="Q943" s="2"/>
      <c r="R943" s="2"/>
      <c r="S943" s="2"/>
      <c r="T943" s="2"/>
      <c r="U943" s="2"/>
      <c r="V943" s="2"/>
      <c r="W943" s="2"/>
      <c r="X943" s="2"/>
      <c r="Y943" s="2"/>
      <c r="Z943" s="2"/>
      <c r="AA943" s="2"/>
      <c r="AB943" s="2"/>
      <c r="AC943" s="2"/>
    </row>
    <row r="944" spans="7:29" x14ac:dyDescent="0.35">
      <c r="G944" s="2"/>
      <c r="H944" s="2"/>
      <c r="I944" s="2"/>
      <c r="J944" s="2"/>
      <c r="K944" s="2"/>
      <c r="L944" s="2"/>
      <c r="M944" s="2"/>
      <c r="N944" s="2"/>
      <c r="O944" s="2"/>
      <c r="P944" s="2"/>
      <c r="Q944" s="2"/>
      <c r="R944" s="2"/>
      <c r="S944" s="2"/>
      <c r="T944" s="2"/>
      <c r="U944" s="2"/>
      <c r="V944" s="2"/>
      <c r="W944" s="2"/>
      <c r="X944" s="2"/>
      <c r="Y944" s="2"/>
      <c r="Z944" s="2"/>
      <c r="AA944" s="2"/>
      <c r="AB944" s="2"/>
      <c r="AC944" s="2"/>
    </row>
    <row r="945" spans="7:29" x14ac:dyDescent="0.35">
      <c r="G945" s="2"/>
      <c r="H945" s="2"/>
      <c r="I945" s="2"/>
      <c r="J945" s="2"/>
      <c r="K945" s="2"/>
      <c r="L945" s="2"/>
      <c r="M945" s="2"/>
      <c r="N945" s="2"/>
      <c r="O945" s="2"/>
      <c r="P945" s="2"/>
      <c r="Q945" s="2"/>
      <c r="R945" s="2"/>
      <c r="S945" s="2"/>
      <c r="T945" s="2"/>
      <c r="U945" s="2"/>
      <c r="V945" s="2"/>
      <c r="W945" s="2"/>
      <c r="X945" s="2"/>
      <c r="Y945" s="2"/>
      <c r="Z945" s="2"/>
      <c r="AA945" s="2"/>
      <c r="AB945" s="2"/>
      <c r="AC945" s="2"/>
    </row>
    <row r="946" spans="7:29" x14ac:dyDescent="0.35">
      <c r="G946" s="2"/>
      <c r="H946" s="2"/>
      <c r="I946" s="2"/>
      <c r="J946" s="2"/>
      <c r="K946" s="2"/>
      <c r="L946" s="2"/>
      <c r="M946" s="2"/>
      <c r="N946" s="2"/>
      <c r="O946" s="2"/>
      <c r="P946" s="2"/>
      <c r="Q946" s="2"/>
      <c r="R946" s="2"/>
      <c r="S946" s="2"/>
      <c r="T946" s="2"/>
      <c r="U946" s="2"/>
      <c r="V946" s="2"/>
      <c r="W946" s="2"/>
      <c r="X946" s="2"/>
      <c r="Y946" s="2"/>
      <c r="Z946" s="2"/>
      <c r="AA946" s="2"/>
      <c r="AB946" s="2"/>
      <c r="AC946" s="2"/>
    </row>
    <row r="947" spans="7:29" x14ac:dyDescent="0.35">
      <c r="G947" s="2"/>
      <c r="H947" s="2"/>
      <c r="I947" s="2"/>
      <c r="J947" s="2"/>
      <c r="K947" s="2"/>
      <c r="L947" s="2"/>
      <c r="M947" s="2"/>
      <c r="N947" s="2"/>
      <c r="O947" s="2"/>
      <c r="P947" s="2"/>
      <c r="Q947" s="2"/>
      <c r="R947" s="2"/>
      <c r="S947" s="2"/>
      <c r="T947" s="2"/>
      <c r="U947" s="2"/>
      <c r="V947" s="2"/>
      <c r="W947" s="2"/>
      <c r="X947" s="2"/>
      <c r="Y947" s="2"/>
      <c r="Z947" s="2"/>
      <c r="AA947" s="2"/>
      <c r="AB947" s="2"/>
      <c r="AC947" s="2"/>
    </row>
    <row r="948" spans="7:29" x14ac:dyDescent="0.35">
      <c r="G948" s="2"/>
      <c r="H948" s="2"/>
      <c r="I948" s="2"/>
      <c r="J948" s="2"/>
      <c r="K948" s="2"/>
      <c r="L948" s="2"/>
      <c r="M948" s="2"/>
      <c r="N948" s="2"/>
      <c r="O948" s="2"/>
      <c r="P948" s="2"/>
      <c r="Q948" s="2"/>
      <c r="R948" s="2"/>
      <c r="S948" s="2"/>
      <c r="T948" s="2"/>
      <c r="U948" s="2"/>
      <c r="V948" s="2"/>
      <c r="W948" s="2"/>
      <c r="X948" s="2"/>
      <c r="Y948" s="2"/>
      <c r="Z948" s="2"/>
      <c r="AA948" s="2"/>
      <c r="AB948" s="2"/>
      <c r="AC948" s="2"/>
    </row>
    <row r="949" spans="7:29" x14ac:dyDescent="0.35">
      <c r="G949" s="2"/>
      <c r="H949" s="2"/>
      <c r="I949" s="2"/>
      <c r="J949" s="2"/>
      <c r="K949" s="2"/>
      <c r="L949" s="2"/>
      <c r="M949" s="2"/>
      <c r="N949" s="2"/>
      <c r="O949" s="2"/>
      <c r="P949" s="2"/>
      <c r="Q949" s="2"/>
      <c r="R949" s="2"/>
      <c r="S949" s="2"/>
      <c r="T949" s="2"/>
      <c r="U949" s="2"/>
      <c r="V949" s="2"/>
      <c r="W949" s="2"/>
      <c r="X949" s="2"/>
      <c r="Y949" s="2"/>
      <c r="Z949" s="2"/>
      <c r="AA949" s="2"/>
      <c r="AB949" s="2"/>
      <c r="AC949" s="2"/>
    </row>
    <row r="950" spans="7:29" x14ac:dyDescent="0.35">
      <c r="G950" s="2"/>
      <c r="H950" s="2"/>
      <c r="I950" s="2"/>
      <c r="J950" s="2"/>
      <c r="K950" s="2"/>
      <c r="L950" s="2"/>
      <c r="M950" s="2"/>
      <c r="N950" s="2"/>
      <c r="O950" s="2"/>
      <c r="P950" s="2"/>
      <c r="Q950" s="2"/>
      <c r="R950" s="2"/>
      <c r="S950" s="2"/>
      <c r="T950" s="2"/>
      <c r="U950" s="2"/>
      <c r="V950" s="2"/>
      <c r="W950" s="2"/>
      <c r="X950" s="2"/>
      <c r="Y950" s="2"/>
      <c r="Z950" s="2"/>
      <c r="AA950" s="2"/>
      <c r="AB950" s="2"/>
      <c r="AC950" s="2"/>
    </row>
    <row r="951" spans="7:29" x14ac:dyDescent="0.35">
      <c r="G951" s="2"/>
      <c r="H951" s="2"/>
      <c r="I951" s="2"/>
      <c r="J951" s="2"/>
      <c r="K951" s="2"/>
      <c r="L951" s="2"/>
      <c r="M951" s="2"/>
      <c r="N951" s="2"/>
      <c r="O951" s="2"/>
      <c r="P951" s="2"/>
      <c r="Q951" s="2"/>
      <c r="R951" s="2"/>
      <c r="S951" s="2"/>
      <c r="T951" s="2"/>
      <c r="U951" s="2"/>
      <c r="V951" s="2"/>
      <c r="W951" s="2"/>
      <c r="X951" s="2"/>
      <c r="Y951" s="2"/>
      <c r="Z951" s="2"/>
      <c r="AA951" s="2"/>
      <c r="AB951" s="2"/>
      <c r="AC951" s="2"/>
    </row>
    <row r="952" spans="7:29" x14ac:dyDescent="0.35">
      <c r="G952" s="2"/>
      <c r="H952" s="2"/>
      <c r="I952" s="2"/>
      <c r="J952" s="2"/>
      <c r="K952" s="2"/>
      <c r="L952" s="2"/>
      <c r="M952" s="2"/>
      <c r="N952" s="2"/>
      <c r="O952" s="2"/>
      <c r="P952" s="2"/>
      <c r="Q952" s="2"/>
      <c r="R952" s="2"/>
      <c r="S952" s="2"/>
      <c r="T952" s="2"/>
      <c r="U952" s="2"/>
      <c r="V952" s="2"/>
      <c r="W952" s="2"/>
      <c r="X952" s="2"/>
      <c r="Y952" s="2"/>
      <c r="Z952" s="2"/>
      <c r="AA952" s="2"/>
      <c r="AB952" s="2"/>
      <c r="AC952" s="2"/>
    </row>
    <row r="953" spans="7:29" x14ac:dyDescent="0.35">
      <c r="G953" s="2"/>
      <c r="H953" s="2"/>
      <c r="I953" s="2"/>
      <c r="J953" s="2"/>
      <c r="K953" s="2"/>
      <c r="L953" s="2"/>
      <c r="M953" s="2"/>
      <c r="N953" s="2"/>
      <c r="O953" s="2"/>
      <c r="P953" s="2"/>
      <c r="Q953" s="2"/>
      <c r="R953" s="2"/>
      <c r="S953" s="2"/>
      <c r="T953" s="2"/>
      <c r="U953" s="2"/>
      <c r="V953" s="2"/>
      <c r="W953" s="2"/>
      <c r="X953" s="2"/>
      <c r="Y953" s="2"/>
      <c r="Z953" s="2"/>
      <c r="AA953" s="2"/>
      <c r="AB953" s="2"/>
      <c r="AC953" s="2"/>
    </row>
    <row r="954" spans="7:29" x14ac:dyDescent="0.35">
      <c r="G954" s="2"/>
      <c r="H954" s="2"/>
      <c r="I954" s="2"/>
      <c r="J954" s="2"/>
      <c r="K954" s="2"/>
      <c r="L954" s="2"/>
      <c r="M954" s="2"/>
      <c r="N954" s="2"/>
      <c r="O954" s="2"/>
      <c r="P954" s="2"/>
      <c r="Q954" s="2"/>
      <c r="R954" s="2"/>
      <c r="S954" s="2"/>
      <c r="T954" s="2"/>
      <c r="U954" s="2"/>
      <c r="V954" s="2"/>
      <c r="W954" s="2"/>
      <c r="X954" s="2"/>
      <c r="Y954" s="2"/>
      <c r="Z954" s="2"/>
      <c r="AA954" s="2"/>
      <c r="AB954" s="2"/>
      <c r="AC954" s="2"/>
    </row>
    <row r="955" spans="7:29" x14ac:dyDescent="0.35">
      <c r="G955" s="2"/>
      <c r="H955" s="2"/>
      <c r="I955" s="2"/>
      <c r="J955" s="2"/>
      <c r="K955" s="2"/>
      <c r="L955" s="2"/>
      <c r="M955" s="2"/>
      <c r="N955" s="2"/>
      <c r="O955" s="2"/>
      <c r="P955" s="2"/>
      <c r="Q955" s="2"/>
      <c r="R955" s="2"/>
      <c r="S955" s="2"/>
      <c r="T955" s="2"/>
      <c r="U955" s="2"/>
      <c r="V955" s="2"/>
      <c r="W955" s="2"/>
      <c r="X955" s="2"/>
      <c r="Y955" s="2"/>
      <c r="Z955" s="2"/>
      <c r="AA955" s="2"/>
      <c r="AB955" s="2"/>
      <c r="AC955" s="2"/>
    </row>
    <row r="956" spans="7:29" x14ac:dyDescent="0.35">
      <c r="G956" s="2"/>
      <c r="H956" s="2"/>
      <c r="I956" s="2"/>
      <c r="J956" s="2"/>
      <c r="K956" s="2"/>
      <c r="L956" s="2"/>
      <c r="M956" s="2"/>
      <c r="N956" s="2"/>
      <c r="O956" s="2"/>
      <c r="P956" s="2"/>
      <c r="Q956" s="2"/>
      <c r="R956" s="2"/>
      <c r="S956" s="2"/>
      <c r="T956" s="2"/>
      <c r="U956" s="2"/>
      <c r="V956" s="2"/>
      <c r="W956" s="2"/>
      <c r="X956" s="2"/>
      <c r="Y956" s="2"/>
      <c r="Z956" s="2"/>
      <c r="AA956" s="2"/>
      <c r="AB956" s="2"/>
      <c r="AC956" s="2"/>
    </row>
    <row r="957" spans="7:29" x14ac:dyDescent="0.35">
      <c r="G957" s="2"/>
      <c r="H957" s="2"/>
      <c r="I957" s="2"/>
      <c r="J957" s="2"/>
      <c r="K957" s="2"/>
      <c r="L957" s="2"/>
      <c r="M957" s="2"/>
      <c r="N957" s="2"/>
      <c r="O957" s="2"/>
      <c r="P957" s="2"/>
      <c r="Q957" s="2"/>
      <c r="R957" s="2"/>
      <c r="S957" s="2"/>
      <c r="T957" s="2"/>
      <c r="U957" s="2"/>
      <c r="V957" s="2"/>
      <c r="W957" s="2"/>
      <c r="X957" s="2"/>
      <c r="Y957" s="2"/>
      <c r="Z957" s="2"/>
      <c r="AA957" s="2"/>
      <c r="AB957" s="2"/>
      <c r="AC957" s="2"/>
    </row>
    <row r="958" spans="7:29" x14ac:dyDescent="0.35">
      <c r="G958" s="2"/>
      <c r="H958" s="2"/>
      <c r="I958" s="2"/>
      <c r="J958" s="2"/>
      <c r="K958" s="2"/>
      <c r="L958" s="2"/>
      <c r="M958" s="2"/>
      <c r="N958" s="2"/>
      <c r="O958" s="2"/>
      <c r="P958" s="2"/>
      <c r="Q958" s="2"/>
      <c r="R958" s="2"/>
      <c r="S958" s="2"/>
      <c r="T958" s="2"/>
      <c r="U958" s="2"/>
      <c r="V958" s="2"/>
      <c r="W958" s="2"/>
      <c r="X958" s="2"/>
      <c r="Y958" s="2"/>
      <c r="Z958" s="2"/>
      <c r="AA958" s="2"/>
      <c r="AB958" s="2"/>
      <c r="AC958" s="2"/>
    </row>
    <row r="959" spans="7:29" x14ac:dyDescent="0.35">
      <c r="G959" s="2"/>
      <c r="H959" s="2"/>
      <c r="I959" s="2"/>
      <c r="J959" s="2"/>
      <c r="K959" s="2"/>
      <c r="L959" s="2"/>
      <c r="M959" s="2"/>
      <c r="N959" s="2"/>
      <c r="O959" s="2"/>
      <c r="P959" s="2"/>
      <c r="Q959" s="2"/>
      <c r="R959" s="2"/>
      <c r="S959" s="2"/>
      <c r="T959" s="2"/>
      <c r="U959" s="2"/>
      <c r="V959" s="2"/>
      <c r="W959" s="2"/>
      <c r="X959" s="2"/>
      <c r="Y959" s="2"/>
      <c r="Z959" s="2"/>
      <c r="AA959" s="2"/>
      <c r="AB959" s="2"/>
      <c r="AC959" s="2"/>
    </row>
    <row r="960" spans="7:29" x14ac:dyDescent="0.35">
      <c r="G960" s="2"/>
      <c r="H960" s="2"/>
      <c r="I960" s="2"/>
      <c r="J960" s="2"/>
      <c r="K960" s="2"/>
      <c r="L960" s="2"/>
      <c r="M960" s="2"/>
      <c r="N960" s="2"/>
      <c r="O960" s="2"/>
      <c r="P960" s="2"/>
      <c r="Q960" s="2"/>
      <c r="R960" s="2"/>
      <c r="S960" s="2"/>
      <c r="T960" s="2"/>
      <c r="U960" s="2"/>
      <c r="V960" s="2"/>
      <c r="W960" s="2"/>
      <c r="X960" s="2"/>
      <c r="Y960" s="2"/>
      <c r="Z960" s="2"/>
      <c r="AA960" s="2"/>
      <c r="AB960" s="2"/>
      <c r="AC960" s="2"/>
    </row>
    <row r="961" spans="7:29" x14ac:dyDescent="0.35">
      <c r="G961" s="2"/>
      <c r="H961" s="2"/>
      <c r="I961" s="2"/>
      <c r="J961" s="2"/>
      <c r="K961" s="2"/>
      <c r="L961" s="2"/>
      <c r="M961" s="2"/>
      <c r="N961" s="2"/>
      <c r="O961" s="2"/>
      <c r="P961" s="2"/>
      <c r="Q961" s="2"/>
      <c r="R961" s="2"/>
      <c r="S961" s="2"/>
      <c r="T961" s="2"/>
      <c r="U961" s="2"/>
      <c r="V961" s="2"/>
      <c r="W961" s="2"/>
      <c r="X961" s="2"/>
      <c r="Y961" s="2"/>
      <c r="Z961" s="2"/>
      <c r="AA961" s="2"/>
      <c r="AB961" s="2"/>
      <c r="AC961" s="2"/>
    </row>
    <row r="962" spans="7:29" x14ac:dyDescent="0.35">
      <c r="G962" s="2"/>
      <c r="H962" s="2"/>
      <c r="I962" s="2"/>
      <c r="J962" s="2"/>
      <c r="K962" s="2"/>
      <c r="L962" s="2"/>
      <c r="M962" s="2"/>
      <c r="N962" s="2"/>
      <c r="O962" s="2"/>
      <c r="P962" s="2"/>
      <c r="Q962" s="2"/>
      <c r="R962" s="2"/>
      <c r="S962" s="2"/>
      <c r="T962" s="2"/>
      <c r="U962" s="2"/>
      <c r="V962" s="2"/>
      <c r="W962" s="2"/>
      <c r="X962" s="2"/>
      <c r="Y962" s="2"/>
      <c r="Z962" s="2"/>
      <c r="AA962" s="2"/>
      <c r="AB962" s="2"/>
      <c r="AC962" s="2"/>
    </row>
    <row r="963" spans="7:29" x14ac:dyDescent="0.35">
      <c r="G963" s="2"/>
      <c r="H963" s="2"/>
      <c r="I963" s="2"/>
      <c r="J963" s="2"/>
      <c r="K963" s="2"/>
      <c r="L963" s="2"/>
      <c r="M963" s="2"/>
      <c r="N963" s="2"/>
      <c r="O963" s="2"/>
      <c r="P963" s="2"/>
      <c r="Q963" s="2"/>
      <c r="R963" s="2"/>
      <c r="S963" s="2"/>
      <c r="T963" s="2"/>
      <c r="U963" s="2"/>
      <c r="V963" s="2"/>
      <c r="W963" s="2"/>
      <c r="X963" s="2"/>
      <c r="Y963" s="2"/>
      <c r="Z963" s="2"/>
      <c r="AA963" s="2"/>
      <c r="AB963" s="2"/>
      <c r="AC963" s="2"/>
    </row>
    <row r="964" spans="7:29" x14ac:dyDescent="0.35">
      <c r="G964" s="2"/>
      <c r="H964" s="2"/>
      <c r="I964" s="2"/>
      <c r="J964" s="2"/>
      <c r="K964" s="2"/>
      <c r="L964" s="2"/>
      <c r="M964" s="2"/>
      <c r="N964" s="2"/>
      <c r="O964" s="2"/>
      <c r="P964" s="2"/>
      <c r="Q964" s="2"/>
      <c r="R964" s="2"/>
      <c r="S964" s="2"/>
      <c r="T964" s="2"/>
      <c r="U964" s="2"/>
      <c r="V964" s="2"/>
      <c r="W964" s="2"/>
      <c r="X964" s="2"/>
      <c r="Y964" s="2"/>
      <c r="Z964" s="2"/>
      <c r="AA964" s="2"/>
      <c r="AB964" s="2"/>
      <c r="AC964" s="2"/>
    </row>
    <row r="965" spans="7:29" x14ac:dyDescent="0.35">
      <c r="G965" s="2"/>
      <c r="H965" s="2"/>
      <c r="I965" s="2"/>
      <c r="J965" s="2"/>
      <c r="K965" s="2"/>
      <c r="L965" s="2"/>
      <c r="M965" s="2"/>
      <c r="N965" s="2"/>
      <c r="O965" s="2"/>
      <c r="P965" s="2"/>
      <c r="Q965" s="2"/>
      <c r="R965" s="2"/>
      <c r="S965" s="2"/>
      <c r="T965" s="2"/>
      <c r="U965" s="2"/>
      <c r="V965" s="2"/>
      <c r="W965" s="2"/>
      <c r="X965" s="2"/>
      <c r="Y965" s="2"/>
      <c r="Z965" s="2"/>
      <c r="AA965" s="2"/>
      <c r="AB965" s="2"/>
      <c r="AC965" s="2"/>
    </row>
    <row r="966" spans="7:29" x14ac:dyDescent="0.35">
      <c r="G966" s="2"/>
      <c r="H966" s="2"/>
      <c r="I966" s="2"/>
      <c r="J966" s="2"/>
      <c r="K966" s="2"/>
      <c r="L966" s="2"/>
      <c r="M966" s="2"/>
      <c r="N966" s="2"/>
      <c r="O966" s="2"/>
      <c r="P966" s="2"/>
      <c r="Q966" s="2"/>
      <c r="R966" s="2"/>
      <c r="S966" s="2"/>
      <c r="T966" s="2"/>
      <c r="U966" s="2"/>
      <c r="V966" s="2"/>
      <c r="W966" s="2"/>
      <c r="X966" s="2"/>
      <c r="Y966" s="2"/>
      <c r="Z966" s="2"/>
      <c r="AA966" s="2"/>
      <c r="AB966" s="2"/>
      <c r="AC966" s="2"/>
    </row>
    <row r="967" spans="7:29" x14ac:dyDescent="0.35">
      <c r="G967" s="2"/>
      <c r="H967" s="2"/>
      <c r="I967" s="2"/>
      <c r="J967" s="2"/>
      <c r="K967" s="2"/>
      <c r="L967" s="2"/>
      <c r="M967" s="2"/>
      <c r="N967" s="2"/>
      <c r="O967" s="2"/>
      <c r="P967" s="2"/>
      <c r="Q967" s="2"/>
      <c r="R967" s="2"/>
      <c r="S967" s="2"/>
      <c r="T967" s="2"/>
      <c r="U967" s="2"/>
      <c r="V967" s="2"/>
      <c r="W967" s="2"/>
      <c r="X967" s="2"/>
      <c r="Y967" s="2"/>
      <c r="Z967" s="2"/>
      <c r="AA967" s="2"/>
      <c r="AB967" s="2"/>
      <c r="AC967" s="2"/>
    </row>
    <row r="968" spans="7:29" x14ac:dyDescent="0.35">
      <c r="G968" s="2"/>
      <c r="H968" s="2"/>
      <c r="I968" s="2"/>
      <c r="J968" s="2"/>
      <c r="K968" s="2"/>
      <c r="L968" s="2"/>
      <c r="M968" s="2"/>
      <c r="N968" s="2"/>
      <c r="O968" s="2"/>
      <c r="P968" s="2"/>
      <c r="Q968" s="2"/>
      <c r="R968" s="2"/>
      <c r="S968" s="2"/>
      <c r="T968" s="2"/>
      <c r="U968" s="2"/>
      <c r="V968" s="2"/>
      <c r="W968" s="2"/>
      <c r="X968" s="2"/>
      <c r="Y968" s="2"/>
      <c r="Z968" s="2"/>
      <c r="AA968" s="2"/>
      <c r="AB968" s="2"/>
      <c r="AC968" s="2"/>
    </row>
    <row r="969" spans="7:29" x14ac:dyDescent="0.35">
      <c r="G969" s="2"/>
      <c r="H969" s="2"/>
      <c r="I969" s="2"/>
      <c r="J969" s="2"/>
      <c r="K969" s="2"/>
      <c r="L969" s="2"/>
      <c r="M969" s="2"/>
      <c r="N969" s="2"/>
      <c r="O969" s="2"/>
      <c r="P969" s="2"/>
      <c r="Q969" s="2"/>
      <c r="R969" s="2"/>
      <c r="S969" s="2"/>
      <c r="T969" s="2"/>
      <c r="U969" s="2"/>
      <c r="V969" s="2"/>
      <c r="W969" s="2"/>
      <c r="X969" s="2"/>
      <c r="Y969" s="2"/>
      <c r="Z969" s="2"/>
      <c r="AA969" s="2"/>
      <c r="AB969" s="2"/>
      <c r="AC969" s="2"/>
    </row>
    <row r="970" spans="7:29" x14ac:dyDescent="0.35">
      <c r="G970" s="2"/>
      <c r="H970" s="2"/>
      <c r="I970" s="2"/>
      <c r="J970" s="2"/>
      <c r="K970" s="2"/>
      <c r="L970" s="2"/>
      <c r="M970" s="2"/>
      <c r="N970" s="2"/>
      <c r="O970" s="2"/>
      <c r="P970" s="2"/>
      <c r="Q970" s="2"/>
      <c r="R970" s="2"/>
      <c r="S970" s="2"/>
      <c r="T970" s="2"/>
      <c r="U970" s="2"/>
      <c r="V970" s="2"/>
      <c r="W970" s="2"/>
      <c r="X970" s="2"/>
      <c r="Y970" s="2"/>
      <c r="Z970" s="2"/>
      <c r="AA970" s="2"/>
      <c r="AB970" s="2"/>
      <c r="AC970" s="2"/>
    </row>
    <row r="971" spans="7:29" x14ac:dyDescent="0.35">
      <c r="G971" s="2"/>
      <c r="H971" s="2"/>
      <c r="I971" s="2"/>
      <c r="J971" s="2"/>
      <c r="K971" s="2"/>
      <c r="L971" s="2"/>
      <c r="M971" s="2"/>
      <c r="N971" s="2"/>
      <c r="O971" s="2"/>
      <c r="P971" s="2"/>
      <c r="Q971" s="2"/>
      <c r="R971" s="2"/>
      <c r="S971" s="2"/>
      <c r="T971" s="2"/>
      <c r="U971" s="2"/>
      <c r="V971" s="2"/>
      <c r="W971" s="2"/>
      <c r="X971" s="2"/>
      <c r="Y971" s="2"/>
      <c r="Z971" s="2"/>
      <c r="AA971" s="2"/>
      <c r="AB971" s="2"/>
      <c r="AC971" s="2"/>
    </row>
    <row r="972" spans="7:29" x14ac:dyDescent="0.35">
      <c r="G972" s="2"/>
      <c r="H972" s="2"/>
      <c r="I972" s="2"/>
      <c r="J972" s="2"/>
      <c r="K972" s="2"/>
      <c r="L972" s="2"/>
      <c r="M972" s="2"/>
      <c r="N972" s="2"/>
      <c r="O972" s="2"/>
      <c r="P972" s="2"/>
      <c r="Q972" s="2"/>
      <c r="R972" s="2"/>
      <c r="S972" s="2"/>
      <c r="T972" s="2"/>
      <c r="U972" s="2"/>
      <c r="V972" s="2"/>
      <c r="W972" s="2"/>
      <c r="X972" s="2"/>
      <c r="Y972" s="2"/>
      <c r="Z972" s="2"/>
      <c r="AA972" s="2"/>
      <c r="AB972" s="2"/>
      <c r="AC972" s="2"/>
    </row>
    <row r="973" spans="7:29" x14ac:dyDescent="0.35">
      <c r="G973" s="2"/>
      <c r="H973" s="2"/>
      <c r="I973" s="2"/>
      <c r="J973" s="2"/>
      <c r="K973" s="2"/>
      <c r="L973" s="2"/>
      <c r="M973" s="2"/>
      <c r="N973" s="2"/>
      <c r="O973" s="2"/>
      <c r="P973" s="2"/>
      <c r="Q973" s="2"/>
      <c r="R973" s="2"/>
      <c r="S973" s="2"/>
      <c r="T973" s="2"/>
      <c r="U973" s="2"/>
      <c r="V973" s="2"/>
      <c r="W973" s="2"/>
      <c r="X973" s="2"/>
      <c r="Y973" s="2"/>
      <c r="Z973" s="2"/>
      <c r="AA973" s="2"/>
      <c r="AB973" s="2"/>
      <c r="AC973" s="2"/>
    </row>
    <row r="974" spans="7:29" x14ac:dyDescent="0.35">
      <c r="G974" s="2"/>
      <c r="H974" s="2"/>
      <c r="I974" s="2"/>
      <c r="J974" s="2"/>
      <c r="K974" s="2"/>
      <c r="L974" s="2"/>
      <c r="M974" s="2"/>
      <c r="N974" s="2"/>
      <c r="O974" s="2"/>
      <c r="P974" s="2"/>
      <c r="Q974" s="2"/>
      <c r="R974" s="2"/>
      <c r="S974" s="2"/>
      <c r="T974" s="2"/>
      <c r="U974" s="2"/>
      <c r="V974" s="2"/>
      <c r="W974" s="2"/>
      <c r="X974" s="2"/>
      <c r="Y974" s="2"/>
      <c r="Z974" s="2"/>
      <c r="AA974" s="2"/>
      <c r="AB974" s="2"/>
      <c r="AC974" s="2"/>
    </row>
    <row r="975" spans="7:29" x14ac:dyDescent="0.35">
      <c r="G975" s="2"/>
      <c r="H975" s="2"/>
      <c r="I975" s="2"/>
      <c r="J975" s="2"/>
      <c r="K975" s="2"/>
      <c r="L975" s="2"/>
      <c r="M975" s="2"/>
      <c r="N975" s="2"/>
      <c r="O975" s="2"/>
      <c r="P975" s="2"/>
      <c r="Q975" s="2"/>
      <c r="R975" s="2"/>
      <c r="S975" s="2"/>
      <c r="T975" s="2"/>
      <c r="U975" s="2"/>
      <c r="V975" s="2"/>
      <c r="W975" s="2"/>
      <c r="X975" s="2"/>
      <c r="Y975" s="2"/>
      <c r="Z975" s="2"/>
      <c r="AA975" s="2"/>
      <c r="AB975" s="2"/>
      <c r="AC975" s="2"/>
    </row>
    <row r="976" spans="7:29" x14ac:dyDescent="0.35">
      <c r="G976" s="2"/>
      <c r="H976" s="2"/>
      <c r="I976" s="2"/>
      <c r="J976" s="2"/>
      <c r="K976" s="2"/>
      <c r="L976" s="2"/>
      <c r="M976" s="2"/>
      <c r="N976" s="2"/>
      <c r="O976" s="2"/>
      <c r="P976" s="2"/>
      <c r="Q976" s="2"/>
      <c r="R976" s="2"/>
      <c r="S976" s="2"/>
      <c r="T976" s="2"/>
      <c r="U976" s="2"/>
      <c r="V976" s="2"/>
      <c r="W976" s="2"/>
      <c r="X976" s="2"/>
      <c r="Y976" s="2"/>
      <c r="Z976" s="2"/>
      <c r="AA976" s="2"/>
      <c r="AB976" s="2"/>
      <c r="AC976" s="2"/>
    </row>
    <row r="977" spans="7:29" x14ac:dyDescent="0.35">
      <c r="G977" s="2"/>
      <c r="H977" s="2"/>
      <c r="I977" s="2"/>
      <c r="J977" s="2"/>
      <c r="K977" s="2"/>
      <c r="L977" s="2"/>
      <c r="M977" s="2"/>
      <c r="N977" s="2"/>
      <c r="O977" s="2"/>
      <c r="P977" s="2"/>
      <c r="Q977" s="2"/>
      <c r="R977" s="2"/>
      <c r="S977" s="2"/>
      <c r="T977" s="2"/>
      <c r="U977" s="2"/>
      <c r="V977" s="2"/>
      <c r="W977" s="2"/>
      <c r="X977" s="2"/>
      <c r="Y977" s="2"/>
      <c r="Z977" s="2"/>
      <c r="AA977" s="2"/>
      <c r="AB977" s="2"/>
      <c r="AC977" s="2"/>
    </row>
    <row r="978" spans="7:29" x14ac:dyDescent="0.35">
      <c r="G978" s="2"/>
      <c r="H978" s="2"/>
      <c r="I978" s="2"/>
      <c r="J978" s="2"/>
      <c r="K978" s="2"/>
      <c r="L978" s="2"/>
      <c r="M978" s="2"/>
      <c r="N978" s="2"/>
      <c r="O978" s="2"/>
      <c r="P978" s="2"/>
      <c r="Q978" s="2"/>
      <c r="R978" s="2"/>
      <c r="S978" s="2"/>
      <c r="T978" s="2"/>
      <c r="U978" s="2"/>
      <c r="V978" s="2"/>
      <c r="W978" s="2"/>
      <c r="X978" s="2"/>
      <c r="Y978" s="2"/>
      <c r="Z978" s="2"/>
      <c r="AA978" s="2"/>
      <c r="AB978" s="2"/>
      <c r="AC978" s="2"/>
    </row>
    <row r="979" spans="7:29" x14ac:dyDescent="0.35">
      <c r="G979" s="2"/>
      <c r="H979" s="2"/>
      <c r="I979" s="2"/>
      <c r="J979" s="2"/>
      <c r="K979" s="2"/>
      <c r="L979" s="2"/>
      <c r="M979" s="2"/>
      <c r="N979" s="2"/>
      <c r="O979" s="2"/>
      <c r="P979" s="2"/>
      <c r="Q979" s="2"/>
      <c r="R979" s="2"/>
      <c r="S979" s="2"/>
      <c r="T979" s="2"/>
      <c r="U979" s="2"/>
      <c r="V979" s="2"/>
      <c r="W979" s="2"/>
      <c r="X979" s="2"/>
      <c r="Y979" s="2"/>
      <c r="Z979" s="2"/>
      <c r="AA979" s="2"/>
      <c r="AB979" s="2"/>
      <c r="AC979" s="2"/>
    </row>
    <row r="980" spans="7:29" x14ac:dyDescent="0.35">
      <c r="G980" s="2"/>
      <c r="H980" s="2"/>
      <c r="I980" s="2"/>
      <c r="J980" s="2"/>
      <c r="K980" s="2"/>
      <c r="L980" s="2"/>
      <c r="M980" s="2"/>
      <c r="N980" s="2"/>
      <c r="O980" s="2"/>
      <c r="P980" s="2"/>
      <c r="Q980" s="2"/>
      <c r="R980" s="2"/>
      <c r="S980" s="2"/>
      <c r="T980" s="2"/>
      <c r="U980" s="2"/>
      <c r="V980" s="2"/>
      <c r="W980" s="2"/>
      <c r="X980" s="2"/>
      <c r="Y980" s="2"/>
      <c r="Z980" s="2"/>
      <c r="AA980" s="2"/>
      <c r="AB980" s="2"/>
      <c r="AC980" s="2"/>
    </row>
    <row r="981" spans="7:29" x14ac:dyDescent="0.35">
      <c r="G981" s="2"/>
      <c r="H981" s="2"/>
      <c r="I981" s="2"/>
      <c r="J981" s="2"/>
      <c r="K981" s="2"/>
      <c r="L981" s="2"/>
      <c r="M981" s="2"/>
      <c r="N981" s="2"/>
      <c r="O981" s="2"/>
      <c r="P981" s="2"/>
      <c r="Q981" s="2"/>
      <c r="R981" s="2"/>
      <c r="S981" s="2"/>
      <c r="T981" s="2"/>
      <c r="U981" s="2"/>
      <c r="V981" s="2"/>
      <c r="W981" s="2"/>
      <c r="X981" s="2"/>
      <c r="Y981" s="2"/>
      <c r="Z981" s="2"/>
      <c r="AA981" s="2"/>
      <c r="AB981" s="2"/>
      <c r="AC981" s="2"/>
    </row>
    <row r="982" spans="7:29" x14ac:dyDescent="0.35">
      <c r="G982" s="2"/>
      <c r="H982" s="2"/>
      <c r="I982" s="2"/>
      <c r="J982" s="2"/>
      <c r="K982" s="2"/>
      <c r="L982" s="2"/>
      <c r="M982" s="2"/>
      <c r="N982" s="2"/>
      <c r="O982" s="2"/>
      <c r="P982" s="2"/>
      <c r="Q982" s="2"/>
      <c r="R982" s="2"/>
      <c r="S982" s="2"/>
      <c r="T982" s="2"/>
      <c r="U982" s="2"/>
      <c r="V982" s="2"/>
      <c r="W982" s="2"/>
      <c r="X982" s="2"/>
      <c r="Y982" s="2"/>
      <c r="Z982" s="2"/>
      <c r="AA982" s="2"/>
      <c r="AB982" s="2"/>
      <c r="AC982" s="2"/>
    </row>
    <row r="983" spans="7:29" x14ac:dyDescent="0.35">
      <c r="G983" s="2"/>
      <c r="H983" s="2"/>
      <c r="I983" s="2"/>
      <c r="J983" s="2"/>
      <c r="K983" s="2"/>
      <c r="L983" s="2"/>
      <c r="M983" s="2"/>
      <c r="N983" s="2"/>
      <c r="O983" s="2"/>
      <c r="P983" s="2"/>
      <c r="Q983" s="2"/>
      <c r="R983" s="2"/>
      <c r="S983" s="2"/>
      <c r="T983" s="2"/>
      <c r="U983" s="2"/>
      <c r="V983" s="2"/>
      <c r="W983" s="2"/>
      <c r="X983" s="2"/>
      <c r="Y983" s="2"/>
      <c r="Z983" s="2"/>
      <c r="AA983" s="2"/>
      <c r="AB983" s="2"/>
      <c r="AC983" s="2"/>
    </row>
    <row r="984" spans="7:29" x14ac:dyDescent="0.35">
      <c r="G984" s="2"/>
      <c r="H984" s="2"/>
      <c r="I984" s="2"/>
      <c r="J984" s="2"/>
      <c r="K984" s="2"/>
      <c r="L984" s="2"/>
      <c r="M984" s="2"/>
      <c r="N984" s="2"/>
      <c r="O984" s="2"/>
      <c r="P984" s="2"/>
      <c r="Q984" s="2"/>
      <c r="R984" s="2"/>
      <c r="S984" s="2"/>
      <c r="T984" s="2"/>
      <c r="U984" s="2"/>
      <c r="V984" s="2"/>
      <c r="W984" s="2"/>
      <c r="X984" s="2"/>
      <c r="Y984" s="2"/>
      <c r="Z984" s="2"/>
      <c r="AA984" s="2"/>
      <c r="AB984" s="2"/>
      <c r="AC984" s="2"/>
    </row>
    <row r="985" spans="7:29" x14ac:dyDescent="0.35">
      <c r="G985" s="2"/>
      <c r="H985" s="2"/>
      <c r="I985" s="2"/>
      <c r="J985" s="2"/>
      <c r="K985" s="2"/>
      <c r="L985" s="2"/>
      <c r="M985" s="2"/>
      <c r="N985" s="2"/>
      <c r="O985" s="2"/>
      <c r="P985" s="2"/>
      <c r="Q985" s="2"/>
      <c r="R985" s="2"/>
      <c r="S985" s="2"/>
      <c r="T985" s="2"/>
      <c r="U985" s="2"/>
      <c r="V985" s="2"/>
      <c r="W985" s="2"/>
      <c r="X985" s="2"/>
      <c r="Y985" s="2"/>
      <c r="Z985" s="2"/>
      <c r="AA985" s="2"/>
      <c r="AB985" s="2"/>
      <c r="AC985" s="2"/>
    </row>
    <row r="986" spans="7:29" x14ac:dyDescent="0.35">
      <c r="G986" s="2"/>
      <c r="H986" s="2"/>
      <c r="I986" s="2"/>
      <c r="J986" s="2"/>
      <c r="K986" s="2"/>
      <c r="L986" s="2"/>
      <c r="M986" s="2"/>
      <c r="N986" s="2"/>
      <c r="O986" s="2"/>
      <c r="P986" s="2"/>
      <c r="Q986" s="2"/>
      <c r="R986" s="2"/>
      <c r="S986" s="2"/>
      <c r="T986" s="2"/>
      <c r="U986" s="2"/>
      <c r="V986" s="2"/>
      <c r="W986" s="2"/>
      <c r="X986" s="2"/>
      <c r="Y986" s="2"/>
      <c r="Z986" s="2"/>
      <c r="AA986" s="2"/>
      <c r="AB986" s="2"/>
      <c r="AC986" s="2"/>
    </row>
    <row r="987" spans="7:29" x14ac:dyDescent="0.35">
      <c r="G987" s="2"/>
      <c r="H987" s="2"/>
      <c r="I987" s="2"/>
      <c r="J987" s="2"/>
      <c r="K987" s="2"/>
      <c r="L987" s="2"/>
      <c r="M987" s="2"/>
      <c r="N987" s="2"/>
      <c r="O987" s="2"/>
      <c r="P987" s="2"/>
      <c r="Q987" s="2"/>
      <c r="R987" s="2"/>
      <c r="S987" s="2"/>
      <c r="T987" s="2"/>
      <c r="U987" s="2"/>
      <c r="V987" s="2"/>
      <c r="W987" s="2"/>
      <c r="X987" s="2"/>
      <c r="Y987" s="2"/>
      <c r="Z987" s="2"/>
      <c r="AA987" s="2"/>
      <c r="AB987" s="2"/>
      <c r="AC987" s="2"/>
    </row>
    <row r="988" spans="7:29" x14ac:dyDescent="0.35">
      <c r="G988" s="2"/>
      <c r="H988" s="2"/>
      <c r="I988" s="2"/>
      <c r="J988" s="2"/>
      <c r="K988" s="2"/>
      <c r="L988" s="2"/>
      <c r="M988" s="2"/>
      <c r="N988" s="2"/>
      <c r="O988" s="2"/>
      <c r="P988" s="2"/>
      <c r="Q988" s="2"/>
      <c r="R988" s="2"/>
      <c r="S988" s="2"/>
      <c r="T988" s="2"/>
      <c r="U988" s="2"/>
      <c r="V988" s="2"/>
      <c r="W988" s="2"/>
      <c r="X988" s="2"/>
      <c r="Y988" s="2"/>
      <c r="Z988" s="2"/>
      <c r="AA988" s="2"/>
      <c r="AB988" s="2"/>
      <c r="AC988" s="2"/>
    </row>
    <row r="989" spans="7:29" x14ac:dyDescent="0.35">
      <c r="G989" s="2"/>
      <c r="H989" s="2"/>
      <c r="I989" s="2"/>
      <c r="J989" s="2"/>
      <c r="K989" s="2"/>
      <c r="L989" s="2"/>
      <c r="M989" s="2"/>
      <c r="N989" s="2"/>
      <c r="O989" s="2"/>
      <c r="P989" s="2"/>
      <c r="Q989" s="2"/>
      <c r="R989" s="2"/>
      <c r="S989" s="2"/>
      <c r="T989" s="2"/>
      <c r="U989" s="2"/>
      <c r="V989" s="2"/>
      <c r="W989" s="2"/>
      <c r="X989" s="2"/>
      <c r="Y989" s="2"/>
      <c r="Z989" s="2"/>
      <c r="AA989" s="2"/>
      <c r="AB989" s="2"/>
      <c r="AC989" s="2"/>
    </row>
    <row r="990" spans="7:29" x14ac:dyDescent="0.35">
      <c r="G990" s="2"/>
      <c r="H990" s="2"/>
      <c r="I990" s="2"/>
      <c r="J990" s="2"/>
      <c r="K990" s="2"/>
      <c r="L990" s="2"/>
      <c r="M990" s="2"/>
      <c r="N990" s="2"/>
      <c r="O990" s="2"/>
      <c r="P990" s="2"/>
      <c r="Q990" s="2"/>
      <c r="R990" s="2"/>
      <c r="S990" s="2"/>
      <c r="T990" s="2"/>
      <c r="U990" s="2"/>
      <c r="V990" s="2"/>
      <c r="W990" s="2"/>
      <c r="X990" s="2"/>
      <c r="Y990" s="2"/>
      <c r="Z990" s="2"/>
      <c r="AA990" s="2"/>
      <c r="AB990" s="2"/>
      <c r="AC990" s="2"/>
    </row>
    <row r="991" spans="7:29" x14ac:dyDescent="0.35">
      <c r="G991" s="2"/>
      <c r="H991" s="2"/>
      <c r="I991" s="2"/>
      <c r="J991" s="2"/>
      <c r="K991" s="2"/>
      <c r="L991" s="2"/>
      <c r="M991" s="2"/>
      <c r="N991" s="2"/>
      <c r="O991" s="2"/>
      <c r="P991" s="2"/>
      <c r="Q991" s="2"/>
      <c r="R991" s="2"/>
      <c r="S991" s="2"/>
      <c r="T991" s="2"/>
      <c r="U991" s="2"/>
      <c r="V991" s="2"/>
      <c r="W991" s="2"/>
      <c r="X991" s="2"/>
      <c r="Y991" s="2"/>
      <c r="Z991" s="2"/>
      <c r="AA991" s="2"/>
      <c r="AB991" s="2"/>
      <c r="AC991" s="2"/>
    </row>
    <row r="992" spans="7:29" x14ac:dyDescent="0.35">
      <c r="G992" s="2"/>
      <c r="H992" s="2"/>
      <c r="I992" s="2"/>
      <c r="J992" s="2"/>
      <c r="K992" s="2"/>
      <c r="L992" s="2"/>
      <c r="M992" s="2"/>
      <c r="N992" s="2"/>
      <c r="O992" s="2"/>
      <c r="P992" s="2"/>
      <c r="Q992" s="2"/>
      <c r="R992" s="2"/>
      <c r="S992" s="2"/>
      <c r="T992" s="2"/>
      <c r="U992" s="2"/>
      <c r="V992" s="2"/>
      <c r="W992" s="2"/>
      <c r="X992" s="2"/>
      <c r="Y992" s="2"/>
      <c r="Z992" s="2"/>
      <c r="AA992" s="2"/>
      <c r="AB992" s="2"/>
      <c r="AC992" s="2"/>
    </row>
    <row r="993" spans="7:29" x14ac:dyDescent="0.35">
      <c r="G993" s="2"/>
      <c r="H993" s="2"/>
      <c r="I993" s="2"/>
      <c r="J993" s="2"/>
      <c r="K993" s="2"/>
      <c r="L993" s="2"/>
      <c r="M993" s="2"/>
      <c r="N993" s="2"/>
      <c r="O993" s="2"/>
      <c r="P993" s="2"/>
      <c r="Q993" s="2"/>
      <c r="R993" s="2"/>
      <c r="S993" s="2"/>
      <c r="T993" s="2"/>
      <c r="U993" s="2"/>
      <c r="V993" s="2"/>
      <c r="W993" s="2"/>
      <c r="X993" s="2"/>
      <c r="Y993" s="2"/>
      <c r="Z993" s="2"/>
      <c r="AA993" s="2"/>
      <c r="AB993" s="2"/>
      <c r="AC993" s="2"/>
    </row>
    <row r="994" spans="7:29" x14ac:dyDescent="0.35">
      <c r="G994" s="2"/>
      <c r="H994" s="2"/>
      <c r="I994" s="2"/>
      <c r="J994" s="2"/>
      <c r="K994" s="2"/>
      <c r="L994" s="2"/>
      <c r="M994" s="2"/>
      <c r="N994" s="2"/>
      <c r="O994" s="2"/>
      <c r="P994" s="2"/>
      <c r="Q994" s="2"/>
      <c r="R994" s="2"/>
      <c r="S994" s="2"/>
      <c r="T994" s="2"/>
      <c r="U994" s="2"/>
      <c r="V994" s="2"/>
      <c r="W994" s="2"/>
      <c r="X994" s="2"/>
      <c r="Y994" s="2"/>
      <c r="Z994" s="2"/>
      <c r="AA994" s="2"/>
      <c r="AB994" s="2"/>
      <c r="AC994" s="2"/>
    </row>
    <row r="995" spans="7:29" x14ac:dyDescent="0.35">
      <c r="G995" s="2"/>
      <c r="H995" s="2"/>
      <c r="I995" s="2"/>
      <c r="J995" s="2"/>
      <c r="K995" s="2"/>
      <c r="L995" s="2"/>
      <c r="M995" s="2"/>
      <c r="N995" s="2"/>
      <c r="O995" s="2"/>
      <c r="P995" s="2"/>
      <c r="Q995" s="2"/>
      <c r="R995" s="2"/>
      <c r="S995" s="2"/>
      <c r="T995" s="2"/>
      <c r="U995" s="2"/>
      <c r="V995" s="2"/>
      <c r="W995" s="2"/>
      <c r="X995" s="2"/>
      <c r="Y995" s="2"/>
      <c r="Z995" s="2"/>
      <c r="AA995" s="2"/>
      <c r="AB995" s="2"/>
      <c r="AC995" s="2"/>
    </row>
    <row r="996" spans="7:29" x14ac:dyDescent="0.35">
      <c r="G996" s="2"/>
      <c r="H996" s="2"/>
      <c r="I996" s="2"/>
      <c r="J996" s="2"/>
      <c r="K996" s="2"/>
      <c r="L996" s="2"/>
      <c r="M996" s="2"/>
      <c r="N996" s="2"/>
      <c r="O996" s="2"/>
      <c r="P996" s="2"/>
      <c r="Q996" s="2"/>
      <c r="R996" s="2"/>
      <c r="S996" s="2"/>
      <c r="T996" s="2"/>
      <c r="U996" s="2"/>
      <c r="V996" s="2"/>
      <c r="W996" s="2"/>
      <c r="X996" s="2"/>
      <c r="Y996" s="2"/>
      <c r="Z996" s="2"/>
      <c r="AA996" s="2"/>
      <c r="AB996" s="2"/>
      <c r="AC996" s="2"/>
    </row>
    <row r="997" spans="7:29" x14ac:dyDescent="0.35">
      <c r="G997" s="2"/>
      <c r="H997" s="2"/>
      <c r="I997" s="2"/>
      <c r="J997" s="2"/>
      <c r="K997" s="2"/>
      <c r="L997" s="2"/>
      <c r="M997" s="2"/>
      <c r="N997" s="2"/>
      <c r="O997" s="2"/>
      <c r="P997" s="2"/>
      <c r="Q997" s="2"/>
      <c r="R997" s="2"/>
      <c r="S997" s="2"/>
      <c r="T997" s="2"/>
      <c r="U997" s="2"/>
      <c r="V997" s="2"/>
      <c r="W997" s="2"/>
      <c r="X997" s="2"/>
      <c r="Y997" s="2"/>
      <c r="Z997" s="2"/>
      <c r="AA997" s="2"/>
      <c r="AB997" s="2"/>
      <c r="AC997" s="2"/>
    </row>
    <row r="998" spans="7:29" x14ac:dyDescent="0.35">
      <c r="G998" s="2"/>
      <c r="H998" s="2"/>
      <c r="I998" s="2"/>
      <c r="J998" s="2"/>
      <c r="K998" s="2"/>
      <c r="L998" s="2"/>
      <c r="M998" s="2"/>
      <c r="N998" s="2"/>
      <c r="O998" s="2"/>
      <c r="P998" s="2"/>
      <c r="Q998" s="2"/>
      <c r="R998" s="2"/>
      <c r="S998" s="2"/>
      <c r="T998" s="2"/>
      <c r="U998" s="2"/>
      <c r="V998" s="2"/>
      <c r="W998" s="2"/>
      <c r="X998" s="2"/>
      <c r="Y998" s="2"/>
      <c r="Z998" s="2"/>
      <c r="AA998" s="2"/>
      <c r="AB998" s="2"/>
      <c r="AC998" s="2"/>
    </row>
    <row r="999" spans="7:29" x14ac:dyDescent="0.35">
      <c r="G999" s="2"/>
      <c r="H999" s="2"/>
      <c r="I999" s="2"/>
      <c r="J999" s="2"/>
      <c r="K999" s="2"/>
      <c r="L999" s="2"/>
      <c r="M999" s="2"/>
      <c r="N999" s="2"/>
      <c r="O999" s="2"/>
      <c r="P999" s="2"/>
      <c r="Q999" s="2"/>
      <c r="R999" s="2"/>
      <c r="S999" s="2"/>
      <c r="T999" s="2"/>
      <c r="U999" s="2"/>
      <c r="V999" s="2"/>
      <c r="W999" s="2"/>
      <c r="X999" s="2"/>
      <c r="Y999" s="2"/>
      <c r="Z999" s="2"/>
      <c r="AA999" s="2"/>
      <c r="AB999" s="2"/>
      <c r="AC999" s="2"/>
    </row>
    <row r="1000" spans="7:29" x14ac:dyDescent="0.35">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row>
    <row r="1001" spans="7:29" x14ac:dyDescent="0.35">
      <c r="G1001" s="2"/>
      <c r="H1001" s="2"/>
      <c r="I1001" s="2"/>
      <c r="J1001" s="2"/>
      <c r="K1001" s="2"/>
      <c r="L1001" s="2"/>
      <c r="M1001" s="2"/>
      <c r="N1001" s="2"/>
      <c r="O1001" s="2"/>
      <c r="P1001" s="2"/>
      <c r="Q1001" s="2"/>
      <c r="R1001" s="2"/>
      <c r="S1001" s="2"/>
      <c r="T1001" s="2"/>
      <c r="U1001" s="2"/>
      <c r="V1001" s="2"/>
      <c r="W1001" s="2"/>
      <c r="X1001" s="2"/>
      <c r="Y1001" s="2"/>
      <c r="Z1001" s="2"/>
      <c r="AA1001" s="2"/>
      <c r="AB1001" s="2"/>
      <c r="AC1001" s="2"/>
    </row>
    <row r="1002" spans="7:29" x14ac:dyDescent="0.35">
      <c r="G1002" s="2"/>
      <c r="H1002" s="2"/>
      <c r="I1002" s="2"/>
      <c r="J1002" s="2"/>
      <c r="K1002" s="2"/>
      <c r="L1002" s="2"/>
      <c r="M1002" s="2"/>
      <c r="N1002" s="2"/>
      <c r="O1002" s="2"/>
      <c r="P1002" s="2"/>
      <c r="Q1002" s="2"/>
      <c r="R1002" s="2"/>
      <c r="S1002" s="2"/>
      <c r="T1002" s="2"/>
      <c r="U1002" s="2"/>
      <c r="V1002" s="2"/>
      <c r="W1002" s="2"/>
      <c r="X1002" s="2"/>
      <c r="Y1002" s="2"/>
      <c r="Z1002" s="2"/>
      <c r="AA1002" s="2"/>
      <c r="AB1002" s="2"/>
      <c r="AC1002" s="2"/>
    </row>
    <row r="1003" spans="7:29" x14ac:dyDescent="0.35">
      <c r="G1003" s="2"/>
      <c r="H1003" s="2"/>
      <c r="I1003" s="2"/>
      <c r="J1003" s="2"/>
      <c r="K1003" s="2"/>
      <c r="L1003" s="2"/>
      <c r="M1003" s="2"/>
      <c r="N1003" s="2"/>
      <c r="O1003" s="2"/>
      <c r="P1003" s="2"/>
      <c r="Q1003" s="2"/>
      <c r="R1003" s="2"/>
      <c r="S1003" s="2"/>
      <c r="T1003" s="2"/>
      <c r="U1003" s="2"/>
      <c r="V1003" s="2"/>
      <c r="W1003" s="2"/>
      <c r="X1003" s="2"/>
      <c r="Y1003" s="2"/>
      <c r="Z1003" s="2"/>
      <c r="AA1003" s="2"/>
      <c r="AB1003" s="2"/>
      <c r="AC1003" s="2"/>
    </row>
    <row r="1004" spans="7:29" x14ac:dyDescent="0.35">
      <c r="G1004" s="2"/>
      <c r="H1004" s="2"/>
      <c r="I1004" s="2"/>
      <c r="J1004" s="2"/>
      <c r="K1004" s="2"/>
      <c r="L1004" s="2"/>
      <c r="M1004" s="2"/>
      <c r="N1004" s="2"/>
      <c r="O1004" s="2"/>
      <c r="P1004" s="2"/>
      <c r="Q1004" s="2"/>
      <c r="R1004" s="2"/>
      <c r="S1004" s="2"/>
      <c r="T1004" s="2"/>
      <c r="U1004" s="2"/>
      <c r="V1004" s="2"/>
      <c r="W1004" s="2"/>
      <c r="X1004" s="2"/>
      <c r="Y1004" s="2"/>
      <c r="Z1004" s="2"/>
      <c r="AA1004" s="2"/>
      <c r="AB1004" s="2"/>
      <c r="AC1004" s="2"/>
    </row>
    <row r="1005" spans="7:29" x14ac:dyDescent="0.35">
      <c r="G1005" s="2"/>
      <c r="H1005" s="2"/>
      <c r="I1005" s="2"/>
      <c r="J1005" s="2"/>
      <c r="K1005" s="2"/>
      <c r="L1005" s="2"/>
      <c r="M1005" s="2"/>
      <c r="N1005" s="2"/>
      <c r="O1005" s="2"/>
      <c r="P1005" s="2"/>
      <c r="Q1005" s="2"/>
      <c r="R1005" s="2"/>
      <c r="S1005" s="2"/>
      <c r="T1005" s="2"/>
      <c r="U1005" s="2"/>
      <c r="V1005" s="2"/>
      <c r="W1005" s="2"/>
      <c r="X1005" s="2"/>
      <c r="Y1005" s="2"/>
      <c r="Z1005" s="2"/>
      <c r="AA1005" s="2"/>
      <c r="AB1005" s="2"/>
      <c r="AC1005" s="2"/>
    </row>
    <row r="1006" spans="7:29" x14ac:dyDescent="0.35">
      <c r="G1006" s="2"/>
      <c r="H1006" s="2"/>
      <c r="I1006" s="2"/>
      <c r="J1006" s="2"/>
      <c r="K1006" s="2"/>
      <c r="L1006" s="2"/>
      <c r="M1006" s="2"/>
      <c r="N1006" s="2"/>
      <c r="O1006" s="2"/>
      <c r="P1006" s="2"/>
      <c r="Q1006" s="2"/>
      <c r="R1006" s="2"/>
      <c r="S1006" s="2"/>
      <c r="T1006" s="2"/>
      <c r="U1006" s="2"/>
      <c r="V1006" s="2"/>
      <c r="W1006" s="2"/>
      <c r="X1006" s="2"/>
      <c r="Y1006" s="2"/>
      <c r="Z1006" s="2"/>
      <c r="AA1006" s="2"/>
      <c r="AB1006" s="2"/>
      <c r="AC1006" s="2"/>
    </row>
    <row r="1007" spans="7:29" x14ac:dyDescent="0.35">
      <c r="G1007" s="2"/>
      <c r="H1007" s="2"/>
      <c r="I1007" s="2"/>
      <c r="J1007" s="2"/>
      <c r="K1007" s="2"/>
      <c r="L1007" s="2"/>
      <c r="M1007" s="2"/>
      <c r="N1007" s="2"/>
      <c r="O1007" s="2"/>
      <c r="P1007" s="2"/>
      <c r="Q1007" s="2"/>
      <c r="R1007" s="2"/>
      <c r="S1007" s="2"/>
      <c r="T1007" s="2"/>
      <c r="U1007" s="2"/>
      <c r="V1007" s="2"/>
      <c r="W1007" s="2"/>
      <c r="X1007" s="2"/>
      <c r="Y1007" s="2"/>
      <c r="Z1007" s="2"/>
      <c r="AA1007" s="2"/>
      <c r="AB1007" s="2"/>
      <c r="AC1007" s="2"/>
    </row>
    <row r="1008" spans="7:29" x14ac:dyDescent="0.35">
      <c r="G1008" s="2"/>
      <c r="H1008" s="2"/>
      <c r="I1008" s="2"/>
      <c r="J1008" s="2"/>
      <c r="K1008" s="2"/>
      <c r="L1008" s="2"/>
      <c r="M1008" s="2"/>
      <c r="N1008" s="2"/>
      <c r="O1008" s="2"/>
      <c r="P1008" s="2"/>
      <c r="Q1008" s="2"/>
      <c r="R1008" s="2"/>
      <c r="S1008" s="2"/>
      <c r="T1008" s="2"/>
      <c r="U1008" s="2"/>
      <c r="V1008" s="2"/>
      <c r="W1008" s="2"/>
      <c r="X1008" s="2"/>
      <c r="Y1008" s="2"/>
      <c r="Z1008" s="2"/>
      <c r="AA1008" s="2"/>
      <c r="AB1008" s="2"/>
      <c r="AC1008" s="2"/>
    </row>
    <row r="1009" spans="7:29" x14ac:dyDescent="0.35">
      <c r="G1009" s="2"/>
      <c r="H1009" s="2"/>
      <c r="I1009" s="2"/>
      <c r="J1009" s="2"/>
      <c r="K1009" s="2"/>
      <c r="L1009" s="2"/>
      <c r="M1009" s="2"/>
      <c r="N1009" s="2"/>
      <c r="O1009" s="2"/>
      <c r="P1009" s="2"/>
      <c r="Q1009" s="2"/>
      <c r="R1009" s="2"/>
      <c r="S1009" s="2"/>
      <c r="T1009" s="2"/>
      <c r="U1009" s="2"/>
      <c r="V1009" s="2"/>
      <c r="W1009" s="2"/>
      <c r="X1009" s="2"/>
      <c r="Y1009" s="2"/>
      <c r="Z1009" s="2"/>
      <c r="AA1009" s="2"/>
      <c r="AB1009" s="2"/>
      <c r="AC1009" s="2"/>
    </row>
    <row r="1010" spans="7:29" x14ac:dyDescent="0.35">
      <c r="G1010" s="2"/>
      <c r="H1010" s="2"/>
      <c r="I1010" s="2"/>
      <c r="J1010" s="2"/>
      <c r="K1010" s="2"/>
      <c r="L1010" s="2"/>
      <c r="M1010" s="2"/>
      <c r="N1010" s="2"/>
      <c r="O1010" s="2"/>
      <c r="P1010" s="2"/>
      <c r="Q1010" s="2"/>
      <c r="R1010" s="2"/>
      <c r="S1010" s="2"/>
      <c r="T1010" s="2"/>
      <c r="U1010" s="2"/>
      <c r="V1010" s="2"/>
      <c r="W1010" s="2"/>
      <c r="X1010" s="2"/>
      <c r="Y1010" s="2"/>
      <c r="Z1010" s="2"/>
      <c r="AA1010" s="2"/>
      <c r="AB1010" s="2"/>
      <c r="AC1010" s="2"/>
    </row>
    <row r="1011" spans="7:29" x14ac:dyDescent="0.35">
      <c r="G1011" s="2"/>
      <c r="H1011" s="2"/>
      <c r="I1011" s="2"/>
      <c r="J1011" s="2"/>
      <c r="K1011" s="2"/>
      <c r="L1011" s="2"/>
      <c r="M1011" s="2"/>
      <c r="N1011" s="2"/>
      <c r="O1011" s="2"/>
      <c r="P1011" s="2"/>
      <c r="Q1011" s="2"/>
      <c r="R1011" s="2"/>
      <c r="S1011" s="2"/>
      <c r="T1011" s="2"/>
      <c r="U1011" s="2"/>
      <c r="V1011" s="2"/>
      <c r="W1011" s="2"/>
      <c r="X1011" s="2"/>
      <c r="Y1011" s="2"/>
      <c r="Z1011" s="2"/>
      <c r="AA1011" s="2"/>
      <c r="AB1011" s="2"/>
      <c r="AC1011" s="2"/>
    </row>
    <row r="1012" spans="7:29" x14ac:dyDescent="0.35">
      <c r="G1012" s="2"/>
      <c r="H1012" s="2"/>
      <c r="I1012" s="2"/>
      <c r="J1012" s="2"/>
      <c r="K1012" s="2"/>
      <c r="L1012" s="2"/>
      <c r="M1012" s="2"/>
      <c r="N1012" s="2"/>
      <c r="O1012" s="2"/>
      <c r="P1012" s="2"/>
      <c r="Q1012" s="2"/>
      <c r="R1012" s="2"/>
      <c r="S1012" s="2"/>
      <c r="T1012" s="2"/>
      <c r="U1012" s="2"/>
      <c r="V1012" s="2"/>
      <c r="W1012" s="2"/>
      <c r="X1012" s="2"/>
      <c r="Y1012" s="2"/>
      <c r="Z1012" s="2"/>
      <c r="AA1012" s="2"/>
      <c r="AB1012" s="2"/>
      <c r="AC1012" s="2"/>
    </row>
    <row r="1013" spans="7:29" x14ac:dyDescent="0.35">
      <c r="G1013" s="2"/>
      <c r="H1013" s="2"/>
      <c r="I1013" s="2"/>
      <c r="J1013" s="2"/>
      <c r="K1013" s="2"/>
      <c r="L1013" s="2"/>
      <c r="M1013" s="2"/>
      <c r="N1013" s="2"/>
      <c r="O1013" s="2"/>
      <c r="P1013" s="2"/>
      <c r="Q1013" s="2"/>
      <c r="R1013" s="2"/>
      <c r="S1013" s="2"/>
      <c r="T1013" s="2"/>
      <c r="U1013" s="2"/>
      <c r="V1013" s="2"/>
      <c r="W1013" s="2"/>
      <c r="X1013" s="2"/>
      <c r="Y1013" s="2"/>
      <c r="Z1013" s="2"/>
      <c r="AA1013" s="2"/>
      <c r="AB1013" s="2"/>
      <c r="AC1013" s="2"/>
    </row>
    <row r="1014" spans="7:29" x14ac:dyDescent="0.35">
      <c r="G1014" s="2"/>
      <c r="H1014" s="2"/>
      <c r="I1014" s="2"/>
      <c r="J1014" s="2"/>
      <c r="K1014" s="2"/>
      <c r="L1014" s="2"/>
      <c r="M1014" s="2"/>
      <c r="N1014" s="2"/>
      <c r="O1014" s="2"/>
      <c r="P1014" s="2"/>
      <c r="Q1014" s="2"/>
      <c r="R1014" s="2"/>
      <c r="S1014" s="2"/>
      <c r="T1014" s="2"/>
      <c r="U1014" s="2"/>
      <c r="V1014" s="2"/>
      <c r="W1014" s="2"/>
      <c r="X1014" s="2"/>
      <c r="Y1014" s="2"/>
      <c r="Z1014" s="2"/>
      <c r="AA1014" s="2"/>
      <c r="AB1014" s="2"/>
      <c r="AC1014" s="2"/>
    </row>
    <row r="1015" spans="7:29" x14ac:dyDescent="0.35">
      <c r="G1015" s="2"/>
      <c r="H1015" s="2"/>
      <c r="I1015" s="2"/>
      <c r="J1015" s="2"/>
      <c r="K1015" s="2"/>
      <c r="L1015" s="2"/>
      <c r="M1015" s="2"/>
      <c r="N1015" s="2"/>
      <c r="O1015" s="2"/>
      <c r="P1015" s="2"/>
      <c r="Q1015" s="2"/>
      <c r="R1015" s="2"/>
      <c r="S1015" s="2"/>
      <c r="T1015" s="2"/>
      <c r="U1015" s="2"/>
      <c r="V1015" s="2"/>
      <c r="W1015" s="2"/>
      <c r="X1015" s="2"/>
      <c r="Y1015" s="2"/>
      <c r="Z1015" s="2"/>
      <c r="AA1015" s="2"/>
      <c r="AB1015" s="2"/>
      <c r="AC1015" s="2"/>
    </row>
    <row r="1016" spans="7:29" x14ac:dyDescent="0.35">
      <c r="G1016" s="2"/>
      <c r="H1016" s="2"/>
      <c r="I1016" s="2"/>
      <c r="J1016" s="2"/>
      <c r="K1016" s="2"/>
      <c r="L1016" s="2"/>
      <c r="M1016" s="2"/>
      <c r="N1016" s="2"/>
      <c r="O1016" s="2"/>
      <c r="P1016" s="2"/>
      <c r="Q1016" s="2"/>
      <c r="R1016" s="2"/>
      <c r="S1016" s="2"/>
      <c r="T1016" s="2"/>
      <c r="U1016" s="2"/>
      <c r="V1016" s="2"/>
      <c r="W1016" s="2"/>
      <c r="X1016" s="2"/>
      <c r="Y1016" s="2"/>
      <c r="Z1016" s="2"/>
      <c r="AA1016" s="2"/>
      <c r="AB1016" s="2"/>
      <c r="AC1016" s="2"/>
    </row>
    <row r="1017" spans="7:29" x14ac:dyDescent="0.35">
      <c r="G1017" s="2"/>
      <c r="H1017" s="2"/>
      <c r="I1017" s="2"/>
      <c r="J1017" s="2"/>
      <c r="K1017" s="2"/>
      <c r="L1017" s="2"/>
      <c r="M1017" s="2"/>
      <c r="N1017" s="2"/>
      <c r="O1017" s="2"/>
      <c r="P1017" s="2"/>
      <c r="Q1017" s="2"/>
      <c r="R1017" s="2"/>
      <c r="S1017" s="2"/>
      <c r="T1017" s="2"/>
      <c r="U1017" s="2"/>
      <c r="V1017" s="2"/>
      <c r="W1017" s="2"/>
      <c r="X1017" s="2"/>
      <c r="Y1017" s="2"/>
      <c r="Z1017" s="2"/>
      <c r="AA1017" s="2"/>
      <c r="AB1017" s="2"/>
      <c r="AC1017" s="2"/>
    </row>
    <row r="1018" spans="7:29" x14ac:dyDescent="0.35">
      <c r="G1018" s="2"/>
      <c r="H1018" s="2"/>
      <c r="I1018" s="2"/>
      <c r="J1018" s="2"/>
      <c r="K1018" s="2"/>
      <c r="L1018" s="2"/>
      <c r="M1018" s="2"/>
      <c r="N1018" s="2"/>
      <c r="O1018" s="2"/>
      <c r="P1018" s="2"/>
      <c r="Q1018" s="2"/>
      <c r="R1018" s="2"/>
      <c r="S1018" s="2"/>
      <c r="T1018" s="2"/>
      <c r="U1018" s="2"/>
      <c r="V1018" s="2"/>
      <c r="W1018" s="2"/>
      <c r="X1018" s="2"/>
      <c r="Y1018" s="2"/>
      <c r="Z1018" s="2"/>
      <c r="AA1018" s="2"/>
      <c r="AB1018" s="2"/>
      <c r="AC1018" s="2"/>
    </row>
    <row r="1019" spans="7:29" x14ac:dyDescent="0.35">
      <c r="G1019" s="2"/>
      <c r="H1019" s="2"/>
      <c r="I1019" s="2"/>
      <c r="J1019" s="2"/>
      <c r="K1019" s="2"/>
      <c r="L1019" s="2"/>
      <c r="M1019" s="2"/>
      <c r="N1019" s="2"/>
      <c r="O1019" s="2"/>
      <c r="P1019" s="2"/>
      <c r="Q1019" s="2"/>
      <c r="R1019" s="2"/>
      <c r="S1019" s="2"/>
      <c r="T1019" s="2"/>
      <c r="U1019" s="2"/>
      <c r="V1019" s="2"/>
      <c r="W1019" s="2"/>
      <c r="X1019" s="2"/>
      <c r="Y1019" s="2"/>
      <c r="Z1019" s="2"/>
      <c r="AA1019" s="2"/>
      <c r="AB1019" s="2"/>
      <c r="AC1019" s="2"/>
    </row>
    <row r="1020" spans="7:29" x14ac:dyDescent="0.35">
      <c r="G1020" s="2"/>
      <c r="H1020" s="2"/>
      <c r="I1020" s="2"/>
      <c r="J1020" s="2"/>
      <c r="K1020" s="2"/>
      <c r="L1020" s="2"/>
      <c r="M1020" s="2"/>
      <c r="N1020" s="2"/>
      <c r="O1020" s="2"/>
      <c r="P1020" s="2"/>
      <c r="Q1020" s="2"/>
      <c r="R1020" s="2"/>
      <c r="S1020" s="2"/>
      <c r="T1020" s="2"/>
      <c r="U1020" s="2"/>
      <c r="V1020" s="2"/>
      <c r="W1020" s="2"/>
      <c r="X1020" s="2"/>
      <c r="Y1020" s="2"/>
      <c r="Z1020" s="2"/>
      <c r="AA1020" s="2"/>
      <c r="AB1020" s="2"/>
      <c r="AC1020" s="2"/>
    </row>
    <row r="1021" spans="7:29" x14ac:dyDescent="0.35">
      <c r="G1021" s="2"/>
      <c r="H1021" s="2"/>
      <c r="I1021" s="2"/>
      <c r="J1021" s="2"/>
      <c r="K1021" s="2"/>
      <c r="L1021" s="2"/>
      <c r="M1021" s="2"/>
      <c r="N1021" s="2"/>
      <c r="O1021" s="2"/>
      <c r="P1021" s="2"/>
      <c r="Q1021" s="2"/>
      <c r="R1021" s="2"/>
      <c r="S1021" s="2"/>
      <c r="T1021" s="2"/>
      <c r="U1021" s="2"/>
      <c r="V1021" s="2"/>
      <c r="W1021" s="2"/>
      <c r="X1021" s="2"/>
      <c r="Y1021" s="2"/>
      <c r="Z1021" s="2"/>
      <c r="AA1021" s="2"/>
      <c r="AB1021" s="2"/>
      <c r="AC1021" s="2"/>
    </row>
    <row r="1022" spans="7:29" x14ac:dyDescent="0.35">
      <c r="G1022" s="2"/>
      <c r="H1022" s="2"/>
      <c r="I1022" s="2"/>
      <c r="J1022" s="2"/>
      <c r="K1022" s="2"/>
      <c r="L1022" s="2"/>
      <c r="M1022" s="2"/>
      <c r="N1022" s="2"/>
      <c r="O1022" s="2"/>
      <c r="P1022" s="2"/>
      <c r="Q1022" s="2"/>
      <c r="R1022" s="2"/>
      <c r="S1022" s="2"/>
      <c r="T1022" s="2"/>
      <c r="U1022" s="2"/>
      <c r="V1022" s="2"/>
      <c r="W1022" s="2"/>
      <c r="X1022" s="2"/>
      <c r="Y1022" s="2"/>
      <c r="Z1022" s="2"/>
      <c r="AA1022" s="2"/>
      <c r="AB1022" s="2"/>
      <c r="AC1022" s="2"/>
    </row>
    <row r="1023" spans="7:29" x14ac:dyDescent="0.35">
      <c r="G1023" s="2"/>
      <c r="H1023" s="2"/>
      <c r="I1023" s="2"/>
      <c r="J1023" s="2"/>
      <c r="K1023" s="2"/>
      <c r="L1023" s="2"/>
      <c r="M1023" s="2"/>
      <c r="N1023" s="2"/>
      <c r="O1023" s="2"/>
      <c r="P1023" s="2"/>
      <c r="Q1023" s="2"/>
      <c r="R1023" s="2"/>
      <c r="S1023" s="2"/>
      <c r="T1023" s="2"/>
      <c r="U1023" s="2"/>
      <c r="V1023" s="2"/>
      <c r="W1023" s="2"/>
      <c r="X1023" s="2"/>
      <c r="Y1023" s="2"/>
      <c r="Z1023" s="2"/>
      <c r="AA1023" s="2"/>
      <c r="AB1023" s="2"/>
      <c r="AC1023" s="2"/>
    </row>
    <row r="1024" spans="7:29" x14ac:dyDescent="0.35">
      <c r="G1024" s="2"/>
      <c r="H1024" s="2"/>
      <c r="I1024" s="2"/>
      <c r="J1024" s="2"/>
      <c r="K1024" s="2"/>
      <c r="L1024" s="2"/>
      <c r="M1024" s="2"/>
      <c r="N1024" s="2"/>
      <c r="O1024" s="2"/>
      <c r="P1024" s="2"/>
      <c r="Q1024" s="2"/>
      <c r="R1024" s="2"/>
      <c r="S1024" s="2"/>
      <c r="T1024" s="2"/>
      <c r="U1024" s="2"/>
      <c r="V1024" s="2"/>
      <c r="W1024" s="2"/>
      <c r="X1024" s="2"/>
      <c r="Y1024" s="2"/>
      <c r="Z1024" s="2"/>
      <c r="AA1024" s="2"/>
      <c r="AB1024" s="2"/>
      <c r="AC1024" s="2"/>
    </row>
    <row r="1025" spans="7:29" x14ac:dyDescent="0.35">
      <c r="G1025" s="2"/>
      <c r="H1025" s="2"/>
      <c r="I1025" s="2"/>
      <c r="J1025" s="2"/>
      <c r="K1025" s="2"/>
      <c r="L1025" s="2"/>
      <c r="M1025" s="2"/>
      <c r="N1025" s="2"/>
      <c r="O1025" s="2"/>
      <c r="P1025" s="2"/>
      <c r="Q1025" s="2"/>
      <c r="R1025" s="2"/>
      <c r="S1025" s="2"/>
      <c r="T1025" s="2"/>
      <c r="U1025" s="2"/>
      <c r="V1025" s="2"/>
      <c r="W1025" s="2"/>
      <c r="X1025" s="2"/>
      <c r="Y1025" s="2"/>
      <c r="Z1025" s="2"/>
      <c r="AA1025" s="2"/>
      <c r="AB1025" s="2"/>
      <c r="AC1025" s="2"/>
    </row>
    <row r="1026" spans="7:29" x14ac:dyDescent="0.35">
      <c r="G1026" s="2"/>
      <c r="H1026" s="2"/>
      <c r="I1026" s="2"/>
      <c r="J1026" s="2"/>
      <c r="K1026" s="2"/>
      <c r="L1026" s="2"/>
      <c r="M1026" s="2"/>
      <c r="N1026" s="2"/>
      <c r="O1026" s="2"/>
      <c r="P1026" s="2"/>
      <c r="Q1026" s="2"/>
      <c r="R1026" s="2"/>
      <c r="S1026" s="2"/>
      <c r="T1026" s="2"/>
      <c r="U1026" s="2"/>
      <c r="V1026" s="2"/>
      <c r="W1026" s="2"/>
      <c r="X1026" s="2"/>
      <c r="Y1026" s="2"/>
      <c r="Z1026" s="2"/>
      <c r="AA1026" s="2"/>
      <c r="AB1026" s="2"/>
      <c r="AC1026" s="2"/>
    </row>
    <row r="1027" spans="7:29" x14ac:dyDescent="0.35">
      <c r="G1027" s="2"/>
      <c r="H1027" s="2"/>
      <c r="I1027" s="2"/>
      <c r="J1027" s="2"/>
      <c r="K1027" s="2"/>
      <c r="L1027" s="2"/>
      <c r="M1027" s="2"/>
      <c r="N1027" s="2"/>
      <c r="O1027" s="2"/>
      <c r="P1027" s="2"/>
      <c r="Q1027" s="2"/>
      <c r="R1027" s="2"/>
      <c r="S1027" s="2"/>
      <c r="T1027" s="2"/>
      <c r="U1027" s="2"/>
      <c r="V1027" s="2"/>
      <c r="W1027" s="2"/>
      <c r="X1027" s="2"/>
      <c r="Y1027" s="2"/>
      <c r="Z1027" s="2"/>
      <c r="AA1027" s="2"/>
      <c r="AB1027" s="2"/>
      <c r="AC1027" s="2"/>
    </row>
    <row r="1028" spans="7:29" x14ac:dyDescent="0.35">
      <c r="G1028" s="2"/>
      <c r="H1028" s="2"/>
      <c r="I1028" s="2"/>
      <c r="J1028" s="2"/>
      <c r="K1028" s="2"/>
      <c r="L1028" s="2"/>
      <c r="M1028" s="2"/>
      <c r="N1028" s="2"/>
      <c r="O1028" s="2"/>
      <c r="P1028" s="2"/>
      <c r="Q1028" s="2"/>
      <c r="R1028" s="2"/>
      <c r="S1028" s="2"/>
      <c r="T1028" s="2"/>
      <c r="U1028" s="2"/>
      <c r="V1028" s="2"/>
      <c r="W1028" s="2"/>
      <c r="X1028" s="2"/>
      <c r="Y1028" s="2"/>
      <c r="Z1028" s="2"/>
      <c r="AA1028" s="2"/>
      <c r="AB1028" s="2"/>
      <c r="AC1028" s="2"/>
    </row>
    <row r="1029" spans="7:29" x14ac:dyDescent="0.35">
      <c r="G1029" s="2"/>
      <c r="H1029" s="2"/>
      <c r="I1029" s="2"/>
      <c r="J1029" s="2"/>
      <c r="K1029" s="2"/>
      <c r="L1029" s="2"/>
      <c r="M1029" s="2"/>
      <c r="N1029" s="2"/>
      <c r="O1029" s="2"/>
      <c r="P1029" s="2"/>
      <c r="Q1029" s="2"/>
      <c r="R1029" s="2"/>
      <c r="S1029" s="2"/>
      <c r="T1029" s="2"/>
      <c r="U1029" s="2"/>
      <c r="V1029" s="2"/>
      <c r="W1029" s="2"/>
      <c r="X1029" s="2"/>
      <c r="Y1029" s="2"/>
      <c r="Z1029" s="2"/>
      <c r="AA1029" s="2"/>
      <c r="AB1029" s="2"/>
      <c r="AC1029" s="2"/>
    </row>
    <row r="1030" spans="7:29" x14ac:dyDescent="0.35">
      <c r="G1030" s="2"/>
      <c r="H1030" s="2"/>
      <c r="I1030" s="2"/>
      <c r="J1030" s="2"/>
      <c r="K1030" s="2"/>
      <c r="L1030" s="2"/>
      <c r="M1030" s="2"/>
      <c r="N1030" s="2"/>
      <c r="O1030" s="2"/>
      <c r="P1030" s="2"/>
      <c r="Q1030" s="2"/>
      <c r="R1030" s="2"/>
      <c r="S1030" s="2"/>
      <c r="T1030" s="2"/>
      <c r="U1030" s="2"/>
      <c r="V1030" s="2"/>
      <c r="W1030" s="2"/>
      <c r="X1030" s="2"/>
      <c r="Y1030" s="2"/>
      <c r="Z1030" s="2"/>
      <c r="AA1030" s="2"/>
      <c r="AB1030" s="2"/>
      <c r="AC1030" s="2"/>
    </row>
    <row r="1031" spans="7:29" x14ac:dyDescent="0.35">
      <c r="G1031" s="2"/>
      <c r="H1031" s="2"/>
      <c r="I1031" s="2"/>
      <c r="J1031" s="2"/>
      <c r="K1031" s="2"/>
      <c r="L1031" s="2"/>
      <c r="M1031" s="2"/>
      <c r="N1031" s="2"/>
      <c r="O1031" s="2"/>
      <c r="P1031" s="2"/>
      <c r="Q1031" s="2"/>
      <c r="R1031" s="2"/>
      <c r="S1031" s="2"/>
      <c r="T1031" s="2"/>
      <c r="U1031" s="2"/>
      <c r="V1031" s="2"/>
      <c r="W1031" s="2"/>
      <c r="X1031" s="2"/>
      <c r="Y1031" s="2"/>
      <c r="Z1031" s="2"/>
      <c r="AA1031" s="2"/>
      <c r="AB1031" s="2"/>
      <c r="AC1031" s="2"/>
    </row>
    <row r="1032" spans="7:29" x14ac:dyDescent="0.35">
      <c r="G1032" s="2"/>
      <c r="H1032" s="2"/>
      <c r="I1032" s="2"/>
      <c r="J1032" s="2"/>
      <c r="K1032" s="2"/>
      <c r="L1032" s="2"/>
      <c r="M1032" s="2"/>
      <c r="N1032" s="2"/>
      <c r="O1032" s="2"/>
      <c r="P1032" s="2"/>
      <c r="Q1032" s="2"/>
      <c r="R1032" s="2"/>
      <c r="S1032" s="2"/>
      <c r="T1032" s="2"/>
      <c r="U1032" s="2"/>
      <c r="V1032" s="2"/>
      <c r="W1032" s="2"/>
      <c r="X1032" s="2"/>
      <c r="Y1032" s="2"/>
      <c r="Z1032" s="2"/>
      <c r="AA1032" s="2"/>
      <c r="AB1032" s="2"/>
      <c r="AC1032" s="2"/>
    </row>
    <row r="1033" spans="7:29" x14ac:dyDescent="0.35">
      <c r="G1033" s="2"/>
      <c r="H1033" s="2"/>
      <c r="I1033" s="2"/>
      <c r="J1033" s="2"/>
      <c r="K1033" s="2"/>
      <c r="L1033" s="2"/>
      <c r="M1033" s="2"/>
      <c r="N1033" s="2"/>
      <c r="O1033" s="2"/>
      <c r="P1033" s="2"/>
      <c r="Q1033" s="2"/>
      <c r="R1033" s="2"/>
      <c r="S1033" s="2"/>
      <c r="T1033" s="2"/>
      <c r="U1033" s="2"/>
      <c r="V1033" s="2"/>
      <c r="W1033" s="2"/>
      <c r="X1033" s="2"/>
      <c r="Y1033" s="2"/>
      <c r="Z1033" s="2"/>
      <c r="AA1033" s="2"/>
      <c r="AB1033" s="2"/>
      <c r="AC1033" s="2"/>
    </row>
    <row r="1034" spans="7:29" x14ac:dyDescent="0.35">
      <c r="G1034" s="2"/>
      <c r="H1034" s="2"/>
      <c r="I1034" s="2"/>
      <c r="J1034" s="2"/>
      <c r="K1034" s="2"/>
      <c r="L1034" s="2"/>
      <c r="M1034" s="2"/>
      <c r="N1034" s="2"/>
      <c r="O1034" s="2"/>
      <c r="P1034" s="2"/>
      <c r="Q1034" s="2"/>
      <c r="R1034" s="2"/>
      <c r="S1034" s="2"/>
      <c r="T1034" s="2"/>
      <c r="U1034" s="2"/>
      <c r="V1034" s="2"/>
      <c r="W1034" s="2"/>
      <c r="X1034" s="2"/>
      <c r="Y1034" s="2"/>
      <c r="Z1034" s="2"/>
      <c r="AA1034" s="2"/>
      <c r="AB1034" s="2"/>
      <c r="AC1034" s="2"/>
    </row>
    <row r="1035" spans="7:29" x14ac:dyDescent="0.35">
      <c r="G1035" s="2"/>
      <c r="H1035" s="2"/>
      <c r="I1035" s="2"/>
      <c r="J1035" s="2"/>
      <c r="K1035" s="2"/>
      <c r="L1035" s="2"/>
      <c r="M1035" s="2"/>
      <c r="N1035" s="2"/>
      <c r="O1035" s="2"/>
      <c r="P1035" s="2"/>
      <c r="Q1035" s="2"/>
      <c r="R1035" s="2"/>
      <c r="S1035" s="2"/>
      <c r="T1035" s="2"/>
      <c r="U1035" s="2"/>
      <c r="V1035" s="2"/>
      <c r="W1035" s="2"/>
      <c r="X1035" s="2"/>
      <c r="Y1035" s="2"/>
      <c r="Z1035" s="2"/>
      <c r="AA1035" s="2"/>
      <c r="AB1035" s="2"/>
      <c r="AC1035" s="2"/>
    </row>
    <row r="1036" spans="7:29" x14ac:dyDescent="0.35">
      <c r="G1036" s="2"/>
      <c r="H1036" s="2"/>
      <c r="I1036" s="2"/>
      <c r="J1036" s="2"/>
      <c r="K1036" s="2"/>
      <c r="L1036" s="2"/>
      <c r="M1036" s="2"/>
      <c r="N1036" s="2"/>
      <c r="O1036" s="2"/>
      <c r="P1036" s="2"/>
      <c r="Q1036" s="2"/>
      <c r="R1036" s="2"/>
      <c r="S1036" s="2"/>
      <c r="T1036" s="2"/>
      <c r="U1036" s="2"/>
      <c r="V1036" s="2"/>
      <c r="W1036" s="2"/>
      <c r="X1036" s="2"/>
      <c r="Y1036" s="2"/>
      <c r="Z1036" s="2"/>
      <c r="AA1036" s="2"/>
      <c r="AB1036" s="2"/>
      <c r="AC1036" s="2"/>
    </row>
    <row r="1037" spans="7:29" x14ac:dyDescent="0.35">
      <c r="G1037" s="2"/>
      <c r="H1037" s="2"/>
      <c r="I1037" s="2"/>
      <c r="J1037" s="2"/>
      <c r="K1037" s="2"/>
      <c r="L1037" s="2"/>
      <c r="M1037" s="2"/>
      <c r="N1037" s="2"/>
      <c r="O1037" s="2"/>
      <c r="P1037" s="2"/>
      <c r="Q1037" s="2"/>
      <c r="R1037" s="2"/>
      <c r="S1037" s="2"/>
      <c r="T1037" s="2"/>
      <c r="U1037" s="2"/>
      <c r="V1037" s="2"/>
      <c r="W1037" s="2"/>
      <c r="X1037" s="2"/>
      <c r="Y1037" s="2"/>
      <c r="Z1037" s="2"/>
      <c r="AA1037" s="2"/>
      <c r="AB1037" s="2"/>
      <c r="AC1037" s="2"/>
    </row>
    <row r="1038" spans="7:29" x14ac:dyDescent="0.35">
      <c r="G1038" s="2"/>
      <c r="H1038" s="2"/>
      <c r="I1038" s="2"/>
      <c r="J1038" s="2"/>
      <c r="K1038" s="2"/>
      <c r="L1038" s="2"/>
      <c r="M1038" s="2"/>
      <c r="N1038" s="2"/>
      <c r="O1038" s="2"/>
      <c r="P1038" s="2"/>
      <c r="Q1038" s="2"/>
      <c r="R1038" s="2"/>
      <c r="S1038" s="2"/>
      <c r="T1038" s="2"/>
      <c r="U1038" s="2"/>
      <c r="V1038" s="2"/>
      <c r="W1038" s="2"/>
      <c r="X1038" s="2"/>
      <c r="Y1038" s="2"/>
      <c r="Z1038" s="2"/>
      <c r="AA1038" s="2"/>
      <c r="AB1038" s="2"/>
      <c r="AC1038" s="2"/>
    </row>
    <row r="1039" spans="7:29" x14ac:dyDescent="0.35">
      <c r="G1039" s="2"/>
      <c r="H1039" s="2"/>
      <c r="I1039" s="2"/>
      <c r="J1039" s="2"/>
      <c r="K1039" s="2"/>
      <c r="L1039" s="2"/>
      <c r="M1039" s="2"/>
      <c r="N1039" s="2"/>
      <c r="O1039" s="2"/>
      <c r="P1039" s="2"/>
      <c r="Q1039" s="2"/>
      <c r="R1039" s="2"/>
      <c r="S1039" s="2"/>
      <c r="T1039" s="2"/>
      <c r="U1039" s="2"/>
      <c r="V1039" s="2"/>
      <c r="W1039" s="2"/>
      <c r="X1039" s="2"/>
      <c r="Y1039" s="2"/>
      <c r="Z1039" s="2"/>
      <c r="AA1039" s="2"/>
      <c r="AB1039" s="2"/>
      <c r="AC1039" s="2"/>
    </row>
    <row r="1040" spans="7:29" x14ac:dyDescent="0.35">
      <c r="G1040" s="2"/>
      <c r="H1040" s="2"/>
      <c r="I1040" s="2"/>
      <c r="J1040" s="2"/>
      <c r="K1040" s="2"/>
      <c r="L1040" s="2"/>
      <c r="M1040" s="2"/>
      <c r="N1040" s="2"/>
      <c r="O1040" s="2"/>
      <c r="P1040" s="2"/>
      <c r="Q1040" s="2"/>
      <c r="R1040" s="2"/>
      <c r="S1040" s="2"/>
      <c r="T1040" s="2"/>
      <c r="U1040" s="2"/>
      <c r="V1040" s="2"/>
      <c r="W1040" s="2"/>
      <c r="X1040" s="2"/>
      <c r="Y1040" s="2"/>
      <c r="Z1040" s="2"/>
      <c r="AA1040" s="2"/>
      <c r="AB1040" s="2"/>
      <c r="AC1040" s="2"/>
    </row>
    <row r="1041" spans="7:29" x14ac:dyDescent="0.35">
      <c r="G1041" s="2"/>
      <c r="H1041" s="2"/>
      <c r="I1041" s="2"/>
      <c r="J1041" s="2"/>
      <c r="K1041" s="2"/>
      <c r="L1041" s="2"/>
      <c r="M1041" s="2"/>
      <c r="N1041" s="2"/>
      <c r="O1041" s="2"/>
      <c r="P1041" s="2"/>
      <c r="Q1041" s="2"/>
      <c r="R1041" s="2"/>
      <c r="S1041" s="2"/>
      <c r="T1041" s="2"/>
      <c r="U1041" s="2"/>
      <c r="V1041" s="2"/>
      <c r="W1041" s="2"/>
      <c r="X1041" s="2"/>
      <c r="Y1041" s="2"/>
      <c r="Z1041" s="2"/>
      <c r="AA1041" s="2"/>
      <c r="AB1041" s="2"/>
      <c r="AC1041" s="2"/>
    </row>
    <row r="1042" spans="7:29" x14ac:dyDescent="0.35">
      <c r="G1042" s="2"/>
      <c r="H1042" s="2"/>
      <c r="I1042" s="2"/>
      <c r="J1042" s="2"/>
      <c r="K1042" s="2"/>
      <c r="L1042" s="2"/>
      <c r="M1042" s="2"/>
      <c r="N1042" s="2"/>
      <c r="O1042" s="2"/>
      <c r="P1042" s="2"/>
      <c r="Q1042" s="2"/>
      <c r="R1042" s="2"/>
      <c r="S1042" s="2"/>
      <c r="T1042" s="2"/>
      <c r="U1042" s="2"/>
      <c r="V1042" s="2"/>
      <c r="W1042" s="2"/>
      <c r="X1042" s="2"/>
      <c r="Y1042" s="2"/>
      <c r="Z1042" s="2"/>
      <c r="AA1042" s="2"/>
      <c r="AB1042" s="2"/>
      <c r="AC1042" s="2"/>
    </row>
    <row r="1043" spans="7:29" x14ac:dyDescent="0.35">
      <c r="G1043" s="2"/>
      <c r="H1043" s="2"/>
      <c r="I1043" s="2"/>
      <c r="J1043" s="2"/>
      <c r="K1043" s="2"/>
      <c r="L1043" s="2"/>
      <c r="M1043" s="2"/>
      <c r="N1043" s="2"/>
      <c r="O1043" s="2"/>
      <c r="P1043" s="2"/>
      <c r="Q1043" s="2"/>
      <c r="R1043" s="2"/>
      <c r="S1043" s="2"/>
      <c r="T1043" s="2"/>
      <c r="U1043" s="2"/>
      <c r="V1043" s="2"/>
      <c r="W1043" s="2"/>
      <c r="X1043" s="2"/>
      <c r="Y1043" s="2"/>
      <c r="Z1043" s="2"/>
      <c r="AA1043" s="2"/>
      <c r="AB1043" s="2"/>
      <c r="AC1043" s="2"/>
    </row>
    <row r="1044" spans="7:29" x14ac:dyDescent="0.35">
      <c r="G1044" s="2"/>
      <c r="H1044" s="2"/>
      <c r="I1044" s="2"/>
      <c r="J1044" s="2"/>
      <c r="K1044" s="2"/>
      <c r="L1044" s="2"/>
      <c r="M1044" s="2"/>
      <c r="N1044" s="2"/>
      <c r="O1044" s="2"/>
      <c r="P1044" s="2"/>
      <c r="Q1044" s="2"/>
      <c r="R1044" s="2"/>
      <c r="S1044" s="2"/>
      <c r="T1044" s="2"/>
      <c r="U1044" s="2"/>
      <c r="V1044" s="2"/>
      <c r="W1044" s="2"/>
      <c r="X1044" s="2"/>
      <c r="Y1044" s="2"/>
      <c r="Z1044" s="2"/>
      <c r="AA1044" s="2"/>
      <c r="AB1044" s="2"/>
      <c r="AC1044" s="2"/>
    </row>
    <row r="1045" spans="7:29" x14ac:dyDescent="0.35">
      <c r="G1045" s="2"/>
      <c r="H1045" s="2"/>
      <c r="I1045" s="2"/>
      <c r="J1045" s="2"/>
      <c r="K1045" s="2"/>
      <c r="L1045" s="2"/>
      <c r="M1045" s="2"/>
      <c r="N1045" s="2"/>
      <c r="O1045" s="2"/>
      <c r="P1045" s="2"/>
      <c r="Q1045" s="2"/>
      <c r="R1045" s="2"/>
      <c r="S1045" s="2"/>
      <c r="T1045" s="2"/>
      <c r="U1045" s="2"/>
      <c r="V1045" s="2"/>
      <c r="W1045" s="2"/>
      <c r="X1045" s="2"/>
      <c r="Y1045" s="2"/>
      <c r="Z1045" s="2"/>
      <c r="AA1045" s="2"/>
      <c r="AB1045" s="2"/>
      <c r="AC1045" s="2"/>
    </row>
    <row r="1046" spans="7:29" x14ac:dyDescent="0.35">
      <c r="G1046" s="2"/>
      <c r="H1046" s="2"/>
      <c r="I1046" s="2"/>
      <c r="J1046" s="2"/>
      <c r="K1046" s="2"/>
      <c r="L1046" s="2"/>
      <c r="M1046" s="2"/>
      <c r="N1046" s="2"/>
      <c r="O1046" s="2"/>
      <c r="P1046" s="2"/>
      <c r="Q1046" s="2"/>
      <c r="R1046" s="2"/>
      <c r="S1046" s="2"/>
      <c r="T1046" s="2"/>
      <c r="U1046" s="2"/>
      <c r="V1046" s="2"/>
      <c r="W1046" s="2"/>
      <c r="X1046" s="2"/>
      <c r="Y1046" s="2"/>
      <c r="Z1046" s="2"/>
      <c r="AA1046" s="2"/>
      <c r="AB1046" s="2"/>
      <c r="AC1046" s="2"/>
    </row>
    <row r="1047" spans="7:29" x14ac:dyDescent="0.35">
      <c r="G1047" s="2"/>
      <c r="H1047" s="2"/>
      <c r="I1047" s="2"/>
      <c r="J1047" s="2"/>
      <c r="K1047" s="2"/>
      <c r="L1047" s="2"/>
      <c r="M1047" s="2"/>
      <c r="N1047" s="2"/>
      <c r="O1047" s="2"/>
      <c r="P1047" s="2"/>
      <c r="Q1047" s="2"/>
      <c r="R1047" s="2"/>
      <c r="S1047" s="2"/>
      <c r="T1047" s="2"/>
      <c r="U1047" s="2"/>
      <c r="V1047" s="2"/>
      <c r="W1047" s="2"/>
      <c r="X1047" s="2"/>
      <c r="Y1047" s="2"/>
      <c r="Z1047" s="2"/>
      <c r="AA1047" s="2"/>
      <c r="AB1047" s="2"/>
      <c r="AC1047" s="2"/>
    </row>
    <row r="1048" spans="7:29" x14ac:dyDescent="0.35">
      <c r="G1048" s="2"/>
      <c r="H1048" s="2"/>
      <c r="I1048" s="2"/>
      <c r="J1048" s="2"/>
      <c r="K1048" s="2"/>
      <c r="L1048" s="2"/>
      <c r="M1048" s="2"/>
      <c r="N1048" s="2"/>
      <c r="O1048" s="2"/>
      <c r="P1048" s="2"/>
      <c r="Q1048" s="2"/>
      <c r="R1048" s="2"/>
      <c r="S1048" s="2"/>
      <c r="T1048" s="2"/>
      <c r="U1048" s="2"/>
      <c r="V1048" s="2"/>
      <c r="W1048" s="2"/>
      <c r="X1048" s="2"/>
      <c r="Y1048" s="2"/>
      <c r="Z1048" s="2"/>
      <c r="AA1048" s="2"/>
      <c r="AB1048" s="2"/>
      <c r="AC1048" s="2"/>
    </row>
    <row r="1049" spans="7:29" x14ac:dyDescent="0.35">
      <c r="G1049" s="2"/>
      <c r="H1049" s="2"/>
      <c r="I1049" s="2"/>
      <c r="J1049" s="2"/>
      <c r="K1049" s="2"/>
      <c r="L1049" s="2"/>
      <c r="M1049" s="2"/>
      <c r="N1049" s="2"/>
      <c r="O1049" s="2"/>
      <c r="P1049" s="2"/>
      <c r="Q1049" s="2"/>
      <c r="R1049" s="2"/>
      <c r="S1049" s="2"/>
      <c r="T1049" s="2"/>
      <c r="U1049" s="2"/>
      <c r="V1049" s="2"/>
      <c r="W1049" s="2"/>
      <c r="X1049" s="2"/>
      <c r="Y1049" s="2"/>
      <c r="Z1049" s="2"/>
      <c r="AA1049" s="2"/>
      <c r="AB1049" s="2"/>
      <c r="AC1049" s="2"/>
    </row>
    <row r="1050" spans="7:29" x14ac:dyDescent="0.35">
      <c r="G1050" s="2"/>
      <c r="H1050" s="2"/>
      <c r="I1050" s="2"/>
      <c r="J1050" s="2"/>
      <c r="K1050" s="2"/>
      <c r="L1050" s="2"/>
      <c r="M1050" s="2"/>
      <c r="N1050" s="2"/>
      <c r="O1050" s="2"/>
      <c r="P1050" s="2"/>
      <c r="Q1050" s="2"/>
      <c r="R1050" s="2"/>
      <c r="S1050" s="2"/>
      <c r="T1050" s="2"/>
      <c r="U1050" s="2"/>
      <c r="V1050" s="2"/>
      <c r="W1050" s="2"/>
      <c r="X1050" s="2"/>
      <c r="Y1050" s="2"/>
      <c r="Z1050" s="2"/>
      <c r="AA1050" s="2"/>
      <c r="AB1050" s="2"/>
      <c r="AC1050" s="2"/>
    </row>
    <row r="1051" spans="7:29" x14ac:dyDescent="0.35">
      <c r="G1051" s="2"/>
      <c r="H1051" s="2"/>
      <c r="I1051" s="2"/>
      <c r="J1051" s="2"/>
      <c r="K1051" s="2"/>
      <c r="L1051" s="2"/>
      <c r="M1051" s="2"/>
      <c r="N1051" s="2"/>
      <c r="O1051" s="2"/>
      <c r="P1051" s="2"/>
      <c r="Q1051" s="2"/>
      <c r="R1051" s="2"/>
      <c r="S1051" s="2"/>
      <c r="T1051" s="2"/>
      <c r="U1051" s="2"/>
      <c r="V1051" s="2"/>
      <c r="W1051" s="2"/>
      <c r="X1051" s="2"/>
      <c r="Y1051" s="2"/>
      <c r="Z1051" s="2"/>
      <c r="AA1051" s="2"/>
      <c r="AB1051" s="2"/>
      <c r="AC1051" s="2"/>
    </row>
    <row r="1052" spans="7:29" x14ac:dyDescent="0.35">
      <c r="G1052" s="2"/>
      <c r="H1052" s="2"/>
      <c r="I1052" s="2"/>
      <c r="J1052" s="2"/>
      <c r="K1052" s="2"/>
      <c r="L1052" s="2"/>
      <c r="M1052" s="2"/>
      <c r="N1052" s="2"/>
      <c r="O1052" s="2"/>
      <c r="P1052" s="2"/>
      <c r="Q1052" s="2"/>
      <c r="R1052" s="2"/>
      <c r="S1052" s="2"/>
      <c r="T1052" s="2"/>
      <c r="U1052" s="2"/>
      <c r="V1052" s="2"/>
      <c r="W1052" s="2"/>
      <c r="X1052" s="2"/>
      <c r="Y1052" s="2"/>
      <c r="Z1052" s="2"/>
      <c r="AA1052" s="2"/>
      <c r="AB1052" s="2"/>
      <c r="AC1052" s="2"/>
    </row>
    <row r="1053" spans="7:29" x14ac:dyDescent="0.35">
      <c r="G1053" s="2"/>
      <c r="H1053" s="2"/>
      <c r="I1053" s="2"/>
      <c r="J1053" s="2"/>
      <c r="K1053" s="2"/>
      <c r="L1053" s="2"/>
      <c r="M1053" s="2"/>
      <c r="N1053" s="2"/>
      <c r="O1053" s="2"/>
      <c r="P1053" s="2"/>
      <c r="Q1053" s="2"/>
      <c r="R1053" s="2"/>
      <c r="S1053" s="2"/>
      <c r="T1053" s="2"/>
      <c r="U1053" s="2"/>
      <c r="V1053" s="2"/>
      <c r="W1053" s="2"/>
      <c r="X1053" s="2"/>
      <c r="Y1053" s="2"/>
      <c r="Z1053" s="2"/>
      <c r="AA1053" s="2"/>
      <c r="AB1053" s="2"/>
      <c r="AC1053" s="2"/>
    </row>
    <row r="1054" spans="7:29" x14ac:dyDescent="0.35">
      <c r="G1054" s="2"/>
      <c r="H1054" s="2"/>
      <c r="I1054" s="2"/>
      <c r="J1054" s="2"/>
      <c r="K1054" s="2"/>
      <c r="L1054" s="2"/>
      <c r="M1054" s="2"/>
      <c r="N1054" s="2"/>
      <c r="O1054" s="2"/>
      <c r="P1054" s="2"/>
      <c r="Q1054" s="2"/>
      <c r="R1054" s="2"/>
      <c r="S1054" s="2"/>
      <c r="T1054" s="2"/>
      <c r="U1054" s="2"/>
      <c r="V1054" s="2"/>
      <c r="W1054" s="2"/>
      <c r="X1054" s="2"/>
      <c r="Y1054" s="2"/>
      <c r="Z1054" s="2"/>
      <c r="AA1054" s="2"/>
      <c r="AB1054" s="2"/>
      <c r="AC1054" s="2"/>
    </row>
    <row r="1055" spans="7:29" x14ac:dyDescent="0.35">
      <c r="G1055" s="2"/>
      <c r="H1055" s="2"/>
      <c r="I1055" s="2"/>
      <c r="J1055" s="2"/>
      <c r="K1055" s="2"/>
      <c r="L1055" s="2"/>
      <c r="M1055" s="2"/>
      <c r="N1055" s="2"/>
      <c r="O1055" s="2"/>
      <c r="P1055" s="2"/>
      <c r="Q1055" s="2"/>
      <c r="R1055" s="2"/>
      <c r="S1055" s="2"/>
      <c r="T1055" s="2"/>
      <c r="U1055" s="2"/>
      <c r="V1055" s="2"/>
      <c r="W1055" s="2"/>
      <c r="X1055" s="2"/>
      <c r="Y1055" s="2"/>
      <c r="Z1055" s="2"/>
      <c r="AA1055" s="2"/>
      <c r="AB1055" s="2"/>
      <c r="AC1055" s="2"/>
    </row>
    <row r="1056" spans="7:29" x14ac:dyDescent="0.35">
      <c r="G1056" s="2"/>
      <c r="H1056" s="2"/>
      <c r="I1056" s="2"/>
      <c r="J1056" s="2"/>
      <c r="K1056" s="2"/>
      <c r="L1056" s="2"/>
      <c r="M1056" s="2"/>
      <c r="N1056" s="2"/>
      <c r="O1056" s="2"/>
      <c r="P1056" s="2"/>
      <c r="Q1056" s="2"/>
      <c r="R1056" s="2"/>
      <c r="S1056" s="2"/>
      <c r="T1056" s="2"/>
      <c r="U1056" s="2"/>
      <c r="V1056" s="2"/>
      <c r="W1056" s="2"/>
      <c r="X1056" s="2"/>
      <c r="Y1056" s="2"/>
      <c r="Z1056" s="2"/>
      <c r="AA1056" s="2"/>
      <c r="AB1056" s="2"/>
      <c r="AC1056" s="2"/>
    </row>
    <row r="1057" spans="7:29" x14ac:dyDescent="0.35">
      <c r="G1057" s="2"/>
      <c r="H1057" s="2"/>
      <c r="I1057" s="2"/>
      <c r="J1057" s="2"/>
      <c r="K1057" s="2"/>
      <c r="L1057" s="2"/>
      <c r="M1057" s="2"/>
      <c r="N1057" s="2"/>
      <c r="O1057" s="2"/>
      <c r="P1057" s="2"/>
      <c r="Q1057" s="2"/>
      <c r="R1057" s="2"/>
      <c r="S1057" s="2"/>
      <c r="T1057" s="2"/>
      <c r="U1057" s="2"/>
      <c r="V1057" s="2"/>
      <c r="W1057" s="2"/>
      <c r="X1057" s="2"/>
      <c r="Y1057" s="2"/>
      <c r="Z1057" s="2"/>
      <c r="AA1057" s="2"/>
      <c r="AB1057" s="2"/>
      <c r="AC1057" s="2"/>
    </row>
    <row r="1058" spans="7:29" x14ac:dyDescent="0.35">
      <c r="G1058" s="2"/>
      <c r="H1058" s="2"/>
      <c r="I1058" s="2"/>
      <c r="J1058" s="2"/>
      <c r="K1058" s="2"/>
      <c r="L1058" s="2"/>
      <c r="M1058" s="2"/>
      <c r="N1058" s="2"/>
      <c r="O1058" s="2"/>
      <c r="P1058" s="2"/>
      <c r="Q1058" s="2"/>
      <c r="R1058" s="2"/>
      <c r="S1058" s="2"/>
      <c r="T1058" s="2"/>
      <c r="U1058" s="2"/>
      <c r="V1058" s="2"/>
      <c r="W1058" s="2"/>
      <c r="X1058" s="2"/>
      <c r="Y1058" s="2"/>
      <c r="Z1058" s="2"/>
      <c r="AA1058" s="2"/>
      <c r="AB1058" s="2"/>
      <c r="AC1058" s="2"/>
    </row>
    <row r="1059" spans="7:29" x14ac:dyDescent="0.35">
      <c r="G1059" s="2"/>
      <c r="H1059" s="2"/>
      <c r="I1059" s="2"/>
      <c r="J1059" s="2"/>
      <c r="K1059" s="2"/>
      <c r="L1059" s="2"/>
      <c r="M1059" s="2"/>
      <c r="N1059" s="2"/>
      <c r="O1059" s="2"/>
      <c r="P1059" s="2"/>
      <c r="Q1059" s="2"/>
      <c r="R1059" s="2"/>
      <c r="S1059" s="2"/>
      <c r="T1059" s="2"/>
      <c r="U1059" s="2"/>
      <c r="V1059" s="2"/>
      <c r="W1059" s="2"/>
      <c r="X1059" s="2"/>
      <c r="Y1059" s="2"/>
      <c r="Z1059" s="2"/>
      <c r="AA1059" s="2"/>
      <c r="AB1059" s="2"/>
      <c r="AC1059" s="2"/>
    </row>
    <row r="1060" spans="7:29" x14ac:dyDescent="0.35">
      <c r="G1060" s="2"/>
      <c r="H1060" s="2"/>
      <c r="I1060" s="2"/>
      <c r="J1060" s="2"/>
      <c r="K1060" s="2"/>
      <c r="L1060" s="2"/>
      <c r="M1060" s="2"/>
      <c r="N1060" s="2"/>
      <c r="O1060" s="2"/>
      <c r="P1060" s="2"/>
      <c r="Q1060" s="2"/>
      <c r="R1060" s="2"/>
      <c r="S1060" s="2"/>
      <c r="T1060" s="2"/>
      <c r="U1060" s="2"/>
      <c r="V1060" s="2"/>
      <c r="W1060" s="2"/>
      <c r="X1060" s="2"/>
      <c r="Y1060" s="2"/>
      <c r="Z1060" s="2"/>
      <c r="AA1060" s="2"/>
      <c r="AB1060" s="2"/>
      <c r="AC1060" s="2"/>
    </row>
    <row r="1061" spans="7:29" x14ac:dyDescent="0.35">
      <c r="G1061" s="2"/>
      <c r="H1061" s="2"/>
      <c r="I1061" s="2"/>
      <c r="J1061" s="2"/>
      <c r="K1061" s="2"/>
      <c r="L1061" s="2"/>
      <c r="M1061" s="2"/>
      <c r="N1061" s="2"/>
      <c r="O1061" s="2"/>
      <c r="P1061" s="2"/>
      <c r="Q1061" s="2"/>
      <c r="R1061" s="2"/>
      <c r="S1061" s="2"/>
      <c r="T1061" s="2"/>
      <c r="U1061" s="2"/>
      <c r="V1061" s="2"/>
      <c r="W1061" s="2"/>
      <c r="X1061" s="2"/>
      <c r="Y1061" s="2"/>
      <c r="Z1061" s="2"/>
      <c r="AA1061" s="2"/>
      <c r="AB1061" s="2"/>
      <c r="AC1061" s="2"/>
    </row>
    <row r="1062" spans="7:29" x14ac:dyDescent="0.35">
      <c r="G1062" s="2"/>
      <c r="H1062" s="2"/>
      <c r="I1062" s="2"/>
      <c r="J1062" s="2"/>
      <c r="K1062" s="2"/>
      <c r="L1062" s="2"/>
      <c r="M1062" s="2"/>
      <c r="N1062" s="2"/>
      <c r="O1062" s="2"/>
      <c r="P1062" s="2"/>
      <c r="Q1062" s="2"/>
      <c r="R1062" s="2"/>
      <c r="S1062" s="2"/>
      <c r="T1062" s="2"/>
      <c r="U1062" s="2"/>
      <c r="V1062" s="2"/>
      <c r="W1062" s="2"/>
      <c r="X1062" s="2"/>
      <c r="Y1062" s="2"/>
      <c r="Z1062" s="2"/>
      <c r="AA1062" s="2"/>
      <c r="AB1062" s="2"/>
      <c r="AC1062" s="2"/>
    </row>
    <row r="1063" spans="7:29" x14ac:dyDescent="0.35">
      <c r="G1063" s="2"/>
      <c r="H1063" s="2"/>
      <c r="I1063" s="2"/>
      <c r="J1063" s="2"/>
      <c r="K1063" s="2"/>
      <c r="L1063" s="2"/>
      <c r="M1063" s="2"/>
      <c r="N1063" s="2"/>
      <c r="O1063" s="2"/>
      <c r="P1063" s="2"/>
      <c r="Q1063" s="2"/>
      <c r="R1063" s="2"/>
      <c r="S1063" s="2"/>
      <c r="T1063" s="2"/>
      <c r="U1063" s="2"/>
      <c r="V1063" s="2"/>
      <c r="W1063" s="2"/>
      <c r="X1063" s="2"/>
      <c r="Y1063" s="2"/>
      <c r="Z1063" s="2"/>
      <c r="AA1063" s="2"/>
      <c r="AB1063" s="2"/>
      <c r="AC1063" s="2"/>
    </row>
    <row r="1064" spans="7:29" x14ac:dyDescent="0.35">
      <c r="G1064" s="2"/>
      <c r="H1064" s="2"/>
      <c r="I1064" s="2"/>
      <c r="J1064" s="2"/>
      <c r="K1064" s="2"/>
      <c r="L1064" s="2"/>
      <c r="M1064" s="2"/>
      <c r="N1064" s="2"/>
      <c r="O1064" s="2"/>
      <c r="P1064" s="2"/>
      <c r="Q1064" s="2"/>
      <c r="R1064" s="2"/>
      <c r="S1064" s="2"/>
      <c r="T1064" s="2"/>
      <c r="U1064" s="2"/>
      <c r="V1064" s="2"/>
      <c r="W1064" s="2"/>
      <c r="X1064" s="2"/>
      <c r="Y1064" s="2"/>
      <c r="Z1064" s="2"/>
      <c r="AA1064" s="2"/>
      <c r="AB1064" s="2"/>
      <c r="AC1064" s="2"/>
    </row>
    <row r="1065" spans="7:29" x14ac:dyDescent="0.35">
      <c r="G1065" s="2"/>
      <c r="H1065" s="2"/>
      <c r="I1065" s="2"/>
      <c r="J1065" s="2"/>
      <c r="K1065" s="2"/>
      <c r="L1065" s="2"/>
      <c r="M1065" s="2"/>
      <c r="N1065" s="2"/>
      <c r="O1065" s="2"/>
      <c r="P1065" s="2"/>
      <c r="Q1065" s="2"/>
      <c r="R1065" s="2"/>
      <c r="S1065" s="2"/>
      <c r="T1065" s="2"/>
      <c r="U1065" s="2"/>
      <c r="V1065" s="2"/>
      <c r="W1065" s="2"/>
      <c r="X1065" s="2"/>
      <c r="Y1065" s="2"/>
      <c r="Z1065" s="2"/>
      <c r="AA1065" s="2"/>
      <c r="AB1065" s="2"/>
      <c r="AC1065" s="2"/>
    </row>
    <row r="1066" spans="7:29" x14ac:dyDescent="0.35">
      <c r="G1066" s="2"/>
      <c r="H1066" s="2"/>
      <c r="I1066" s="2"/>
      <c r="J1066" s="2"/>
      <c r="K1066" s="2"/>
      <c r="L1066" s="2"/>
      <c r="M1066" s="2"/>
      <c r="N1066" s="2"/>
      <c r="O1066" s="2"/>
      <c r="P1066" s="2"/>
      <c r="Q1066" s="2"/>
      <c r="R1066" s="2"/>
      <c r="S1066" s="2"/>
      <c r="T1066" s="2"/>
      <c r="U1066" s="2"/>
      <c r="V1066" s="2"/>
      <c r="W1066" s="2"/>
      <c r="X1066" s="2"/>
      <c r="Y1066" s="2"/>
      <c r="Z1066" s="2"/>
      <c r="AA1066" s="2"/>
      <c r="AB1066" s="2"/>
      <c r="AC1066" s="2"/>
    </row>
    <row r="1067" spans="7:29" x14ac:dyDescent="0.35">
      <c r="G1067" s="2"/>
      <c r="H1067" s="2"/>
      <c r="I1067" s="2"/>
      <c r="J1067" s="2"/>
      <c r="K1067" s="2"/>
      <c r="L1067" s="2"/>
      <c r="M1067" s="2"/>
      <c r="N1067" s="2"/>
      <c r="O1067" s="2"/>
      <c r="P1067" s="2"/>
      <c r="Q1067" s="2"/>
      <c r="R1067" s="2"/>
      <c r="S1067" s="2"/>
      <c r="T1067" s="2"/>
      <c r="U1067" s="2"/>
      <c r="V1067" s="2"/>
      <c r="W1067" s="2"/>
      <c r="X1067" s="2"/>
      <c r="Y1067" s="2"/>
      <c r="Z1067" s="2"/>
      <c r="AA1067" s="2"/>
      <c r="AB1067" s="2"/>
      <c r="AC1067" s="2"/>
    </row>
    <row r="1068" spans="7:29" x14ac:dyDescent="0.35">
      <c r="G1068" s="2"/>
      <c r="H1068" s="2"/>
      <c r="I1068" s="2"/>
      <c r="J1068" s="2"/>
      <c r="K1068" s="2"/>
      <c r="L1068" s="2"/>
      <c r="M1068" s="2"/>
      <c r="N1068" s="2"/>
      <c r="O1068" s="2"/>
      <c r="P1068" s="2"/>
      <c r="Q1068" s="2"/>
      <c r="R1068" s="2"/>
      <c r="S1068" s="2"/>
      <c r="T1068" s="2"/>
      <c r="U1068" s="2"/>
      <c r="V1068" s="2"/>
      <c r="W1068" s="2"/>
      <c r="X1068" s="2"/>
      <c r="Y1068" s="2"/>
      <c r="Z1068" s="2"/>
      <c r="AA1068" s="2"/>
      <c r="AB1068" s="2"/>
      <c r="AC1068" s="2"/>
    </row>
    <row r="1069" spans="7:29" x14ac:dyDescent="0.35">
      <c r="G1069" s="2"/>
      <c r="H1069" s="2"/>
      <c r="I1069" s="2"/>
      <c r="J1069" s="2"/>
      <c r="K1069" s="2"/>
      <c r="L1069" s="2"/>
      <c r="M1069" s="2"/>
      <c r="N1069" s="2"/>
      <c r="O1069" s="2"/>
      <c r="P1069" s="2"/>
      <c r="Q1069" s="2"/>
      <c r="R1069" s="2"/>
      <c r="S1069" s="2"/>
      <c r="T1069" s="2"/>
      <c r="U1069" s="2"/>
      <c r="V1069" s="2"/>
      <c r="W1069" s="2"/>
      <c r="X1069" s="2"/>
      <c r="Y1069" s="2"/>
      <c r="Z1069" s="2"/>
      <c r="AA1069" s="2"/>
      <c r="AB1069" s="2"/>
      <c r="AC1069" s="2"/>
    </row>
    <row r="1070" spans="7:29" x14ac:dyDescent="0.35">
      <c r="G1070" s="2"/>
      <c r="H1070" s="2"/>
      <c r="I1070" s="2"/>
      <c r="J1070" s="2"/>
      <c r="K1070" s="2"/>
      <c r="L1070" s="2"/>
      <c r="M1070" s="2"/>
      <c r="N1070" s="2"/>
      <c r="O1070" s="2"/>
      <c r="P1070" s="2"/>
      <c r="Q1070" s="2"/>
      <c r="R1070" s="2"/>
      <c r="S1070" s="2"/>
      <c r="T1070" s="2"/>
      <c r="U1070" s="2"/>
      <c r="V1070" s="2"/>
      <c r="W1070" s="2"/>
      <c r="X1070" s="2"/>
      <c r="Y1070" s="2"/>
      <c r="Z1070" s="2"/>
      <c r="AA1070" s="2"/>
      <c r="AB1070" s="2"/>
      <c r="AC1070" s="2"/>
    </row>
    <row r="1071" spans="7:29" x14ac:dyDescent="0.35">
      <c r="G1071" s="2"/>
      <c r="H1071" s="2"/>
      <c r="I1071" s="2"/>
      <c r="J1071" s="2"/>
      <c r="K1071" s="2"/>
      <c r="L1071" s="2"/>
      <c r="M1071" s="2"/>
      <c r="N1071" s="2"/>
      <c r="O1071" s="2"/>
      <c r="P1071" s="2"/>
      <c r="Q1071" s="2"/>
      <c r="R1071" s="2"/>
      <c r="S1071" s="2"/>
      <c r="T1071" s="2"/>
      <c r="U1071" s="2"/>
      <c r="V1071" s="2"/>
      <c r="W1071" s="2"/>
      <c r="X1071" s="2"/>
      <c r="Y1071" s="2"/>
      <c r="Z1071" s="2"/>
      <c r="AA1071" s="2"/>
      <c r="AB1071" s="2"/>
      <c r="AC1071" s="2"/>
    </row>
    <row r="1072" spans="7:29" x14ac:dyDescent="0.35">
      <c r="G1072" s="2"/>
      <c r="H1072" s="2"/>
      <c r="I1072" s="2"/>
      <c r="J1072" s="2"/>
      <c r="K1072" s="2"/>
      <c r="L1072" s="2"/>
      <c r="M1072" s="2"/>
      <c r="N1072" s="2"/>
      <c r="O1072" s="2"/>
      <c r="P1072" s="2"/>
      <c r="Q1072" s="2"/>
      <c r="R1072" s="2"/>
      <c r="S1072" s="2"/>
      <c r="T1072" s="2"/>
      <c r="U1072" s="2"/>
      <c r="V1072" s="2"/>
      <c r="W1072" s="2"/>
      <c r="X1072" s="2"/>
      <c r="Y1072" s="2"/>
      <c r="Z1072" s="2"/>
      <c r="AA1072" s="2"/>
      <c r="AB1072" s="2"/>
      <c r="AC1072" s="2"/>
    </row>
    <row r="1073" spans="7:29" x14ac:dyDescent="0.35">
      <c r="G1073" s="2"/>
      <c r="H1073" s="2"/>
      <c r="I1073" s="2"/>
      <c r="J1073" s="2"/>
      <c r="K1073" s="2"/>
      <c r="L1073" s="2"/>
      <c r="M1073" s="2"/>
      <c r="N1073" s="2"/>
      <c r="O1073" s="2"/>
      <c r="P1073" s="2"/>
      <c r="Q1073" s="2"/>
      <c r="R1073" s="2"/>
      <c r="S1073" s="2"/>
      <c r="T1073" s="2"/>
      <c r="U1073" s="2"/>
      <c r="V1073" s="2"/>
      <c r="W1073" s="2"/>
      <c r="X1073" s="2"/>
      <c r="Y1073" s="2"/>
      <c r="Z1073" s="2"/>
      <c r="AA1073" s="2"/>
      <c r="AB1073" s="2"/>
      <c r="AC1073" s="2"/>
    </row>
    <row r="1074" spans="7:29" x14ac:dyDescent="0.35">
      <c r="G1074" s="2"/>
      <c r="H1074" s="2"/>
      <c r="I1074" s="2"/>
      <c r="J1074" s="2"/>
      <c r="K1074" s="2"/>
      <c r="L1074" s="2"/>
      <c r="M1074" s="2"/>
      <c r="N1074" s="2"/>
      <c r="O1074" s="2"/>
      <c r="P1074" s="2"/>
      <c r="Q1074" s="2"/>
      <c r="R1074" s="2"/>
      <c r="S1074" s="2"/>
      <c r="T1074" s="2"/>
      <c r="U1074" s="2"/>
      <c r="V1074" s="2"/>
      <c r="W1074" s="2"/>
      <c r="X1074" s="2"/>
      <c r="Y1074" s="2"/>
      <c r="Z1074" s="2"/>
      <c r="AA1074" s="2"/>
      <c r="AB1074" s="2"/>
      <c r="AC1074" s="2"/>
    </row>
    <row r="1075" spans="7:29" x14ac:dyDescent="0.35">
      <c r="G1075" s="2"/>
      <c r="H1075" s="2"/>
      <c r="I1075" s="2"/>
      <c r="J1075" s="2"/>
      <c r="K1075" s="2"/>
      <c r="L1075" s="2"/>
      <c r="M1075" s="2"/>
      <c r="N1075" s="2"/>
      <c r="O1075" s="2"/>
      <c r="P1075" s="2"/>
      <c r="Q1075" s="2"/>
      <c r="R1075" s="2"/>
      <c r="S1075" s="2"/>
      <c r="T1075" s="2"/>
      <c r="U1075" s="2"/>
      <c r="V1075" s="2"/>
      <c r="W1075" s="2"/>
      <c r="X1075" s="2"/>
      <c r="Y1075" s="2"/>
      <c r="Z1075" s="2"/>
      <c r="AA1075" s="2"/>
      <c r="AB1075" s="2"/>
      <c r="AC1075" s="2"/>
    </row>
    <row r="1076" spans="7:29" x14ac:dyDescent="0.35">
      <c r="G1076" s="2"/>
      <c r="H1076" s="2"/>
      <c r="I1076" s="2"/>
      <c r="J1076" s="2"/>
      <c r="K1076" s="2"/>
      <c r="L1076" s="2"/>
      <c r="M1076" s="2"/>
      <c r="N1076" s="2"/>
      <c r="O1076" s="2"/>
      <c r="P1076" s="2"/>
      <c r="Q1076" s="2"/>
      <c r="R1076" s="2"/>
      <c r="S1076" s="2"/>
      <c r="T1076" s="2"/>
      <c r="U1076" s="2"/>
      <c r="V1076" s="2"/>
      <c r="W1076" s="2"/>
      <c r="X1076" s="2"/>
      <c r="Y1076" s="2"/>
      <c r="Z1076" s="2"/>
      <c r="AA1076" s="2"/>
      <c r="AB1076" s="2"/>
      <c r="AC1076" s="2"/>
    </row>
    <row r="1077" spans="7:29" x14ac:dyDescent="0.35">
      <c r="G1077" s="2"/>
      <c r="H1077" s="2"/>
      <c r="I1077" s="2"/>
      <c r="J1077" s="2"/>
      <c r="K1077" s="2"/>
      <c r="L1077" s="2"/>
      <c r="M1077" s="2"/>
      <c r="N1077" s="2"/>
      <c r="O1077" s="2"/>
      <c r="P1077" s="2"/>
      <c r="Q1077" s="2"/>
      <c r="R1077" s="2"/>
      <c r="S1077" s="2"/>
      <c r="T1077" s="2"/>
      <c r="U1077" s="2"/>
      <c r="V1077" s="2"/>
      <c r="W1077" s="2"/>
      <c r="X1077" s="2"/>
      <c r="Y1077" s="2"/>
      <c r="Z1077" s="2"/>
      <c r="AA1077" s="2"/>
      <c r="AB1077" s="2"/>
      <c r="AC1077" s="2"/>
    </row>
    <row r="1078" spans="7:29" x14ac:dyDescent="0.35">
      <c r="G1078" s="2"/>
      <c r="H1078" s="2"/>
      <c r="I1078" s="2"/>
      <c r="J1078" s="2"/>
      <c r="K1078" s="2"/>
      <c r="L1078" s="2"/>
      <c r="M1078" s="2"/>
      <c r="N1078" s="2"/>
      <c r="O1078" s="2"/>
      <c r="P1078" s="2"/>
      <c r="Q1078" s="2"/>
      <c r="R1078" s="2"/>
      <c r="S1078" s="2"/>
      <c r="T1078" s="2"/>
      <c r="U1078" s="2"/>
      <c r="V1078" s="2"/>
      <c r="W1078" s="2"/>
      <c r="X1078" s="2"/>
      <c r="Y1078" s="2"/>
      <c r="Z1078" s="2"/>
      <c r="AA1078" s="2"/>
      <c r="AB1078" s="2"/>
      <c r="AC1078" s="2"/>
    </row>
    <row r="1079" spans="7:29" x14ac:dyDescent="0.35">
      <c r="G1079" s="2"/>
      <c r="H1079" s="2"/>
      <c r="I1079" s="2"/>
      <c r="J1079" s="2"/>
      <c r="K1079" s="2"/>
      <c r="L1079" s="2"/>
      <c r="M1079" s="2"/>
      <c r="N1079" s="2"/>
      <c r="O1079" s="2"/>
      <c r="P1079" s="2"/>
      <c r="Q1079" s="2"/>
      <c r="R1079" s="2"/>
      <c r="S1079" s="2"/>
      <c r="T1079" s="2"/>
      <c r="U1079" s="2"/>
      <c r="V1079" s="2"/>
      <c r="W1079" s="2"/>
      <c r="X1079" s="2"/>
      <c r="Y1079" s="2"/>
      <c r="Z1079" s="2"/>
      <c r="AA1079" s="2"/>
      <c r="AB1079" s="2"/>
      <c r="AC1079" s="2"/>
    </row>
    <row r="1080" spans="7:29" x14ac:dyDescent="0.35">
      <c r="G1080" s="2"/>
      <c r="H1080" s="2"/>
      <c r="I1080" s="2"/>
      <c r="J1080" s="2"/>
      <c r="K1080" s="2"/>
      <c r="L1080" s="2"/>
      <c r="M1080" s="2"/>
      <c r="N1080" s="2"/>
      <c r="O1080" s="2"/>
      <c r="P1080" s="2"/>
      <c r="Q1080" s="2"/>
      <c r="R1080" s="2"/>
      <c r="S1080" s="2"/>
      <c r="T1080" s="2"/>
      <c r="U1080" s="2"/>
      <c r="V1080" s="2"/>
      <c r="W1080" s="2"/>
      <c r="X1080" s="2"/>
      <c r="Y1080" s="2"/>
      <c r="Z1080" s="2"/>
      <c r="AA1080" s="2"/>
      <c r="AB1080" s="2"/>
      <c r="AC1080" s="2"/>
    </row>
    <row r="1081" spans="7:29" x14ac:dyDescent="0.35">
      <c r="G1081" s="2"/>
      <c r="H1081" s="2"/>
      <c r="I1081" s="2"/>
      <c r="J1081" s="2"/>
      <c r="K1081" s="2"/>
      <c r="L1081" s="2"/>
      <c r="M1081" s="2"/>
      <c r="N1081" s="2"/>
      <c r="O1081" s="2"/>
      <c r="P1081" s="2"/>
      <c r="Q1081" s="2"/>
      <c r="R1081" s="2"/>
      <c r="S1081" s="2"/>
      <c r="T1081" s="2"/>
      <c r="U1081" s="2"/>
      <c r="V1081" s="2"/>
      <c r="W1081" s="2"/>
      <c r="X1081" s="2"/>
      <c r="Y1081" s="2"/>
      <c r="Z1081" s="2"/>
      <c r="AA1081" s="2"/>
      <c r="AB1081" s="2"/>
      <c r="AC1081" s="2"/>
    </row>
    <row r="1082" spans="7:29" x14ac:dyDescent="0.35">
      <c r="G1082" s="2"/>
      <c r="H1082" s="2"/>
      <c r="I1082" s="2"/>
      <c r="J1082" s="2"/>
      <c r="K1082" s="2"/>
      <c r="L1082" s="2"/>
      <c r="M1082" s="2"/>
      <c r="N1082" s="2"/>
      <c r="O1082" s="2"/>
      <c r="P1082" s="2"/>
      <c r="Q1082" s="2"/>
      <c r="R1082" s="2"/>
      <c r="S1082" s="2"/>
      <c r="T1082" s="2"/>
      <c r="U1082" s="2"/>
      <c r="V1082" s="2"/>
      <c r="W1082" s="2"/>
      <c r="X1082" s="2"/>
      <c r="Y1082" s="2"/>
      <c r="Z1082" s="2"/>
      <c r="AA1082" s="2"/>
      <c r="AB1082" s="2"/>
      <c r="AC1082" s="2"/>
    </row>
    <row r="1083" spans="7:29" x14ac:dyDescent="0.35">
      <c r="G1083" s="2"/>
      <c r="H1083" s="2"/>
      <c r="I1083" s="2"/>
      <c r="J1083" s="2"/>
      <c r="K1083" s="2"/>
      <c r="L1083" s="2"/>
      <c r="M1083" s="2"/>
      <c r="N1083" s="2"/>
      <c r="O1083" s="2"/>
      <c r="P1083" s="2"/>
      <c r="Q1083" s="2"/>
      <c r="R1083" s="2"/>
      <c r="S1083" s="2"/>
      <c r="T1083" s="2"/>
      <c r="U1083" s="2"/>
      <c r="V1083" s="2"/>
      <c r="W1083" s="2"/>
      <c r="X1083" s="2"/>
      <c r="Y1083" s="2"/>
      <c r="Z1083" s="2"/>
      <c r="AA1083" s="2"/>
      <c r="AB1083" s="2"/>
      <c r="AC1083" s="2"/>
    </row>
    <row r="1084" spans="7:29" x14ac:dyDescent="0.35">
      <c r="G1084" s="2"/>
      <c r="H1084" s="2"/>
      <c r="I1084" s="2"/>
      <c r="J1084" s="2"/>
      <c r="K1084" s="2"/>
      <c r="L1084" s="2"/>
      <c r="M1084" s="2"/>
      <c r="N1084" s="2"/>
      <c r="O1084" s="2"/>
      <c r="P1084" s="2"/>
      <c r="Q1084" s="2"/>
      <c r="R1084" s="2"/>
      <c r="S1084" s="2"/>
      <c r="T1084" s="2"/>
      <c r="U1084" s="2"/>
      <c r="V1084" s="2"/>
      <c r="W1084" s="2"/>
      <c r="X1084" s="2"/>
      <c r="Y1084" s="2"/>
      <c r="Z1084" s="2"/>
      <c r="AA1084" s="2"/>
      <c r="AB1084" s="2"/>
      <c r="AC1084" s="2"/>
    </row>
    <row r="1085" spans="7:29" x14ac:dyDescent="0.35">
      <c r="G1085" s="2"/>
      <c r="H1085" s="2"/>
      <c r="I1085" s="2"/>
      <c r="J1085" s="2"/>
      <c r="K1085" s="2"/>
      <c r="L1085" s="2"/>
      <c r="M1085" s="2"/>
      <c r="N1085" s="2"/>
      <c r="O1085" s="2"/>
      <c r="P1085" s="2"/>
      <c r="Q1085" s="2"/>
      <c r="R1085" s="2"/>
      <c r="S1085" s="2"/>
      <c r="T1085" s="2"/>
      <c r="U1085" s="2"/>
      <c r="V1085" s="2"/>
      <c r="W1085" s="2"/>
      <c r="X1085" s="2"/>
      <c r="Y1085" s="2"/>
      <c r="Z1085" s="2"/>
      <c r="AA1085" s="2"/>
      <c r="AB1085" s="2"/>
      <c r="AC1085" s="2"/>
    </row>
    <row r="1086" spans="7:29" x14ac:dyDescent="0.35">
      <c r="G1086" s="2"/>
      <c r="H1086" s="2"/>
      <c r="I1086" s="2"/>
      <c r="J1086" s="2"/>
      <c r="K1086" s="2"/>
      <c r="L1086" s="2"/>
      <c r="M1086" s="2"/>
      <c r="N1086" s="2"/>
      <c r="O1086" s="2"/>
      <c r="P1086" s="2"/>
      <c r="Q1086" s="2"/>
      <c r="R1086" s="2"/>
      <c r="S1086" s="2"/>
      <c r="T1086" s="2"/>
      <c r="U1086" s="2"/>
      <c r="V1086" s="2"/>
      <c r="W1086" s="2"/>
      <c r="X1086" s="2"/>
      <c r="Y1086" s="2"/>
      <c r="Z1086" s="2"/>
      <c r="AA1086" s="2"/>
      <c r="AB1086" s="2"/>
      <c r="AC1086" s="2"/>
    </row>
    <row r="1087" spans="7:29" x14ac:dyDescent="0.35">
      <c r="G1087" s="2"/>
      <c r="H1087" s="2"/>
      <c r="I1087" s="2"/>
      <c r="J1087" s="2"/>
      <c r="K1087" s="2"/>
      <c r="L1087" s="2"/>
      <c r="M1087" s="2"/>
      <c r="N1087" s="2"/>
      <c r="O1087" s="2"/>
      <c r="P1087" s="2"/>
      <c r="Q1087" s="2"/>
      <c r="R1087" s="2"/>
      <c r="S1087" s="2"/>
      <c r="T1087" s="2"/>
      <c r="U1087" s="2"/>
      <c r="V1087" s="2"/>
      <c r="W1087" s="2"/>
      <c r="X1087" s="2"/>
      <c r="Y1087" s="2"/>
      <c r="Z1087" s="2"/>
      <c r="AA1087" s="2"/>
      <c r="AB1087" s="2"/>
      <c r="AC1087" s="2"/>
    </row>
    <row r="1088" spans="7:29" x14ac:dyDescent="0.35">
      <c r="G1088" s="2"/>
      <c r="H1088" s="2"/>
      <c r="I1088" s="2"/>
      <c r="J1088" s="2"/>
      <c r="K1088" s="2"/>
      <c r="L1088" s="2"/>
      <c r="M1088" s="2"/>
      <c r="N1088" s="2"/>
      <c r="O1088" s="2"/>
      <c r="P1088" s="2"/>
      <c r="Q1088" s="2"/>
      <c r="R1088" s="2"/>
      <c r="S1088" s="2"/>
      <c r="T1088" s="2"/>
      <c r="U1088" s="2"/>
      <c r="V1088" s="2"/>
      <c r="W1088" s="2"/>
      <c r="X1088" s="2"/>
      <c r="Y1088" s="2"/>
      <c r="Z1088" s="2"/>
      <c r="AA1088" s="2"/>
      <c r="AB1088" s="2"/>
      <c r="AC1088" s="2"/>
    </row>
    <row r="1089" spans="7:29" x14ac:dyDescent="0.35">
      <c r="G1089" s="2"/>
      <c r="H1089" s="2"/>
      <c r="I1089" s="2"/>
      <c r="J1089" s="2"/>
      <c r="K1089" s="2"/>
      <c r="L1089" s="2"/>
      <c r="M1089" s="2"/>
      <c r="N1089" s="2"/>
      <c r="O1089" s="2"/>
      <c r="P1089" s="2"/>
      <c r="Q1089" s="2"/>
      <c r="R1089" s="2"/>
      <c r="S1089" s="2"/>
      <c r="T1089" s="2"/>
      <c r="U1089" s="2"/>
      <c r="V1089" s="2"/>
      <c r="W1089" s="2"/>
      <c r="X1089" s="2"/>
      <c r="Y1089" s="2"/>
      <c r="Z1089" s="2"/>
      <c r="AA1089" s="2"/>
      <c r="AB1089" s="2"/>
      <c r="AC1089" s="2"/>
    </row>
    <row r="1090" spans="7:29" x14ac:dyDescent="0.35">
      <c r="G1090" s="2"/>
      <c r="H1090" s="2"/>
      <c r="I1090" s="2"/>
      <c r="J1090" s="2"/>
      <c r="K1090" s="2"/>
      <c r="L1090" s="2"/>
      <c r="M1090" s="2"/>
      <c r="N1090" s="2"/>
      <c r="O1090" s="2"/>
      <c r="P1090" s="2"/>
      <c r="Q1090" s="2"/>
      <c r="R1090" s="2"/>
      <c r="S1090" s="2"/>
      <c r="T1090" s="2"/>
      <c r="U1090" s="2"/>
      <c r="V1090" s="2"/>
      <c r="W1090" s="2"/>
      <c r="X1090" s="2"/>
      <c r="Y1090" s="2"/>
      <c r="Z1090" s="2"/>
      <c r="AA1090" s="2"/>
      <c r="AB1090" s="2"/>
      <c r="AC1090" s="2"/>
    </row>
    <row r="1091" spans="7:29" x14ac:dyDescent="0.35">
      <c r="G1091" s="2"/>
      <c r="H1091" s="2"/>
      <c r="I1091" s="2"/>
      <c r="J1091" s="2"/>
      <c r="K1091" s="2"/>
      <c r="L1091" s="2"/>
      <c r="M1091" s="2"/>
      <c r="N1091" s="2"/>
      <c r="O1091" s="2"/>
      <c r="P1091" s="2"/>
      <c r="Q1091" s="2"/>
      <c r="R1091" s="2"/>
      <c r="S1091" s="2"/>
      <c r="T1091" s="2"/>
      <c r="U1091" s="2"/>
      <c r="V1091" s="2"/>
      <c r="W1091" s="2"/>
      <c r="X1091" s="2"/>
      <c r="Y1091" s="2"/>
      <c r="Z1091" s="2"/>
      <c r="AA1091" s="2"/>
      <c r="AB1091" s="2"/>
      <c r="AC1091" s="2"/>
    </row>
    <row r="1092" spans="7:29" x14ac:dyDescent="0.35">
      <c r="G1092" s="2"/>
      <c r="H1092" s="2"/>
      <c r="I1092" s="2"/>
      <c r="J1092" s="2"/>
      <c r="K1092" s="2"/>
      <c r="L1092" s="2"/>
      <c r="M1092" s="2"/>
      <c r="N1092" s="2"/>
      <c r="O1092" s="2"/>
      <c r="P1092" s="2"/>
      <c r="Q1092" s="2"/>
      <c r="R1092" s="2"/>
      <c r="S1092" s="2"/>
      <c r="T1092" s="2"/>
      <c r="U1092" s="2"/>
      <c r="V1092" s="2"/>
      <c r="W1092" s="2"/>
      <c r="X1092" s="2"/>
      <c r="Y1092" s="2"/>
      <c r="Z1092" s="2"/>
      <c r="AA1092" s="2"/>
      <c r="AB1092" s="2"/>
      <c r="AC1092" s="2"/>
    </row>
    <row r="1093" spans="7:29" x14ac:dyDescent="0.35">
      <c r="G1093" s="2"/>
      <c r="H1093" s="2"/>
      <c r="I1093" s="2"/>
      <c r="J1093" s="2"/>
      <c r="K1093" s="2"/>
      <c r="L1093" s="2"/>
      <c r="M1093" s="2"/>
      <c r="N1093" s="2"/>
      <c r="O1093" s="2"/>
      <c r="P1093" s="2"/>
      <c r="Q1093" s="2"/>
      <c r="R1093" s="2"/>
      <c r="S1093" s="2"/>
      <c r="T1093" s="2"/>
      <c r="U1093" s="2"/>
      <c r="V1093" s="2"/>
      <c r="W1093" s="2"/>
      <c r="X1093" s="2"/>
      <c r="Y1093" s="2"/>
      <c r="Z1093" s="2"/>
      <c r="AA1093" s="2"/>
      <c r="AB1093" s="2"/>
      <c r="AC1093" s="2"/>
    </row>
    <row r="1094" spans="7:29" x14ac:dyDescent="0.35">
      <c r="G1094" s="2"/>
      <c r="H1094" s="2"/>
      <c r="I1094" s="2"/>
      <c r="J1094" s="2"/>
      <c r="K1094" s="2"/>
      <c r="L1094" s="2"/>
      <c r="M1094" s="2"/>
      <c r="N1094" s="2"/>
      <c r="O1094" s="2"/>
      <c r="P1094" s="2"/>
      <c r="Q1094" s="2"/>
      <c r="R1094" s="2"/>
      <c r="S1094" s="2"/>
      <c r="T1094" s="2"/>
      <c r="U1094" s="2"/>
      <c r="V1094" s="2"/>
      <c r="W1094" s="2"/>
      <c r="X1094" s="2"/>
      <c r="Y1094" s="2"/>
      <c r="Z1094" s="2"/>
      <c r="AA1094" s="2"/>
      <c r="AB1094" s="2"/>
      <c r="AC1094" s="2"/>
    </row>
    <row r="1095" spans="7:29" x14ac:dyDescent="0.35">
      <c r="G1095" s="2"/>
      <c r="H1095" s="2"/>
      <c r="I1095" s="2"/>
      <c r="J1095" s="2"/>
      <c r="K1095" s="2"/>
      <c r="L1095" s="2"/>
      <c r="M1095" s="2"/>
      <c r="N1095" s="2"/>
      <c r="O1095" s="2"/>
      <c r="P1095" s="2"/>
      <c r="Q1095" s="2"/>
      <c r="R1095" s="2"/>
      <c r="S1095" s="2"/>
      <c r="T1095" s="2"/>
      <c r="U1095" s="2"/>
      <c r="V1095" s="2"/>
      <c r="W1095" s="2"/>
      <c r="X1095" s="2"/>
      <c r="Y1095" s="2"/>
      <c r="Z1095" s="2"/>
      <c r="AA1095" s="2"/>
      <c r="AB1095" s="2"/>
      <c r="AC1095" s="2"/>
    </row>
    <row r="1096" spans="7:29" x14ac:dyDescent="0.35">
      <c r="G1096" s="2"/>
      <c r="H1096" s="2"/>
      <c r="I1096" s="2"/>
      <c r="J1096" s="2"/>
      <c r="K1096" s="2"/>
      <c r="L1096" s="2"/>
      <c r="M1096" s="2"/>
      <c r="N1096" s="2"/>
      <c r="O1096" s="2"/>
      <c r="P1096" s="2"/>
      <c r="Q1096" s="2"/>
      <c r="R1096" s="2"/>
      <c r="S1096" s="2"/>
      <c r="T1096" s="2"/>
      <c r="U1096" s="2"/>
      <c r="V1096" s="2"/>
      <c r="W1096" s="2"/>
      <c r="X1096" s="2"/>
      <c r="Y1096" s="2"/>
      <c r="Z1096" s="2"/>
      <c r="AA1096" s="2"/>
      <c r="AB1096" s="2"/>
      <c r="AC1096" s="2"/>
    </row>
    <row r="1097" spans="7:29" x14ac:dyDescent="0.35">
      <c r="G1097" s="2"/>
      <c r="H1097" s="2"/>
      <c r="I1097" s="2"/>
      <c r="J1097" s="2"/>
      <c r="K1097" s="2"/>
      <c r="L1097" s="2"/>
      <c r="M1097" s="2"/>
      <c r="N1097" s="2"/>
      <c r="O1097" s="2"/>
      <c r="P1097" s="2"/>
      <c r="Q1097" s="2"/>
      <c r="R1097" s="2"/>
      <c r="S1097" s="2"/>
      <c r="T1097" s="2"/>
      <c r="U1097" s="2"/>
      <c r="V1097" s="2"/>
      <c r="W1097" s="2"/>
      <c r="X1097" s="2"/>
      <c r="Y1097" s="2"/>
      <c r="Z1097" s="2"/>
      <c r="AA1097" s="2"/>
      <c r="AB1097" s="2"/>
      <c r="AC1097" s="2"/>
    </row>
    <row r="1098" spans="7:29" x14ac:dyDescent="0.35">
      <c r="G1098" s="2"/>
      <c r="H1098" s="2"/>
      <c r="I1098" s="2"/>
      <c r="J1098" s="2"/>
      <c r="K1098" s="2"/>
      <c r="L1098" s="2"/>
      <c r="M1098" s="2"/>
      <c r="N1098" s="2"/>
      <c r="O1098" s="2"/>
      <c r="P1098" s="2"/>
      <c r="Q1098" s="2"/>
      <c r="R1098" s="2"/>
      <c r="S1098" s="2"/>
      <c r="T1098" s="2"/>
      <c r="U1098" s="2"/>
      <c r="V1098" s="2"/>
      <c r="W1098" s="2"/>
      <c r="X1098" s="2"/>
      <c r="Y1098" s="2"/>
      <c r="Z1098" s="2"/>
      <c r="AA1098" s="2"/>
      <c r="AB1098" s="2"/>
      <c r="AC1098" s="2"/>
    </row>
    <row r="1099" spans="7:29" x14ac:dyDescent="0.35">
      <c r="G1099" s="2"/>
      <c r="H1099" s="2"/>
      <c r="I1099" s="2"/>
      <c r="J1099" s="2"/>
      <c r="K1099" s="2"/>
      <c r="L1099" s="2"/>
      <c r="M1099" s="2"/>
      <c r="N1099" s="2"/>
      <c r="O1099" s="2"/>
      <c r="P1099" s="2"/>
      <c r="Q1099" s="2"/>
      <c r="R1099" s="2"/>
      <c r="S1099" s="2"/>
      <c r="T1099" s="2"/>
      <c r="U1099" s="2"/>
      <c r="V1099" s="2"/>
      <c r="W1099" s="2"/>
      <c r="X1099" s="2"/>
      <c r="Y1099" s="2"/>
      <c r="Z1099" s="2"/>
      <c r="AA1099" s="2"/>
      <c r="AB1099" s="2"/>
      <c r="AC1099" s="2"/>
    </row>
    <row r="1100" spans="7:29" x14ac:dyDescent="0.35">
      <c r="G1100" s="2"/>
      <c r="H1100" s="2"/>
      <c r="I1100" s="2"/>
      <c r="J1100" s="2"/>
      <c r="K1100" s="2"/>
      <c r="L1100" s="2"/>
      <c r="M1100" s="2"/>
      <c r="N1100" s="2"/>
      <c r="O1100" s="2"/>
      <c r="P1100" s="2"/>
      <c r="Q1100" s="2"/>
      <c r="R1100" s="2"/>
      <c r="S1100" s="2"/>
      <c r="T1100" s="2"/>
      <c r="U1100" s="2"/>
      <c r="V1100" s="2"/>
      <c r="W1100" s="2"/>
      <c r="X1100" s="2"/>
      <c r="Y1100" s="2"/>
      <c r="Z1100" s="2"/>
      <c r="AA1100" s="2"/>
      <c r="AB1100" s="2"/>
      <c r="AC1100" s="2"/>
    </row>
    <row r="1101" spans="7:29" x14ac:dyDescent="0.35">
      <c r="G1101" s="2"/>
      <c r="H1101" s="2"/>
      <c r="I1101" s="2"/>
      <c r="J1101" s="2"/>
      <c r="K1101" s="2"/>
      <c r="L1101" s="2"/>
      <c r="M1101" s="2"/>
      <c r="N1101" s="2"/>
      <c r="O1101" s="2"/>
      <c r="P1101" s="2"/>
      <c r="Q1101" s="2"/>
      <c r="R1101" s="2"/>
      <c r="S1101" s="2"/>
      <c r="T1101" s="2"/>
      <c r="U1101" s="2"/>
      <c r="V1101" s="2"/>
      <c r="W1101" s="2"/>
      <c r="X1101" s="2"/>
      <c r="Y1101" s="2"/>
      <c r="Z1101" s="2"/>
      <c r="AA1101" s="2"/>
      <c r="AB1101" s="2"/>
      <c r="AC1101" s="2"/>
    </row>
    <row r="1102" spans="7:29" x14ac:dyDescent="0.35">
      <c r="G1102" s="2"/>
      <c r="H1102" s="2"/>
      <c r="I1102" s="2"/>
      <c r="J1102" s="2"/>
      <c r="K1102" s="2"/>
      <c r="L1102" s="2"/>
      <c r="M1102" s="2"/>
      <c r="N1102" s="2"/>
      <c r="O1102" s="2"/>
      <c r="P1102" s="2"/>
      <c r="Q1102" s="2"/>
      <c r="R1102" s="2"/>
      <c r="S1102" s="2"/>
      <c r="T1102" s="2"/>
      <c r="U1102" s="2"/>
      <c r="V1102" s="2"/>
      <c r="W1102" s="2"/>
      <c r="X1102" s="2"/>
      <c r="Y1102" s="2"/>
      <c r="Z1102" s="2"/>
      <c r="AA1102" s="2"/>
      <c r="AB1102" s="2"/>
      <c r="AC1102" s="2"/>
    </row>
    <row r="1103" spans="7:29" x14ac:dyDescent="0.35">
      <c r="G1103" s="2"/>
      <c r="H1103" s="2"/>
      <c r="I1103" s="2"/>
      <c r="J1103" s="2"/>
      <c r="K1103" s="2"/>
      <c r="L1103" s="2"/>
      <c r="M1103" s="2"/>
      <c r="N1103" s="2"/>
      <c r="O1103" s="2"/>
      <c r="P1103" s="2"/>
      <c r="Q1103" s="2"/>
      <c r="R1103" s="2"/>
      <c r="S1103" s="2"/>
      <c r="T1103" s="2"/>
      <c r="U1103" s="2"/>
      <c r="V1103" s="2"/>
      <c r="W1103" s="2"/>
      <c r="X1103" s="2"/>
      <c r="Y1103" s="2"/>
      <c r="Z1103" s="2"/>
      <c r="AA1103" s="2"/>
      <c r="AB1103" s="2"/>
      <c r="AC1103" s="2"/>
    </row>
    <row r="1104" spans="7:29" x14ac:dyDescent="0.35">
      <c r="G1104" s="2"/>
      <c r="H1104" s="2"/>
      <c r="I1104" s="2"/>
      <c r="J1104" s="2"/>
      <c r="K1104" s="2"/>
      <c r="L1104" s="2"/>
      <c r="M1104" s="2"/>
      <c r="N1104" s="2"/>
      <c r="O1104" s="2"/>
      <c r="P1104" s="2"/>
      <c r="Q1104" s="2"/>
      <c r="R1104" s="2"/>
      <c r="S1104" s="2"/>
      <c r="T1104" s="2"/>
      <c r="U1104" s="2"/>
      <c r="V1104" s="2"/>
      <c r="W1104" s="2"/>
      <c r="X1104" s="2"/>
      <c r="Y1104" s="2"/>
      <c r="Z1104" s="2"/>
      <c r="AA1104" s="2"/>
      <c r="AB1104" s="2"/>
      <c r="AC1104" s="2"/>
    </row>
    <row r="1105" spans="7:29" x14ac:dyDescent="0.35">
      <c r="G1105" s="2"/>
      <c r="H1105" s="2"/>
      <c r="I1105" s="2"/>
      <c r="J1105" s="2"/>
      <c r="K1105" s="2"/>
      <c r="L1105" s="2"/>
      <c r="M1105" s="2"/>
      <c r="N1105" s="2"/>
      <c r="O1105" s="2"/>
      <c r="P1105" s="2"/>
      <c r="Q1105" s="2"/>
      <c r="R1105" s="2"/>
      <c r="S1105" s="2"/>
      <c r="T1105" s="2"/>
      <c r="U1105" s="2"/>
      <c r="V1105" s="2"/>
      <c r="W1105" s="2"/>
      <c r="X1105" s="2"/>
      <c r="Y1105" s="2"/>
      <c r="Z1105" s="2"/>
      <c r="AA1105" s="2"/>
      <c r="AB1105" s="2"/>
      <c r="AC1105" s="2"/>
    </row>
    <row r="1106" spans="7:29" x14ac:dyDescent="0.35">
      <c r="G1106" s="2"/>
      <c r="H1106" s="2"/>
      <c r="I1106" s="2"/>
      <c r="J1106" s="2"/>
      <c r="K1106" s="2"/>
      <c r="L1106" s="2"/>
      <c r="M1106" s="2"/>
      <c r="N1106" s="2"/>
      <c r="O1106" s="2"/>
      <c r="P1106" s="2"/>
      <c r="Q1106" s="2"/>
      <c r="R1106" s="2"/>
      <c r="S1106" s="2"/>
      <c r="T1106" s="2"/>
      <c r="U1106" s="2"/>
      <c r="V1106" s="2"/>
      <c r="W1106" s="2"/>
      <c r="X1106" s="2"/>
      <c r="Y1106" s="2"/>
      <c r="Z1106" s="2"/>
      <c r="AA1106" s="2"/>
      <c r="AB1106" s="2"/>
      <c r="AC1106" s="2"/>
    </row>
    <row r="1107" spans="7:29" x14ac:dyDescent="0.35">
      <c r="G1107" s="2"/>
      <c r="H1107" s="2"/>
      <c r="I1107" s="2"/>
      <c r="J1107" s="2"/>
      <c r="K1107" s="2"/>
      <c r="L1107" s="2"/>
      <c r="M1107" s="2"/>
      <c r="N1107" s="2"/>
      <c r="O1107" s="2"/>
      <c r="P1107" s="2"/>
      <c r="Q1107" s="2"/>
      <c r="R1107" s="2"/>
      <c r="S1107" s="2"/>
      <c r="T1107" s="2"/>
      <c r="U1107" s="2"/>
      <c r="V1107" s="2"/>
      <c r="W1107" s="2"/>
      <c r="X1107" s="2"/>
      <c r="Y1107" s="2"/>
      <c r="Z1107" s="2"/>
      <c r="AA1107" s="2"/>
      <c r="AB1107" s="2"/>
      <c r="AC1107" s="2"/>
    </row>
    <row r="1108" spans="7:29" x14ac:dyDescent="0.35">
      <c r="G1108" s="2"/>
      <c r="H1108" s="2"/>
      <c r="I1108" s="2"/>
      <c r="J1108" s="2"/>
      <c r="K1108" s="2"/>
      <c r="L1108" s="2"/>
      <c r="M1108" s="2"/>
      <c r="N1108" s="2"/>
      <c r="O1108" s="2"/>
      <c r="P1108" s="2"/>
      <c r="Q1108" s="2"/>
      <c r="R1108" s="2"/>
      <c r="S1108" s="2"/>
      <c r="T1108" s="2"/>
      <c r="U1108" s="2"/>
      <c r="V1108" s="2"/>
      <c r="W1108" s="2"/>
      <c r="X1108" s="2"/>
      <c r="Y1108" s="2"/>
      <c r="Z1108" s="2"/>
      <c r="AA1108" s="2"/>
      <c r="AB1108" s="2"/>
      <c r="AC1108" s="2"/>
    </row>
    <row r="1109" spans="7:29" x14ac:dyDescent="0.35">
      <c r="G1109" s="2"/>
      <c r="H1109" s="2"/>
      <c r="I1109" s="2"/>
      <c r="J1109" s="2"/>
      <c r="K1109" s="2"/>
      <c r="L1109" s="2"/>
      <c r="M1109" s="2"/>
      <c r="N1109" s="2"/>
      <c r="O1109" s="2"/>
      <c r="P1109" s="2"/>
      <c r="Q1109" s="2"/>
      <c r="R1109" s="2"/>
      <c r="S1109" s="2"/>
      <c r="T1109" s="2"/>
      <c r="U1109" s="2"/>
      <c r="V1109" s="2"/>
      <c r="W1109" s="2"/>
      <c r="X1109" s="2"/>
      <c r="Y1109" s="2"/>
      <c r="Z1109" s="2"/>
      <c r="AA1109" s="2"/>
      <c r="AB1109" s="2"/>
      <c r="AC1109" s="2"/>
    </row>
    <row r="1110" spans="7:29" x14ac:dyDescent="0.35">
      <c r="G1110" s="2"/>
      <c r="H1110" s="2"/>
      <c r="I1110" s="2"/>
      <c r="J1110" s="2"/>
      <c r="K1110" s="2"/>
      <c r="L1110" s="2"/>
      <c r="M1110" s="2"/>
      <c r="N1110" s="2"/>
      <c r="O1110" s="2"/>
      <c r="P1110" s="2"/>
      <c r="Q1110" s="2"/>
      <c r="R1110" s="2"/>
      <c r="S1110" s="2"/>
      <c r="T1110" s="2"/>
      <c r="U1110" s="2"/>
      <c r="V1110" s="2"/>
      <c r="W1110" s="2"/>
      <c r="X1110" s="2"/>
      <c r="Y1110" s="2"/>
      <c r="Z1110" s="2"/>
      <c r="AA1110" s="2"/>
      <c r="AB1110" s="2"/>
      <c r="AC1110" s="2"/>
    </row>
    <row r="1111" spans="7:29" x14ac:dyDescent="0.35">
      <c r="G1111" s="2"/>
      <c r="H1111" s="2"/>
      <c r="I1111" s="2"/>
      <c r="J1111" s="2"/>
      <c r="K1111" s="2"/>
      <c r="L1111" s="2"/>
      <c r="M1111" s="2"/>
      <c r="N1111" s="2"/>
      <c r="O1111" s="2"/>
      <c r="P1111" s="2"/>
      <c r="Q1111" s="2"/>
      <c r="R1111" s="2"/>
      <c r="S1111" s="2"/>
      <c r="T1111" s="2"/>
      <c r="U1111" s="2"/>
      <c r="V1111" s="2"/>
      <c r="W1111" s="2"/>
      <c r="X1111" s="2"/>
      <c r="Y1111" s="2"/>
      <c r="Z1111" s="2"/>
      <c r="AA1111" s="2"/>
      <c r="AB1111" s="2"/>
      <c r="AC1111" s="2"/>
    </row>
    <row r="1112" spans="7:29" x14ac:dyDescent="0.35">
      <c r="G1112" s="2"/>
      <c r="H1112" s="2"/>
      <c r="I1112" s="2"/>
      <c r="J1112" s="2"/>
      <c r="K1112" s="2"/>
      <c r="L1112" s="2"/>
      <c r="M1112" s="2"/>
      <c r="N1112" s="2"/>
      <c r="O1112" s="2"/>
      <c r="P1112" s="2"/>
      <c r="Q1112" s="2"/>
      <c r="R1112" s="2"/>
      <c r="S1112" s="2"/>
      <c r="T1112" s="2"/>
      <c r="U1112" s="2"/>
      <c r="V1112" s="2"/>
      <c r="W1112" s="2"/>
      <c r="X1112" s="2"/>
      <c r="Y1112" s="2"/>
      <c r="Z1112" s="2"/>
      <c r="AA1112" s="2"/>
      <c r="AB1112" s="2"/>
      <c r="AC1112" s="2"/>
    </row>
    <row r="1113" spans="7:29" x14ac:dyDescent="0.35">
      <c r="G1113" s="2"/>
      <c r="H1113" s="2"/>
      <c r="I1113" s="2"/>
      <c r="J1113" s="2"/>
      <c r="K1113" s="2"/>
      <c r="L1113" s="2"/>
      <c r="M1113" s="2"/>
      <c r="N1113" s="2"/>
      <c r="O1113" s="2"/>
      <c r="P1113" s="2"/>
      <c r="Q1113" s="2"/>
      <c r="R1113" s="2"/>
      <c r="S1113" s="2"/>
      <c r="T1113" s="2"/>
      <c r="U1113" s="2"/>
      <c r="V1113" s="2"/>
      <c r="W1113" s="2"/>
      <c r="X1113" s="2"/>
      <c r="Y1113" s="2"/>
      <c r="Z1113" s="2"/>
      <c r="AA1113" s="2"/>
      <c r="AB1113" s="2"/>
      <c r="AC1113" s="2"/>
    </row>
    <row r="1114" spans="7:29" x14ac:dyDescent="0.35">
      <c r="G1114" s="2"/>
      <c r="H1114" s="2"/>
      <c r="I1114" s="2"/>
      <c r="J1114" s="2"/>
      <c r="K1114" s="2"/>
      <c r="L1114" s="2"/>
      <c r="M1114" s="2"/>
      <c r="N1114" s="2"/>
      <c r="O1114" s="2"/>
      <c r="P1114" s="2"/>
      <c r="Q1114" s="2"/>
      <c r="R1114" s="2"/>
      <c r="S1114" s="2"/>
      <c r="T1114" s="2"/>
      <c r="U1114" s="2"/>
      <c r="V1114" s="2"/>
      <c r="W1114" s="2"/>
      <c r="X1114" s="2"/>
      <c r="Y1114" s="2"/>
      <c r="Z1114" s="2"/>
      <c r="AA1114" s="2"/>
      <c r="AB1114" s="2"/>
      <c r="AC1114" s="2"/>
    </row>
    <row r="1115" spans="7:29" x14ac:dyDescent="0.35">
      <c r="G1115" s="2"/>
      <c r="H1115" s="2"/>
      <c r="I1115" s="2"/>
      <c r="J1115" s="2"/>
      <c r="K1115" s="2"/>
      <c r="L1115" s="2"/>
      <c r="M1115" s="2"/>
      <c r="N1115" s="2"/>
      <c r="O1115" s="2"/>
      <c r="P1115" s="2"/>
      <c r="Q1115" s="2"/>
      <c r="R1115" s="2"/>
      <c r="S1115" s="2"/>
      <c r="T1115" s="2"/>
      <c r="U1115" s="2"/>
      <c r="V1115" s="2"/>
      <c r="W1115" s="2"/>
      <c r="X1115" s="2"/>
      <c r="Y1115" s="2"/>
      <c r="Z1115" s="2"/>
      <c r="AA1115" s="2"/>
      <c r="AB1115" s="2"/>
      <c r="AC1115" s="2"/>
    </row>
    <row r="1116" spans="7:29" x14ac:dyDescent="0.35">
      <c r="G1116" s="2"/>
      <c r="H1116" s="2"/>
      <c r="I1116" s="2"/>
      <c r="J1116" s="2"/>
      <c r="K1116" s="2"/>
      <c r="L1116" s="2"/>
      <c r="M1116" s="2"/>
      <c r="N1116" s="2"/>
      <c r="O1116" s="2"/>
      <c r="P1116" s="2"/>
      <c r="Q1116" s="2"/>
      <c r="R1116" s="2"/>
      <c r="S1116" s="2"/>
      <c r="T1116" s="2"/>
      <c r="U1116" s="2"/>
      <c r="V1116" s="2"/>
      <c r="W1116" s="2"/>
      <c r="X1116" s="2"/>
      <c r="Y1116" s="2"/>
      <c r="Z1116" s="2"/>
      <c r="AA1116" s="2"/>
      <c r="AB1116" s="2"/>
      <c r="AC1116" s="2"/>
    </row>
    <row r="1117" spans="7:29" x14ac:dyDescent="0.35">
      <c r="G1117" s="2"/>
      <c r="H1117" s="2"/>
      <c r="I1117" s="2"/>
      <c r="J1117" s="2"/>
      <c r="K1117" s="2"/>
      <c r="L1117" s="2"/>
      <c r="M1117" s="2"/>
      <c r="N1117" s="2"/>
      <c r="O1117" s="2"/>
      <c r="P1117" s="2"/>
      <c r="Q1117" s="2"/>
      <c r="R1117" s="2"/>
      <c r="S1117" s="2"/>
      <c r="T1117" s="2"/>
      <c r="U1117" s="2"/>
      <c r="V1117" s="2"/>
      <c r="W1117" s="2"/>
      <c r="X1117" s="2"/>
      <c r="Y1117" s="2"/>
      <c r="Z1117" s="2"/>
      <c r="AA1117" s="2"/>
      <c r="AB1117" s="2"/>
      <c r="AC1117" s="2"/>
    </row>
    <row r="1118" spans="7:29" x14ac:dyDescent="0.35">
      <c r="G1118" s="2"/>
      <c r="H1118" s="2"/>
      <c r="I1118" s="2"/>
      <c r="J1118" s="2"/>
      <c r="K1118" s="2"/>
      <c r="L1118" s="2"/>
      <c r="M1118" s="2"/>
      <c r="N1118" s="2"/>
      <c r="O1118" s="2"/>
      <c r="P1118" s="2"/>
      <c r="Q1118" s="2"/>
      <c r="R1118" s="2"/>
      <c r="S1118" s="2"/>
      <c r="T1118" s="2"/>
      <c r="U1118" s="2"/>
      <c r="V1118" s="2"/>
      <c r="W1118" s="2"/>
      <c r="X1118" s="2"/>
      <c r="Y1118" s="2"/>
      <c r="Z1118" s="2"/>
      <c r="AA1118" s="2"/>
      <c r="AB1118" s="2"/>
      <c r="AC1118" s="2"/>
    </row>
    <row r="1119" spans="7:29" x14ac:dyDescent="0.35">
      <c r="G1119" s="2"/>
      <c r="H1119" s="2"/>
      <c r="I1119" s="2"/>
      <c r="J1119" s="2"/>
      <c r="K1119" s="2"/>
      <c r="L1119" s="2"/>
      <c r="M1119" s="2"/>
      <c r="N1119" s="2"/>
      <c r="O1119" s="2"/>
      <c r="P1119" s="2"/>
      <c r="Q1119" s="2"/>
      <c r="R1119" s="2"/>
      <c r="S1119" s="2"/>
      <c r="T1119" s="2"/>
      <c r="U1119" s="2"/>
      <c r="V1119" s="2"/>
      <c r="W1119" s="2"/>
      <c r="X1119" s="2"/>
      <c r="Y1119" s="2"/>
      <c r="Z1119" s="2"/>
      <c r="AA1119" s="2"/>
      <c r="AB1119" s="2"/>
      <c r="AC1119" s="2"/>
    </row>
    <row r="1120" spans="7:29" x14ac:dyDescent="0.35">
      <c r="G1120" s="2"/>
      <c r="H1120" s="2"/>
      <c r="I1120" s="2"/>
      <c r="J1120" s="2"/>
      <c r="K1120" s="2"/>
      <c r="L1120" s="2"/>
      <c r="M1120" s="2"/>
      <c r="N1120" s="2"/>
      <c r="O1120" s="2"/>
      <c r="P1120" s="2"/>
      <c r="Q1120" s="2"/>
      <c r="R1120" s="2"/>
      <c r="S1120" s="2"/>
      <c r="T1120" s="2"/>
      <c r="U1120" s="2"/>
      <c r="V1120" s="2"/>
      <c r="W1120" s="2"/>
      <c r="X1120" s="2"/>
      <c r="Y1120" s="2"/>
      <c r="Z1120" s="2"/>
      <c r="AA1120" s="2"/>
      <c r="AB1120" s="2"/>
      <c r="AC1120" s="2"/>
    </row>
    <row r="1121" spans="7:29" x14ac:dyDescent="0.35">
      <c r="G1121" s="2"/>
      <c r="H1121" s="2"/>
      <c r="I1121" s="2"/>
      <c r="J1121" s="2"/>
      <c r="K1121" s="2"/>
      <c r="L1121" s="2"/>
      <c r="M1121" s="2"/>
      <c r="N1121" s="2"/>
      <c r="O1121" s="2"/>
      <c r="P1121" s="2"/>
      <c r="Q1121" s="2"/>
      <c r="R1121" s="2"/>
      <c r="S1121" s="2"/>
      <c r="T1121" s="2"/>
      <c r="U1121" s="2"/>
      <c r="V1121" s="2"/>
      <c r="W1121" s="2"/>
      <c r="X1121" s="2"/>
      <c r="Y1121" s="2"/>
      <c r="Z1121" s="2"/>
      <c r="AA1121" s="2"/>
      <c r="AB1121" s="2"/>
      <c r="AC1121" s="2"/>
    </row>
    <row r="1122" spans="7:29" x14ac:dyDescent="0.35">
      <c r="G1122" s="2"/>
      <c r="H1122" s="2"/>
      <c r="I1122" s="2"/>
      <c r="J1122" s="2"/>
      <c r="K1122" s="2"/>
      <c r="L1122" s="2"/>
      <c r="M1122" s="2"/>
      <c r="N1122" s="2"/>
      <c r="O1122" s="2"/>
      <c r="P1122" s="2"/>
      <c r="Q1122" s="2"/>
      <c r="R1122" s="2"/>
      <c r="S1122" s="2"/>
      <c r="T1122" s="2"/>
      <c r="U1122" s="2"/>
      <c r="V1122" s="2"/>
      <c r="W1122" s="2"/>
      <c r="X1122" s="2"/>
      <c r="Y1122" s="2"/>
      <c r="Z1122" s="2"/>
      <c r="AA1122" s="2"/>
      <c r="AB1122" s="2"/>
      <c r="AC1122" s="2"/>
    </row>
    <row r="1123" spans="7:29" x14ac:dyDescent="0.35">
      <c r="G1123" s="2"/>
      <c r="H1123" s="2"/>
      <c r="I1123" s="2"/>
      <c r="J1123" s="2"/>
      <c r="K1123" s="2"/>
      <c r="L1123" s="2"/>
      <c r="M1123" s="2"/>
      <c r="N1123" s="2"/>
      <c r="O1123" s="2"/>
      <c r="P1123" s="2"/>
      <c r="Q1123" s="2"/>
      <c r="R1123" s="2"/>
      <c r="S1123" s="2"/>
      <c r="T1123" s="2"/>
      <c r="U1123" s="2"/>
      <c r="V1123" s="2"/>
      <c r="W1123" s="2"/>
      <c r="X1123" s="2"/>
      <c r="Y1123" s="2"/>
      <c r="Z1123" s="2"/>
      <c r="AA1123" s="2"/>
      <c r="AB1123" s="2"/>
      <c r="AC1123" s="2"/>
    </row>
    <row r="1124" spans="7:29" x14ac:dyDescent="0.35">
      <c r="G1124" s="2"/>
      <c r="H1124" s="2"/>
      <c r="I1124" s="2"/>
      <c r="J1124" s="2"/>
      <c r="K1124" s="2"/>
      <c r="L1124" s="2"/>
      <c r="M1124" s="2"/>
      <c r="N1124" s="2"/>
      <c r="O1124" s="2"/>
      <c r="P1124" s="2"/>
      <c r="Q1124" s="2"/>
      <c r="R1124" s="2"/>
      <c r="S1124" s="2"/>
      <c r="T1124" s="2"/>
      <c r="U1124" s="2"/>
      <c r="V1124" s="2"/>
      <c r="W1124" s="2"/>
      <c r="X1124" s="2"/>
      <c r="Y1124" s="2"/>
      <c r="Z1124" s="2"/>
      <c r="AA1124" s="2"/>
      <c r="AB1124" s="2"/>
      <c r="AC1124" s="2"/>
    </row>
    <row r="1125" spans="7:29" x14ac:dyDescent="0.35">
      <c r="G1125" s="2"/>
      <c r="H1125" s="2"/>
      <c r="I1125" s="2"/>
      <c r="J1125" s="2"/>
      <c r="K1125" s="2"/>
      <c r="L1125" s="2"/>
      <c r="M1125" s="2"/>
      <c r="N1125" s="2"/>
      <c r="O1125" s="2"/>
      <c r="P1125" s="2"/>
      <c r="Q1125" s="2"/>
      <c r="R1125" s="2"/>
      <c r="S1125" s="2"/>
      <c r="T1125" s="2"/>
      <c r="U1125" s="2"/>
      <c r="V1125" s="2"/>
      <c r="W1125" s="2"/>
      <c r="X1125" s="2"/>
      <c r="Y1125" s="2"/>
      <c r="Z1125" s="2"/>
      <c r="AA1125" s="2"/>
      <c r="AB1125" s="2"/>
      <c r="AC1125" s="2"/>
    </row>
    <row r="1126" spans="7:29" x14ac:dyDescent="0.35">
      <c r="G1126" s="2"/>
      <c r="H1126" s="2"/>
      <c r="I1126" s="2"/>
      <c r="J1126" s="2"/>
      <c r="K1126" s="2"/>
      <c r="L1126" s="2"/>
      <c r="M1126" s="2"/>
      <c r="N1126" s="2"/>
      <c r="O1126" s="2"/>
      <c r="P1126" s="2"/>
      <c r="Q1126" s="2"/>
      <c r="R1126" s="2"/>
      <c r="S1126" s="2"/>
      <c r="T1126" s="2"/>
      <c r="U1126" s="2"/>
      <c r="V1126" s="2"/>
      <c r="W1126" s="2"/>
      <c r="X1126" s="2"/>
      <c r="Y1126" s="2"/>
      <c r="Z1126" s="2"/>
      <c r="AA1126" s="2"/>
      <c r="AB1126" s="2"/>
      <c r="AC1126" s="2"/>
    </row>
    <row r="1127" spans="7:29" x14ac:dyDescent="0.35">
      <c r="G1127" s="2"/>
      <c r="H1127" s="2"/>
      <c r="I1127" s="2"/>
      <c r="J1127" s="2"/>
      <c r="K1127" s="2"/>
      <c r="L1127" s="2"/>
      <c r="M1127" s="2"/>
      <c r="N1127" s="2"/>
      <c r="O1127" s="2"/>
      <c r="P1127" s="2"/>
      <c r="Q1127" s="2"/>
      <c r="R1127" s="2"/>
      <c r="S1127" s="2"/>
      <c r="T1127" s="2"/>
      <c r="U1127" s="2"/>
      <c r="V1127" s="2"/>
      <c r="W1127" s="2"/>
      <c r="X1127" s="2"/>
      <c r="Y1127" s="2"/>
      <c r="Z1127" s="2"/>
      <c r="AA1127" s="2"/>
      <c r="AB1127" s="2"/>
      <c r="AC1127" s="2"/>
    </row>
    <row r="1128" spans="7:29" x14ac:dyDescent="0.35">
      <c r="G1128" s="2"/>
      <c r="H1128" s="2"/>
      <c r="I1128" s="2"/>
      <c r="J1128" s="2"/>
      <c r="K1128" s="2"/>
      <c r="L1128" s="2"/>
      <c r="M1128" s="2"/>
      <c r="N1128" s="2"/>
      <c r="O1128" s="2"/>
      <c r="P1128" s="2"/>
      <c r="Q1128" s="2"/>
      <c r="R1128" s="2"/>
      <c r="S1128" s="2"/>
      <c r="T1128" s="2"/>
      <c r="U1128" s="2"/>
      <c r="V1128" s="2"/>
      <c r="W1128" s="2"/>
      <c r="X1128" s="2"/>
      <c r="Y1128" s="2"/>
      <c r="Z1128" s="2"/>
      <c r="AA1128" s="2"/>
      <c r="AB1128" s="2"/>
      <c r="AC1128" s="2"/>
    </row>
    <row r="1129" spans="7:29" x14ac:dyDescent="0.35">
      <c r="G1129" s="2"/>
      <c r="H1129" s="2"/>
      <c r="I1129" s="2"/>
      <c r="J1129" s="2"/>
      <c r="K1129" s="2"/>
      <c r="L1129" s="2"/>
      <c r="M1129" s="2"/>
      <c r="N1129" s="2"/>
      <c r="O1129" s="2"/>
      <c r="P1129" s="2"/>
      <c r="Q1129" s="2"/>
      <c r="R1129" s="2"/>
      <c r="S1129" s="2"/>
      <c r="T1129" s="2"/>
      <c r="U1129" s="2"/>
      <c r="V1129" s="2"/>
      <c r="W1129" s="2"/>
      <c r="X1129" s="2"/>
      <c r="Y1129" s="2"/>
      <c r="Z1129" s="2"/>
      <c r="AA1129" s="2"/>
      <c r="AB1129" s="2"/>
      <c r="AC1129" s="2"/>
    </row>
    <row r="1130" spans="7:29" x14ac:dyDescent="0.35">
      <c r="G1130" s="2"/>
      <c r="H1130" s="2"/>
      <c r="I1130" s="2"/>
      <c r="J1130" s="2"/>
      <c r="K1130" s="2"/>
      <c r="L1130" s="2"/>
      <c r="M1130" s="2"/>
      <c r="N1130" s="2"/>
      <c r="O1130" s="2"/>
      <c r="P1130" s="2"/>
      <c r="Q1130" s="2"/>
      <c r="R1130" s="2"/>
      <c r="S1130" s="2"/>
      <c r="T1130" s="2"/>
      <c r="U1130" s="2"/>
      <c r="V1130" s="2"/>
      <c r="W1130" s="2"/>
      <c r="X1130" s="2"/>
      <c r="Y1130" s="2"/>
      <c r="Z1130" s="2"/>
      <c r="AA1130" s="2"/>
      <c r="AB1130" s="2"/>
      <c r="AC1130" s="2"/>
    </row>
    <row r="1131" spans="7:29" x14ac:dyDescent="0.35">
      <c r="G1131" s="2"/>
      <c r="H1131" s="2"/>
      <c r="I1131" s="2"/>
      <c r="J1131" s="2"/>
      <c r="K1131" s="2"/>
      <c r="L1131" s="2"/>
      <c r="M1131" s="2"/>
      <c r="N1131" s="2"/>
      <c r="O1131" s="2"/>
      <c r="P1131" s="2"/>
      <c r="Q1131" s="2"/>
      <c r="R1131" s="2"/>
      <c r="S1131" s="2"/>
      <c r="T1131" s="2"/>
      <c r="U1131" s="2"/>
      <c r="V1131" s="2"/>
      <c r="W1131" s="2"/>
      <c r="X1131" s="2"/>
      <c r="Y1131" s="2"/>
      <c r="Z1131" s="2"/>
      <c r="AA1131" s="2"/>
      <c r="AB1131" s="2"/>
      <c r="AC1131" s="2"/>
    </row>
    <row r="1132" spans="7:29" x14ac:dyDescent="0.35">
      <c r="G1132" s="2"/>
      <c r="H1132" s="2"/>
      <c r="I1132" s="2"/>
      <c r="J1132" s="2"/>
      <c r="K1132" s="2"/>
      <c r="L1132" s="2"/>
      <c r="M1132" s="2"/>
      <c r="N1132" s="2"/>
      <c r="O1132" s="2"/>
      <c r="P1132" s="2"/>
      <c r="Q1132" s="2"/>
      <c r="R1132" s="2"/>
      <c r="S1132" s="2"/>
      <c r="T1132" s="2"/>
      <c r="U1132" s="2"/>
      <c r="V1132" s="2"/>
      <c r="W1132" s="2"/>
      <c r="X1132" s="2"/>
      <c r="Y1132" s="2"/>
      <c r="Z1132" s="2"/>
      <c r="AA1132" s="2"/>
      <c r="AB1132" s="2"/>
      <c r="AC1132" s="2"/>
    </row>
    <row r="1133" spans="7:29" x14ac:dyDescent="0.35">
      <c r="G1133" s="2"/>
      <c r="H1133" s="2"/>
      <c r="I1133" s="2"/>
      <c r="J1133" s="2"/>
      <c r="K1133" s="2"/>
      <c r="L1133" s="2"/>
      <c r="M1133" s="2"/>
      <c r="N1133" s="2"/>
      <c r="O1133" s="2"/>
      <c r="P1133" s="2"/>
      <c r="Q1133" s="2"/>
      <c r="R1133" s="2"/>
      <c r="S1133" s="2"/>
      <c r="T1133" s="2"/>
      <c r="U1133" s="2"/>
      <c r="V1133" s="2"/>
      <c r="W1133" s="2"/>
      <c r="X1133" s="2"/>
      <c r="Y1133" s="2"/>
      <c r="Z1133" s="2"/>
      <c r="AA1133" s="2"/>
      <c r="AB1133" s="2"/>
      <c r="AC1133" s="2"/>
    </row>
    <row r="1134" spans="7:29" x14ac:dyDescent="0.35">
      <c r="G1134" s="2"/>
      <c r="H1134" s="2"/>
      <c r="I1134" s="2"/>
      <c r="J1134" s="2"/>
      <c r="K1134" s="2"/>
      <c r="L1134" s="2"/>
      <c r="M1134" s="2"/>
      <c r="N1134" s="2"/>
      <c r="O1134" s="2"/>
      <c r="P1134" s="2"/>
      <c r="Q1134" s="2"/>
      <c r="R1134" s="2"/>
      <c r="S1134" s="2"/>
      <c r="T1134" s="2"/>
      <c r="U1134" s="2"/>
      <c r="V1134" s="2"/>
      <c r="W1134" s="2"/>
      <c r="X1134" s="2"/>
      <c r="Y1134" s="2"/>
      <c r="Z1134" s="2"/>
      <c r="AA1134" s="2"/>
      <c r="AB1134" s="2"/>
      <c r="AC1134" s="2"/>
    </row>
    <row r="1135" spans="7:29" x14ac:dyDescent="0.35">
      <c r="G1135" s="2"/>
      <c r="H1135" s="2"/>
      <c r="I1135" s="2"/>
      <c r="J1135" s="2"/>
      <c r="K1135" s="2"/>
      <c r="L1135" s="2"/>
      <c r="M1135" s="2"/>
      <c r="N1135" s="2"/>
      <c r="O1135" s="2"/>
      <c r="P1135" s="2"/>
      <c r="Q1135" s="2"/>
      <c r="R1135" s="2"/>
      <c r="S1135" s="2"/>
      <c r="T1135" s="2"/>
      <c r="U1135" s="2"/>
      <c r="V1135" s="2"/>
      <c r="W1135" s="2"/>
      <c r="X1135" s="2"/>
      <c r="Y1135" s="2"/>
      <c r="Z1135" s="2"/>
      <c r="AA1135" s="2"/>
      <c r="AB1135" s="2"/>
      <c r="AC1135" s="2"/>
    </row>
    <row r="1136" spans="7:29" x14ac:dyDescent="0.35">
      <c r="G1136" s="2"/>
      <c r="H1136" s="2"/>
      <c r="I1136" s="2"/>
      <c r="J1136" s="2"/>
      <c r="K1136" s="2"/>
      <c r="L1136" s="2"/>
      <c r="M1136" s="2"/>
      <c r="N1136" s="2"/>
      <c r="O1136" s="2"/>
      <c r="P1136" s="2"/>
      <c r="Q1136" s="2"/>
      <c r="R1136" s="2"/>
      <c r="S1136" s="2"/>
      <c r="T1136" s="2"/>
      <c r="U1136" s="2"/>
      <c r="V1136" s="2"/>
      <c r="W1136" s="2"/>
      <c r="X1136" s="2"/>
      <c r="Y1136" s="2"/>
      <c r="Z1136" s="2"/>
      <c r="AA1136" s="2"/>
      <c r="AB1136" s="2"/>
      <c r="AC1136" s="2"/>
    </row>
    <row r="1137" spans="7:29" x14ac:dyDescent="0.35">
      <c r="G1137" s="2"/>
      <c r="H1137" s="2"/>
      <c r="I1137" s="2"/>
      <c r="J1137" s="2"/>
      <c r="K1137" s="2"/>
      <c r="L1137" s="2"/>
      <c r="M1137" s="2"/>
      <c r="N1137" s="2"/>
      <c r="O1137" s="2"/>
      <c r="P1137" s="2"/>
      <c r="Q1137" s="2"/>
      <c r="R1137" s="2"/>
      <c r="S1137" s="2"/>
      <c r="T1137" s="2"/>
      <c r="U1137" s="2"/>
      <c r="V1137" s="2"/>
      <c r="W1137" s="2"/>
      <c r="X1137" s="2"/>
      <c r="Y1137" s="2"/>
      <c r="Z1137" s="2"/>
      <c r="AA1137" s="2"/>
      <c r="AB1137" s="2"/>
      <c r="AC1137" s="2"/>
    </row>
    <row r="1138" spans="7:29" x14ac:dyDescent="0.35">
      <c r="G1138" s="2"/>
      <c r="H1138" s="2"/>
      <c r="I1138" s="2"/>
      <c r="J1138" s="2"/>
      <c r="K1138" s="2"/>
      <c r="L1138" s="2"/>
      <c r="M1138" s="2"/>
      <c r="N1138" s="2"/>
      <c r="O1138" s="2"/>
      <c r="P1138" s="2"/>
      <c r="Q1138" s="2"/>
      <c r="R1138" s="2"/>
      <c r="S1138" s="2"/>
      <c r="T1138" s="2"/>
      <c r="U1138" s="2"/>
      <c r="V1138" s="2"/>
      <c r="W1138" s="2"/>
      <c r="X1138" s="2"/>
      <c r="Y1138" s="2"/>
      <c r="Z1138" s="2"/>
      <c r="AA1138" s="2"/>
      <c r="AB1138" s="2"/>
      <c r="AC1138" s="2"/>
    </row>
    <row r="1139" spans="7:29" x14ac:dyDescent="0.35">
      <c r="G1139" s="2"/>
      <c r="H1139" s="2"/>
      <c r="I1139" s="2"/>
      <c r="J1139" s="2"/>
      <c r="K1139" s="2"/>
      <c r="L1139" s="2"/>
      <c r="M1139" s="2"/>
      <c r="N1139" s="2"/>
      <c r="O1139" s="2"/>
      <c r="P1139" s="2"/>
      <c r="Q1139" s="2"/>
      <c r="R1139" s="2"/>
      <c r="S1139" s="2"/>
      <c r="T1139" s="2"/>
      <c r="U1139" s="2"/>
      <c r="V1139" s="2"/>
      <c r="W1139" s="2"/>
      <c r="X1139" s="2"/>
      <c r="Y1139" s="2"/>
      <c r="Z1139" s="2"/>
      <c r="AA1139" s="2"/>
      <c r="AB1139" s="2"/>
      <c r="AC1139" s="2"/>
    </row>
    <row r="1140" spans="7:29" x14ac:dyDescent="0.35">
      <c r="G1140" s="2"/>
      <c r="H1140" s="2"/>
      <c r="I1140" s="2"/>
      <c r="J1140" s="2"/>
      <c r="K1140" s="2"/>
      <c r="L1140" s="2"/>
      <c r="M1140" s="2"/>
      <c r="N1140" s="2"/>
      <c r="O1140" s="2"/>
      <c r="P1140" s="2"/>
      <c r="Q1140" s="2"/>
      <c r="R1140" s="2"/>
      <c r="S1140" s="2"/>
      <c r="T1140" s="2"/>
      <c r="U1140" s="2"/>
      <c r="V1140" s="2"/>
      <c r="W1140" s="2"/>
      <c r="X1140" s="2"/>
      <c r="Y1140" s="2"/>
      <c r="Z1140" s="2"/>
      <c r="AA1140" s="2"/>
      <c r="AB1140" s="2"/>
      <c r="AC1140" s="2"/>
    </row>
    <row r="1141" spans="7:29" x14ac:dyDescent="0.35">
      <c r="G1141" s="2"/>
      <c r="H1141" s="2"/>
      <c r="I1141" s="2"/>
      <c r="J1141" s="2"/>
      <c r="K1141" s="2"/>
      <c r="L1141" s="2"/>
      <c r="M1141" s="2"/>
      <c r="N1141" s="2"/>
      <c r="O1141" s="2"/>
      <c r="P1141" s="2"/>
      <c r="Q1141" s="2"/>
      <c r="R1141" s="2"/>
      <c r="S1141" s="2"/>
      <c r="T1141" s="2"/>
      <c r="U1141" s="2"/>
      <c r="V1141" s="2"/>
      <c r="W1141" s="2"/>
      <c r="X1141" s="2"/>
      <c r="Y1141" s="2"/>
      <c r="Z1141" s="2"/>
      <c r="AA1141" s="2"/>
      <c r="AB1141" s="2"/>
      <c r="AC1141" s="2"/>
    </row>
    <row r="1142" spans="7:29" x14ac:dyDescent="0.35">
      <c r="G1142" s="2"/>
      <c r="H1142" s="2"/>
      <c r="I1142" s="2"/>
      <c r="J1142" s="2"/>
      <c r="K1142" s="2"/>
      <c r="L1142" s="2"/>
      <c r="M1142" s="2"/>
      <c r="N1142" s="2"/>
      <c r="O1142" s="2"/>
      <c r="P1142" s="2"/>
      <c r="Q1142" s="2"/>
      <c r="R1142" s="2"/>
      <c r="S1142" s="2"/>
      <c r="T1142" s="2"/>
      <c r="U1142" s="2"/>
      <c r="V1142" s="2"/>
      <c r="W1142" s="2"/>
      <c r="X1142" s="2"/>
      <c r="Y1142" s="2"/>
      <c r="Z1142" s="2"/>
      <c r="AA1142" s="2"/>
      <c r="AB1142" s="2"/>
      <c r="AC1142" s="2"/>
    </row>
    <row r="1143" spans="7:29" x14ac:dyDescent="0.35">
      <c r="G1143" s="2"/>
      <c r="H1143" s="2"/>
      <c r="I1143" s="2"/>
      <c r="J1143" s="2"/>
      <c r="K1143" s="2"/>
      <c r="L1143" s="2"/>
      <c r="M1143" s="2"/>
      <c r="N1143" s="2"/>
      <c r="O1143" s="2"/>
      <c r="P1143" s="2"/>
      <c r="Q1143" s="2"/>
      <c r="R1143" s="2"/>
      <c r="S1143" s="2"/>
      <c r="T1143" s="2"/>
      <c r="U1143" s="2"/>
      <c r="V1143" s="2"/>
      <c r="W1143" s="2"/>
      <c r="X1143" s="2"/>
      <c r="Y1143" s="2"/>
      <c r="Z1143" s="2"/>
      <c r="AA1143" s="2"/>
      <c r="AB1143" s="2"/>
      <c r="AC1143" s="2"/>
    </row>
    <row r="1144" spans="7:29" x14ac:dyDescent="0.35">
      <c r="G1144" s="2"/>
      <c r="H1144" s="2"/>
      <c r="I1144" s="2"/>
      <c r="J1144" s="2"/>
      <c r="K1144" s="2"/>
      <c r="L1144" s="2"/>
      <c r="M1144" s="2"/>
      <c r="N1144" s="2"/>
      <c r="O1144" s="2"/>
      <c r="P1144" s="2"/>
      <c r="Q1144" s="2"/>
      <c r="R1144" s="2"/>
      <c r="S1144" s="2"/>
      <c r="T1144" s="2"/>
      <c r="U1144" s="2"/>
      <c r="V1144" s="2"/>
      <c r="W1144" s="2"/>
      <c r="X1144" s="2"/>
      <c r="Y1144" s="2"/>
      <c r="Z1144" s="2"/>
      <c r="AA1144" s="2"/>
      <c r="AB1144" s="2"/>
      <c r="AC1144" s="2"/>
    </row>
    <row r="1145" spans="7:29" x14ac:dyDescent="0.35">
      <c r="G1145" s="2"/>
      <c r="H1145" s="2"/>
      <c r="I1145" s="2"/>
      <c r="J1145" s="2"/>
      <c r="K1145" s="2"/>
      <c r="L1145" s="2"/>
      <c r="M1145" s="2"/>
      <c r="N1145" s="2"/>
      <c r="O1145" s="2"/>
      <c r="P1145" s="2"/>
      <c r="Q1145" s="2"/>
      <c r="R1145" s="2"/>
      <c r="S1145" s="2"/>
      <c r="T1145" s="2"/>
      <c r="U1145" s="2"/>
      <c r="V1145" s="2"/>
      <c r="W1145" s="2"/>
      <c r="X1145" s="2"/>
      <c r="Y1145" s="2"/>
      <c r="Z1145" s="2"/>
      <c r="AA1145" s="2"/>
      <c r="AB1145" s="2"/>
      <c r="AC1145" s="2"/>
    </row>
    <row r="1146" spans="7:29" x14ac:dyDescent="0.35">
      <c r="G1146" s="2"/>
      <c r="H1146" s="2"/>
      <c r="I1146" s="2"/>
      <c r="J1146" s="2"/>
      <c r="K1146" s="2"/>
      <c r="L1146" s="2"/>
      <c r="M1146" s="2"/>
      <c r="N1146" s="2"/>
      <c r="O1146" s="2"/>
      <c r="P1146" s="2"/>
      <c r="Q1146" s="2"/>
      <c r="R1146" s="2"/>
      <c r="S1146" s="2"/>
      <c r="T1146" s="2"/>
      <c r="U1146" s="2"/>
      <c r="V1146" s="2"/>
      <c r="W1146" s="2"/>
      <c r="X1146" s="2"/>
      <c r="Y1146" s="2"/>
      <c r="Z1146" s="2"/>
      <c r="AA1146" s="2"/>
      <c r="AB1146" s="2"/>
      <c r="AC1146" s="2"/>
    </row>
    <row r="1147" spans="7:29" x14ac:dyDescent="0.35">
      <c r="G1147" s="2"/>
      <c r="H1147" s="2"/>
      <c r="I1147" s="2"/>
      <c r="J1147" s="2"/>
      <c r="K1147" s="2"/>
      <c r="L1147" s="2"/>
      <c r="M1147" s="2"/>
      <c r="N1147" s="2"/>
      <c r="O1147" s="2"/>
      <c r="P1147" s="2"/>
      <c r="Q1147" s="2"/>
      <c r="R1147" s="2"/>
      <c r="S1147" s="2"/>
      <c r="T1147" s="2"/>
      <c r="U1147" s="2"/>
      <c r="V1147" s="2"/>
      <c r="W1147" s="2"/>
      <c r="X1147" s="2"/>
      <c r="Y1147" s="2"/>
      <c r="Z1147" s="2"/>
      <c r="AA1147" s="2"/>
      <c r="AB1147" s="2"/>
      <c r="AC1147" s="2"/>
    </row>
    <row r="1148" spans="7:29" x14ac:dyDescent="0.35">
      <c r="G1148" s="2"/>
      <c r="H1148" s="2"/>
      <c r="I1148" s="2"/>
      <c r="J1148" s="2"/>
      <c r="K1148" s="2"/>
      <c r="L1148" s="2"/>
      <c r="M1148" s="2"/>
      <c r="N1148" s="2"/>
      <c r="O1148" s="2"/>
      <c r="P1148" s="2"/>
      <c r="Q1148" s="2"/>
      <c r="R1148" s="2"/>
      <c r="S1148" s="2"/>
      <c r="T1148" s="2"/>
      <c r="U1148" s="2"/>
      <c r="V1148" s="2"/>
      <c r="W1148" s="2"/>
      <c r="X1148" s="2"/>
      <c r="Y1148" s="2"/>
      <c r="Z1148" s="2"/>
      <c r="AA1148" s="2"/>
      <c r="AB1148" s="2"/>
      <c r="AC1148" s="2"/>
    </row>
    <row r="1149" spans="7:29" x14ac:dyDescent="0.35">
      <c r="G1149" s="2"/>
      <c r="H1149" s="2"/>
      <c r="I1149" s="2"/>
      <c r="J1149" s="2"/>
      <c r="K1149" s="2"/>
      <c r="L1149" s="2"/>
      <c r="M1149" s="2"/>
      <c r="N1149" s="2"/>
      <c r="O1149" s="2"/>
      <c r="P1149" s="2"/>
      <c r="Q1149" s="2"/>
      <c r="R1149" s="2"/>
      <c r="S1149" s="2"/>
      <c r="T1149" s="2"/>
      <c r="U1149" s="2"/>
      <c r="V1149" s="2"/>
      <c r="W1149" s="2"/>
      <c r="X1149" s="2"/>
      <c r="Y1149" s="2"/>
      <c r="Z1149" s="2"/>
      <c r="AA1149" s="2"/>
      <c r="AB1149" s="2"/>
      <c r="AC1149" s="2"/>
    </row>
    <row r="1150" spans="7:29" x14ac:dyDescent="0.35">
      <c r="G1150" s="2"/>
      <c r="H1150" s="2"/>
      <c r="I1150" s="2"/>
      <c r="J1150" s="2"/>
      <c r="K1150" s="2"/>
      <c r="L1150" s="2"/>
      <c r="M1150" s="2"/>
      <c r="N1150" s="2"/>
      <c r="O1150" s="2"/>
      <c r="P1150" s="2"/>
      <c r="Q1150" s="2"/>
      <c r="R1150" s="2"/>
      <c r="S1150" s="2"/>
      <c r="T1150" s="2"/>
      <c r="U1150" s="2"/>
      <c r="V1150" s="2"/>
      <c r="W1150" s="2"/>
      <c r="X1150" s="2"/>
      <c r="Y1150" s="2"/>
      <c r="Z1150" s="2"/>
      <c r="AA1150" s="2"/>
      <c r="AB1150" s="2"/>
      <c r="AC1150" s="2"/>
    </row>
    <row r="1151" spans="7:29" x14ac:dyDescent="0.35">
      <c r="G1151" s="2"/>
      <c r="H1151" s="2"/>
      <c r="I1151" s="2"/>
      <c r="J1151" s="2"/>
      <c r="K1151" s="2"/>
      <c r="L1151" s="2"/>
      <c r="M1151" s="2"/>
      <c r="N1151" s="2"/>
      <c r="O1151" s="2"/>
      <c r="P1151" s="2"/>
      <c r="Q1151" s="2"/>
      <c r="R1151" s="2"/>
      <c r="S1151" s="2"/>
      <c r="T1151" s="2"/>
      <c r="U1151" s="2"/>
      <c r="V1151" s="2"/>
      <c r="W1151" s="2"/>
      <c r="X1151" s="2"/>
      <c r="Y1151" s="2"/>
      <c r="Z1151" s="2"/>
      <c r="AA1151" s="2"/>
      <c r="AB1151" s="2"/>
      <c r="AC1151" s="2"/>
    </row>
    <row r="1152" spans="7:29" x14ac:dyDescent="0.35">
      <c r="G1152" s="2"/>
      <c r="H1152" s="2"/>
      <c r="I1152" s="2"/>
      <c r="J1152" s="2"/>
      <c r="K1152" s="2"/>
      <c r="L1152" s="2"/>
      <c r="M1152" s="2"/>
      <c r="N1152" s="2"/>
      <c r="O1152" s="2"/>
      <c r="P1152" s="2"/>
      <c r="Q1152" s="2"/>
      <c r="R1152" s="2"/>
      <c r="S1152" s="2"/>
      <c r="T1152" s="2"/>
      <c r="U1152" s="2"/>
      <c r="V1152" s="2"/>
      <c r="W1152" s="2"/>
      <c r="X1152" s="2"/>
      <c r="Y1152" s="2"/>
      <c r="Z1152" s="2"/>
      <c r="AA1152" s="2"/>
      <c r="AB1152" s="2"/>
      <c r="AC1152" s="2"/>
    </row>
    <row r="1153" spans="7:29" x14ac:dyDescent="0.35">
      <c r="G1153" s="2"/>
      <c r="H1153" s="2"/>
      <c r="I1153" s="2"/>
      <c r="J1153" s="2"/>
      <c r="K1153" s="2"/>
      <c r="L1153" s="2"/>
      <c r="M1153" s="2"/>
      <c r="N1153" s="2"/>
      <c r="O1153" s="2"/>
      <c r="P1153" s="2"/>
      <c r="Q1153" s="2"/>
      <c r="R1153" s="2"/>
      <c r="S1153" s="2"/>
      <c r="T1153" s="2"/>
      <c r="U1153" s="2"/>
      <c r="V1153" s="2"/>
      <c r="W1153" s="2"/>
      <c r="X1153" s="2"/>
      <c r="Y1153" s="2"/>
      <c r="Z1153" s="2"/>
      <c r="AA1153" s="2"/>
      <c r="AB1153" s="2"/>
      <c r="AC1153" s="2"/>
    </row>
    <row r="1154" spans="7:29" x14ac:dyDescent="0.35">
      <c r="G1154" s="2"/>
      <c r="H1154" s="2"/>
      <c r="I1154" s="2"/>
      <c r="J1154" s="2"/>
      <c r="K1154" s="2"/>
      <c r="L1154" s="2"/>
      <c r="M1154" s="2"/>
      <c r="N1154" s="2"/>
      <c r="O1154" s="2"/>
      <c r="P1154" s="2"/>
      <c r="Q1154" s="2"/>
      <c r="R1154" s="2"/>
      <c r="S1154" s="2"/>
      <c r="T1154" s="2"/>
      <c r="U1154" s="2"/>
      <c r="V1154" s="2"/>
      <c r="W1154" s="2"/>
      <c r="X1154" s="2"/>
      <c r="Y1154" s="2"/>
      <c r="Z1154" s="2"/>
      <c r="AA1154" s="2"/>
      <c r="AB1154" s="2"/>
      <c r="AC1154" s="2"/>
    </row>
    <row r="1155" spans="7:29" x14ac:dyDescent="0.35">
      <c r="G1155" s="2"/>
      <c r="H1155" s="2"/>
      <c r="I1155" s="2"/>
      <c r="J1155" s="2"/>
      <c r="K1155" s="2"/>
      <c r="L1155" s="2"/>
      <c r="M1155" s="2"/>
      <c r="N1155" s="2"/>
      <c r="O1155" s="2"/>
      <c r="P1155" s="2"/>
      <c r="Q1155" s="2"/>
      <c r="R1155" s="2"/>
      <c r="S1155" s="2"/>
      <c r="T1155" s="2"/>
      <c r="U1155" s="2"/>
      <c r="V1155" s="2"/>
      <c r="W1155" s="2"/>
      <c r="X1155" s="2"/>
      <c r="Y1155" s="2"/>
      <c r="Z1155" s="2"/>
      <c r="AA1155" s="2"/>
      <c r="AB1155" s="2"/>
      <c r="AC1155" s="2"/>
    </row>
    <row r="1156" spans="7:29" x14ac:dyDescent="0.35">
      <c r="G1156" s="2"/>
      <c r="H1156" s="2"/>
      <c r="I1156" s="2"/>
      <c r="J1156" s="2"/>
      <c r="K1156" s="2"/>
      <c r="L1156" s="2"/>
      <c r="M1156" s="2"/>
      <c r="N1156" s="2"/>
      <c r="O1156" s="2"/>
      <c r="P1156" s="2"/>
      <c r="Q1156" s="2"/>
      <c r="R1156" s="2"/>
      <c r="S1156" s="2"/>
      <c r="T1156" s="2"/>
      <c r="U1156" s="2"/>
      <c r="V1156" s="2"/>
      <c r="W1156" s="2"/>
      <c r="X1156" s="2"/>
      <c r="Y1156" s="2"/>
      <c r="Z1156" s="2"/>
      <c r="AA1156" s="2"/>
      <c r="AB1156" s="2"/>
      <c r="AC1156" s="2"/>
    </row>
    <row r="1157" spans="7:29" x14ac:dyDescent="0.35">
      <c r="G1157" s="2"/>
      <c r="H1157" s="2"/>
      <c r="I1157" s="2"/>
      <c r="J1157" s="2"/>
      <c r="K1157" s="2"/>
      <c r="L1157" s="2"/>
      <c r="M1157" s="2"/>
      <c r="N1157" s="2"/>
      <c r="O1157" s="2"/>
      <c r="P1157" s="2"/>
      <c r="Q1157" s="2"/>
      <c r="R1157" s="2"/>
      <c r="S1157" s="2"/>
      <c r="T1157" s="2"/>
      <c r="U1157" s="2"/>
      <c r="V1157" s="2"/>
      <c r="W1157" s="2"/>
      <c r="X1157" s="2"/>
      <c r="Y1157" s="2"/>
      <c r="Z1157" s="2"/>
      <c r="AA1157" s="2"/>
      <c r="AB1157" s="2"/>
      <c r="AC1157" s="2"/>
    </row>
    <row r="1158" spans="7:29" x14ac:dyDescent="0.35">
      <c r="G1158" s="2"/>
      <c r="H1158" s="2"/>
      <c r="I1158" s="2"/>
      <c r="J1158" s="2"/>
      <c r="K1158" s="2"/>
      <c r="L1158" s="2"/>
      <c r="M1158" s="2"/>
      <c r="N1158" s="2"/>
      <c r="O1158" s="2"/>
      <c r="P1158" s="2"/>
      <c r="Q1158" s="2"/>
      <c r="R1158" s="2"/>
      <c r="S1158" s="2"/>
      <c r="T1158" s="2"/>
      <c r="U1158" s="2"/>
      <c r="V1158" s="2"/>
      <c r="W1158" s="2"/>
      <c r="X1158" s="2"/>
      <c r="Y1158" s="2"/>
      <c r="Z1158" s="2"/>
      <c r="AA1158" s="2"/>
      <c r="AB1158" s="2"/>
      <c r="AC1158" s="2"/>
    </row>
    <row r="1159" spans="7:29" x14ac:dyDescent="0.35">
      <c r="G1159" s="2"/>
      <c r="H1159" s="2"/>
      <c r="I1159" s="2"/>
      <c r="J1159" s="2"/>
      <c r="K1159" s="2"/>
      <c r="L1159" s="2"/>
      <c r="M1159" s="2"/>
      <c r="N1159" s="2"/>
      <c r="O1159" s="2"/>
      <c r="P1159" s="2"/>
      <c r="Q1159" s="2"/>
      <c r="R1159" s="2"/>
      <c r="S1159" s="2"/>
      <c r="T1159" s="2"/>
      <c r="U1159" s="2"/>
      <c r="V1159" s="2"/>
      <c r="W1159" s="2"/>
      <c r="X1159" s="2"/>
      <c r="Y1159" s="2"/>
      <c r="Z1159" s="2"/>
      <c r="AA1159" s="2"/>
      <c r="AB1159" s="2"/>
      <c r="AC1159" s="2"/>
    </row>
    <row r="1160" spans="7:29" x14ac:dyDescent="0.35">
      <c r="G1160" s="2"/>
      <c r="H1160" s="2"/>
      <c r="I1160" s="2"/>
      <c r="J1160" s="2"/>
      <c r="K1160" s="2"/>
      <c r="L1160" s="2"/>
      <c r="M1160" s="2"/>
      <c r="N1160" s="2"/>
      <c r="O1160" s="2"/>
      <c r="P1160" s="2"/>
      <c r="Q1160" s="2"/>
      <c r="R1160" s="2"/>
      <c r="S1160" s="2"/>
      <c r="T1160" s="2"/>
      <c r="U1160" s="2"/>
      <c r="V1160" s="2"/>
      <c r="W1160" s="2"/>
      <c r="X1160" s="2"/>
      <c r="Y1160" s="2"/>
      <c r="Z1160" s="2"/>
      <c r="AA1160" s="2"/>
      <c r="AB1160" s="2"/>
      <c r="AC1160" s="2"/>
    </row>
    <row r="1161" spans="7:29" x14ac:dyDescent="0.35">
      <c r="G1161" s="2"/>
      <c r="H1161" s="2"/>
      <c r="I1161" s="2"/>
      <c r="J1161" s="2"/>
      <c r="K1161" s="2"/>
      <c r="L1161" s="2"/>
      <c r="M1161" s="2"/>
      <c r="N1161" s="2"/>
      <c r="O1161" s="2"/>
      <c r="P1161" s="2"/>
      <c r="Q1161" s="2"/>
      <c r="R1161" s="2"/>
      <c r="S1161" s="2"/>
      <c r="T1161" s="2"/>
      <c r="U1161" s="2"/>
      <c r="V1161" s="2"/>
      <c r="W1161" s="2"/>
      <c r="X1161" s="2"/>
      <c r="Y1161" s="2"/>
      <c r="Z1161" s="2"/>
      <c r="AA1161" s="2"/>
      <c r="AB1161" s="2"/>
      <c r="AC1161" s="2"/>
    </row>
    <row r="1162" spans="7:29" x14ac:dyDescent="0.35">
      <c r="G1162" s="2"/>
      <c r="H1162" s="2"/>
      <c r="I1162" s="2"/>
      <c r="J1162" s="2"/>
      <c r="K1162" s="2"/>
      <c r="L1162" s="2"/>
      <c r="M1162" s="2"/>
      <c r="N1162" s="2"/>
      <c r="O1162" s="2"/>
      <c r="P1162" s="2"/>
      <c r="Q1162" s="2"/>
      <c r="R1162" s="2"/>
      <c r="S1162" s="2"/>
      <c r="T1162" s="2"/>
      <c r="U1162" s="2"/>
      <c r="V1162" s="2"/>
      <c r="W1162" s="2"/>
      <c r="X1162" s="2"/>
      <c r="Y1162" s="2"/>
      <c r="Z1162" s="2"/>
      <c r="AA1162" s="2"/>
      <c r="AB1162" s="2"/>
      <c r="AC1162" s="2"/>
    </row>
    <row r="1163" spans="7:29" x14ac:dyDescent="0.35">
      <c r="G1163" s="2"/>
      <c r="H1163" s="2"/>
      <c r="I1163" s="2"/>
      <c r="J1163" s="2"/>
      <c r="K1163" s="2"/>
      <c r="L1163" s="2"/>
      <c r="M1163" s="2"/>
      <c r="N1163" s="2"/>
      <c r="O1163" s="2"/>
      <c r="P1163" s="2"/>
      <c r="Q1163" s="2"/>
      <c r="R1163" s="2"/>
      <c r="S1163" s="2"/>
      <c r="T1163" s="2"/>
      <c r="U1163" s="2"/>
      <c r="V1163" s="2"/>
      <c r="W1163" s="2"/>
      <c r="X1163" s="2"/>
      <c r="Y1163" s="2"/>
      <c r="Z1163" s="2"/>
      <c r="AA1163" s="2"/>
      <c r="AB1163" s="2"/>
      <c r="AC1163" s="2"/>
    </row>
    <row r="1164" spans="7:29" x14ac:dyDescent="0.35">
      <c r="G1164" s="2"/>
      <c r="H1164" s="2"/>
      <c r="I1164" s="2"/>
      <c r="J1164" s="2"/>
      <c r="K1164" s="2"/>
      <c r="L1164" s="2"/>
      <c r="M1164" s="2"/>
      <c r="N1164" s="2"/>
      <c r="O1164" s="2"/>
      <c r="P1164" s="2"/>
      <c r="Q1164" s="2"/>
      <c r="R1164" s="2"/>
      <c r="S1164" s="2"/>
      <c r="T1164" s="2"/>
      <c r="U1164" s="2"/>
      <c r="V1164" s="2"/>
      <c r="W1164" s="2"/>
      <c r="X1164" s="2"/>
      <c r="Y1164" s="2"/>
      <c r="Z1164" s="2"/>
      <c r="AA1164" s="2"/>
      <c r="AB1164" s="2"/>
      <c r="AC1164" s="2"/>
    </row>
    <row r="1165" spans="7:29" x14ac:dyDescent="0.35">
      <c r="G1165" s="2"/>
      <c r="H1165" s="2"/>
      <c r="I1165" s="2"/>
      <c r="J1165" s="2"/>
      <c r="K1165" s="2"/>
      <c r="L1165" s="2"/>
      <c r="M1165" s="2"/>
      <c r="N1165" s="2"/>
      <c r="O1165" s="2"/>
      <c r="P1165" s="2"/>
      <c r="Q1165" s="2"/>
      <c r="R1165" s="2"/>
      <c r="S1165" s="2"/>
      <c r="T1165" s="2"/>
      <c r="U1165" s="2"/>
      <c r="V1165" s="2"/>
      <c r="W1165" s="2"/>
      <c r="X1165" s="2"/>
      <c r="Y1165" s="2"/>
      <c r="Z1165" s="2"/>
      <c r="AA1165" s="2"/>
      <c r="AB1165" s="2"/>
      <c r="AC1165" s="2"/>
    </row>
    <row r="1166" spans="7:29" x14ac:dyDescent="0.35">
      <c r="G1166" s="2"/>
      <c r="H1166" s="2"/>
      <c r="I1166" s="2"/>
      <c r="J1166" s="2"/>
      <c r="K1166" s="2"/>
      <c r="L1166" s="2"/>
      <c r="M1166" s="2"/>
      <c r="N1166" s="2"/>
      <c r="O1166" s="2"/>
      <c r="P1166" s="2"/>
      <c r="Q1166" s="2"/>
      <c r="R1166" s="2"/>
      <c r="S1166" s="2"/>
      <c r="T1166" s="2"/>
      <c r="U1166" s="2"/>
      <c r="V1166" s="2"/>
      <c r="W1166" s="2"/>
      <c r="X1166" s="2"/>
      <c r="Y1166" s="2"/>
      <c r="Z1166" s="2"/>
      <c r="AA1166" s="2"/>
      <c r="AB1166" s="2"/>
      <c r="AC1166" s="2"/>
    </row>
    <row r="1167" spans="7:29" x14ac:dyDescent="0.35">
      <c r="G1167" s="2"/>
      <c r="H1167" s="2"/>
      <c r="I1167" s="2"/>
      <c r="J1167" s="2"/>
      <c r="K1167" s="2"/>
      <c r="L1167" s="2"/>
      <c r="M1167" s="2"/>
      <c r="N1167" s="2"/>
      <c r="O1167" s="2"/>
      <c r="P1167" s="2"/>
      <c r="Q1167" s="2"/>
      <c r="R1167" s="2"/>
      <c r="S1167" s="2"/>
      <c r="T1167" s="2"/>
      <c r="U1167" s="2"/>
      <c r="V1167" s="2"/>
      <c r="W1167" s="2"/>
      <c r="X1167" s="2"/>
      <c r="Y1167" s="2"/>
      <c r="Z1167" s="2"/>
      <c r="AA1167" s="2"/>
      <c r="AB1167" s="2"/>
      <c r="AC1167" s="2"/>
    </row>
    <row r="1168" spans="7:29" x14ac:dyDescent="0.35">
      <c r="G1168" s="2"/>
      <c r="H1168" s="2"/>
      <c r="I1168" s="2"/>
      <c r="J1168" s="2"/>
      <c r="K1168" s="2"/>
      <c r="L1168" s="2"/>
      <c r="M1168" s="2"/>
      <c r="N1168" s="2"/>
      <c r="O1168" s="2"/>
      <c r="P1168" s="2"/>
      <c r="Q1168" s="2"/>
      <c r="R1168" s="2"/>
      <c r="S1168" s="2"/>
      <c r="T1168" s="2"/>
      <c r="U1168" s="2"/>
      <c r="V1168" s="2"/>
      <c r="W1168" s="2"/>
      <c r="X1168" s="2"/>
      <c r="Y1168" s="2"/>
      <c r="Z1168" s="2"/>
      <c r="AA1168" s="2"/>
      <c r="AB1168" s="2"/>
      <c r="AC1168" s="2"/>
    </row>
    <row r="1169" spans="7:29" x14ac:dyDescent="0.35">
      <c r="G1169" s="2"/>
      <c r="H1169" s="2"/>
      <c r="I1169" s="2"/>
      <c r="J1169" s="2"/>
      <c r="K1169" s="2"/>
      <c r="L1169" s="2"/>
      <c r="M1169" s="2"/>
      <c r="N1169" s="2"/>
      <c r="O1169" s="2"/>
      <c r="P1169" s="2"/>
      <c r="Q1169" s="2"/>
      <c r="R1169" s="2"/>
      <c r="S1169" s="2"/>
      <c r="T1169" s="2"/>
      <c r="U1169" s="2"/>
      <c r="V1169" s="2"/>
      <c r="W1169" s="2"/>
      <c r="X1169" s="2"/>
      <c r="Y1169" s="2"/>
      <c r="Z1169" s="2"/>
      <c r="AA1169" s="2"/>
      <c r="AB1169" s="2"/>
      <c r="AC1169" s="2"/>
    </row>
    <row r="1170" spans="7:29" x14ac:dyDescent="0.35">
      <c r="G1170" s="2"/>
      <c r="H1170" s="2"/>
      <c r="I1170" s="2"/>
      <c r="J1170" s="2"/>
      <c r="K1170" s="2"/>
      <c r="L1170" s="2"/>
      <c r="M1170" s="2"/>
      <c r="N1170" s="2"/>
      <c r="O1170" s="2"/>
      <c r="P1170" s="2"/>
      <c r="Q1170" s="2"/>
      <c r="R1170" s="2"/>
      <c r="S1170" s="2"/>
      <c r="T1170" s="2"/>
      <c r="U1170" s="2"/>
      <c r="V1170" s="2"/>
      <c r="W1170" s="2"/>
      <c r="X1170" s="2"/>
      <c r="Y1170" s="2"/>
      <c r="Z1170" s="2"/>
      <c r="AA1170" s="2"/>
      <c r="AB1170" s="2"/>
      <c r="AC1170" s="2"/>
    </row>
    <row r="1171" spans="7:29" x14ac:dyDescent="0.35">
      <c r="G1171" s="2"/>
      <c r="H1171" s="2"/>
      <c r="I1171" s="2"/>
      <c r="J1171" s="2"/>
      <c r="K1171" s="2"/>
      <c r="L1171" s="2"/>
      <c r="M1171" s="2"/>
      <c r="N1171" s="2"/>
      <c r="O1171" s="2"/>
      <c r="P1171" s="2"/>
      <c r="Q1171" s="2"/>
      <c r="R1171" s="2"/>
      <c r="S1171" s="2"/>
      <c r="T1171" s="2"/>
      <c r="U1171" s="2"/>
      <c r="V1171" s="2"/>
      <c r="W1171" s="2"/>
      <c r="X1171" s="2"/>
      <c r="Y1171" s="2"/>
      <c r="Z1171" s="2"/>
      <c r="AA1171" s="2"/>
      <c r="AB1171" s="2"/>
      <c r="AC1171" s="2"/>
    </row>
    <row r="1172" spans="7:29" x14ac:dyDescent="0.35">
      <c r="G1172" s="2"/>
      <c r="H1172" s="2"/>
      <c r="I1172" s="2"/>
      <c r="J1172" s="2"/>
      <c r="K1172" s="2"/>
      <c r="L1172" s="2"/>
      <c r="M1172" s="2"/>
      <c r="N1172" s="2"/>
      <c r="O1172" s="2"/>
      <c r="P1172" s="2"/>
      <c r="Q1172" s="2"/>
      <c r="R1172" s="2"/>
      <c r="S1172" s="2"/>
      <c r="T1172" s="2"/>
      <c r="U1172" s="2"/>
      <c r="V1172" s="2"/>
      <c r="W1172" s="2"/>
      <c r="X1172" s="2"/>
      <c r="Y1172" s="2"/>
      <c r="Z1172" s="2"/>
      <c r="AA1172" s="2"/>
      <c r="AB1172" s="2"/>
      <c r="AC1172" s="2"/>
    </row>
    <row r="1173" spans="7:29" x14ac:dyDescent="0.35">
      <c r="G1173" s="2"/>
      <c r="H1173" s="2"/>
      <c r="I1173" s="2"/>
      <c r="J1173" s="2"/>
      <c r="K1173" s="2"/>
      <c r="L1173" s="2"/>
      <c r="M1173" s="2"/>
      <c r="N1173" s="2"/>
      <c r="O1173" s="2"/>
      <c r="P1173" s="2"/>
      <c r="Q1173" s="2"/>
      <c r="R1173" s="2"/>
      <c r="S1173" s="2"/>
      <c r="T1173" s="2"/>
      <c r="U1173" s="2"/>
      <c r="V1173" s="2"/>
      <c r="W1173" s="2"/>
      <c r="X1173" s="2"/>
      <c r="Y1173" s="2"/>
      <c r="Z1173" s="2"/>
      <c r="AA1173" s="2"/>
      <c r="AB1173" s="2"/>
      <c r="AC1173" s="2"/>
    </row>
    <row r="1174" spans="7:29" x14ac:dyDescent="0.35">
      <c r="G1174" s="2"/>
      <c r="H1174" s="2"/>
      <c r="I1174" s="2"/>
      <c r="J1174" s="2"/>
      <c r="K1174" s="2"/>
      <c r="L1174" s="2"/>
      <c r="M1174" s="2"/>
      <c r="N1174" s="2"/>
      <c r="O1174" s="2"/>
      <c r="P1174" s="2"/>
      <c r="Q1174" s="2"/>
      <c r="R1174" s="2"/>
      <c r="S1174" s="2"/>
      <c r="T1174" s="2"/>
      <c r="U1174" s="2"/>
      <c r="V1174" s="2"/>
      <c r="W1174" s="2"/>
      <c r="X1174" s="2"/>
      <c r="Y1174" s="2"/>
      <c r="Z1174" s="2"/>
      <c r="AA1174" s="2"/>
      <c r="AB1174" s="2"/>
      <c r="AC1174" s="2"/>
    </row>
    <row r="1175" spans="7:29" x14ac:dyDescent="0.35">
      <c r="G1175" s="2"/>
      <c r="H1175" s="2"/>
      <c r="I1175" s="2"/>
      <c r="J1175" s="2"/>
      <c r="K1175" s="2"/>
      <c r="L1175" s="2"/>
      <c r="M1175" s="2"/>
      <c r="N1175" s="2"/>
      <c r="O1175" s="2"/>
      <c r="P1175" s="2"/>
      <c r="Q1175" s="2"/>
      <c r="R1175" s="2"/>
      <c r="S1175" s="2"/>
      <c r="T1175" s="2"/>
      <c r="U1175" s="2"/>
      <c r="V1175" s="2"/>
      <c r="W1175" s="2"/>
      <c r="X1175" s="2"/>
      <c r="Y1175" s="2"/>
      <c r="Z1175" s="2"/>
      <c r="AA1175" s="2"/>
      <c r="AB1175" s="2"/>
      <c r="AC1175" s="2"/>
    </row>
    <row r="1176" spans="7:29" x14ac:dyDescent="0.35">
      <c r="G1176" s="2"/>
      <c r="H1176" s="2"/>
      <c r="I1176" s="2"/>
      <c r="J1176" s="2"/>
      <c r="K1176" s="2"/>
      <c r="L1176" s="2"/>
      <c r="M1176" s="2"/>
      <c r="N1176" s="2"/>
      <c r="O1176" s="2"/>
      <c r="P1176" s="2"/>
      <c r="Q1176" s="2"/>
      <c r="R1176" s="2"/>
      <c r="S1176" s="2"/>
      <c r="T1176" s="2"/>
      <c r="U1176" s="2"/>
      <c r="V1176" s="2"/>
      <c r="W1176" s="2"/>
      <c r="X1176" s="2"/>
      <c r="Y1176" s="2"/>
      <c r="Z1176" s="2"/>
      <c r="AA1176" s="2"/>
      <c r="AB1176" s="2"/>
      <c r="AC1176" s="2"/>
    </row>
    <row r="1177" spans="7:29" x14ac:dyDescent="0.35">
      <c r="G1177" s="2"/>
      <c r="H1177" s="2"/>
      <c r="I1177" s="2"/>
      <c r="J1177" s="2"/>
      <c r="K1177" s="2"/>
      <c r="L1177" s="2"/>
      <c r="M1177" s="2"/>
      <c r="N1177" s="2"/>
      <c r="O1177" s="2"/>
      <c r="P1177" s="2"/>
      <c r="Q1177" s="2"/>
      <c r="R1177" s="2"/>
      <c r="S1177" s="2"/>
      <c r="T1177" s="2"/>
      <c r="U1177" s="2"/>
      <c r="V1177" s="2"/>
      <c r="W1177" s="2"/>
      <c r="X1177" s="2"/>
      <c r="Y1177" s="2"/>
      <c r="Z1177" s="2"/>
      <c r="AA1177" s="2"/>
      <c r="AB1177" s="2"/>
      <c r="AC1177" s="2"/>
    </row>
    <row r="1178" spans="7:29" x14ac:dyDescent="0.35">
      <c r="G1178" s="2"/>
      <c r="H1178" s="2"/>
      <c r="I1178" s="2"/>
      <c r="J1178" s="2"/>
      <c r="K1178" s="2"/>
      <c r="L1178" s="2"/>
      <c r="M1178" s="2"/>
      <c r="N1178" s="2"/>
      <c r="O1178" s="2"/>
      <c r="P1178" s="2"/>
      <c r="Q1178" s="2"/>
      <c r="R1178" s="2"/>
      <c r="S1178" s="2"/>
      <c r="T1178" s="2"/>
      <c r="U1178" s="2"/>
      <c r="V1178" s="2"/>
      <c r="W1178" s="2"/>
      <c r="X1178" s="2"/>
      <c r="Y1178" s="2"/>
      <c r="Z1178" s="2"/>
      <c r="AA1178" s="2"/>
      <c r="AB1178" s="2"/>
      <c r="AC1178" s="2"/>
    </row>
    <row r="1179" spans="7:29" x14ac:dyDescent="0.35">
      <c r="G1179" s="2"/>
      <c r="H1179" s="2"/>
      <c r="I1179" s="2"/>
      <c r="J1179" s="2"/>
      <c r="K1179" s="2"/>
      <c r="L1179" s="2"/>
      <c r="M1179" s="2"/>
      <c r="N1179" s="2"/>
      <c r="O1179" s="2"/>
      <c r="P1179" s="2"/>
      <c r="Q1179" s="2"/>
      <c r="R1179" s="2"/>
      <c r="S1179" s="2"/>
      <c r="T1179" s="2"/>
      <c r="U1179" s="2"/>
      <c r="V1179" s="2"/>
      <c r="W1179" s="2"/>
      <c r="X1179" s="2"/>
      <c r="Y1179" s="2"/>
      <c r="Z1179" s="2"/>
      <c r="AA1179" s="2"/>
      <c r="AB1179" s="2"/>
      <c r="AC1179" s="2"/>
    </row>
    <row r="1180" spans="7:29" x14ac:dyDescent="0.35">
      <c r="G1180" s="2"/>
      <c r="H1180" s="2"/>
      <c r="I1180" s="2"/>
      <c r="J1180" s="2"/>
      <c r="K1180" s="2"/>
      <c r="L1180" s="2"/>
      <c r="M1180" s="2"/>
      <c r="N1180" s="2"/>
      <c r="O1180" s="2"/>
      <c r="P1180" s="2"/>
      <c r="Q1180" s="2"/>
      <c r="R1180" s="2"/>
      <c r="S1180" s="2"/>
      <c r="T1180" s="2"/>
      <c r="U1180" s="2"/>
      <c r="V1180" s="2"/>
      <c r="W1180" s="2"/>
      <c r="X1180" s="2"/>
      <c r="Y1180" s="2"/>
      <c r="Z1180" s="2"/>
      <c r="AA1180" s="2"/>
      <c r="AB1180" s="2"/>
      <c r="AC1180" s="2"/>
    </row>
    <row r="1181" spans="7:29" x14ac:dyDescent="0.35">
      <c r="G1181" s="2"/>
      <c r="H1181" s="2"/>
      <c r="I1181" s="2"/>
      <c r="J1181" s="2"/>
      <c r="K1181" s="2"/>
      <c r="L1181" s="2"/>
      <c r="M1181" s="2"/>
      <c r="N1181" s="2"/>
      <c r="O1181" s="2"/>
      <c r="P1181" s="2"/>
      <c r="Q1181" s="2"/>
      <c r="R1181" s="2"/>
      <c r="S1181" s="2"/>
      <c r="T1181" s="2"/>
      <c r="U1181" s="2"/>
      <c r="V1181" s="2"/>
      <c r="W1181" s="2"/>
      <c r="X1181" s="2"/>
      <c r="Y1181" s="2"/>
      <c r="Z1181" s="2"/>
      <c r="AA1181" s="2"/>
      <c r="AB1181" s="2"/>
      <c r="AC1181" s="2"/>
    </row>
    <row r="1182" spans="7:29" x14ac:dyDescent="0.35">
      <c r="G1182" s="2"/>
      <c r="H1182" s="2"/>
      <c r="I1182" s="2"/>
      <c r="J1182" s="2"/>
      <c r="K1182" s="2"/>
      <c r="L1182" s="2"/>
      <c r="M1182" s="2"/>
      <c r="N1182" s="2"/>
      <c r="O1182" s="2"/>
      <c r="P1182" s="2"/>
      <c r="Q1182" s="2"/>
      <c r="R1182" s="2"/>
      <c r="S1182" s="2"/>
      <c r="T1182" s="2"/>
      <c r="U1182" s="2"/>
      <c r="V1182" s="2"/>
      <c r="W1182" s="2"/>
      <c r="X1182" s="2"/>
      <c r="Y1182" s="2"/>
      <c r="Z1182" s="2"/>
      <c r="AA1182" s="2"/>
      <c r="AB1182" s="2"/>
      <c r="AC1182" s="2"/>
    </row>
    <row r="1183" spans="7:29" x14ac:dyDescent="0.35">
      <c r="G1183" s="2"/>
      <c r="H1183" s="2"/>
      <c r="I1183" s="2"/>
      <c r="J1183" s="2"/>
      <c r="K1183" s="2"/>
      <c r="L1183" s="2"/>
      <c r="M1183" s="2"/>
      <c r="N1183" s="2"/>
      <c r="O1183" s="2"/>
      <c r="P1183" s="2"/>
      <c r="Q1183" s="2"/>
      <c r="R1183" s="2"/>
      <c r="S1183" s="2"/>
      <c r="T1183" s="2"/>
      <c r="U1183" s="2"/>
      <c r="V1183" s="2"/>
      <c r="W1183" s="2"/>
      <c r="X1183" s="2"/>
      <c r="Y1183" s="2"/>
      <c r="Z1183" s="2"/>
      <c r="AA1183" s="2"/>
      <c r="AB1183" s="2"/>
      <c r="AC1183" s="2"/>
    </row>
    <row r="1184" spans="7:29" x14ac:dyDescent="0.35">
      <c r="G1184" s="2"/>
      <c r="H1184" s="2"/>
      <c r="I1184" s="2"/>
      <c r="J1184" s="2"/>
      <c r="K1184" s="2"/>
      <c r="L1184" s="2"/>
      <c r="M1184" s="2"/>
      <c r="N1184" s="2"/>
      <c r="O1184" s="2"/>
      <c r="P1184" s="2"/>
      <c r="Q1184" s="2"/>
      <c r="R1184" s="2"/>
      <c r="S1184" s="2"/>
      <c r="T1184" s="2"/>
      <c r="U1184" s="2"/>
      <c r="V1184" s="2"/>
      <c r="W1184" s="2"/>
      <c r="X1184" s="2"/>
      <c r="Y1184" s="2"/>
      <c r="Z1184" s="2"/>
      <c r="AA1184" s="2"/>
      <c r="AB1184" s="2"/>
      <c r="AC1184" s="2"/>
    </row>
    <row r="1185" spans="7:29" x14ac:dyDescent="0.35">
      <c r="G1185" s="2"/>
      <c r="H1185" s="2"/>
      <c r="I1185" s="2"/>
      <c r="J1185" s="2"/>
      <c r="K1185" s="2"/>
      <c r="L1185" s="2"/>
      <c r="M1185" s="2"/>
      <c r="N1185" s="2"/>
      <c r="O1185" s="2"/>
      <c r="P1185" s="2"/>
      <c r="Q1185" s="2"/>
      <c r="R1185" s="2"/>
      <c r="S1185" s="2"/>
      <c r="T1185" s="2"/>
      <c r="U1185" s="2"/>
      <c r="V1185" s="2"/>
      <c r="W1185" s="2"/>
      <c r="X1185" s="2"/>
      <c r="Y1185" s="2"/>
      <c r="Z1185" s="2"/>
      <c r="AA1185" s="2"/>
      <c r="AB1185" s="2"/>
      <c r="AC1185" s="2"/>
    </row>
    <row r="1186" spans="7:29" x14ac:dyDescent="0.35">
      <c r="G1186" s="2"/>
      <c r="H1186" s="2"/>
      <c r="I1186" s="2"/>
      <c r="J1186" s="2"/>
      <c r="K1186" s="2"/>
      <c r="L1186" s="2"/>
      <c r="M1186" s="2"/>
      <c r="N1186" s="2"/>
      <c r="O1186" s="2"/>
      <c r="P1186" s="2"/>
      <c r="Q1186" s="2"/>
      <c r="R1186" s="2"/>
      <c r="S1186" s="2"/>
      <c r="T1186" s="2"/>
      <c r="U1186" s="2"/>
      <c r="V1186" s="2"/>
      <c r="W1186" s="2"/>
      <c r="X1186" s="2"/>
      <c r="Y1186" s="2"/>
      <c r="Z1186" s="2"/>
      <c r="AA1186" s="2"/>
      <c r="AB1186" s="2"/>
      <c r="AC1186" s="2"/>
    </row>
    <row r="1187" spans="7:29" x14ac:dyDescent="0.35">
      <c r="G1187" s="2"/>
      <c r="H1187" s="2"/>
      <c r="I1187" s="2"/>
      <c r="J1187" s="2"/>
      <c r="K1187" s="2"/>
      <c r="L1187" s="2"/>
      <c r="M1187" s="2"/>
      <c r="N1187" s="2"/>
      <c r="O1187" s="2"/>
      <c r="P1187" s="2"/>
      <c r="Q1187" s="2"/>
      <c r="R1187" s="2"/>
      <c r="S1187" s="2"/>
      <c r="T1187" s="2"/>
      <c r="U1187" s="2"/>
      <c r="V1187" s="2"/>
      <c r="W1187" s="2"/>
      <c r="X1187" s="2"/>
      <c r="Y1187" s="2"/>
      <c r="Z1187" s="2"/>
      <c r="AA1187" s="2"/>
      <c r="AB1187" s="2"/>
      <c r="AC1187" s="2"/>
    </row>
    <row r="1188" spans="7:29" x14ac:dyDescent="0.35">
      <c r="G1188" s="2"/>
      <c r="H1188" s="2"/>
      <c r="I1188" s="2"/>
      <c r="J1188" s="2"/>
      <c r="K1188" s="2"/>
      <c r="L1188" s="2"/>
      <c r="M1188" s="2"/>
      <c r="N1188" s="2"/>
      <c r="O1188" s="2"/>
      <c r="P1188" s="2"/>
      <c r="Q1188" s="2"/>
      <c r="R1188" s="2"/>
      <c r="S1188" s="2"/>
      <c r="T1188" s="2"/>
      <c r="U1188" s="2"/>
      <c r="V1188" s="2"/>
      <c r="W1188" s="2"/>
      <c r="X1188" s="2"/>
      <c r="Y1188" s="2"/>
      <c r="Z1188" s="2"/>
      <c r="AA1188" s="2"/>
      <c r="AB1188" s="2"/>
      <c r="AC1188" s="2"/>
    </row>
    <row r="1189" spans="7:29" x14ac:dyDescent="0.35">
      <c r="G1189" s="2"/>
      <c r="H1189" s="2"/>
      <c r="I1189" s="2"/>
      <c r="J1189" s="2"/>
      <c r="K1189" s="2"/>
      <c r="L1189" s="2"/>
      <c r="M1189" s="2"/>
      <c r="N1189" s="2"/>
      <c r="O1189" s="2"/>
      <c r="P1189" s="2"/>
      <c r="Q1189" s="2"/>
      <c r="R1189" s="2"/>
      <c r="S1189" s="2"/>
      <c r="T1189" s="2"/>
      <c r="U1189" s="2"/>
      <c r="V1189" s="2"/>
      <c r="W1189" s="2"/>
      <c r="X1189" s="2"/>
      <c r="Y1189" s="2"/>
      <c r="Z1189" s="2"/>
      <c r="AA1189" s="2"/>
      <c r="AB1189" s="2"/>
      <c r="AC1189" s="2"/>
    </row>
    <row r="1190" spans="7:29" x14ac:dyDescent="0.35">
      <c r="G1190" s="2"/>
      <c r="H1190" s="2"/>
      <c r="I1190" s="2"/>
      <c r="J1190" s="2"/>
      <c r="K1190" s="2"/>
      <c r="L1190" s="2"/>
      <c r="M1190" s="2"/>
      <c r="N1190" s="2"/>
      <c r="O1190" s="2"/>
      <c r="P1190" s="2"/>
      <c r="Q1190" s="2"/>
      <c r="R1190" s="2"/>
      <c r="S1190" s="2"/>
      <c r="T1190" s="2"/>
      <c r="U1190" s="2"/>
      <c r="V1190" s="2"/>
      <c r="W1190" s="2"/>
      <c r="X1190" s="2"/>
      <c r="Y1190" s="2"/>
      <c r="Z1190" s="2"/>
      <c r="AA1190" s="2"/>
      <c r="AB1190" s="2"/>
      <c r="AC1190" s="2"/>
    </row>
    <row r="1191" spans="7:29" x14ac:dyDescent="0.35">
      <c r="G1191" s="2"/>
      <c r="H1191" s="2"/>
      <c r="I1191" s="2"/>
      <c r="J1191" s="2"/>
      <c r="K1191" s="2"/>
      <c r="L1191" s="2"/>
      <c r="M1191" s="2"/>
      <c r="N1191" s="2"/>
      <c r="O1191" s="2"/>
      <c r="P1191" s="2"/>
      <c r="Q1191" s="2"/>
      <c r="R1191" s="2"/>
      <c r="S1191" s="2"/>
      <c r="T1191" s="2"/>
      <c r="U1191" s="2"/>
      <c r="V1191" s="2"/>
      <c r="W1191" s="2"/>
      <c r="X1191" s="2"/>
      <c r="Y1191" s="2"/>
      <c r="Z1191" s="2"/>
      <c r="AA1191" s="2"/>
      <c r="AB1191" s="2"/>
      <c r="AC1191" s="2"/>
    </row>
    <row r="1192" spans="7:29" x14ac:dyDescent="0.35">
      <c r="G1192" s="2"/>
      <c r="H1192" s="2"/>
      <c r="I1192" s="2"/>
      <c r="J1192" s="2"/>
      <c r="K1192" s="2"/>
      <c r="L1192" s="2"/>
      <c r="M1192" s="2"/>
      <c r="N1192" s="2"/>
      <c r="O1192" s="2"/>
      <c r="P1192" s="2"/>
      <c r="Q1192" s="2"/>
      <c r="R1192" s="2"/>
      <c r="S1192" s="2"/>
      <c r="T1192" s="2"/>
      <c r="U1192" s="2"/>
      <c r="V1192" s="2"/>
      <c r="W1192" s="2"/>
      <c r="X1192" s="2"/>
      <c r="Y1192" s="2"/>
      <c r="Z1192" s="2"/>
      <c r="AA1192" s="2"/>
      <c r="AB1192" s="2"/>
      <c r="AC1192" s="2"/>
    </row>
    <row r="1193" spans="7:29" x14ac:dyDescent="0.35">
      <c r="G1193" s="2"/>
      <c r="H1193" s="2"/>
      <c r="I1193" s="2"/>
      <c r="J1193" s="2"/>
      <c r="K1193" s="2"/>
      <c r="L1193" s="2"/>
      <c r="M1193" s="2"/>
      <c r="N1193" s="2"/>
      <c r="O1193" s="2"/>
      <c r="P1193" s="2"/>
      <c r="Q1193" s="2"/>
      <c r="R1193" s="2"/>
      <c r="S1193" s="2"/>
      <c r="T1193" s="2"/>
      <c r="U1193" s="2"/>
      <c r="V1193" s="2"/>
      <c r="W1193" s="2"/>
      <c r="X1193" s="2"/>
      <c r="Y1193" s="2"/>
      <c r="Z1193" s="2"/>
      <c r="AA1193" s="2"/>
      <c r="AB1193" s="2"/>
      <c r="AC1193" s="2"/>
    </row>
    <row r="1194" spans="7:29" x14ac:dyDescent="0.35">
      <c r="G1194" s="2"/>
      <c r="H1194" s="2"/>
      <c r="I1194" s="2"/>
      <c r="J1194" s="2"/>
      <c r="K1194" s="2"/>
      <c r="L1194" s="2"/>
      <c r="M1194" s="2"/>
      <c r="N1194" s="2"/>
      <c r="O1194" s="2"/>
      <c r="P1194" s="2"/>
      <c r="Q1194" s="2"/>
      <c r="R1194" s="2"/>
      <c r="S1194" s="2"/>
      <c r="T1194" s="2"/>
      <c r="U1194" s="2"/>
      <c r="V1194" s="2"/>
      <c r="W1194" s="2"/>
      <c r="X1194" s="2"/>
      <c r="Y1194" s="2"/>
      <c r="Z1194" s="2"/>
      <c r="AA1194" s="2"/>
      <c r="AB1194" s="2"/>
      <c r="AC1194" s="2"/>
    </row>
    <row r="1195" spans="7:29" x14ac:dyDescent="0.35">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row>
    <row r="1196" spans="7:29" x14ac:dyDescent="0.35">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row>
    <row r="1197" spans="7:29" x14ac:dyDescent="0.35">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row>
    <row r="1198" spans="7:29" x14ac:dyDescent="0.35">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row>
    <row r="1199" spans="7:29" x14ac:dyDescent="0.35">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row>
    <row r="1200" spans="7:29" x14ac:dyDescent="0.35">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row>
    <row r="1201" spans="7:29" x14ac:dyDescent="0.35">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row>
    <row r="1202" spans="7:29" x14ac:dyDescent="0.35">
      <c r="G1202" s="2"/>
      <c r="H1202" s="2"/>
      <c r="I1202" s="2"/>
      <c r="J1202" s="2"/>
      <c r="K1202" s="2"/>
      <c r="L1202" s="2"/>
      <c r="M1202" s="2"/>
      <c r="N1202" s="2"/>
      <c r="O1202" s="2"/>
      <c r="P1202" s="2"/>
      <c r="Q1202" s="2"/>
      <c r="R1202" s="2"/>
      <c r="S1202" s="2"/>
      <c r="T1202" s="2"/>
      <c r="U1202" s="2"/>
      <c r="V1202" s="2"/>
      <c r="W1202" s="2"/>
      <c r="X1202" s="2"/>
      <c r="Y1202" s="2"/>
      <c r="Z1202" s="2"/>
      <c r="AA1202" s="2"/>
      <c r="AB1202" s="2"/>
      <c r="AC1202" s="2"/>
    </row>
    <row r="1203" spans="7:29" x14ac:dyDescent="0.35">
      <c r="G1203" s="2"/>
      <c r="H1203" s="2"/>
      <c r="I1203" s="2"/>
      <c r="J1203" s="2"/>
      <c r="K1203" s="2"/>
      <c r="L1203" s="2"/>
      <c r="M1203" s="2"/>
      <c r="N1203" s="2"/>
      <c r="O1203" s="2"/>
      <c r="P1203" s="2"/>
      <c r="Q1203" s="2"/>
      <c r="R1203" s="2"/>
      <c r="S1203" s="2"/>
      <c r="T1203" s="2"/>
      <c r="U1203" s="2"/>
      <c r="V1203" s="2"/>
      <c r="W1203" s="2"/>
      <c r="X1203" s="2"/>
      <c r="Y1203" s="2"/>
      <c r="Z1203" s="2"/>
      <c r="AA1203" s="2"/>
      <c r="AB1203" s="2"/>
      <c r="AC1203" s="2"/>
    </row>
    <row r="1204" spans="7:29" x14ac:dyDescent="0.35">
      <c r="G1204" s="2"/>
      <c r="H1204" s="2"/>
      <c r="I1204" s="2"/>
      <c r="J1204" s="2"/>
      <c r="K1204" s="2"/>
      <c r="L1204" s="2"/>
      <c r="M1204" s="2"/>
      <c r="N1204" s="2"/>
      <c r="O1204" s="2"/>
      <c r="P1204" s="2"/>
      <c r="Q1204" s="2"/>
      <c r="R1204" s="2"/>
      <c r="S1204" s="2"/>
      <c r="T1204" s="2"/>
      <c r="U1204" s="2"/>
      <c r="V1204" s="2"/>
      <c r="W1204" s="2"/>
      <c r="X1204" s="2"/>
      <c r="Y1204" s="2"/>
      <c r="Z1204" s="2"/>
      <c r="AA1204" s="2"/>
      <c r="AB1204" s="2"/>
      <c r="AC1204" s="2"/>
    </row>
    <row r="1205" spans="7:29" x14ac:dyDescent="0.35">
      <c r="G1205" s="2"/>
      <c r="H1205" s="2"/>
      <c r="I1205" s="2"/>
      <c r="J1205" s="2"/>
      <c r="K1205" s="2"/>
      <c r="L1205" s="2"/>
      <c r="M1205" s="2"/>
      <c r="N1205" s="2"/>
      <c r="O1205" s="2"/>
      <c r="P1205" s="2"/>
      <c r="Q1205" s="2"/>
      <c r="R1205" s="2"/>
      <c r="S1205" s="2"/>
      <c r="T1205" s="2"/>
      <c r="U1205" s="2"/>
      <c r="V1205" s="2"/>
      <c r="W1205" s="2"/>
      <c r="X1205" s="2"/>
      <c r="Y1205" s="2"/>
      <c r="Z1205" s="2"/>
      <c r="AA1205" s="2"/>
      <c r="AB1205" s="2"/>
      <c r="AC1205" s="2"/>
    </row>
    <row r="1206" spans="7:29" x14ac:dyDescent="0.35">
      <c r="G1206" s="2"/>
      <c r="H1206" s="2"/>
      <c r="I1206" s="2"/>
      <c r="J1206" s="2"/>
      <c r="K1206" s="2"/>
      <c r="L1206" s="2"/>
      <c r="M1206" s="2"/>
      <c r="N1206" s="2"/>
      <c r="O1206" s="2"/>
      <c r="P1206" s="2"/>
      <c r="Q1206" s="2"/>
      <c r="R1206" s="2"/>
      <c r="S1206" s="2"/>
      <c r="T1206" s="2"/>
      <c r="U1206" s="2"/>
      <c r="V1206" s="2"/>
      <c r="W1206" s="2"/>
      <c r="X1206" s="2"/>
      <c r="Y1206" s="2"/>
      <c r="Z1206" s="2"/>
      <c r="AA1206" s="2"/>
      <c r="AB1206" s="2"/>
      <c r="AC1206" s="2"/>
    </row>
    <row r="1207" spans="7:29" x14ac:dyDescent="0.35">
      <c r="G1207" s="2"/>
      <c r="H1207" s="2"/>
      <c r="I1207" s="2"/>
      <c r="J1207" s="2"/>
      <c r="K1207" s="2"/>
      <c r="L1207" s="2"/>
      <c r="M1207" s="2"/>
      <c r="N1207" s="2"/>
      <c r="O1207" s="2"/>
      <c r="P1207" s="2"/>
      <c r="Q1207" s="2"/>
      <c r="R1207" s="2"/>
      <c r="S1207" s="2"/>
      <c r="T1207" s="2"/>
      <c r="U1207" s="2"/>
      <c r="V1207" s="2"/>
      <c r="W1207" s="2"/>
      <c r="X1207" s="2"/>
      <c r="Y1207" s="2"/>
      <c r="Z1207" s="2"/>
      <c r="AA1207" s="2"/>
      <c r="AB1207" s="2"/>
      <c r="AC1207" s="2"/>
    </row>
    <row r="1208" spans="7:29" x14ac:dyDescent="0.35">
      <c r="G1208" s="2"/>
      <c r="H1208" s="2"/>
      <c r="I1208" s="2"/>
      <c r="J1208" s="2"/>
      <c r="K1208" s="2"/>
      <c r="L1208" s="2"/>
      <c r="M1208" s="2"/>
      <c r="N1208" s="2"/>
      <c r="O1208" s="2"/>
      <c r="P1208" s="2"/>
      <c r="Q1208" s="2"/>
      <c r="R1208" s="2"/>
      <c r="S1208" s="2"/>
      <c r="T1208" s="2"/>
      <c r="U1208" s="2"/>
      <c r="V1208" s="2"/>
      <c r="W1208" s="2"/>
      <c r="X1208" s="2"/>
      <c r="Y1208" s="2"/>
      <c r="Z1208" s="2"/>
      <c r="AA1208" s="2"/>
      <c r="AB1208" s="2"/>
      <c r="AC1208" s="2"/>
    </row>
    <row r="1209" spans="7:29" x14ac:dyDescent="0.35">
      <c r="G1209" s="2"/>
      <c r="H1209" s="2"/>
      <c r="I1209" s="2"/>
      <c r="J1209" s="2"/>
      <c r="K1209" s="2"/>
      <c r="L1209" s="2"/>
      <c r="M1209" s="2"/>
      <c r="N1209" s="2"/>
      <c r="O1209" s="2"/>
      <c r="P1209" s="2"/>
      <c r="Q1209" s="2"/>
      <c r="R1209" s="2"/>
      <c r="S1209" s="2"/>
      <c r="T1209" s="2"/>
      <c r="U1209" s="2"/>
      <c r="V1209" s="2"/>
      <c r="W1209" s="2"/>
      <c r="X1209" s="2"/>
      <c r="Y1209" s="2"/>
      <c r="Z1209" s="2"/>
      <c r="AA1209" s="2"/>
      <c r="AB1209" s="2"/>
      <c r="AC1209" s="2"/>
    </row>
    <row r="1210" spans="7:29" x14ac:dyDescent="0.35">
      <c r="G1210" s="2"/>
      <c r="H1210" s="2"/>
      <c r="I1210" s="2"/>
      <c r="J1210" s="2"/>
      <c r="K1210" s="2"/>
      <c r="L1210" s="2"/>
      <c r="M1210" s="2"/>
      <c r="N1210" s="2"/>
      <c r="O1210" s="2"/>
      <c r="P1210" s="2"/>
      <c r="Q1210" s="2"/>
      <c r="R1210" s="2"/>
      <c r="S1210" s="2"/>
      <c r="T1210" s="2"/>
      <c r="U1210" s="2"/>
      <c r="V1210" s="2"/>
      <c r="W1210" s="2"/>
      <c r="X1210" s="2"/>
      <c r="Y1210" s="2"/>
      <c r="Z1210" s="2"/>
      <c r="AA1210" s="2"/>
      <c r="AB1210" s="2"/>
      <c r="AC1210" s="2"/>
    </row>
    <row r="1211" spans="7:29" x14ac:dyDescent="0.35">
      <c r="G1211" s="2"/>
      <c r="H1211" s="2"/>
      <c r="I1211" s="2"/>
      <c r="J1211" s="2"/>
      <c r="K1211" s="2"/>
      <c r="L1211" s="2"/>
      <c r="M1211" s="2"/>
      <c r="N1211" s="2"/>
      <c r="O1211" s="2"/>
      <c r="P1211" s="2"/>
      <c r="Q1211" s="2"/>
      <c r="R1211" s="2"/>
      <c r="S1211" s="2"/>
      <c r="T1211" s="2"/>
      <c r="U1211" s="2"/>
      <c r="V1211" s="2"/>
      <c r="W1211" s="2"/>
      <c r="X1211" s="2"/>
      <c r="Y1211" s="2"/>
      <c r="Z1211" s="2"/>
      <c r="AA1211" s="2"/>
      <c r="AB1211" s="2"/>
      <c r="AC1211" s="2"/>
    </row>
    <row r="1212" spans="7:29" x14ac:dyDescent="0.35">
      <c r="G1212" s="2"/>
      <c r="H1212" s="2"/>
      <c r="I1212" s="2"/>
      <c r="J1212" s="2"/>
      <c r="K1212" s="2"/>
      <c r="L1212" s="2"/>
      <c r="M1212" s="2"/>
      <c r="N1212" s="2"/>
      <c r="O1212" s="2"/>
      <c r="P1212" s="2"/>
      <c r="Q1212" s="2"/>
      <c r="R1212" s="2"/>
      <c r="S1212" s="2"/>
      <c r="T1212" s="2"/>
      <c r="U1212" s="2"/>
      <c r="V1212" s="2"/>
      <c r="W1212" s="2"/>
      <c r="X1212" s="2"/>
      <c r="Y1212" s="2"/>
      <c r="Z1212" s="2"/>
      <c r="AA1212" s="2"/>
      <c r="AB1212" s="2"/>
      <c r="AC1212" s="2"/>
    </row>
    <row r="1213" spans="7:29" x14ac:dyDescent="0.35">
      <c r="G1213" s="2"/>
      <c r="H1213" s="2"/>
      <c r="I1213" s="2"/>
      <c r="J1213" s="2"/>
      <c r="K1213" s="2"/>
      <c r="L1213" s="2"/>
      <c r="M1213" s="2"/>
      <c r="N1213" s="2"/>
      <c r="O1213" s="2"/>
      <c r="P1213" s="2"/>
      <c r="Q1213" s="2"/>
      <c r="R1213" s="2"/>
      <c r="S1213" s="2"/>
      <c r="T1213" s="2"/>
      <c r="U1213" s="2"/>
      <c r="V1213" s="2"/>
      <c r="W1213" s="2"/>
      <c r="X1213" s="2"/>
      <c r="Y1213" s="2"/>
      <c r="Z1213" s="2"/>
      <c r="AA1213" s="2"/>
      <c r="AB1213" s="2"/>
      <c r="AC1213" s="2"/>
    </row>
    <row r="1214" spans="7:29" x14ac:dyDescent="0.35">
      <c r="G1214" s="2"/>
      <c r="H1214" s="2"/>
      <c r="I1214" s="2"/>
      <c r="J1214" s="2"/>
      <c r="K1214" s="2"/>
      <c r="L1214" s="2"/>
      <c r="M1214" s="2"/>
      <c r="N1214" s="2"/>
      <c r="O1214" s="2"/>
      <c r="P1214" s="2"/>
      <c r="Q1214" s="2"/>
      <c r="R1214" s="2"/>
      <c r="S1214" s="2"/>
      <c r="T1214" s="2"/>
      <c r="U1214" s="2"/>
      <c r="V1214" s="2"/>
      <c r="W1214" s="2"/>
      <c r="X1214" s="2"/>
      <c r="Y1214" s="2"/>
      <c r="Z1214" s="2"/>
      <c r="AA1214" s="2"/>
      <c r="AB1214" s="2"/>
      <c r="AC1214" s="2"/>
    </row>
    <row r="1215" spans="7:29" x14ac:dyDescent="0.35">
      <c r="G1215" s="2"/>
      <c r="H1215" s="2"/>
      <c r="I1215" s="2"/>
      <c r="J1215" s="2"/>
      <c r="K1215" s="2"/>
      <c r="L1215" s="2"/>
      <c r="M1215" s="2"/>
      <c r="N1215" s="2"/>
      <c r="O1215" s="2"/>
      <c r="P1215" s="2"/>
      <c r="Q1215" s="2"/>
      <c r="R1215" s="2"/>
      <c r="S1215" s="2"/>
      <c r="T1215" s="2"/>
      <c r="U1215" s="2"/>
      <c r="V1215" s="2"/>
      <c r="W1215" s="2"/>
      <c r="X1215" s="2"/>
      <c r="Y1215" s="2"/>
      <c r="Z1215" s="2"/>
      <c r="AA1215" s="2"/>
      <c r="AB1215" s="2"/>
      <c r="AC1215" s="2"/>
    </row>
    <row r="1216" spans="7:29" x14ac:dyDescent="0.35">
      <c r="G1216" s="2"/>
      <c r="H1216" s="2"/>
      <c r="I1216" s="2"/>
      <c r="J1216" s="2"/>
      <c r="K1216" s="2"/>
      <c r="L1216" s="2"/>
      <c r="M1216" s="2"/>
      <c r="N1216" s="2"/>
      <c r="O1216" s="2"/>
      <c r="P1216" s="2"/>
      <c r="Q1216" s="2"/>
      <c r="R1216" s="2"/>
      <c r="S1216" s="2"/>
      <c r="T1216" s="2"/>
      <c r="U1216" s="2"/>
      <c r="V1216" s="2"/>
      <c r="W1216" s="2"/>
      <c r="X1216" s="2"/>
      <c r="Y1216" s="2"/>
      <c r="Z1216" s="2"/>
      <c r="AA1216" s="2"/>
      <c r="AB1216" s="2"/>
      <c r="AC1216" s="2"/>
    </row>
    <row r="1217" spans="7:29" x14ac:dyDescent="0.35">
      <c r="G1217" s="2"/>
      <c r="H1217" s="2"/>
      <c r="I1217" s="2"/>
      <c r="J1217" s="2"/>
      <c r="K1217" s="2"/>
      <c r="L1217" s="2"/>
      <c r="M1217" s="2"/>
      <c r="N1217" s="2"/>
      <c r="O1217" s="2"/>
      <c r="P1217" s="2"/>
      <c r="Q1217" s="2"/>
      <c r="R1217" s="2"/>
      <c r="S1217" s="2"/>
      <c r="T1217" s="2"/>
      <c r="U1217" s="2"/>
      <c r="V1217" s="2"/>
      <c r="W1217" s="2"/>
      <c r="X1217" s="2"/>
      <c r="Y1217" s="2"/>
      <c r="Z1217" s="2"/>
      <c r="AA1217" s="2"/>
      <c r="AB1217" s="2"/>
      <c r="AC1217" s="2"/>
    </row>
    <row r="1218" spans="7:29" x14ac:dyDescent="0.35">
      <c r="G1218" s="2"/>
      <c r="H1218" s="2"/>
      <c r="I1218" s="2"/>
      <c r="J1218" s="2"/>
      <c r="K1218" s="2"/>
      <c r="L1218" s="2"/>
      <c r="M1218" s="2"/>
      <c r="N1218" s="2"/>
      <c r="O1218" s="2"/>
      <c r="P1218" s="2"/>
      <c r="Q1218" s="2"/>
      <c r="R1218" s="2"/>
      <c r="S1218" s="2"/>
      <c r="T1218" s="2"/>
      <c r="U1218" s="2"/>
      <c r="V1218" s="2"/>
      <c r="W1218" s="2"/>
      <c r="X1218" s="2"/>
      <c r="Y1218" s="2"/>
      <c r="Z1218" s="2"/>
      <c r="AA1218" s="2"/>
      <c r="AB1218" s="2"/>
      <c r="AC1218" s="2"/>
    </row>
    <row r="1219" spans="7:29" x14ac:dyDescent="0.35">
      <c r="G1219" s="2"/>
      <c r="H1219" s="2"/>
      <c r="I1219" s="2"/>
      <c r="J1219" s="2"/>
      <c r="K1219" s="2"/>
      <c r="L1219" s="2"/>
      <c r="M1219" s="2"/>
      <c r="N1219" s="2"/>
      <c r="O1219" s="2"/>
      <c r="P1219" s="2"/>
      <c r="Q1219" s="2"/>
      <c r="R1219" s="2"/>
      <c r="S1219" s="2"/>
      <c r="T1219" s="2"/>
      <c r="U1219" s="2"/>
      <c r="V1219" s="2"/>
      <c r="W1219" s="2"/>
      <c r="X1219" s="2"/>
      <c r="Y1219" s="2"/>
      <c r="Z1219" s="2"/>
      <c r="AA1219" s="2"/>
      <c r="AB1219" s="2"/>
      <c r="AC1219" s="2"/>
    </row>
    <row r="1220" spans="7:29" x14ac:dyDescent="0.35">
      <c r="G1220" s="2"/>
      <c r="H1220" s="2"/>
      <c r="I1220" s="2"/>
      <c r="J1220" s="2"/>
      <c r="K1220" s="2"/>
      <c r="L1220" s="2"/>
      <c r="M1220" s="2"/>
      <c r="N1220" s="2"/>
      <c r="O1220" s="2"/>
      <c r="P1220" s="2"/>
      <c r="Q1220" s="2"/>
      <c r="R1220" s="2"/>
      <c r="S1220" s="2"/>
      <c r="T1220" s="2"/>
      <c r="U1220" s="2"/>
      <c r="V1220" s="2"/>
      <c r="W1220" s="2"/>
      <c r="X1220" s="2"/>
      <c r="Y1220" s="2"/>
      <c r="Z1220" s="2"/>
      <c r="AA1220" s="2"/>
      <c r="AB1220" s="2"/>
      <c r="AC1220" s="2"/>
    </row>
    <row r="1221" spans="7:29" x14ac:dyDescent="0.35">
      <c r="G1221" s="2"/>
      <c r="H1221" s="2"/>
      <c r="I1221" s="2"/>
      <c r="J1221" s="2"/>
      <c r="K1221" s="2"/>
      <c r="L1221" s="2"/>
      <c r="M1221" s="2"/>
      <c r="N1221" s="2"/>
      <c r="O1221" s="2"/>
      <c r="P1221" s="2"/>
      <c r="Q1221" s="2"/>
      <c r="R1221" s="2"/>
      <c r="S1221" s="2"/>
      <c r="T1221" s="2"/>
      <c r="U1221" s="2"/>
      <c r="V1221" s="2"/>
      <c r="W1221" s="2"/>
      <c r="X1221" s="2"/>
      <c r="Y1221" s="2"/>
      <c r="Z1221" s="2"/>
      <c r="AA1221" s="2"/>
      <c r="AB1221" s="2"/>
      <c r="AC1221" s="2"/>
    </row>
    <row r="1222" spans="7:29" x14ac:dyDescent="0.35">
      <c r="G1222" s="2"/>
      <c r="H1222" s="2"/>
      <c r="I1222" s="2"/>
      <c r="J1222" s="2"/>
      <c r="K1222" s="2"/>
      <c r="L1222" s="2"/>
      <c r="M1222" s="2"/>
      <c r="N1222" s="2"/>
      <c r="O1222" s="2"/>
      <c r="P1222" s="2"/>
      <c r="Q1222" s="2"/>
      <c r="R1222" s="2"/>
      <c r="S1222" s="2"/>
      <c r="T1222" s="2"/>
      <c r="U1222" s="2"/>
      <c r="V1222" s="2"/>
      <c r="W1222" s="2"/>
      <c r="X1222" s="2"/>
      <c r="Y1222" s="2"/>
      <c r="Z1222" s="2"/>
      <c r="AA1222" s="2"/>
      <c r="AB1222" s="2"/>
      <c r="AC1222" s="2"/>
    </row>
    <row r="1223" spans="7:29" x14ac:dyDescent="0.35">
      <c r="G1223" s="2"/>
      <c r="H1223" s="2"/>
      <c r="I1223" s="2"/>
      <c r="J1223" s="2"/>
      <c r="K1223" s="2"/>
      <c r="L1223" s="2"/>
      <c r="M1223" s="2"/>
      <c r="N1223" s="2"/>
      <c r="O1223" s="2"/>
      <c r="P1223" s="2"/>
      <c r="Q1223" s="2"/>
      <c r="R1223" s="2"/>
      <c r="S1223" s="2"/>
      <c r="T1223" s="2"/>
      <c r="U1223" s="2"/>
      <c r="V1223" s="2"/>
      <c r="W1223" s="2"/>
      <c r="X1223" s="2"/>
      <c r="Y1223" s="2"/>
      <c r="Z1223" s="2"/>
      <c r="AA1223" s="2"/>
      <c r="AB1223" s="2"/>
      <c r="AC1223" s="2"/>
    </row>
    <row r="1224" spans="7:29" x14ac:dyDescent="0.35">
      <c r="G1224" s="2"/>
      <c r="H1224" s="2"/>
      <c r="I1224" s="2"/>
      <c r="J1224" s="2"/>
      <c r="K1224" s="2"/>
      <c r="L1224" s="2"/>
      <c r="M1224" s="2"/>
      <c r="N1224" s="2"/>
      <c r="O1224" s="2"/>
      <c r="P1224" s="2"/>
      <c r="Q1224" s="2"/>
      <c r="R1224" s="2"/>
      <c r="S1224" s="2"/>
      <c r="T1224" s="2"/>
      <c r="U1224" s="2"/>
      <c r="V1224" s="2"/>
      <c r="W1224" s="2"/>
      <c r="X1224" s="2"/>
      <c r="Y1224" s="2"/>
      <c r="Z1224" s="2"/>
      <c r="AA1224" s="2"/>
      <c r="AB1224" s="2"/>
      <c r="AC1224" s="2"/>
    </row>
    <row r="1225" spans="7:29" x14ac:dyDescent="0.35">
      <c r="G1225" s="2"/>
      <c r="H1225" s="2"/>
      <c r="I1225" s="2"/>
      <c r="J1225" s="2"/>
      <c r="K1225" s="2"/>
      <c r="L1225" s="2"/>
      <c r="M1225" s="2"/>
      <c r="N1225" s="2"/>
      <c r="O1225" s="2"/>
      <c r="P1225" s="2"/>
      <c r="Q1225" s="2"/>
      <c r="R1225" s="2"/>
      <c r="S1225" s="2"/>
      <c r="T1225" s="2"/>
      <c r="U1225" s="2"/>
      <c r="V1225" s="2"/>
      <c r="W1225" s="2"/>
      <c r="X1225" s="2"/>
      <c r="Y1225" s="2"/>
      <c r="Z1225" s="2"/>
      <c r="AA1225" s="2"/>
      <c r="AB1225" s="2"/>
      <c r="AC1225" s="2"/>
    </row>
    <row r="1226" spans="7:29" x14ac:dyDescent="0.35">
      <c r="G1226" s="2"/>
      <c r="H1226" s="2"/>
      <c r="I1226" s="2"/>
      <c r="J1226" s="2"/>
      <c r="K1226" s="2"/>
      <c r="L1226" s="2"/>
      <c r="M1226" s="2"/>
      <c r="N1226" s="2"/>
      <c r="O1226" s="2"/>
      <c r="P1226" s="2"/>
      <c r="Q1226" s="2"/>
      <c r="R1226" s="2"/>
      <c r="S1226" s="2"/>
      <c r="T1226" s="2"/>
      <c r="U1226" s="2"/>
      <c r="V1226" s="2"/>
      <c r="W1226" s="2"/>
      <c r="X1226" s="2"/>
      <c r="Y1226" s="2"/>
      <c r="Z1226" s="2"/>
      <c r="AA1226" s="2"/>
      <c r="AB1226" s="2"/>
      <c r="AC1226" s="2"/>
    </row>
    <row r="1227" spans="7:29" x14ac:dyDescent="0.35">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row>
    <row r="1228" spans="7:29" x14ac:dyDescent="0.35">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row>
    <row r="1229" spans="7:29" x14ac:dyDescent="0.35">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row>
    <row r="1230" spans="7:29" x14ac:dyDescent="0.35">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row>
    <row r="1231" spans="7:29" x14ac:dyDescent="0.35">
      <c r="G1231" s="2"/>
      <c r="H1231" s="2"/>
      <c r="I1231" s="2"/>
      <c r="J1231" s="2"/>
      <c r="K1231" s="2"/>
      <c r="L1231" s="2"/>
      <c r="M1231" s="2"/>
      <c r="N1231" s="2"/>
      <c r="O1231" s="2"/>
      <c r="P1231" s="2"/>
      <c r="Q1231" s="2"/>
      <c r="R1231" s="2"/>
      <c r="S1231" s="2"/>
      <c r="T1231" s="2"/>
      <c r="U1231" s="2"/>
      <c r="V1231" s="2"/>
      <c r="W1231" s="2"/>
      <c r="X1231" s="2"/>
      <c r="Y1231" s="2"/>
      <c r="Z1231" s="2"/>
      <c r="AA1231" s="2"/>
      <c r="AB1231" s="2"/>
      <c r="AC1231" s="2"/>
    </row>
    <row r="1232" spans="7:29" x14ac:dyDescent="0.35">
      <c r="G1232" s="2"/>
      <c r="H1232" s="2"/>
      <c r="I1232" s="2"/>
      <c r="J1232" s="2"/>
      <c r="K1232" s="2"/>
      <c r="L1232" s="2"/>
      <c r="M1232" s="2"/>
      <c r="N1232" s="2"/>
      <c r="O1232" s="2"/>
      <c r="P1232" s="2"/>
      <c r="Q1232" s="2"/>
      <c r="R1232" s="2"/>
      <c r="S1232" s="2"/>
      <c r="T1232" s="2"/>
      <c r="U1232" s="2"/>
      <c r="V1232" s="2"/>
      <c r="W1232" s="2"/>
      <c r="X1232" s="2"/>
      <c r="Y1232" s="2"/>
      <c r="Z1232" s="2"/>
      <c r="AA1232" s="2"/>
      <c r="AB1232" s="2"/>
      <c r="AC1232" s="2"/>
    </row>
    <row r="1233" spans="7:29" x14ac:dyDescent="0.35">
      <c r="G1233" s="2"/>
      <c r="H1233" s="2"/>
      <c r="I1233" s="2"/>
      <c r="J1233" s="2"/>
      <c r="K1233" s="2"/>
      <c r="L1233" s="2"/>
      <c r="M1233" s="2"/>
      <c r="N1233" s="2"/>
      <c r="O1233" s="2"/>
      <c r="P1233" s="2"/>
      <c r="Q1233" s="2"/>
      <c r="R1233" s="2"/>
      <c r="S1233" s="2"/>
      <c r="T1233" s="2"/>
      <c r="U1233" s="2"/>
      <c r="V1233" s="2"/>
      <c r="W1233" s="2"/>
      <c r="X1233" s="2"/>
      <c r="Y1233" s="2"/>
      <c r="Z1233" s="2"/>
      <c r="AA1233" s="2"/>
      <c r="AB1233" s="2"/>
      <c r="AC1233" s="2"/>
    </row>
    <row r="1234" spans="7:29" x14ac:dyDescent="0.35">
      <c r="G1234" s="2"/>
      <c r="H1234" s="2"/>
      <c r="I1234" s="2"/>
      <c r="J1234" s="2"/>
      <c r="K1234" s="2"/>
      <c r="L1234" s="2"/>
      <c r="M1234" s="2"/>
      <c r="N1234" s="2"/>
      <c r="O1234" s="2"/>
      <c r="P1234" s="2"/>
      <c r="Q1234" s="2"/>
      <c r="R1234" s="2"/>
      <c r="S1234" s="2"/>
      <c r="T1234" s="2"/>
      <c r="U1234" s="2"/>
      <c r="V1234" s="2"/>
      <c r="W1234" s="2"/>
      <c r="X1234" s="2"/>
      <c r="Y1234" s="2"/>
      <c r="Z1234" s="2"/>
      <c r="AA1234" s="2"/>
      <c r="AB1234" s="2"/>
      <c r="AC1234" s="2"/>
    </row>
    <row r="1235" spans="7:29" x14ac:dyDescent="0.35">
      <c r="G1235" s="2"/>
      <c r="H1235" s="2"/>
      <c r="I1235" s="2"/>
      <c r="J1235" s="2"/>
      <c r="K1235" s="2"/>
      <c r="L1235" s="2"/>
      <c r="M1235" s="2"/>
      <c r="N1235" s="2"/>
      <c r="O1235" s="2"/>
      <c r="P1235" s="2"/>
      <c r="Q1235" s="2"/>
      <c r="R1235" s="2"/>
      <c r="S1235" s="2"/>
      <c r="T1235" s="2"/>
      <c r="U1235" s="2"/>
      <c r="V1235" s="2"/>
      <c r="W1235" s="2"/>
      <c r="X1235" s="2"/>
      <c r="Y1235" s="2"/>
      <c r="Z1235" s="2"/>
      <c r="AA1235" s="2"/>
      <c r="AB1235" s="2"/>
      <c r="AC1235" s="2"/>
    </row>
    <row r="1236" spans="7:29" x14ac:dyDescent="0.35">
      <c r="G1236" s="2"/>
      <c r="H1236" s="2"/>
      <c r="I1236" s="2"/>
      <c r="J1236" s="2"/>
      <c r="K1236" s="2"/>
      <c r="L1236" s="2"/>
      <c r="M1236" s="2"/>
      <c r="N1236" s="2"/>
      <c r="O1236" s="2"/>
      <c r="P1236" s="2"/>
      <c r="Q1236" s="2"/>
      <c r="R1236" s="2"/>
      <c r="S1236" s="2"/>
      <c r="T1236" s="2"/>
      <c r="U1236" s="2"/>
      <c r="V1236" s="2"/>
      <c r="W1236" s="2"/>
      <c r="X1236" s="2"/>
      <c r="Y1236" s="2"/>
      <c r="Z1236" s="2"/>
      <c r="AA1236" s="2"/>
      <c r="AB1236" s="2"/>
      <c r="AC1236" s="2"/>
    </row>
    <row r="1237" spans="7:29" x14ac:dyDescent="0.35">
      <c r="G1237" s="2"/>
      <c r="H1237" s="2"/>
      <c r="I1237" s="2"/>
      <c r="J1237" s="2"/>
      <c r="K1237" s="2"/>
      <c r="L1237" s="2"/>
      <c r="M1237" s="2"/>
      <c r="N1237" s="2"/>
      <c r="O1237" s="2"/>
      <c r="P1237" s="2"/>
      <c r="Q1237" s="2"/>
      <c r="R1237" s="2"/>
      <c r="S1237" s="2"/>
      <c r="T1237" s="2"/>
      <c r="U1237" s="2"/>
      <c r="V1237" s="2"/>
      <c r="W1237" s="2"/>
      <c r="X1237" s="2"/>
      <c r="Y1237" s="2"/>
      <c r="Z1237" s="2"/>
      <c r="AA1237" s="2"/>
      <c r="AB1237" s="2"/>
      <c r="AC1237" s="2"/>
    </row>
    <row r="1238" spans="7:29" x14ac:dyDescent="0.35">
      <c r="G1238" s="2"/>
      <c r="H1238" s="2"/>
      <c r="I1238" s="2"/>
      <c r="J1238" s="2"/>
      <c r="K1238" s="2"/>
      <c r="L1238" s="2"/>
      <c r="M1238" s="2"/>
      <c r="N1238" s="2"/>
      <c r="O1238" s="2"/>
      <c r="P1238" s="2"/>
      <c r="Q1238" s="2"/>
      <c r="R1238" s="2"/>
      <c r="S1238" s="2"/>
      <c r="T1238" s="2"/>
      <c r="U1238" s="2"/>
      <c r="V1238" s="2"/>
      <c r="W1238" s="2"/>
      <c r="X1238" s="2"/>
      <c r="Y1238" s="2"/>
      <c r="Z1238" s="2"/>
      <c r="AA1238" s="2"/>
      <c r="AB1238" s="2"/>
      <c r="AC1238" s="2"/>
    </row>
    <row r="1239" spans="7:29" x14ac:dyDescent="0.35">
      <c r="G1239" s="2"/>
      <c r="H1239" s="2"/>
      <c r="I1239" s="2"/>
      <c r="J1239" s="2"/>
      <c r="K1239" s="2"/>
      <c r="L1239" s="2"/>
      <c r="M1239" s="2"/>
      <c r="N1239" s="2"/>
      <c r="O1239" s="2"/>
      <c r="P1239" s="2"/>
      <c r="Q1239" s="2"/>
      <c r="R1239" s="2"/>
      <c r="S1239" s="2"/>
      <c r="T1239" s="2"/>
      <c r="U1239" s="2"/>
      <c r="V1239" s="2"/>
      <c r="W1239" s="2"/>
      <c r="X1239" s="2"/>
      <c r="Y1239" s="2"/>
      <c r="Z1239" s="2"/>
      <c r="AA1239" s="2"/>
      <c r="AB1239" s="2"/>
      <c r="AC1239" s="2"/>
    </row>
    <row r="1240" spans="7:29" x14ac:dyDescent="0.35">
      <c r="G1240" s="2"/>
      <c r="H1240" s="2"/>
      <c r="I1240" s="2"/>
      <c r="J1240" s="2"/>
      <c r="K1240" s="2"/>
      <c r="L1240" s="2"/>
      <c r="M1240" s="2"/>
      <c r="N1240" s="2"/>
      <c r="O1240" s="2"/>
      <c r="P1240" s="2"/>
      <c r="Q1240" s="2"/>
      <c r="R1240" s="2"/>
      <c r="S1240" s="2"/>
      <c r="T1240" s="2"/>
      <c r="U1240" s="2"/>
      <c r="V1240" s="2"/>
      <c r="W1240" s="2"/>
      <c r="X1240" s="2"/>
      <c r="Y1240" s="2"/>
      <c r="Z1240" s="2"/>
      <c r="AA1240" s="2"/>
      <c r="AB1240" s="2"/>
      <c r="AC1240" s="2"/>
    </row>
    <row r="1241" spans="7:29" x14ac:dyDescent="0.35">
      <c r="G1241" s="2"/>
      <c r="H1241" s="2"/>
      <c r="I1241" s="2"/>
      <c r="J1241" s="2"/>
      <c r="K1241" s="2"/>
      <c r="L1241" s="2"/>
      <c r="M1241" s="2"/>
      <c r="N1241" s="2"/>
      <c r="O1241" s="2"/>
      <c r="P1241" s="2"/>
      <c r="Q1241" s="2"/>
      <c r="R1241" s="2"/>
      <c r="S1241" s="2"/>
      <c r="T1241" s="2"/>
      <c r="U1241" s="2"/>
      <c r="V1241" s="2"/>
      <c r="W1241" s="2"/>
      <c r="X1241" s="2"/>
      <c r="Y1241" s="2"/>
      <c r="Z1241" s="2"/>
      <c r="AA1241" s="2"/>
      <c r="AB1241" s="2"/>
      <c r="AC1241" s="2"/>
    </row>
    <row r="1242" spans="7:29" x14ac:dyDescent="0.35">
      <c r="G1242" s="2"/>
      <c r="H1242" s="2"/>
      <c r="I1242" s="2"/>
      <c r="J1242" s="2"/>
      <c r="K1242" s="2"/>
      <c r="L1242" s="2"/>
      <c r="M1242" s="2"/>
      <c r="N1242" s="2"/>
      <c r="O1242" s="2"/>
      <c r="P1242" s="2"/>
      <c r="Q1242" s="2"/>
      <c r="R1242" s="2"/>
      <c r="S1242" s="2"/>
      <c r="T1242" s="2"/>
      <c r="U1242" s="2"/>
      <c r="V1242" s="2"/>
      <c r="W1242" s="2"/>
      <c r="X1242" s="2"/>
      <c r="Y1242" s="2"/>
      <c r="Z1242" s="2"/>
      <c r="AA1242" s="2"/>
      <c r="AB1242" s="2"/>
      <c r="AC1242" s="2"/>
    </row>
    <row r="1243" spans="7:29" x14ac:dyDescent="0.35">
      <c r="G1243" s="2"/>
      <c r="H1243" s="2"/>
      <c r="I1243" s="2"/>
      <c r="J1243" s="2"/>
      <c r="K1243" s="2"/>
      <c r="L1243" s="2"/>
      <c r="M1243" s="2"/>
      <c r="N1243" s="2"/>
      <c r="O1243" s="2"/>
      <c r="P1243" s="2"/>
      <c r="Q1243" s="2"/>
      <c r="R1243" s="2"/>
      <c r="S1243" s="2"/>
      <c r="T1243" s="2"/>
      <c r="U1243" s="2"/>
      <c r="V1243" s="2"/>
      <c r="W1243" s="2"/>
      <c r="X1243" s="2"/>
      <c r="Y1243" s="2"/>
      <c r="Z1243" s="2"/>
      <c r="AA1243" s="2"/>
      <c r="AB1243" s="2"/>
      <c r="AC1243" s="2"/>
    </row>
    <row r="1244" spans="7:29" x14ac:dyDescent="0.35">
      <c r="G1244" s="2"/>
      <c r="H1244" s="2"/>
      <c r="I1244" s="2"/>
      <c r="J1244" s="2"/>
      <c r="K1244" s="2"/>
      <c r="L1244" s="2"/>
      <c r="M1244" s="2"/>
      <c r="N1244" s="2"/>
      <c r="O1244" s="2"/>
      <c r="P1244" s="2"/>
      <c r="Q1244" s="2"/>
      <c r="R1244" s="2"/>
      <c r="S1244" s="2"/>
      <c r="T1244" s="2"/>
      <c r="U1244" s="2"/>
      <c r="V1244" s="2"/>
      <c r="W1244" s="2"/>
      <c r="X1244" s="2"/>
      <c r="Y1244" s="2"/>
      <c r="Z1244" s="2"/>
      <c r="AA1244" s="2"/>
      <c r="AB1244" s="2"/>
      <c r="AC1244" s="2"/>
    </row>
    <row r="1245" spans="7:29" x14ac:dyDescent="0.35">
      <c r="G1245" s="2"/>
      <c r="H1245" s="2"/>
      <c r="I1245" s="2"/>
      <c r="J1245" s="2"/>
      <c r="K1245" s="2"/>
      <c r="L1245" s="2"/>
      <c r="M1245" s="2"/>
      <c r="N1245" s="2"/>
      <c r="O1245" s="2"/>
      <c r="P1245" s="2"/>
      <c r="Q1245" s="2"/>
      <c r="R1245" s="2"/>
      <c r="S1245" s="2"/>
      <c r="T1245" s="2"/>
      <c r="U1245" s="2"/>
      <c r="V1245" s="2"/>
      <c r="W1245" s="2"/>
      <c r="X1245" s="2"/>
      <c r="Y1245" s="2"/>
      <c r="Z1245" s="2"/>
      <c r="AA1245" s="2"/>
      <c r="AB1245" s="2"/>
      <c r="AC1245" s="2"/>
    </row>
    <row r="1246" spans="7:29" x14ac:dyDescent="0.35">
      <c r="G1246" s="2"/>
      <c r="H1246" s="2"/>
      <c r="I1246" s="2"/>
      <c r="J1246" s="2"/>
      <c r="K1246" s="2"/>
      <c r="L1246" s="2"/>
      <c r="M1246" s="2"/>
      <c r="N1246" s="2"/>
      <c r="O1246" s="2"/>
      <c r="P1246" s="2"/>
      <c r="Q1246" s="2"/>
      <c r="R1246" s="2"/>
      <c r="S1246" s="2"/>
      <c r="T1246" s="2"/>
      <c r="U1246" s="2"/>
      <c r="V1246" s="2"/>
      <c r="W1246" s="2"/>
      <c r="X1246" s="2"/>
      <c r="Y1246" s="2"/>
      <c r="Z1246" s="2"/>
      <c r="AA1246" s="2"/>
      <c r="AB1246" s="2"/>
      <c r="AC1246" s="2"/>
    </row>
    <row r="1247" spans="7:29" x14ac:dyDescent="0.35">
      <c r="G1247" s="2"/>
      <c r="H1247" s="2"/>
      <c r="I1247" s="2"/>
      <c r="J1247" s="2"/>
      <c r="K1247" s="2"/>
      <c r="L1247" s="2"/>
      <c r="M1247" s="2"/>
      <c r="N1247" s="2"/>
      <c r="O1247" s="2"/>
      <c r="P1247" s="2"/>
      <c r="Q1247" s="2"/>
      <c r="R1247" s="2"/>
      <c r="S1247" s="2"/>
      <c r="T1247" s="2"/>
      <c r="U1247" s="2"/>
      <c r="V1247" s="2"/>
      <c r="W1247" s="2"/>
      <c r="X1247" s="2"/>
      <c r="Y1247" s="2"/>
      <c r="Z1247" s="2"/>
      <c r="AA1247" s="2"/>
      <c r="AB1247" s="2"/>
      <c r="AC1247" s="2"/>
    </row>
    <row r="1248" spans="7:29" x14ac:dyDescent="0.35">
      <c r="G1248" s="2"/>
      <c r="H1248" s="2"/>
      <c r="I1248" s="2"/>
      <c r="J1248" s="2"/>
      <c r="K1248" s="2"/>
      <c r="L1248" s="2"/>
      <c r="M1248" s="2"/>
      <c r="N1248" s="2"/>
      <c r="O1248" s="2"/>
      <c r="P1248" s="2"/>
      <c r="Q1248" s="2"/>
      <c r="R1248" s="2"/>
      <c r="S1248" s="2"/>
      <c r="T1248" s="2"/>
      <c r="U1248" s="2"/>
      <c r="V1248" s="2"/>
      <c r="W1248" s="2"/>
      <c r="X1248" s="2"/>
      <c r="Y1248" s="2"/>
      <c r="Z1248" s="2"/>
      <c r="AA1248" s="2"/>
      <c r="AB1248" s="2"/>
      <c r="AC1248" s="2"/>
    </row>
    <row r="1249" spans="7:29" x14ac:dyDescent="0.35">
      <c r="G1249" s="2"/>
      <c r="H1249" s="2"/>
      <c r="I1249" s="2"/>
      <c r="J1249" s="2"/>
      <c r="K1249" s="2"/>
      <c r="L1249" s="2"/>
      <c r="M1249" s="2"/>
      <c r="N1249" s="2"/>
      <c r="O1249" s="2"/>
      <c r="P1249" s="2"/>
      <c r="Q1249" s="2"/>
      <c r="R1249" s="2"/>
      <c r="S1249" s="2"/>
      <c r="T1249" s="2"/>
      <c r="U1249" s="2"/>
      <c r="V1249" s="2"/>
      <c r="W1249" s="2"/>
      <c r="X1249" s="2"/>
      <c r="Y1249" s="2"/>
      <c r="Z1249" s="2"/>
      <c r="AA1249" s="2"/>
      <c r="AB1249" s="2"/>
      <c r="AC1249" s="2"/>
    </row>
    <row r="1250" spans="7:29" x14ac:dyDescent="0.35">
      <c r="G1250" s="2"/>
      <c r="H1250" s="2"/>
      <c r="I1250" s="2"/>
      <c r="J1250" s="2"/>
      <c r="K1250" s="2"/>
      <c r="L1250" s="2"/>
      <c r="M1250" s="2"/>
      <c r="N1250" s="2"/>
      <c r="O1250" s="2"/>
      <c r="P1250" s="2"/>
      <c r="Q1250" s="2"/>
      <c r="R1250" s="2"/>
      <c r="S1250" s="2"/>
      <c r="T1250" s="2"/>
      <c r="U1250" s="2"/>
      <c r="V1250" s="2"/>
      <c r="W1250" s="2"/>
      <c r="X1250" s="2"/>
      <c r="Y1250" s="2"/>
      <c r="Z1250" s="2"/>
      <c r="AA1250" s="2"/>
      <c r="AB1250" s="2"/>
      <c r="AC1250" s="2"/>
    </row>
    <row r="1251" spans="7:29" x14ac:dyDescent="0.35">
      <c r="G1251" s="2"/>
      <c r="H1251" s="2"/>
      <c r="I1251" s="2"/>
      <c r="J1251" s="2"/>
      <c r="K1251" s="2"/>
      <c r="L1251" s="2"/>
      <c r="M1251" s="2"/>
      <c r="N1251" s="2"/>
      <c r="O1251" s="2"/>
      <c r="P1251" s="2"/>
      <c r="Q1251" s="2"/>
      <c r="R1251" s="2"/>
      <c r="S1251" s="2"/>
      <c r="T1251" s="2"/>
      <c r="U1251" s="2"/>
      <c r="V1251" s="2"/>
      <c r="W1251" s="2"/>
      <c r="X1251" s="2"/>
      <c r="Y1251" s="2"/>
      <c r="Z1251" s="2"/>
      <c r="AA1251" s="2"/>
      <c r="AB1251" s="2"/>
      <c r="AC1251" s="2"/>
    </row>
    <row r="1252" spans="7:29" x14ac:dyDescent="0.35">
      <c r="G1252" s="2"/>
      <c r="H1252" s="2"/>
      <c r="I1252" s="2"/>
      <c r="J1252" s="2"/>
      <c r="K1252" s="2"/>
      <c r="L1252" s="2"/>
      <c r="M1252" s="2"/>
      <c r="N1252" s="2"/>
      <c r="O1252" s="2"/>
      <c r="P1252" s="2"/>
      <c r="Q1252" s="2"/>
      <c r="R1252" s="2"/>
      <c r="S1252" s="2"/>
      <c r="T1252" s="2"/>
      <c r="U1252" s="2"/>
      <c r="V1252" s="2"/>
      <c r="W1252" s="2"/>
      <c r="X1252" s="2"/>
      <c r="Y1252" s="2"/>
      <c r="Z1252" s="2"/>
      <c r="AA1252" s="2"/>
      <c r="AB1252" s="2"/>
      <c r="AC1252" s="2"/>
    </row>
    <row r="1253" spans="7:29" x14ac:dyDescent="0.35">
      <c r="G1253" s="2"/>
      <c r="H1253" s="2"/>
      <c r="I1253" s="2"/>
      <c r="J1253" s="2"/>
      <c r="K1253" s="2"/>
      <c r="L1253" s="2"/>
      <c r="M1253" s="2"/>
      <c r="N1253" s="2"/>
      <c r="O1253" s="2"/>
      <c r="P1253" s="2"/>
      <c r="Q1253" s="2"/>
      <c r="R1253" s="2"/>
      <c r="S1253" s="2"/>
      <c r="T1253" s="2"/>
      <c r="U1253" s="2"/>
      <c r="V1253" s="2"/>
      <c r="W1253" s="2"/>
      <c r="X1253" s="2"/>
      <c r="Y1253" s="2"/>
      <c r="Z1253" s="2"/>
      <c r="AA1253" s="2"/>
      <c r="AB1253" s="2"/>
      <c r="AC1253" s="2"/>
    </row>
    <row r="1254" spans="7:29" x14ac:dyDescent="0.35">
      <c r="G1254" s="2"/>
      <c r="H1254" s="2"/>
      <c r="I1254" s="2"/>
      <c r="J1254" s="2"/>
      <c r="K1254" s="2"/>
      <c r="L1254" s="2"/>
      <c r="M1254" s="2"/>
      <c r="N1254" s="2"/>
      <c r="O1254" s="2"/>
      <c r="P1254" s="2"/>
      <c r="Q1254" s="2"/>
      <c r="R1254" s="2"/>
      <c r="S1254" s="2"/>
      <c r="T1254" s="2"/>
      <c r="U1254" s="2"/>
      <c r="V1254" s="2"/>
      <c r="W1254" s="2"/>
      <c r="X1254" s="2"/>
      <c r="Y1254" s="2"/>
      <c r="Z1254" s="2"/>
      <c r="AA1254" s="2"/>
      <c r="AB1254" s="2"/>
      <c r="AC1254" s="2"/>
    </row>
    <row r="1255" spans="7:29" x14ac:dyDescent="0.35">
      <c r="G1255" s="2"/>
      <c r="H1255" s="2"/>
      <c r="I1255" s="2"/>
      <c r="J1255" s="2"/>
      <c r="K1255" s="2"/>
      <c r="L1255" s="2"/>
      <c r="M1255" s="2"/>
      <c r="N1255" s="2"/>
      <c r="O1255" s="2"/>
      <c r="P1255" s="2"/>
      <c r="Q1255" s="2"/>
      <c r="R1255" s="2"/>
      <c r="S1255" s="2"/>
      <c r="T1255" s="2"/>
      <c r="U1255" s="2"/>
      <c r="V1255" s="2"/>
      <c r="W1255" s="2"/>
      <c r="X1255" s="2"/>
      <c r="Y1255" s="2"/>
      <c r="Z1255" s="2"/>
      <c r="AA1255" s="2"/>
      <c r="AB1255" s="2"/>
      <c r="AC1255" s="2"/>
    </row>
    <row r="1256" spans="7:29" x14ac:dyDescent="0.35">
      <c r="G1256" s="2"/>
      <c r="H1256" s="2"/>
      <c r="I1256" s="2"/>
      <c r="J1256" s="2"/>
      <c r="K1256" s="2"/>
      <c r="L1256" s="2"/>
      <c r="M1256" s="2"/>
      <c r="N1256" s="2"/>
      <c r="O1256" s="2"/>
      <c r="P1256" s="2"/>
      <c r="Q1256" s="2"/>
      <c r="R1256" s="2"/>
      <c r="S1256" s="2"/>
      <c r="T1256" s="2"/>
      <c r="U1256" s="2"/>
      <c r="V1256" s="2"/>
      <c r="W1256" s="2"/>
      <c r="X1256" s="2"/>
      <c r="Y1256" s="2"/>
      <c r="Z1256" s="2"/>
      <c r="AA1256" s="2"/>
      <c r="AB1256" s="2"/>
      <c r="AC1256" s="2"/>
    </row>
    <row r="1257" spans="7:29" x14ac:dyDescent="0.35">
      <c r="G1257" s="2"/>
      <c r="H1257" s="2"/>
      <c r="I1257" s="2"/>
      <c r="J1257" s="2"/>
      <c r="K1257" s="2"/>
      <c r="L1257" s="2"/>
      <c r="M1257" s="2"/>
      <c r="N1257" s="2"/>
      <c r="O1257" s="2"/>
      <c r="P1257" s="2"/>
      <c r="Q1257" s="2"/>
      <c r="R1257" s="2"/>
      <c r="S1257" s="2"/>
      <c r="T1257" s="2"/>
      <c r="U1257" s="2"/>
      <c r="V1257" s="2"/>
      <c r="W1257" s="2"/>
      <c r="X1257" s="2"/>
      <c r="Y1257" s="2"/>
      <c r="Z1257" s="2"/>
      <c r="AA1257" s="2"/>
      <c r="AB1257" s="2"/>
      <c r="AC1257" s="2"/>
    </row>
    <row r="1258" spans="7:29" x14ac:dyDescent="0.35">
      <c r="G1258" s="2"/>
      <c r="H1258" s="2"/>
      <c r="I1258" s="2"/>
      <c r="J1258" s="2"/>
      <c r="K1258" s="2"/>
      <c r="L1258" s="2"/>
      <c r="M1258" s="2"/>
      <c r="N1258" s="2"/>
      <c r="O1258" s="2"/>
      <c r="P1258" s="2"/>
      <c r="Q1258" s="2"/>
      <c r="R1258" s="2"/>
      <c r="S1258" s="2"/>
      <c r="T1258" s="2"/>
      <c r="U1258" s="2"/>
      <c r="V1258" s="2"/>
      <c r="W1258" s="2"/>
      <c r="X1258" s="2"/>
      <c r="Y1258" s="2"/>
      <c r="Z1258" s="2"/>
      <c r="AA1258" s="2"/>
      <c r="AB1258" s="2"/>
      <c r="AC1258" s="2"/>
    </row>
    <row r="1259" spans="7:29" x14ac:dyDescent="0.35">
      <c r="G1259" s="2"/>
      <c r="H1259" s="2"/>
      <c r="I1259" s="2"/>
      <c r="J1259" s="2"/>
      <c r="K1259" s="2"/>
      <c r="L1259" s="2"/>
      <c r="M1259" s="2"/>
      <c r="N1259" s="2"/>
      <c r="O1259" s="2"/>
      <c r="P1259" s="2"/>
      <c r="Q1259" s="2"/>
      <c r="R1259" s="2"/>
      <c r="S1259" s="2"/>
      <c r="T1259" s="2"/>
      <c r="U1259" s="2"/>
      <c r="V1259" s="2"/>
      <c r="W1259" s="2"/>
      <c r="X1259" s="2"/>
      <c r="Y1259" s="2"/>
      <c r="Z1259" s="2"/>
      <c r="AA1259" s="2"/>
      <c r="AB1259" s="2"/>
      <c r="AC1259" s="2"/>
    </row>
    <row r="1260" spans="7:29" x14ac:dyDescent="0.35">
      <c r="G1260" s="2"/>
      <c r="H1260" s="2"/>
      <c r="I1260" s="2"/>
      <c r="J1260" s="2"/>
      <c r="K1260" s="2"/>
      <c r="L1260" s="2"/>
      <c r="M1260" s="2"/>
      <c r="N1260" s="2"/>
      <c r="O1260" s="2"/>
      <c r="P1260" s="2"/>
      <c r="Q1260" s="2"/>
      <c r="R1260" s="2"/>
      <c r="S1260" s="2"/>
      <c r="T1260" s="2"/>
      <c r="U1260" s="2"/>
      <c r="V1260" s="2"/>
      <c r="W1260" s="2"/>
      <c r="X1260" s="2"/>
      <c r="Y1260" s="2"/>
      <c r="Z1260" s="2"/>
      <c r="AA1260" s="2"/>
      <c r="AB1260" s="2"/>
      <c r="AC1260" s="2"/>
    </row>
    <row r="1261" spans="7:29" x14ac:dyDescent="0.35">
      <c r="G1261" s="2"/>
      <c r="H1261" s="2"/>
      <c r="I1261" s="2"/>
      <c r="J1261" s="2"/>
      <c r="K1261" s="2"/>
      <c r="L1261" s="2"/>
      <c r="M1261" s="2"/>
      <c r="N1261" s="2"/>
      <c r="O1261" s="2"/>
      <c r="P1261" s="2"/>
      <c r="Q1261" s="2"/>
      <c r="R1261" s="2"/>
      <c r="S1261" s="2"/>
      <c r="T1261" s="2"/>
      <c r="U1261" s="2"/>
      <c r="V1261" s="2"/>
      <c r="W1261" s="2"/>
      <c r="X1261" s="2"/>
      <c r="Y1261" s="2"/>
      <c r="Z1261" s="2"/>
      <c r="AA1261" s="2"/>
      <c r="AB1261" s="2"/>
      <c r="AC1261" s="2"/>
    </row>
    <row r="1262" spans="7:29" x14ac:dyDescent="0.35">
      <c r="G1262" s="2"/>
      <c r="H1262" s="2"/>
      <c r="I1262" s="2"/>
      <c r="J1262" s="2"/>
      <c r="K1262" s="2"/>
      <c r="L1262" s="2"/>
      <c r="M1262" s="2"/>
      <c r="N1262" s="2"/>
      <c r="O1262" s="2"/>
      <c r="P1262" s="2"/>
      <c r="Q1262" s="2"/>
      <c r="R1262" s="2"/>
      <c r="S1262" s="2"/>
      <c r="T1262" s="2"/>
      <c r="U1262" s="2"/>
      <c r="V1262" s="2"/>
      <c r="W1262" s="2"/>
      <c r="X1262" s="2"/>
      <c r="Y1262" s="2"/>
      <c r="Z1262" s="2"/>
      <c r="AA1262" s="2"/>
      <c r="AB1262" s="2"/>
      <c r="AC1262" s="2"/>
    </row>
    <row r="1263" spans="7:29" x14ac:dyDescent="0.35">
      <c r="G1263" s="2"/>
      <c r="H1263" s="2"/>
      <c r="I1263" s="2"/>
      <c r="J1263" s="2"/>
      <c r="K1263" s="2"/>
      <c r="L1263" s="2"/>
      <c r="M1263" s="2"/>
      <c r="N1263" s="2"/>
      <c r="O1263" s="2"/>
      <c r="P1263" s="2"/>
      <c r="Q1263" s="2"/>
      <c r="R1263" s="2"/>
      <c r="S1263" s="2"/>
      <c r="T1263" s="2"/>
      <c r="U1263" s="2"/>
      <c r="V1263" s="2"/>
      <c r="W1263" s="2"/>
      <c r="X1263" s="2"/>
      <c r="Y1263" s="2"/>
      <c r="Z1263" s="2"/>
      <c r="AA1263" s="2"/>
      <c r="AB1263" s="2"/>
      <c r="AC1263" s="2"/>
    </row>
    <row r="1264" spans="7:29" x14ac:dyDescent="0.35">
      <c r="G1264" s="2"/>
      <c r="H1264" s="2"/>
      <c r="I1264" s="2"/>
      <c r="J1264" s="2"/>
      <c r="K1264" s="2"/>
      <c r="L1264" s="2"/>
      <c r="M1264" s="2"/>
      <c r="N1264" s="2"/>
      <c r="O1264" s="2"/>
      <c r="P1264" s="2"/>
      <c r="Q1264" s="2"/>
      <c r="R1264" s="2"/>
      <c r="S1264" s="2"/>
      <c r="T1264" s="2"/>
      <c r="U1264" s="2"/>
      <c r="V1264" s="2"/>
      <c r="W1264" s="2"/>
      <c r="X1264" s="2"/>
      <c r="Y1264" s="2"/>
      <c r="Z1264" s="2"/>
      <c r="AA1264" s="2"/>
      <c r="AB1264" s="2"/>
      <c r="AC1264" s="2"/>
    </row>
    <row r="1265" spans="7:29" x14ac:dyDescent="0.35">
      <c r="G1265" s="2"/>
      <c r="H1265" s="2"/>
      <c r="I1265" s="2"/>
      <c r="J1265" s="2"/>
      <c r="K1265" s="2"/>
      <c r="L1265" s="2"/>
      <c r="M1265" s="2"/>
      <c r="N1265" s="2"/>
      <c r="O1265" s="2"/>
      <c r="P1265" s="2"/>
      <c r="Q1265" s="2"/>
      <c r="R1265" s="2"/>
      <c r="S1265" s="2"/>
      <c r="T1265" s="2"/>
      <c r="U1265" s="2"/>
      <c r="V1265" s="2"/>
      <c r="W1265" s="2"/>
      <c r="X1265" s="2"/>
      <c r="Y1265" s="2"/>
      <c r="Z1265" s="2"/>
      <c r="AA1265" s="2"/>
      <c r="AB1265" s="2"/>
      <c r="AC1265" s="2"/>
    </row>
    <row r="1266" spans="7:29" x14ac:dyDescent="0.35">
      <c r="G1266" s="2"/>
      <c r="H1266" s="2"/>
      <c r="I1266" s="2"/>
      <c r="J1266" s="2"/>
      <c r="K1266" s="2"/>
      <c r="L1266" s="2"/>
      <c r="M1266" s="2"/>
      <c r="N1266" s="2"/>
      <c r="O1266" s="2"/>
      <c r="P1266" s="2"/>
      <c r="Q1266" s="2"/>
      <c r="R1266" s="2"/>
      <c r="S1266" s="2"/>
      <c r="T1266" s="2"/>
      <c r="U1266" s="2"/>
      <c r="V1266" s="2"/>
      <c r="W1266" s="2"/>
      <c r="X1266" s="2"/>
      <c r="Y1266" s="2"/>
      <c r="Z1266" s="2"/>
      <c r="AA1266" s="2"/>
      <c r="AB1266" s="2"/>
      <c r="AC1266" s="2"/>
    </row>
    <row r="1267" spans="7:29" x14ac:dyDescent="0.35">
      <c r="G1267" s="2"/>
      <c r="H1267" s="2"/>
      <c r="I1267" s="2"/>
      <c r="J1267" s="2"/>
      <c r="K1267" s="2"/>
      <c r="L1267" s="2"/>
      <c r="M1267" s="2"/>
      <c r="N1267" s="2"/>
      <c r="O1267" s="2"/>
      <c r="P1267" s="2"/>
      <c r="Q1267" s="2"/>
      <c r="R1267" s="2"/>
      <c r="S1267" s="2"/>
      <c r="T1267" s="2"/>
      <c r="U1267" s="2"/>
      <c r="V1267" s="2"/>
      <c r="W1267" s="2"/>
      <c r="X1267" s="2"/>
      <c r="Y1267" s="2"/>
      <c r="Z1267" s="2"/>
      <c r="AA1267" s="2"/>
      <c r="AB1267" s="2"/>
      <c r="AC1267" s="2"/>
    </row>
    <row r="1268" spans="7:29" x14ac:dyDescent="0.35">
      <c r="G1268" s="2"/>
      <c r="H1268" s="2"/>
      <c r="I1268" s="2"/>
      <c r="J1268" s="2"/>
      <c r="K1268" s="2"/>
      <c r="L1268" s="2"/>
      <c r="M1268" s="2"/>
      <c r="N1268" s="2"/>
      <c r="O1268" s="2"/>
      <c r="P1268" s="2"/>
      <c r="Q1268" s="2"/>
      <c r="R1268" s="2"/>
      <c r="S1268" s="2"/>
      <c r="T1268" s="2"/>
      <c r="U1268" s="2"/>
      <c r="V1268" s="2"/>
      <c r="W1268" s="2"/>
      <c r="X1268" s="2"/>
      <c r="Y1268" s="2"/>
      <c r="Z1268" s="2"/>
      <c r="AA1268" s="2"/>
      <c r="AB1268" s="2"/>
      <c r="AC1268" s="2"/>
    </row>
    <row r="1269" spans="7:29" x14ac:dyDescent="0.35">
      <c r="G1269" s="2"/>
      <c r="H1269" s="2"/>
      <c r="I1269" s="2"/>
      <c r="J1269" s="2"/>
      <c r="K1269" s="2"/>
      <c r="L1269" s="2"/>
      <c r="M1269" s="2"/>
      <c r="N1269" s="2"/>
      <c r="O1269" s="2"/>
      <c r="P1269" s="2"/>
      <c r="Q1269" s="2"/>
      <c r="R1269" s="2"/>
      <c r="S1269" s="2"/>
      <c r="T1269" s="2"/>
      <c r="U1269" s="2"/>
      <c r="V1269" s="2"/>
      <c r="W1269" s="2"/>
      <c r="X1269" s="2"/>
      <c r="Y1269" s="2"/>
      <c r="Z1269" s="2"/>
      <c r="AA1269" s="2"/>
      <c r="AB1269" s="2"/>
      <c r="AC1269" s="2"/>
    </row>
    <row r="1270" spans="7:29" x14ac:dyDescent="0.35">
      <c r="G1270" s="2"/>
      <c r="H1270" s="2"/>
      <c r="I1270" s="2"/>
      <c r="J1270" s="2"/>
      <c r="K1270" s="2"/>
      <c r="L1270" s="2"/>
      <c r="M1270" s="2"/>
      <c r="N1270" s="2"/>
      <c r="O1270" s="2"/>
      <c r="P1270" s="2"/>
      <c r="Q1270" s="2"/>
      <c r="R1270" s="2"/>
      <c r="S1270" s="2"/>
      <c r="T1270" s="2"/>
      <c r="U1270" s="2"/>
      <c r="V1270" s="2"/>
      <c r="W1270" s="2"/>
      <c r="X1270" s="2"/>
      <c r="Y1270" s="2"/>
      <c r="Z1270" s="2"/>
      <c r="AA1270" s="2"/>
      <c r="AB1270" s="2"/>
      <c r="AC1270" s="2"/>
    </row>
    <row r="1271" spans="7:29" x14ac:dyDescent="0.35">
      <c r="G1271" s="2"/>
      <c r="H1271" s="2"/>
      <c r="I1271" s="2"/>
      <c r="J1271" s="2"/>
      <c r="K1271" s="2"/>
      <c r="L1271" s="2"/>
      <c r="M1271" s="2"/>
      <c r="N1271" s="2"/>
      <c r="O1271" s="2"/>
      <c r="P1271" s="2"/>
      <c r="Q1271" s="2"/>
      <c r="R1271" s="2"/>
      <c r="S1271" s="2"/>
      <c r="T1271" s="2"/>
      <c r="U1271" s="2"/>
      <c r="V1271" s="2"/>
      <c r="W1271" s="2"/>
      <c r="X1271" s="2"/>
      <c r="Y1271" s="2"/>
      <c r="Z1271" s="2"/>
      <c r="AA1271" s="2"/>
      <c r="AB1271" s="2"/>
      <c r="AC1271" s="2"/>
    </row>
    <row r="1272" spans="7:29" x14ac:dyDescent="0.35">
      <c r="G1272" s="2"/>
      <c r="H1272" s="2"/>
      <c r="I1272" s="2"/>
      <c r="J1272" s="2"/>
      <c r="K1272" s="2"/>
      <c r="L1272" s="2"/>
      <c r="M1272" s="2"/>
      <c r="N1272" s="2"/>
      <c r="O1272" s="2"/>
      <c r="P1272" s="2"/>
      <c r="Q1272" s="2"/>
      <c r="R1272" s="2"/>
      <c r="S1272" s="2"/>
      <c r="T1272" s="2"/>
      <c r="U1272" s="2"/>
      <c r="V1272" s="2"/>
      <c r="W1272" s="2"/>
      <c r="X1272" s="2"/>
      <c r="Y1272" s="2"/>
      <c r="Z1272" s="2"/>
      <c r="AA1272" s="2"/>
      <c r="AB1272" s="2"/>
      <c r="AC1272" s="2"/>
    </row>
    <row r="1273" spans="7:29" x14ac:dyDescent="0.35">
      <c r="G1273" s="2"/>
      <c r="H1273" s="2"/>
      <c r="I1273" s="2"/>
      <c r="J1273" s="2"/>
      <c r="K1273" s="2"/>
      <c r="L1273" s="2"/>
      <c r="M1273" s="2"/>
      <c r="N1273" s="2"/>
      <c r="O1273" s="2"/>
      <c r="P1273" s="2"/>
      <c r="Q1273" s="2"/>
      <c r="R1273" s="2"/>
      <c r="S1273" s="2"/>
      <c r="T1273" s="2"/>
      <c r="U1273" s="2"/>
      <c r="V1273" s="2"/>
      <c r="W1273" s="2"/>
      <c r="X1273" s="2"/>
      <c r="Y1273" s="2"/>
      <c r="Z1273" s="2"/>
      <c r="AA1273" s="2"/>
      <c r="AB1273" s="2"/>
      <c r="AC1273" s="2"/>
    </row>
    <row r="1274" spans="7:29" x14ac:dyDescent="0.35">
      <c r="G1274" s="2"/>
      <c r="H1274" s="2"/>
      <c r="I1274" s="2"/>
      <c r="J1274" s="2"/>
      <c r="K1274" s="2"/>
      <c r="L1274" s="2"/>
      <c r="M1274" s="2"/>
      <c r="N1274" s="2"/>
      <c r="O1274" s="2"/>
      <c r="P1274" s="2"/>
      <c r="Q1274" s="2"/>
      <c r="R1274" s="2"/>
      <c r="S1274" s="2"/>
      <c r="T1274" s="2"/>
      <c r="U1274" s="2"/>
      <c r="V1274" s="2"/>
      <c r="W1274" s="2"/>
      <c r="X1274" s="2"/>
      <c r="Y1274" s="2"/>
      <c r="Z1274" s="2"/>
      <c r="AA1274" s="2"/>
      <c r="AB1274" s="2"/>
      <c r="AC1274" s="2"/>
    </row>
    <row r="1275" spans="7:29" x14ac:dyDescent="0.35">
      <c r="G1275" s="2"/>
      <c r="H1275" s="2"/>
      <c r="I1275" s="2"/>
      <c r="J1275" s="2"/>
      <c r="K1275" s="2"/>
      <c r="L1275" s="2"/>
      <c r="M1275" s="2"/>
      <c r="N1275" s="2"/>
      <c r="O1275" s="2"/>
      <c r="P1275" s="2"/>
      <c r="Q1275" s="2"/>
      <c r="R1275" s="2"/>
      <c r="S1275" s="2"/>
      <c r="T1275" s="2"/>
      <c r="U1275" s="2"/>
      <c r="V1275" s="2"/>
      <c r="W1275" s="2"/>
      <c r="X1275" s="2"/>
      <c r="Y1275" s="2"/>
      <c r="Z1275" s="2"/>
      <c r="AA1275" s="2"/>
      <c r="AB1275" s="2"/>
      <c r="AC1275" s="2"/>
    </row>
    <row r="1276" spans="7:29" x14ac:dyDescent="0.35">
      <c r="G1276" s="2"/>
      <c r="H1276" s="2"/>
      <c r="I1276" s="2"/>
      <c r="J1276" s="2"/>
      <c r="K1276" s="2"/>
      <c r="L1276" s="2"/>
      <c r="M1276" s="2"/>
      <c r="N1276" s="2"/>
      <c r="O1276" s="2"/>
      <c r="P1276" s="2"/>
      <c r="Q1276" s="2"/>
      <c r="R1276" s="2"/>
      <c r="S1276" s="2"/>
      <c r="T1276" s="2"/>
      <c r="U1276" s="2"/>
      <c r="V1276" s="2"/>
      <c r="W1276" s="2"/>
      <c r="X1276" s="2"/>
      <c r="Y1276" s="2"/>
      <c r="Z1276" s="2"/>
      <c r="AA1276" s="2"/>
      <c r="AB1276" s="2"/>
      <c r="AC1276" s="2"/>
    </row>
    <row r="1277" spans="7:29" x14ac:dyDescent="0.35">
      <c r="G1277" s="2"/>
      <c r="H1277" s="2"/>
      <c r="I1277" s="2"/>
      <c r="J1277" s="2"/>
      <c r="K1277" s="2"/>
      <c r="L1277" s="2"/>
      <c r="M1277" s="2"/>
      <c r="N1277" s="2"/>
      <c r="O1277" s="2"/>
      <c r="P1277" s="2"/>
      <c r="Q1277" s="2"/>
      <c r="R1277" s="2"/>
      <c r="S1277" s="2"/>
      <c r="T1277" s="2"/>
      <c r="U1277" s="2"/>
      <c r="V1277" s="2"/>
      <c r="W1277" s="2"/>
      <c r="X1277" s="2"/>
      <c r="Y1277" s="2"/>
      <c r="Z1277" s="2"/>
      <c r="AA1277" s="2"/>
      <c r="AB1277" s="2"/>
      <c r="AC1277" s="2"/>
    </row>
    <row r="1278" spans="7:29" x14ac:dyDescent="0.35">
      <c r="G1278" s="2"/>
      <c r="H1278" s="2"/>
      <c r="I1278" s="2"/>
      <c r="J1278" s="2"/>
      <c r="K1278" s="2"/>
      <c r="L1278" s="2"/>
      <c r="M1278" s="2"/>
      <c r="N1278" s="2"/>
      <c r="O1278" s="2"/>
      <c r="P1278" s="2"/>
      <c r="Q1278" s="2"/>
      <c r="R1278" s="2"/>
      <c r="S1278" s="2"/>
      <c r="T1278" s="2"/>
      <c r="U1278" s="2"/>
      <c r="V1278" s="2"/>
      <c r="W1278" s="2"/>
      <c r="X1278" s="2"/>
      <c r="Y1278" s="2"/>
      <c r="Z1278" s="2"/>
      <c r="AA1278" s="2"/>
      <c r="AB1278" s="2"/>
      <c r="AC1278" s="2"/>
    </row>
    <row r="1279" spans="7:29" x14ac:dyDescent="0.35">
      <c r="G1279" s="2"/>
      <c r="H1279" s="2"/>
      <c r="I1279" s="2"/>
      <c r="J1279" s="2"/>
      <c r="K1279" s="2"/>
      <c r="L1279" s="2"/>
      <c r="M1279" s="2"/>
      <c r="N1279" s="2"/>
      <c r="O1279" s="2"/>
      <c r="P1279" s="2"/>
      <c r="Q1279" s="2"/>
      <c r="R1279" s="2"/>
      <c r="S1279" s="2"/>
      <c r="T1279" s="2"/>
      <c r="U1279" s="2"/>
      <c r="V1279" s="2"/>
      <c r="W1279" s="2"/>
      <c r="X1279" s="2"/>
      <c r="Y1279" s="2"/>
      <c r="Z1279" s="2"/>
      <c r="AA1279" s="2"/>
      <c r="AB1279" s="2"/>
      <c r="AC1279" s="2"/>
    </row>
    <row r="1280" spans="7:29" x14ac:dyDescent="0.35">
      <c r="G1280" s="2"/>
      <c r="H1280" s="2"/>
      <c r="I1280" s="2"/>
      <c r="J1280" s="2"/>
      <c r="K1280" s="2"/>
      <c r="L1280" s="2"/>
      <c r="M1280" s="2"/>
      <c r="N1280" s="2"/>
      <c r="O1280" s="2"/>
      <c r="P1280" s="2"/>
      <c r="Q1280" s="2"/>
      <c r="R1280" s="2"/>
      <c r="S1280" s="2"/>
      <c r="T1280" s="2"/>
      <c r="U1280" s="2"/>
      <c r="V1280" s="2"/>
      <c r="W1280" s="2"/>
      <c r="X1280" s="2"/>
      <c r="Y1280" s="2"/>
      <c r="Z1280" s="2"/>
      <c r="AA1280" s="2"/>
      <c r="AB1280" s="2"/>
      <c r="AC1280" s="2"/>
    </row>
    <row r="1281" spans="7:29" x14ac:dyDescent="0.35">
      <c r="G1281" s="2"/>
      <c r="H1281" s="2"/>
      <c r="I1281" s="2"/>
      <c r="J1281" s="2"/>
      <c r="K1281" s="2"/>
      <c r="L1281" s="2"/>
      <c r="M1281" s="2"/>
      <c r="N1281" s="2"/>
      <c r="O1281" s="2"/>
      <c r="P1281" s="2"/>
      <c r="Q1281" s="2"/>
      <c r="R1281" s="2"/>
      <c r="S1281" s="2"/>
      <c r="T1281" s="2"/>
      <c r="U1281" s="2"/>
      <c r="V1281" s="2"/>
      <c r="W1281" s="2"/>
      <c r="X1281" s="2"/>
      <c r="Y1281" s="2"/>
      <c r="Z1281" s="2"/>
      <c r="AA1281" s="2"/>
      <c r="AB1281" s="2"/>
      <c r="AC1281" s="2"/>
    </row>
    <row r="1282" spans="7:29" x14ac:dyDescent="0.35">
      <c r="G1282" s="2"/>
      <c r="H1282" s="2"/>
      <c r="I1282" s="2"/>
      <c r="J1282" s="2"/>
      <c r="K1282" s="2"/>
      <c r="L1282" s="2"/>
      <c r="M1282" s="2"/>
      <c r="N1282" s="2"/>
      <c r="O1282" s="2"/>
      <c r="P1282" s="2"/>
      <c r="Q1282" s="2"/>
      <c r="R1282" s="2"/>
      <c r="S1282" s="2"/>
      <c r="T1282" s="2"/>
      <c r="U1282" s="2"/>
      <c r="V1282" s="2"/>
      <c r="W1282" s="2"/>
      <c r="X1282" s="2"/>
      <c r="Y1282" s="2"/>
      <c r="Z1282" s="2"/>
      <c r="AA1282" s="2"/>
      <c r="AB1282" s="2"/>
      <c r="AC1282" s="2"/>
    </row>
    <row r="1283" spans="7:29" x14ac:dyDescent="0.35">
      <c r="G1283" s="2"/>
      <c r="H1283" s="2"/>
      <c r="I1283" s="2"/>
      <c r="J1283" s="2"/>
      <c r="K1283" s="2"/>
      <c r="L1283" s="2"/>
      <c r="M1283" s="2"/>
      <c r="N1283" s="2"/>
      <c r="O1283" s="2"/>
      <c r="P1283" s="2"/>
      <c r="Q1283" s="2"/>
      <c r="R1283" s="2"/>
      <c r="S1283" s="2"/>
      <c r="T1283" s="2"/>
      <c r="U1283" s="2"/>
      <c r="V1283" s="2"/>
      <c r="W1283" s="2"/>
      <c r="X1283" s="2"/>
      <c r="Y1283" s="2"/>
      <c r="Z1283" s="2"/>
      <c r="AA1283" s="2"/>
      <c r="AB1283" s="2"/>
      <c r="AC1283" s="2"/>
    </row>
    <row r="1284" spans="7:29" x14ac:dyDescent="0.35">
      <c r="G1284" s="2"/>
      <c r="H1284" s="2"/>
      <c r="I1284" s="2"/>
      <c r="J1284" s="2"/>
      <c r="K1284" s="2"/>
      <c r="L1284" s="2"/>
      <c r="M1284" s="2"/>
      <c r="N1284" s="2"/>
      <c r="O1284" s="2"/>
      <c r="P1284" s="2"/>
      <c r="Q1284" s="2"/>
      <c r="R1284" s="2"/>
      <c r="S1284" s="2"/>
      <c r="T1284" s="2"/>
      <c r="U1284" s="2"/>
      <c r="V1284" s="2"/>
      <c r="W1284" s="2"/>
      <c r="X1284" s="2"/>
      <c r="Y1284" s="2"/>
      <c r="Z1284" s="2"/>
      <c r="AA1284" s="2"/>
      <c r="AB1284" s="2"/>
      <c r="AC1284" s="2"/>
    </row>
    <row r="1285" spans="7:29" x14ac:dyDescent="0.35">
      <c r="G1285" s="2"/>
      <c r="H1285" s="2"/>
      <c r="I1285" s="2"/>
      <c r="J1285" s="2"/>
      <c r="K1285" s="2"/>
      <c r="L1285" s="2"/>
      <c r="M1285" s="2"/>
      <c r="N1285" s="2"/>
      <c r="O1285" s="2"/>
      <c r="P1285" s="2"/>
      <c r="Q1285" s="2"/>
      <c r="R1285" s="2"/>
      <c r="S1285" s="2"/>
      <c r="T1285" s="2"/>
      <c r="U1285" s="2"/>
      <c r="V1285" s="2"/>
      <c r="W1285" s="2"/>
      <c r="X1285" s="2"/>
      <c r="Y1285" s="2"/>
      <c r="Z1285" s="2"/>
      <c r="AA1285" s="2"/>
      <c r="AB1285" s="2"/>
      <c r="AC1285" s="2"/>
    </row>
    <row r="1286" spans="7:29" x14ac:dyDescent="0.35">
      <c r="G1286" s="2"/>
      <c r="H1286" s="2"/>
      <c r="I1286" s="2"/>
      <c r="J1286" s="2"/>
      <c r="K1286" s="2"/>
      <c r="L1286" s="2"/>
      <c r="M1286" s="2"/>
      <c r="N1286" s="2"/>
      <c r="O1286" s="2"/>
      <c r="P1286" s="2"/>
      <c r="Q1286" s="2"/>
      <c r="R1286" s="2"/>
      <c r="S1286" s="2"/>
      <c r="T1286" s="2"/>
      <c r="U1286" s="2"/>
      <c r="V1286" s="2"/>
      <c r="W1286" s="2"/>
      <c r="X1286" s="2"/>
      <c r="Y1286" s="2"/>
      <c r="Z1286" s="2"/>
      <c r="AA1286" s="2"/>
      <c r="AB1286" s="2"/>
      <c r="AC1286" s="2"/>
    </row>
    <row r="1287" spans="7:29" x14ac:dyDescent="0.35">
      <c r="G1287" s="2"/>
      <c r="H1287" s="2"/>
      <c r="I1287" s="2"/>
      <c r="J1287" s="2"/>
      <c r="K1287" s="2"/>
      <c r="L1287" s="2"/>
      <c r="M1287" s="2"/>
      <c r="N1287" s="2"/>
      <c r="O1287" s="2"/>
      <c r="P1287" s="2"/>
      <c r="Q1287" s="2"/>
      <c r="R1287" s="2"/>
      <c r="S1287" s="2"/>
      <c r="T1287" s="2"/>
      <c r="U1287" s="2"/>
      <c r="V1287" s="2"/>
      <c r="W1287" s="2"/>
      <c r="X1287" s="2"/>
      <c r="Y1287" s="2"/>
      <c r="Z1287" s="2"/>
      <c r="AA1287" s="2"/>
      <c r="AB1287" s="2"/>
      <c r="AC1287" s="2"/>
    </row>
    <row r="1288" spans="7:29" x14ac:dyDescent="0.35">
      <c r="G1288" s="2"/>
      <c r="H1288" s="2"/>
      <c r="I1288" s="2"/>
      <c r="J1288" s="2"/>
      <c r="K1288" s="2"/>
      <c r="L1288" s="2"/>
      <c r="M1288" s="2"/>
      <c r="N1288" s="2"/>
      <c r="O1288" s="2"/>
      <c r="P1288" s="2"/>
      <c r="Q1288" s="2"/>
      <c r="R1288" s="2"/>
      <c r="S1288" s="2"/>
      <c r="T1288" s="2"/>
      <c r="U1288" s="2"/>
      <c r="V1288" s="2"/>
      <c r="W1288" s="2"/>
      <c r="X1288" s="2"/>
      <c r="Y1288" s="2"/>
      <c r="Z1288" s="2"/>
      <c r="AA1288" s="2"/>
      <c r="AB1288" s="2"/>
      <c r="AC1288" s="2"/>
    </row>
    <row r="1289" spans="7:29" x14ac:dyDescent="0.35">
      <c r="G1289" s="2"/>
      <c r="H1289" s="2"/>
      <c r="I1289" s="2"/>
      <c r="J1289" s="2"/>
      <c r="K1289" s="2"/>
      <c r="L1289" s="2"/>
      <c r="M1289" s="2"/>
      <c r="N1289" s="2"/>
      <c r="O1289" s="2"/>
      <c r="P1289" s="2"/>
      <c r="Q1289" s="2"/>
      <c r="R1289" s="2"/>
      <c r="S1289" s="2"/>
      <c r="T1289" s="2"/>
      <c r="U1289" s="2"/>
      <c r="V1289" s="2"/>
      <c r="W1289" s="2"/>
      <c r="X1289" s="2"/>
      <c r="Y1289" s="2"/>
      <c r="Z1289" s="2"/>
      <c r="AA1289" s="2"/>
      <c r="AB1289" s="2"/>
      <c r="AC1289" s="2"/>
    </row>
    <row r="1290" spans="7:29" x14ac:dyDescent="0.35">
      <c r="G1290" s="2"/>
      <c r="H1290" s="2"/>
      <c r="I1290" s="2"/>
      <c r="J1290" s="2"/>
      <c r="K1290" s="2"/>
      <c r="L1290" s="2"/>
      <c r="M1290" s="2"/>
      <c r="N1290" s="2"/>
      <c r="O1290" s="2"/>
      <c r="P1290" s="2"/>
      <c r="Q1290" s="2"/>
      <c r="R1290" s="2"/>
      <c r="S1290" s="2"/>
      <c r="T1290" s="2"/>
      <c r="U1290" s="2"/>
      <c r="V1290" s="2"/>
      <c r="W1290" s="2"/>
      <c r="X1290" s="2"/>
      <c r="Y1290" s="2"/>
      <c r="Z1290" s="2"/>
      <c r="AA1290" s="2"/>
      <c r="AB1290" s="2"/>
      <c r="AC1290" s="2"/>
    </row>
    <row r="1291" spans="7:29" x14ac:dyDescent="0.35">
      <c r="G1291" s="2"/>
      <c r="H1291" s="2"/>
      <c r="I1291" s="2"/>
      <c r="J1291" s="2"/>
      <c r="K1291" s="2"/>
      <c r="L1291" s="2"/>
      <c r="M1291" s="2"/>
      <c r="N1291" s="2"/>
      <c r="O1291" s="2"/>
      <c r="P1291" s="2"/>
      <c r="Q1291" s="2"/>
      <c r="R1291" s="2"/>
      <c r="S1291" s="2"/>
      <c r="T1291" s="2"/>
      <c r="U1291" s="2"/>
      <c r="V1291" s="2"/>
      <c r="W1291" s="2"/>
      <c r="X1291" s="2"/>
      <c r="Y1291" s="2"/>
      <c r="Z1291" s="2"/>
      <c r="AA1291" s="2"/>
      <c r="AB1291" s="2"/>
      <c r="AC1291" s="2"/>
    </row>
    <row r="1292" spans="7:29" x14ac:dyDescent="0.35">
      <c r="G1292" s="2"/>
      <c r="H1292" s="2"/>
      <c r="I1292" s="2"/>
      <c r="J1292" s="2"/>
      <c r="K1292" s="2"/>
      <c r="L1292" s="2"/>
      <c r="M1292" s="2"/>
      <c r="N1292" s="2"/>
      <c r="O1292" s="2"/>
      <c r="P1292" s="2"/>
      <c r="Q1292" s="2"/>
      <c r="R1292" s="2"/>
      <c r="S1292" s="2"/>
      <c r="T1292" s="2"/>
      <c r="U1292" s="2"/>
      <c r="V1292" s="2"/>
      <c r="W1292" s="2"/>
      <c r="X1292" s="2"/>
      <c r="Y1292" s="2"/>
      <c r="Z1292" s="2"/>
      <c r="AA1292" s="2"/>
      <c r="AB1292" s="2"/>
      <c r="AC1292" s="2"/>
    </row>
    <row r="1293" spans="7:29" x14ac:dyDescent="0.35">
      <c r="G1293" s="2"/>
      <c r="H1293" s="2"/>
      <c r="I1293" s="2"/>
      <c r="J1293" s="2"/>
      <c r="K1293" s="2"/>
      <c r="L1293" s="2"/>
      <c r="M1293" s="2"/>
      <c r="N1293" s="2"/>
      <c r="O1293" s="2"/>
      <c r="P1293" s="2"/>
      <c r="Q1293" s="2"/>
      <c r="R1293" s="2"/>
      <c r="S1293" s="2"/>
      <c r="T1293" s="2"/>
      <c r="U1293" s="2"/>
      <c r="V1293" s="2"/>
      <c r="W1293" s="2"/>
      <c r="X1293" s="2"/>
      <c r="Y1293" s="2"/>
      <c r="Z1293" s="2"/>
      <c r="AA1293" s="2"/>
      <c r="AB1293" s="2"/>
      <c r="AC1293" s="2"/>
    </row>
    <row r="1294" spans="7:29" x14ac:dyDescent="0.35">
      <c r="G1294" s="2"/>
      <c r="H1294" s="2"/>
      <c r="I1294" s="2"/>
      <c r="J1294" s="2"/>
      <c r="K1294" s="2"/>
      <c r="L1294" s="2"/>
      <c r="M1294" s="2"/>
      <c r="N1294" s="2"/>
      <c r="O1294" s="2"/>
      <c r="P1294" s="2"/>
      <c r="Q1294" s="2"/>
      <c r="R1294" s="2"/>
      <c r="S1294" s="2"/>
      <c r="T1294" s="2"/>
      <c r="U1294" s="2"/>
      <c r="V1294" s="2"/>
      <c r="W1294" s="2"/>
      <c r="X1294" s="2"/>
      <c r="Y1294" s="2"/>
      <c r="Z1294" s="2"/>
      <c r="AA1294" s="2"/>
      <c r="AB1294" s="2"/>
      <c r="AC1294" s="2"/>
    </row>
    <row r="1295" spans="7:29" x14ac:dyDescent="0.35">
      <c r="G1295" s="2"/>
      <c r="H1295" s="2"/>
      <c r="I1295" s="2"/>
      <c r="J1295" s="2"/>
      <c r="K1295" s="2"/>
      <c r="L1295" s="2"/>
      <c r="M1295" s="2"/>
      <c r="N1295" s="2"/>
      <c r="O1295" s="2"/>
      <c r="P1295" s="2"/>
      <c r="Q1295" s="2"/>
      <c r="R1295" s="2"/>
      <c r="S1295" s="2"/>
      <c r="T1295" s="2"/>
      <c r="U1295" s="2"/>
      <c r="V1295" s="2"/>
      <c r="W1295" s="2"/>
      <c r="X1295" s="2"/>
      <c r="Y1295" s="2"/>
      <c r="Z1295" s="2"/>
      <c r="AA1295" s="2"/>
      <c r="AB1295" s="2"/>
      <c r="AC1295" s="2"/>
    </row>
    <row r="1296" spans="7:29" x14ac:dyDescent="0.35">
      <c r="G1296" s="2"/>
      <c r="H1296" s="2"/>
      <c r="I1296" s="2"/>
      <c r="J1296" s="2"/>
      <c r="K1296" s="2"/>
      <c r="L1296" s="2"/>
      <c r="M1296" s="2"/>
      <c r="N1296" s="2"/>
      <c r="O1296" s="2"/>
      <c r="P1296" s="2"/>
      <c r="Q1296" s="2"/>
      <c r="R1296" s="2"/>
      <c r="S1296" s="2"/>
      <c r="T1296" s="2"/>
      <c r="U1296" s="2"/>
      <c r="V1296" s="2"/>
      <c r="W1296" s="2"/>
      <c r="X1296" s="2"/>
      <c r="Y1296" s="2"/>
      <c r="Z1296" s="2"/>
      <c r="AA1296" s="2"/>
      <c r="AB1296" s="2"/>
      <c r="AC1296" s="2"/>
    </row>
    <row r="1297" spans="7:29" x14ac:dyDescent="0.35">
      <c r="G1297" s="2"/>
      <c r="H1297" s="2"/>
      <c r="I1297" s="2"/>
      <c r="J1297" s="2"/>
      <c r="K1297" s="2"/>
      <c r="L1297" s="2"/>
      <c r="M1297" s="2"/>
      <c r="N1297" s="2"/>
      <c r="O1297" s="2"/>
      <c r="P1297" s="2"/>
      <c r="Q1297" s="2"/>
      <c r="R1297" s="2"/>
      <c r="S1297" s="2"/>
      <c r="T1297" s="2"/>
      <c r="U1297" s="2"/>
      <c r="V1297" s="2"/>
      <c r="W1297" s="2"/>
      <c r="X1297" s="2"/>
      <c r="Y1297" s="2"/>
      <c r="Z1297" s="2"/>
      <c r="AA1297" s="2"/>
      <c r="AB1297" s="2"/>
      <c r="AC1297" s="2"/>
    </row>
    <row r="1298" spans="7:29" x14ac:dyDescent="0.35">
      <c r="G1298" s="2"/>
      <c r="H1298" s="2"/>
      <c r="I1298" s="2"/>
      <c r="J1298" s="2"/>
      <c r="K1298" s="2"/>
      <c r="L1298" s="2"/>
      <c r="M1298" s="2"/>
      <c r="N1298" s="2"/>
      <c r="O1298" s="2"/>
      <c r="P1298" s="2"/>
      <c r="Q1298" s="2"/>
      <c r="R1298" s="2"/>
      <c r="S1298" s="2"/>
      <c r="T1298" s="2"/>
      <c r="U1298" s="2"/>
      <c r="V1298" s="2"/>
      <c r="W1298" s="2"/>
      <c r="X1298" s="2"/>
      <c r="Y1298" s="2"/>
      <c r="Z1298" s="2"/>
      <c r="AA1298" s="2"/>
      <c r="AB1298" s="2"/>
      <c r="AC1298" s="2"/>
    </row>
    <row r="1299" spans="7:29" x14ac:dyDescent="0.35">
      <c r="G1299" s="2"/>
      <c r="H1299" s="2"/>
      <c r="I1299" s="2"/>
      <c r="J1299" s="2"/>
      <c r="K1299" s="2"/>
      <c r="L1299" s="2"/>
      <c r="M1299" s="2"/>
      <c r="N1299" s="2"/>
      <c r="O1299" s="2"/>
      <c r="P1299" s="2"/>
      <c r="Q1299" s="2"/>
      <c r="R1299" s="2"/>
      <c r="S1299" s="2"/>
      <c r="T1299" s="2"/>
      <c r="U1299" s="2"/>
      <c r="V1299" s="2"/>
      <c r="W1299" s="2"/>
      <c r="X1299" s="2"/>
      <c r="Y1299" s="2"/>
      <c r="Z1299" s="2"/>
      <c r="AA1299" s="2"/>
      <c r="AB1299" s="2"/>
      <c r="AC1299" s="2"/>
    </row>
    <row r="1300" spans="7:29" x14ac:dyDescent="0.35">
      <c r="G1300" s="2"/>
      <c r="H1300" s="2"/>
      <c r="I1300" s="2"/>
      <c r="J1300" s="2"/>
      <c r="K1300" s="2"/>
      <c r="L1300" s="2"/>
      <c r="M1300" s="2"/>
      <c r="N1300" s="2"/>
      <c r="O1300" s="2"/>
      <c r="P1300" s="2"/>
      <c r="Q1300" s="2"/>
      <c r="R1300" s="2"/>
      <c r="S1300" s="2"/>
      <c r="T1300" s="2"/>
      <c r="U1300" s="2"/>
      <c r="V1300" s="2"/>
      <c r="W1300" s="2"/>
      <c r="X1300" s="2"/>
      <c r="Y1300" s="2"/>
      <c r="Z1300" s="2"/>
      <c r="AA1300" s="2"/>
      <c r="AB1300" s="2"/>
      <c r="AC1300" s="2"/>
    </row>
    <row r="1301" spans="7:29" x14ac:dyDescent="0.35">
      <c r="G1301" s="2"/>
      <c r="H1301" s="2"/>
      <c r="I1301" s="2"/>
      <c r="J1301" s="2"/>
      <c r="K1301" s="2"/>
      <c r="L1301" s="2"/>
      <c r="M1301" s="2"/>
      <c r="N1301" s="2"/>
      <c r="O1301" s="2"/>
      <c r="P1301" s="2"/>
      <c r="Q1301" s="2"/>
      <c r="R1301" s="2"/>
      <c r="S1301" s="2"/>
      <c r="T1301" s="2"/>
      <c r="U1301" s="2"/>
      <c r="V1301" s="2"/>
      <c r="W1301" s="2"/>
      <c r="X1301" s="2"/>
      <c r="Y1301" s="2"/>
      <c r="Z1301" s="2"/>
      <c r="AA1301" s="2"/>
      <c r="AB1301" s="2"/>
      <c r="AC1301" s="2"/>
    </row>
    <row r="1302" spans="7:29" x14ac:dyDescent="0.35">
      <c r="G1302" s="2"/>
      <c r="H1302" s="2"/>
      <c r="I1302" s="2"/>
      <c r="J1302" s="2"/>
      <c r="K1302" s="2"/>
      <c r="L1302" s="2"/>
      <c r="M1302" s="2"/>
      <c r="N1302" s="2"/>
      <c r="O1302" s="2"/>
      <c r="P1302" s="2"/>
      <c r="Q1302" s="2"/>
      <c r="R1302" s="2"/>
      <c r="S1302" s="2"/>
      <c r="T1302" s="2"/>
      <c r="U1302" s="2"/>
      <c r="V1302" s="2"/>
      <c r="W1302" s="2"/>
      <c r="X1302" s="2"/>
      <c r="Y1302" s="2"/>
      <c r="Z1302" s="2"/>
      <c r="AA1302" s="2"/>
      <c r="AB1302" s="2"/>
      <c r="AC1302" s="2"/>
    </row>
    <row r="1303" spans="7:29" x14ac:dyDescent="0.35">
      <c r="G1303" s="2"/>
      <c r="H1303" s="2"/>
      <c r="I1303" s="2"/>
      <c r="J1303" s="2"/>
      <c r="K1303" s="2"/>
      <c r="L1303" s="2"/>
      <c r="M1303" s="2"/>
      <c r="N1303" s="2"/>
      <c r="O1303" s="2"/>
      <c r="P1303" s="2"/>
      <c r="Q1303" s="2"/>
      <c r="R1303" s="2"/>
      <c r="S1303" s="2"/>
      <c r="T1303" s="2"/>
      <c r="U1303" s="2"/>
      <c r="V1303" s="2"/>
      <c r="W1303" s="2"/>
      <c r="X1303" s="2"/>
      <c r="Y1303" s="2"/>
      <c r="Z1303" s="2"/>
      <c r="AA1303" s="2"/>
      <c r="AB1303" s="2"/>
      <c r="AC1303" s="2"/>
    </row>
    <row r="1304" spans="7:29" x14ac:dyDescent="0.35">
      <c r="G1304" s="2"/>
      <c r="H1304" s="2"/>
      <c r="I1304" s="2"/>
      <c r="J1304" s="2"/>
      <c r="K1304" s="2"/>
      <c r="L1304" s="2"/>
      <c r="M1304" s="2"/>
      <c r="N1304" s="2"/>
      <c r="O1304" s="2"/>
      <c r="P1304" s="2"/>
      <c r="Q1304" s="2"/>
      <c r="R1304" s="2"/>
      <c r="S1304" s="2"/>
      <c r="T1304" s="2"/>
      <c r="U1304" s="2"/>
      <c r="V1304" s="2"/>
      <c r="W1304" s="2"/>
      <c r="X1304" s="2"/>
      <c r="Y1304" s="2"/>
      <c r="Z1304" s="2"/>
      <c r="AA1304" s="2"/>
      <c r="AB1304" s="2"/>
      <c r="AC1304" s="2"/>
    </row>
    <row r="1305" spans="7:29" x14ac:dyDescent="0.35">
      <c r="G1305" s="2"/>
      <c r="H1305" s="2"/>
      <c r="I1305" s="2"/>
      <c r="J1305" s="2"/>
      <c r="K1305" s="2"/>
      <c r="L1305" s="2"/>
      <c r="M1305" s="2"/>
      <c r="N1305" s="2"/>
      <c r="O1305" s="2"/>
      <c r="P1305" s="2"/>
      <c r="Q1305" s="2"/>
      <c r="R1305" s="2"/>
      <c r="S1305" s="2"/>
      <c r="T1305" s="2"/>
      <c r="U1305" s="2"/>
      <c r="V1305" s="2"/>
      <c r="W1305" s="2"/>
      <c r="X1305" s="2"/>
      <c r="Y1305" s="2"/>
      <c r="Z1305" s="2"/>
      <c r="AA1305" s="2"/>
      <c r="AB1305" s="2"/>
      <c r="AC1305" s="2"/>
    </row>
    <row r="1306" spans="7:29" x14ac:dyDescent="0.35">
      <c r="G1306" s="2"/>
      <c r="H1306" s="2"/>
      <c r="I1306" s="2"/>
      <c r="J1306" s="2"/>
      <c r="K1306" s="2"/>
      <c r="L1306" s="2"/>
      <c r="M1306" s="2"/>
      <c r="N1306" s="2"/>
      <c r="O1306" s="2"/>
      <c r="P1306" s="2"/>
      <c r="Q1306" s="2"/>
      <c r="R1306" s="2"/>
      <c r="S1306" s="2"/>
      <c r="T1306" s="2"/>
      <c r="U1306" s="2"/>
      <c r="V1306" s="2"/>
      <c r="W1306" s="2"/>
      <c r="X1306" s="2"/>
      <c r="Y1306" s="2"/>
      <c r="Z1306" s="2"/>
      <c r="AA1306" s="2"/>
      <c r="AB1306" s="2"/>
      <c r="AC1306" s="2"/>
    </row>
    <row r="1307" spans="7:29" x14ac:dyDescent="0.35">
      <c r="G1307" s="2"/>
      <c r="H1307" s="2"/>
      <c r="I1307" s="2"/>
      <c r="J1307" s="2"/>
      <c r="K1307" s="2"/>
      <c r="L1307" s="2"/>
      <c r="M1307" s="2"/>
      <c r="N1307" s="2"/>
      <c r="O1307" s="2"/>
      <c r="P1307" s="2"/>
      <c r="Q1307" s="2"/>
      <c r="R1307" s="2"/>
      <c r="S1307" s="2"/>
      <c r="T1307" s="2"/>
      <c r="U1307" s="2"/>
      <c r="V1307" s="2"/>
      <c r="W1307" s="2"/>
      <c r="X1307" s="2"/>
      <c r="Y1307" s="2"/>
      <c r="Z1307" s="2"/>
      <c r="AA1307" s="2"/>
      <c r="AB1307" s="2"/>
      <c r="AC1307" s="2"/>
    </row>
    <row r="1308" spans="7:29" x14ac:dyDescent="0.35">
      <c r="G1308" s="2"/>
      <c r="H1308" s="2"/>
      <c r="I1308" s="2"/>
      <c r="J1308" s="2"/>
      <c r="K1308" s="2"/>
      <c r="L1308" s="2"/>
      <c r="M1308" s="2"/>
      <c r="N1308" s="2"/>
      <c r="O1308" s="2"/>
      <c r="P1308" s="2"/>
      <c r="Q1308" s="2"/>
      <c r="R1308" s="2"/>
      <c r="S1308" s="2"/>
      <c r="T1308" s="2"/>
      <c r="U1308" s="2"/>
      <c r="V1308" s="2"/>
      <c r="W1308" s="2"/>
      <c r="X1308" s="2"/>
      <c r="Y1308" s="2"/>
      <c r="Z1308" s="2"/>
      <c r="AA1308" s="2"/>
      <c r="AB1308" s="2"/>
      <c r="AC1308" s="2"/>
    </row>
    <row r="1309" spans="7:29" x14ac:dyDescent="0.35">
      <c r="G1309" s="2"/>
      <c r="H1309" s="2"/>
      <c r="I1309" s="2"/>
      <c r="J1309" s="2"/>
      <c r="K1309" s="2"/>
      <c r="L1309" s="2"/>
      <c r="M1309" s="2"/>
      <c r="N1309" s="2"/>
      <c r="O1309" s="2"/>
      <c r="P1309" s="2"/>
      <c r="Q1309" s="2"/>
      <c r="R1309" s="2"/>
      <c r="S1309" s="2"/>
      <c r="T1309" s="2"/>
      <c r="U1309" s="2"/>
      <c r="V1309" s="2"/>
      <c r="W1309" s="2"/>
      <c r="X1309" s="2"/>
      <c r="Y1309" s="2"/>
      <c r="Z1309" s="2"/>
      <c r="AA1309" s="2"/>
      <c r="AB1309" s="2"/>
      <c r="AC1309" s="2"/>
    </row>
    <row r="1310" spans="7:29" x14ac:dyDescent="0.35">
      <c r="G1310" s="2"/>
      <c r="H1310" s="2"/>
      <c r="I1310" s="2"/>
      <c r="J1310" s="2"/>
      <c r="K1310" s="2"/>
      <c r="L1310" s="2"/>
      <c r="M1310" s="2"/>
      <c r="N1310" s="2"/>
      <c r="O1310" s="2"/>
      <c r="P1310" s="2"/>
      <c r="Q1310" s="2"/>
      <c r="R1310" s="2"/>
      <c r="S1310" s="2"/>
      <c r="T1310" s="2"/>
      <c r="U1310" s="2"/>
      <c r="V1310" s="2"/>
      <c r="W1310" s="2"/>
      <c r="X1310" s="2"/>
      <c r="Y1310" s="2"/>
      <c r="Z1310" s="2"/>
      <c r="AA1310" s="2"/>
      <c r="AB1310" s="2"/>
      <c r="AC1310" s="2"/>
    </row>
    <row r="1311" spans="7:29" x14ac:dyDescent="0.35">
      <c r="G1311" s="2"/>
      <c r="H1311" s="2"/>
      <c r="I1311" s="2"/>
      <c r="J1311" s="2"/>
      <c r="K1311" s="2"/>
      <c r="L1311" s="2"/>
      <c r="M1311" s="2"/>
      <c r="N1311" s="2"/>
      <c r="O1311" s="2"/>
      <c r="P1311" s="2"/>
      <c r="Q1311" s="2"/>
      <c r="R1311" s="2"/>
      <c r="S1311" s="2"/>
      <c r="T1311" s="2"/>
      <c r="U1311" s="2"/>
      <c r="V1311" s="2"/>
      <c r="W1311" s="2"/>
      <c r="X1311" s="2"/>
      <c r="Y1311" s="2"/>
      <c r="Z1311" s="2"/>
      <c r="AA1311" s="2"/>
      <c r="AB1311" s="2"/>
      <c r="AC1311" s="2"/>
    </row>
    <row r="1312" spans="7:29" x14ac:dyDescent="0.35">
      <c r="G1312" s="2"/>
      <c r="H1312" s="2"/>
      <c r="I1312" s="2"/>
      <c r="J1312" s="2"/>
      <c r="K1312" s="2"/>
      <c r="L1312" s="2"/>
      <c r="M1312" s="2"/>
      <c r="N1312" s="2"/>
      <c r="O1312" s="2"/>
      <c r="P1312" s="2"/>
      <c r="Q1312" s="2"/>
      <c r="R1312" s="2"/>
      <c r="S1312" s="2"/>
      <c r="T1312" s="2"/>
      <c r="U1312" s="2"/>
      <c r="V1312" s="2"/>
      <c r="W1312" s="2"/>
      <c r="X1312" s="2"/>
      <c r="Y1312" s="2"/>
      <c r="Z1312" s="2"/>
      <c r="AA1312" s="2"/>
      <c r="AB1312" s="2"/>
      <c r="AC1312" s="2"/>
    </row>
    <row r="1313" spans="7:29" x14ac:dyDescent="0.35">
      <c r="G1313" s="2"/>
      <c r="H1313" s="2"/>
      <c r="I1313" s="2"/>
      <c r="J1313" s="2"/>
      <c r="K1313" s="2"/>
      <c r="L1313" s="2"/>
      <c r="M1313" s="2"/>
      <c r="N1313" s="2"/>
      <c r="O1313" s="2"/>
      <c r="P1313" s="2"/>
      <c r="Q1313" s="2"/>
      <c r="R1313" s="2"/>
      <c r="S1313" s="2"/>
      <c r="T1313" s="2"/>
      <c r="U1313" s="2"/>
      <c r="V1313" s="2"/>
      <c r="W1313" s="2"/>
      <c r="X1313" s="2"/>
      <c r="Y1313" s="2"/>
      <c r="Z1313" s="2"/>
      <c r="AA1313" s="2"/>
      <c r="AB1313" s="2"/>
      <c r="AC1313" s="2"/>
    </row>
    <row r="1314" spans="7:29" x14ac:dyDescent="0.35">
      <c r="G1314" s="2"/>
      <c r="H1314" s="2"/>
      <c r="I1314" s="2"/>
      <c r="J1314" s="2"/>
      <c r="K1314" s="2"/>
      <c r="L1314" s="2"/>
      <c r="M1314" s="2"/>
      <c r="N1314" s="2"/>
      <c r="O1314" s="2"/>
      <c r="P1314" s="2"/>
      <c r="Q1314" s="2"/>
      <c r="R1314" s="2"/>
      <c r="S1314" s="2"/>
      <c r="T1314" s="2"/>
      <c r="U1314" s="2"/>
      <c r="V1314" s="2"/>
      <c r="W1314" s="2"/>
      <c r="X1314" s="2"/>
      <c r="Y1314" s="2"/>
      <c r="Z1314" s="2"/>
      <c r="AA1314" s="2"/>
      <c r="AB1314" s="2"/>
      <c r="AC1314" s="2"/>
    </row>
    <row r="1315" spans="7:29" x14ac:dyDescent="0.35">
      <c r="G1315" s="2"/>
      <c r="H1315" s="2"/>
      <c r="I1315" s="2"/>
      <c r="J1315" s="2"/>
      <c r="K1315" s="2"/>
      <c r="L1315" s="2"/>
      <c r="M1315" s="2"/>
      <c r="N1315" s="2"/>
      <c r="O1315" s="2"/>
      <c r="P1315" s="2"/>
      <c r="Q1315" s="2"/>
      <c r="R1315" s="2"/>
      <c r="S1315" s="2"/>
      <c r="T1315" s="2"/>
      <c r="U1315" s="2"/>
      <c r="V1315" s="2"/>
      <c r="W1315" s="2"/>
      <c r="X1315" s="2"/>
      <c r="Y1315" s="2"/>
      <c r="Z1315" s="2"/>
      <c r="AA1315" s="2"/>
      <c r="AB1315" s="2"/>
      <c r="AC1315" s="2"/>
    </row>
    <row r="1316" spans="7:29" x14ac:dyDescent="0.35">
      <c r="G1316" s="2"/>
      <c r="H1316" s="2"/>
      <c r="I1316" s="2"/>
      <c r="J1316" s="2"/>
      <c r="K1316" s="2"/>
      <c r="L1316" s="2"/>
      <c r="M1316" s="2"/>
      <c r="N1316" s="2"/>
      <c r="O1316" s="2"/>
      <c r="P1316" s="2"/>
      <c r="Q1316" s="2"/>
      <c r="R1316" s="2"/>
      <c r="S1316" s="2"/>
      <c r="T1316" s="2"/>
      <c r="U1316" s="2"/>
      <c r="V1316" s="2"/>
      <c r="W1316" s="2"/>
      <c r="X1316" s="2"/>
      <c r="Y1316" s="2"/>
      <c r="Z1316" s="2"/>
      <c r="AA1316" s="2"/>
      <c r="AB1316" s="2"/>
      <c r="AC1316" s="2"/>
    </row>
    <row r="1317" spans="7:29" x14ac:dyDescent="0.35">
      <c r="G1317" s="2"/>
      <c r="H1317" s="2"/>
      <c r="I1317" s="2"/>
      <c r="J1317" s="2"/>
      <c r="K1317" s="2"/>
      <c r="L1317" s="2"/>
      <c r="M1317" s="2"/>
      <c r="N1317" s="2"/>
      <c r="O1317" s="2"/>
      <c r="P1317" s="2"/>
      <c r="Q1317" s="2"/>
      <c r="R1317" s="2"/>
      <c r="S1317" s="2"/>
      <c r="T1317" s="2"/>
      <c r="U1317" s="2"/>
      <c r="V1317" s="2"/>
      <c r="W1317" s="2"/>
      <c r="X1317" s="2"/>
      <c r="Y1317" s="2"/>
      <c r="Z1317" s="2"/>
      <c r="AA1317" s="2"/>
      <c r="AB1317" s="2"/>
      <c r="AC1317" s="2"/>
    </row>
    <row r="1318" spans="7:29" x14ac:dyDescent="0.35">
      <c r="G1318" s="2"/>
      <c r="H1318" s="2"/>
      <c r="I1318" s="2"/>
      <c r="J1318" s="2"/>
      <c r="K1318" s="2"/>
      <c r="L1318" s="2"/>
      <c r="M1318" s="2"/>
      <c r="N1318" s="2"/>
      <c r="O1318" s="2"/>
      <c r="P1318" s="2"/>
      <c r="Q1318" s="2"/>
      <c r="R1318" s="2"/>
      <c r="S1318" s="2"/>
      <c r="T1318" s="2"/>
      <c r="U1318" s="2"/>
      <c r="V1318" s="2"/>
      <c r="W1318" s="2"/>
      <c r="X1318" s="2"/>
      <c r="Y1318" s="2"/>
      <c r="Z1318" s="2"/>
      <c r="AA1318" s="2"/>
      <c r="AB1318" s="2"/>
      <c r="AC1318" s="2"/>
    </row>
    <row r="1319" spans="7:29" x14ac:dyDescent="0.35">
      <c r="G1319" s="2"/>
      <c r="H1319" s="2"/>
      <c r="I1319" s="2"/>
      <c r="J1319" s="2"/>
      <c r="K1319" s="2"/>
      <c r="L1319" s="2"/>
      <c r="M1319" s="2"/>
      <c r="N1319" s="2"/>
      <c r="O1319" s="2"/>
      <c r="P1319" s="2"/>
      <c r="Q1319" s="2"/>
      <c r="R1319" s="2"/>
      <c r="S1319" s="2"/>
      <c r="T1319" s="2"/>
      <c r="U1319" s="2"/>
      <c r="V1319" s="2"/>
      <c r="W1319" s="2"/>
      <c r="X1319" s="2"/>
      <c r="Y1319" s="2"/>
      <c r="Z1319" s="2"/>
      <c r="AA1319" s="2"/>
      <c r="AB1319" s="2"/>
      <c r="AC1319" s="2"/>
    </row>
    <row r="1320" spans="7:29" x14ac:dyDescent="0.35">
      <c r="G1320" s="2"/>
      <c r="H1320" s="2"/>
      <c r="I1320" s="2"/>
      <c r="J1320" s="2"/>
      <c r="K1320" s="2"/>
      <c r="L1320" s="2"/>
      <c r="M1320" s="2"/>
      <c r="N1320" s="2"/>
      <c r="O1320" s="2"/>
      <c r="P1320" s="2"/>
      <c r="Q1320" s="2"/>
      <c r="R1320" s="2"/>
      <c r="S1320" s="2"/>
      <c r="T1320" s="2"/>
      <c r="U1320" s="2"/>
      <c r="V1320" s="2"/>
      <c r="W1320" s="2"/>
      <c r="X1320" s="2"/>
      <c r="Y1320" s="2"/>
      <c r="Z1320" s="2"/>
      <c r="AA1320" s="2"/>
      <c r="AB1320" s="2"/>
      <c r="AC1320" s="2"/>
    </row>
    <row r="1321" spans="7:29" x14ac:dyDescent="0.35">
      <c r="G1321" s="2"/>
      <c r="H1321" s="2"/>
      <c r="I1321" s="2"/>
      <c r="J1321" s="2"/>
      <c r="K1321" s="2"/>
      <c r="L1321" s="2"/>
      <c r="M1321" s="2"/>
      <c r="N1321" s="2"/>
      <c r="O1321" s="2"/>
      <c r="P1321" s="2"/>
      <c r="Q1321" s="2"/>
      <c r="R1321" s="2"/>
      <c r="S1321" s="2"/>
      <c r="T1321" s="2"/>
      <c r="U1321" s="2"/>
      <c r="V1321" s="2"/>
      <c r="W1321" s="2"/>
      <c r="X1321" s="2"/>
      <c r="Y1321" s="2"/>
      <c r="Z1321" s="2"/>
      <c r="AA1321" s="2"/>
      <c r="AB1321" s="2"/>
      <c r="AC1321" s="2"/>
    </row>
    <row r="1322" spans="7:29" x14ac:dyDescent="0.35">
      <c r="G1322" s="2"/>
      <c r="H1322" s="2"/>
      <c r="I1322" s="2"/>
      <c r="J1322" s="2"/>
      <c r="K1322" s="2"/>
      <c r="L1322" s="2"/>
      <c r="M1322" s="2"/>
      <c r="N1322" s="2"/>
      <c r="O1322" s="2"/>
      <c r="P1322" s="2"/>
      <c r="Q1322" s="2"/>
      <c r="R1322" s="2"/>
      <c r="S1322" s="2"/>
      <c r="T1322" s="2"/>
      <c r="U1322" s="2"/>
      <c r="V1322" s="2"/>
      <c r="W1322" s="2"/>
      <c r="X1322" s="2"/>
      <c r="Y1322" s="2"/>
      <c r="Z1322" s="2"/>
      <c r="AA1322" s="2"/>
      <c r="AB1322" s="2"/>
      <c r="AC1322" s="2"/>
    </row>
    <row r="1323" spans="7:29" x14ac:dyDescent="0.35">
      <c r="G1323" s="2"/>
      <c r="H1323" s="2"/>
      <c r="I1323" s="2"/>
      <c r="J1323" s="2"/>
      <c r="K1323" s="2"/>
      <c r="L1323" s="2"/>
      <c r="M1323" s="2"/>
      <c r="N1323" s="2"/>
      <c r="O1323" s="2"/>
      <c r="P1323" s="2"/>
      <c r="Q1323" s="2"/>
      <c r="R1323" s="2"/>
      <c r="S1323" s="2"/>
      <c r="T1323" s="2"/>
      <c r="U1323" s="2"/>
      <c r="V1323" s="2"/>
      <c r="W1323" s="2"/>
      <c r="X1323" s="2"/>
      <c r="Y1323" s="2"/>
      <c r="Z1323" s="2"/>
      <c r="AA1323" s="2"/>
      <c r="AB1323" s="2"/>
      <c r="AC1323" s="2"/>
    </row>
    <row r="1324" spans="7:29" x14ac:dyDescent="0.35">
      <c r="G1324" s="2"/>
      <c r="H1324" s="2"/>
      <c r="I1324" s="2"/>
      <c r="J1324" s="2"/>
      <c r="K1324" s="2"/>
      <c r="L1324" s="2"/>
      <c r="M1324" s="2"/>
      <c r="N1324" s="2"/>
      <c r="O1324" s="2"/>
      <c r="P1324" s="2"/>
      <c r="Q1324" s="2"/>
      <c r="R1324" s="2"/>
      <c r="S1324" s="2"/>
      <c r="T1324" s="2"/>
      <c r="U1324" s="2"/>
      <c r="V1324" s="2"/>
      <c r="W1324" s="2"/>
      <c r="X1324" s="2"/>
      <c r="Y1324" s="2"/>
      <c r="Z1324" s="2"/>
      <c r="AA1324" s="2"/>
      <c r="AB1324" s="2"/>
      <c r="AC1324" s="2"/>
    </row>
    <row r="1325" spans="7:29" x14ac:dyDescent="0.35">
      <c r="G1325" s="2"/>
      <c r="H1325" s="2"/>
      <c r="I1325" s="2"/>
      <c r="J1325" s="2"/>
      <c r="K1325" s="2"/>
      <c r="L1325" s="2"/>
      <c r="M1325" s="2"/>
      <c r="N1325" s="2"/>
      <c r="O1325" s="2"/>
      <c r="P1325" s="2"/>
      <c r="Q1325" s="2"/>
      <c r="R1325" s="2"/>
      <c r="S1325" s="2"/>
      <c r="T1325" s="2"/>
      <c r="U1325" s="2"/>
      <c r="V1325" s="2"/>
      <c r="W1325" s="2"/>
      <c r="X1325" s="2"/>
      <c r="Y1325" s="2"/>
      <c r="Z1325" s="2"/>
      <c r="AA1325" s="2"/>
      <c r="AB1325" s="2"/>
      <c r="AC1325" s="2"/>
    </row>
    <row r="1326" spans="7:29" x14ac:dyDescent="0.35">
      <c r="G1326" s="2"/>
      <c r="H1326" s="2"/>
      <c r="I1326" s="2"/>
      <c r="J1326" s="2"/>
      <c r="K1326" s="2"/>
      <c r="L1326" s="2"/>
      <c r="M1326" s="2"/>
      <c r="N1326" s="2"/>
      <c r="O1326" s="2"/>
      <c r="P1326" s="2"/>
      <c r="Q1326" s="2"/>
      <c r="R1326" s="2"/>
      <c r="S1326" s="2"/>
      <c r="T1326" s="2"/>
      <c r="U1326" s="2"/>
      <c r="V1326" s="2"/>
      <c r="W1326" s="2"/>
      <c r="X1326" s="2"/>
      <c r="Y1326" s="2"/>
      <c r="Z1326" s="2"/>
      <c r="AA1326" s="2"/>
      <c r="AB1326" s="2"/>
      <c r="AC1326" s="2"/>
    </row>
    <row r="1327" spans="7:29" x14ac:dyDescent="0.35">
      <c r="G1327" s="2"/>
      <c r="H1327" s="2"/>
      <c r="I1327" s="2"/>
      <c r="J1327" s="2"/>
      <c r="K1327" s="2"/>
      <c r="L1327" s="2"/>
      <c r="M1327" s="2"/>
      <c r="N1327" s="2"/>
      <c r="O1327" s="2"/>
      <c r="P1327" s="2"/>
      <c r="Q1327" s="2"/>
      <c r="R1327" s="2"/>
      <c r="S1327" s="2"/>
      <c r="T1327" s="2"/>
      <c r="U1327" s="2"/>
      <c r="V1327" s="2"/>
      <c r="W1327" s="2"/>
      <c r="X1327" s="2"/>
      <c r="Y1327" s="2"/>
      <c r="Z1327" s="2"/>
      <c r="AA1327" s="2"/>
      <c r="AB1327" s="2"/>
      <c r="AC1327" s="2"/>
    </row>
    <row r="1328" spans="7:29" x14ac:dyDescent="0.35">
      <c r="G1328" s="2"/>
      <c r="H1328" s="2"/>
      <c r="I1328" s="2"/>
      <c r="J1328" s="2"/>
      <c r="K1328" s="2"/>
      <c r="L1328" s="2"/>
      <c r="M1328" s="2"/>
      <c r="N1328" s="2"/>
      <c r="O1328" s="2"/>
      <c r="P1328" s="2"/>
      <c r="Q1328" s="2"/>
      <c r="R1328" s="2"/>
      <c r="S1328" s="2"/>
      <c r="T1328" s="2"/>
      <c r="U1328" s="2"/>
      <c r="V1328" s="2"/>
      <c r="W1328" s="2"/>
      <c r="X1328" s="2"/>
      <c r="Y1328" s="2"/>
      <c r="Z1328" s="2"/>
      <c r="AA1328" s="2"/>
      <c r="AB1328" s="2"/>
      <c r="AC1328" s="2"/>
    </row>
    <row r="1329" spans="7:29" x14ac:dyDescent="0.35">
      <c r="G1329" s="2"/>
      <c r="H1329" s="2"/>
      <c r="I1329" s="2"/>
      <c r="J1329" s="2"/>
      <c r="K1329" s="2"/>
      <c r="L1329" s="2"/>
      <c r="M1329" s="2"/>
      <c r="N1329" s="2"/>
      <c r="O1329" s="2"/>
      <c r="P1329" s="2"/>
      <c r="Q1329" s="2"/>
      <c r="R1329" s="2"/>
      <c r="S1329" s="2"/>
      <c r="T1329" s="2"/>
      <c r="U1329" s="2"/>
      <c r="V1329" s="2"/>
      <c r="W1329" s="2"/>
      <c r="X1329" s="2"/>
      <c r="Y1329" s="2"/>
      <c r="Z1329" s="2"/>
      <c r="AA1329" s="2"/>
      <c r="AB1329" s="2"/>
      <c r="AC1329" s="2"/>
    </row>
    <row r="1330" spans="7:29" x14ac:dyDescent="0.35">
      <c r="G1330" s="2"/>
      <c r="H1330" s="2"/>
      <c r="I1330" s="2"/>
      <c r="J1330" s="2"/>
      <c r="K1330" s="2"/>
      <c r="L1330" s="2"/>
      <c r="M1330" s="2"/>
      <c r="N1330" s="2"/>
      <c r="O1330" s="2"/>
      <c r="P1330" s="2"/>
      <c r="Q1330" s="2"/>
      <c r="R1330" s="2"/>
      <c r="S1330" s="2"/>
      <c r="T1330" s="2"/>
      <c r="U1330" s="2"/>
      <c r="V1330" s="2"/>
      <c r="W1330" s="2"/>
      <c r="X1330" s="2"/>
      <c r="Y1330" s="2"/>
      <c r="Z1330" s="2"/>
      <c r="AA1330" s="2"/>
      <c r="AB1330" s="2"/>
      <c r="AC1330" s="2"/>
    </row>
    <row r="1331" spans="7:29" x14ac:dyDescent="0.35">
      <c r="G1331" s="2"/>
      <c r="H1331" s="2"/>
      <c r="I1331" s="2"/>
      <c r="J1331" s="2"/>
      <c r="K1331" s="2"/>
      <c r="L1331" s="2"/>
      <c r="M1331" s="2"/>
      <c r="N1331" s="2"/>
      <c r="O1331" s="2"/>
      <c r="P1331" s="2"/>
      <c r="Q1331" s="2"/>
      <c r="R1331" s="2"/>
      <c r="S1331" s="2"/>
      <c r="T1331" s="2"/>
      <c r="U1331" s="2"/>
      <c r="V1331" s="2"/>
      <c r="W1331" s="2"/>
      <c r="X1331" s="2"/>
      <c r="Y1331" s="2"/>
      <c r="Z1331" s="2"/>
      <c r="AA1331" s="2"/>
      <c r="AB1331" s="2"/>
      <c r="AC1331" s="2"/>
    </row>
    <row r="1332" spans="7:29" x14ac:dyDescent="0.35">
      <c r="G1332" s="2"/>
      <c r="H1332" s="2"/>
      <c r="I1332" s="2"/>
      <c r="J1332" s="2"/>
      <c r="K1332" s="2"/>
      <c r="L1332" s="2"/>
      <c r="M1332" s="2"/>
      <c r="N1332" s="2"/>
      <c r="O1332" s="2"/>
      <c r="P1332" s="2"/>
      <c r="Q1332" s="2"/>
      <c r="R1332" s="2"/>
      <c r="S1332" s="2"/>
      <c r="T1332" s="2"/>
      <c r="U1332" s="2"/>
      <c r="V1332" s="2"/>
      <c r="W1332" s="2"/>
      <c r="X1332" s="2"/>
      <c r="Y1332" s="2"/>
      <c r="Z1332" s="2"/>
      <c r="AA1332" s="2"/>
      <c r="AB1332" s="2"/>
      <c r="AC1332" s="2"/>
    </row>
    <row r="1333" spans="7:29" x14ac:dyDescent="0.35">
      <c r="G1333" s="2"/>
      <c r="H1333" s="2"/>
      <c r="I1333" s="2"/>
      <c r="J1333" s="2"/>
      <c r="K1333" s="2"/>
      <c r="L1333" s="2"/>
      <c r="M1333" s="2"/>
      <c r="N1333" s="2"/>
      <c r="O1333" s="2"/>
      <c r="P1333" s="2"/>
      <c r="Q1333" s="2"/>
      <c r="R1333" s="2"/>
      <c r="S1333" s="2"/>
      <c r="T1333" s="2"/>
      <c r="U1333" s="2"/>
      <c r="V1333" s="2"/>
      <c r="W1333" s="2"/>
      <c r="X1333" s="2"/>
      <c r="Y1333" s="2"/>
      <c r="Z1333" s="2"/>
      <c r="AA1333" s="2"/>
      <c r="AB1333" s="2"/>
      <c r="AC1333" s="2"/>
    </row>
    <row r="1334" spans="7:29" x14ac:dyDescent="0.35">
      <c r="G1334" s="2"/>
      <c r="H1334" s="2"/>
      <c r="I1334" s="2"/>
      <c r="J1334" s="2"/>
      <c r="K1334" s="2"/>
      <c r="L1334" s="2"/>
      <c r="M1334" s="2"/>
      <c r="N1334" s="2"/>
      <c r="O1334" s="2"/>
      <c r="P1334" s="2"/>
      <c r="Q1334" s="2"/>
      <c r="R1334" s="2"/>
      <c r="S1334" s="2"/>
      <c r="T1334" s="2"/>
      <c r="U1334" s="2"/>
      <c r="V1334" s="2"/>
      <c r="W1334" s="2"/>
      <c r="X1334" s="2"/>
      <c r="Y1334" s="2"/>
      <c r="Z1334" s="2"/>
      <c r="AA1334" s="2"/>
      <c r="AB1334" s="2"/>
      <c r="AC1334" s="2"/>
    </row>
    <row r="1335" spans="7:29" x14ac:dyDescent="0.35">
      <c r="G1335" s="2"/>
      <c r="H1335" s="2"/>
      <c r="I1335" s="2"/>
      <c r="J1335" s="2"/>
      <c r="K1335" s="2"/>
      <c r="L1335" s="2"/>
      <c r="M1335" s="2"/>
      <c r="N1335" s="2"/>
      <c r="O1335" s="2"/>
      <c r="P1335" s="2"/>
      <c r="Q1335" s="2"/>
      <c r="R1335" s="2"/>
      <c r="S1335" s="2"/>
      <c r="T1335" s="2"/>
      <c r="U1335" s="2"/>
      <c r="V1335" s="2"/>
      <c r="W1335" s="2"/>
      <c r="X1335" s="2"/>
      <c r="Y1335" s="2"/>
      <c r="Z1335" s="2"/>
      <c r="AA1335" s="2"/>
      <c r="AB1335" s="2"/>
      <c r="AC1335" s="2"/>
    </row>
    <row r="1336" spans="7:29" x14ac:dyDescent="0.35">
      <c r="G1336" s="2"/>
      <c r="H1336" s="2"/>
      <c r="I1336" s="2"/>
      <c r="J1336" s="2"/>
      <c r="K1336" s="2"/>
      <c r="L1336" s="2"/>
      <c r="M1336" s="2"/>
      <c r="N1336" s="2"/>
      <c r="O1336" s="2"/>
      <c r="P1336" s="2"/>
      <c r="Q1336" s="2"/>
      <c r="R1336" s="2"/>
      <c r="S1336" s="2"/>
      <c r="T1336" s="2"/>
      <c r="U1336" s="2"/>
      <c r="V1336" s="2"/>
      <c r="W1336" s="2"/>
      <c r="X1336" s="2"/>
      <c r="Y1336" s="2"/>
      <c r="Z1336" s="2"/>
      <c r="AA1336" s="2"/>
      <c r="AB1336" s="2"/>
      <c r="AC1336" s="2"/>
    </row>
    <row r="1337" spans="7:29" x14ac:dyDescent="0.35">
      <c r="G1337" s="2"/>
      <c r="H1337" s="2"/>
      <c r="I1337" s="2"/>
      <c r="J1337" s="2"/>
      <c r="K1337" s="2"/>
      <c r="L1337" s="2"/>
      <c r="M1337" s="2"/>
      <c r="N1337" s="2"/>
      <c r="O1337" s="2"/>
      <c r="P1337" s="2"/>
      <c r="Q1337" s="2"/>
      <c r="R1337" s="2"/>
      <c r="S1337" s="2"/>
      <c r="T1337" s="2"/>
      <c r="U1337" s="2"/>
      <c r="V1337" s="2"/>
      <c r="W1337" s="2"/>
      <c r="X1337" s="2"/>
      <c r="Y1337" s="2"/>
      <c r="Z1337" s="2"/>
      <c r="AA1337" s="2"/>
      <c r="AB1337" s="2"/>
      <c r="AC1337" s="2"/>
    </row>
    <row r="1338" spans="7:29" x14ac:dyDescent="0.35">
      <c r="G1338" s="2"/>
      <c r="H1338" s="2"/>
      <c r="I1338" s="2"/>
      <c r="J1338" s="2"/>
      <c r="K1338" s="2"/>
      <c r="L1338" s="2"/>
      <c r="M1338" s="2"/>
      <c r="N1338" s="2"/>
      <c r="O1338" s="2"/>
      <c r="P1338" s="2"/>
      <c r="Q1338" s="2"/>
      <c r="R1338" s="2"/>
      <c r="S1338" s="2"/>
      <c r="T1338" s="2"/>
      <c r="U1338" s="2"/>
      <c r="V1338" s="2"/>
      <c r="W1338" s="2"/>
      <c r="X1338" s="2"/>
      <c r="Y1338" s="2"/>
      <c r="Z1338" s="2"/>
      <c r="AA1338" s="2"/>
      <c r="AB1338" s="2"/>
      <c r="AC1338" s="2"/>
    </row>
    <row r="1339" spans="7:29" x14ac:dyDescent="0.35">
      <c r="G1339" s="2"/>
      <c r="H1339" s="2"/>
      <c r="I1339" s="2"/>
      <c r="J1339" s="2"/>
      <c r="K1339" s="2"/>
      <c r="L1339" s="2"/>
      <c r="M1339" s="2"/>
      <c r="N1339" s="2"/>
      <c r="O1339" s="2"/>
      <c r="P1339" s="2"/>
      <c r="Q1339" s="2"/>
      <c r="R1339" s="2"/>
      <c r="S1339" s="2"/>
      <c r="T1339" s="2"/>
      <c r="U1339" s="2"/>
      <c r="V1339" s="2"/>
      <c r="W1339" s="2"/>
      <c r="X1339" s="2"/>
      <c r="Y1339" s="2"/>
      <c r="Z1339" s="2"/>
      <c r="AA1339" s="2"/>
      <c r="AB1339" s="2"/>
      <c r="AC1339" s="2"/>
    </row>
    <row r="1340" spans="7:29" x14ac:dyDescent="0.35">
      <c r="G1340" s="2"/>
      <c r="H1340" s="2"/>
      <c r="I1340" s="2"/>
      <c r="J1340" s="2"/>
      <c r="K1340" s="2"/>
      <c r="L1340" s="2"/>
      <c r="M1340" s="2"/>
      <c r="N1340" s="2"/>
      <c r="O1340" s="2"/>
      <c r="P1340" s="2"/>
      <c r="Q1340" s="2"/>
      <c r="R1340" s="2"/>
      <c r="S1340" s="2"/>
      <c r="T1340" s="2"/>
      <c r="U1340" s="2"/>
      <c r="V1340" s="2"/>
      <c r="W1340" s="2"/>
      <c r="X1340" s="2"/>
      <c r="Y1340" s="2"/>
      <c r="Z1340" s="2"/>
      <c r="AA1340" s="2"/>
      <c r="AB1340" s="2"/>
      <c r="AC1340" s="2"/>
    </row>
    <row r="1341" spans="7:29" x14ac:dyDescent="0.35">
      <c r="G1341" s="2"/>
      <c r="H1341" s="2"/>
      <c r="I1341" s="2"/>
      <c r="J1341" s="2"/>
      <c r="K1341" s="2"/>
      <c r="L1341" s="2"/>
      <c r="M1341" s="2"/>
      <c r="N1341" s="2"/>
      <c r="O1341" s="2"/>
      <c r="P1341" s="2"/>
      <c r="Q1341" s="2"/>
      <c r="R1341" s="2"/>
      <c r="S1341" s="2"/>
      <c r="T1341" s="2"/>
      <c r="U1341" s="2"/>
      <c r="V1341" s="2"/>
      <c r="W1341" s="2"/>
      <c r="X1341" s="2"/>
      <c r="Y1341" s="2"/>
      <c r="Z1341" s="2"/>
      <c r="AA1341" s="2"/>
      <c r="AB1341" s="2"/>
      <c r="AC1341" s="2"/>
    </row>
    <row r="1342" spans="7:29" x14ac:dyDescent="0.35">
      <c r="G1342" s="2"/>
      <c r="H1342" s="2"/>
      <c r="I1342" s="2"/>
      <c r="J1342" s="2"/>
      <c r="K1342" s="2"/>
      <c r="L1342" s="2"/>
      <c r="M1342" s="2"/>
      <c r="N1342" s="2"/>
      <c r="O1342" s="2"/>
      <c r="P1342" s="2"/>
      <c r="Q1342" s="2"/>
      <c r="R1342" s="2"/>
      <c r="S1342" s="2"/>
      <c r="T1342" s="2"/>
      <c r="U1342" s="2"/>
      <c r="V1342" s="2"/>
      <c r="W1342" s="2"/>
      <c r="X1342" s="2"/>
      <c r="Y1342" s="2"/>
      <c r="Z1342" s="2"/>
      <c r="AA1342" s="2"/>
      <c r="AB1342" s="2"/>
      <c r="AC1342" s="2"/>
    </row>
    <row r="1343" spans="7:29" x14ac:dyDescent="0.35">
      <c r="G1343" s="2"/>
      <c r="H1343" s="2"/>
      <c r="I1343" s="2"/>
      <c r="J1343" s="2"/>
      <c r="K1343" s="2"/>
      <c r="L1343" s="2"/>
      <c r="M1343" s="2"/>
      <c r="N1343" s="2"/>
      <c r="O1343" s="2"/>
      <c r="P1343" s="2"/>
      <c r="Q1343" s="2"/>
      <c r="R1343" s="2"/>
      <c r="S1343" s="2"/>
      <c r="T1343" s="2"/>
      <c r="U1343" s="2"/>
      <c r="V1343" s="2"/>
      <c r="W1343" s="2"/>
      <c r="X1343" s="2"/>
      <c r="Y1343" s="2"/>
      <c r="Z1343" s="2"/>
      <c r="AA1343" s="2"/>
      <c r="AB1343" s="2"/>
      <c r="AC1343" s="2"/>
    </row>
    <row r="1344" spans="7:29" x14ac:dyDescent="0.35">
      <c r="G1344" s="2"/>
      <c r="H1344" s="2"/>
      <c r="I1344" s="2"/>
      <c r="J1344" s="2"/>
      <c r="K1344" s="2"/>
      <c r="L1344" s="2"/>
      <c r="M1344" s="2"/>
      <c r="N1344" s="2"/>
      <c r="O1344" s="2"/>
      <c r="P1344" s="2"/>
      <c r="Q1344" s="2"/>
      <c r="R1344" s="2"/>
      <c r="S1344" s="2"/>
      <c r="T1344" s="2"/>
      <c r="U1344" s="2"/>
      <c r="V1344" s="2"/>
      <c r="W1344" s="2"/>
      <c r="X1344" s="2"/>
      <c r="Y1344" s="2"/>
      <c r="Z1344" s="2"/>
      <c r="AA1344" s="2"/>
      <c r="AB1344" s="2"/>
      <c r="AC1344" s="2"/>
    </row>
    <row r="1345" spans="7:29" x14ac:dyDescent="0.35">
      <c r="G1345" s="2"/>
      <c r="H1345" s="2"/>
      <c r="I1345" s="2"/>
      <c r="J1345" s="2"/>
      <c r="K1345" s="2"/>
      <c r="L1345" s="2"/>
      <c r="M1345" s="2"/>
      <c r="N1345" s="2"/>
      <c r="O1345" s="2"/>
      <c r="P1345" s="2"/>
      <c r="Q1345" s="2"/>
      <c r="R1345" s="2"/>
      <c r="S1345" s="2"/>
      <c r="T1345" s="2"/>
      <c r="U1345" s="2"/>
      <c r="V1345" s="2"/>
      <c r="W1345" s="2"/>
      <c r="X1345" s="2"/>
      <c r="Y1345" s="2"/>
      <c r="Z1345" s="2"/>
      <c r="AA1345" s="2"/>
      <c r="AB1345" s="2"/>
      <c r="AC1345" s="2"/>
    </row>
    <row r="1346" spans="7:29" x14ac:dyDescent="0.35">
      <c r="G1346" s="2"/>
      <c r="H1346" s="2"/>
      <c r="I1346" s="2"/>
      <c r="J1346" s="2"/>
      <c r="K1346" s="2"/>
      <c r="L1346" s="2"/>
      <c r="M1346" s="2"/>
      <c r="N1346" s="2"/>
      <c r="O1346" s="2"/>
      <c r="P1346" s="2"/>
      <c r="Q1346" s="2"/>
      <c r="R1346" s="2"/>
      <c r="S1346" s="2"/>
      <c r="T1346" s="2"/>
      <c r="U1346" s="2"/>
      <c r="V1346" s="2"/>
      <c r="W1346" s="2"/>
      <c r="X1346" s="2"/>
      <c r="Y1346" s="2"/>
      <c r="Z1346" s="2"/>
      <c r="AA1346" s="2"/>
      <c r="AB1346" s="2"/>
      <c r="AC1346" s="2"/>
    </row>
    <row r="1347" spans="7:29" x14ac:dyDescent="0.35">
      <c r="G1347" s="2"/>
      <c r="H1347" s="2"/>
      <c r="I1347" s="2"/>
      <c r="J1347" s="2"/>
      <c r="K1347" s="2"/>
      <c r="L1347" s="2"/>
      <c r="M1347" s="2"/>
      <c r="N1347" s="2"/>
      <c r="O1347" s="2"/>
      <c r="P1347" s="2"/>
      <c r="Q1347" s="2"/>
      <c r="R1347" s="2"/>
      <c r="S1347" s="2"/>
      <c r="T1347" s="2"/>
      <c r="U1347" s="2"/>
      <c r="V1347" s="2"/>
      <c r="W1347" s="2"/>
      <c r="X1347" s="2"/>
      <c r="Y1347" s="2"/>
      <c r="Z1347" s="2"/>
      <c r="AA1347" s="2"/>
      <c r="AB1347" s="2"/>
      <c r="AC1347" s="2"/>
    </row>
    <row r="1348" spans="7:29" x14ac:dyDescent="0.35">
      <c r="G1348" s="2"/>
      <c r="H1348" s="2"/>
      <c r="I1348" s="2"/>
      <c r="J1348" s="2"/>
      <c r="K1348" s="2"/>
      <c r="L1348" s="2"/>
      <c r="M1348" s="2"/>
      <c r="N1348" s="2"/>
      <c r="O1348" s="2"/>
      <c r="P1348" s="2"/>
      <c r="Q1348" s="2"/>
      <c r="R1348" s="2"/>
      <c r="S1348" s="2"/>
      <c r="T1348" s="2"/>
      <c r="U1348" s="2"/>
      <c r="V1348" s="2"/>
      <c r="W1348" s="2"/>
      <c r="X1348" s="2"/>
      <c r="Y1348" s="2"/>
      <c r="Z1348" s="2"/>
      <c r="AA1348" s="2"/>
      <c r="AB1348" s="2"/>
      <c r="AC1348" s="2"/>
    </row>
    <row r="1349" spans="7:29" x14ac:dyDescent="0.35">
      <c r="G1349" s="2"/>
      <c r="H1349" s="2"/>
      <c r="I1349" s="2"/>
      <c r="J1349" s="2"/>
      <c r="K1349" s="2"/>
      <c r="L1349" s="2"/>
      <c r="M1349" s="2"/>
      <c r="N1349" s="2"/>
      <c r="O1349" s="2"/>
      <c r="P1349" s="2"/>
      <c r="Q1349" s="2"/>
      <c r="R1349" s="2"/>
      <c r="S1349" s="2"/>
      <c r="T1349" s="2"/>
      <c r="U1349" s="2"/>
      <c r="V1349" s="2"/>
      <c r="W1349" s="2"/>
      <c r="X1349" s="2"/>
      <c r="Y1349" s="2"/>
      <c r="Z1349" s="2"/>
      <c r="AA1349" s="2"/>
      <c r="AB1349" s="2"/>
      <c r="AC1349" s="2"/>
    </row>
    <row r="1350" spans="7:29" x14ac:dyDescent="0.35">
      <c r="G1350" s="2"/>
      <c r="H1350" s="2"/>
      <c r="I1350" s="2"/>
      <c r="J1350" s="2"/>
      <c r="K1350" s="2"/>
      <c r="L1350" s="2"/>
      <c r="M1350" s="2"/>
      <c r="N1350" s="2"/>
      <c r="O1350" s="2"/>
      <c r="P1350" s="2"/>
      <c r="Q1350" s="2"/>
      <c r="R1350" s="2"/>
      <c r="S1350" s="2"/>
      <c r="T1350" s="2"/>
      <c r="U1350" s="2"/>
      <c r="V1350" s="2"/>
      <c r="W1350" s="2"/>
      <c r="X1350" s="2"/>
      <c r="Y1350" s="2"/>
      <c r="Z1350" s="2"/>
      <c r="AA1350" s="2"/>
      <c r="AB1350" s="2"/>
      <c r="AC1350" s="2"/>
    </row>
    <row r="1351" spans="7:29" x14ac:dyDescent="0.35">
      <c r="G1351" s="2"/>
      <c r="H1351" s="2"/>
      <c r="I1351" s="2"/>
      <c r="J1351" s="2"/>
      <c r="K1351" s="2"/>
      <c r="L1351" s="2"/>
      <c r="M1351" s="2"/>
      <c r="N1351" s="2"/>
      <c r="O1351" s="2"/>
      <c r="P1351" s="2"/>
      <c r="Q1351" s="2"/>
      <c r="R1351" s="2"/>
      <c r="S1351" s="2"/>
      <c r="T1351" s="2"/>
      <c r="U1351" s="2"/>
      <c r="V1351" s="2"/>
      <c r="W1351" s="2"/>
      <c r="X1351" s="2"/>
      <c r="Y1351" s="2"/>
      <c r="Z1351" s="2"/>
      <c r="AA1351" s="2"/>
      <c r="AB1351" s="2"/>
      <c r="AC1351" s="2"/>
    </row>
    <row r="1352" spans="7:29" x14ac:dyDescent="0.35">
      <c r="G1352" s="2"/>
      <c r="H1352" s="2"/>
      <c r="I1352" s="2"/>
      <c r="J1352" s="2"/>
      <c r="K1352" s="2"/>
      <c r="L1352" s="2"/>
      <c r="M1352" s="2"/>
      <c r="N1352" s="2"/>
      <c r="O1352" s="2"/>
      <c r="P1352" s="2"/>
      <c r="Q1352" s="2"/>
      <c r="R1352" s="2"/>
      <c r="S1352" s="2"/>
      <c r="T1352" s="2"/>
      <c r="U1352" s="2"/>
      <c r="V1352" s="2"/>
      <c r="W1352" s="2"/>
      <c r="X1352" s="2"/>
      <c r="Y1352" s="2"/>
      <c r="Z1352" s="2"/>
      <c r="AA1352" s="2"/>
      <c r="AB1352" s="2"/>
      <c r="AC1352" s="2"/>
    </row>
    <row r="1353" spans="7:29" x14ac:dyDescent="0.35">
      <c r="G1353" s="2"/>
      <c r="H1353" s="2"/>
      <c r="I1353" s="2"/>
      <c r="J1353" s="2"/>
      <c r="K1353" s="2"/>
      <c r="L1353" s="2"/>
      <c r="M1353" s="2"/>
      <c r="N1353" s="2"/>
      <c r="O1353" s="2"/>
      <c r="P1353" s="2"/>
      <c r="Q1353" s="2"/>
      <c r="R1353" s="2"/>
      <c r="S1353" s="2"/>
      <c r="T1353" s="2"/>
      <c r="U1353" s="2"/>
      <c r="V1353" s="2"/>
      <c r="W1353" s="2"/>
      <c r="X1353" s="2"/>
      <c r="Y1353" s="2"/>
      <c r="Z1353" s="2"/>
      <c r="AA1353" s="2"/>
      <c r="AB1353" s="2"/>
      <c r="AC1353" s="2"/>
    </row>
    <row r="1354" spans="7:29" x14ac:dyDescent="0.35">
      <c r="G1354" s="2"/>
      <c r="H1354" s="2"/>
      <c r="I1354" s="2"/>
      <c r="J1354" s="2"/>
      <c r="K1354" s="2"/>
      <c r="L1354" s="2"/>
      <c r="M1354" s="2"/>
      <c r="N1354" s="2"/>
      <c r="O1354" s="2"/>
      <c r="P1354" s="2"/>
      <c r="Q1354" s="2"/>
      <c r="R1354" s="2"/>
      <c r="S1354" s="2"/>
      <c r="T1354" s="2"/>
      <c r="U1354" s="2"/>
      <c r="V1354" s="2"/>
      <c r="W1354" s="2"/>
      <c r="X1354" s="2"/>
      <c r="Y1354" s="2"/>
      <c r="Z1354" s="2"/>
      <c r="AA1354" s="2"/>
      <c r="AB1354" s="2"/>
      <c r="AC1354" s="2"/>
    </row>
    <row r="1355" spans="7:29" x14ac:dyDescent="0.35">
      <c r="G1355" s="2"/>
      <c r="H1355" s="2"/>
      <c r="I1355" s="2"/>
      <c r="J1355" s="2"/>
      <c r="K1355" s="2"/>
      <c r="L1355" s="2"/>
      <c r="M1355" s="2"/>
      <c r="N1355" s="2"/>
      <c r="O1355" s="2"/>
      <c r="P1355" s="2"/>
      <c r="Q1355" s="2"/>
      <c r="R1355" s="2"/>
      <c r="S1355" s="2"/>
      <c r="T1355" s="2"/>
      <c r="U1355" s="2"/>
      <c r="V1355" s="2"/>
      <c r="W1355" s="2"/>
      <c r="X1355" s="2"/>
      <c r="Y1355" s="2"/>
      <c r="Z1355" s="2"/>
      <c r="AA1355" s="2"/>
      <c r="AB1355" s="2"/>
      <c r="AC1355" s="2"/>
    </row>
    <row r="1356" spans="7:29" x14ac:dyDescent="0.35">
      <c r="G1356" s="2"/>
      <c r="H1356" s="2"/>
      <c r="I1356" s="2"/>
      <c r="J1356" s="2"/>
      <c r="K1356" s="2"/>
      <c r="L1356" s="2"/>
      <c r="M1356" s="2"/>
      <c r="N1356" s="2"/>
      <c r="O1356" s="2"/>
      <c r="P1356" s="2"/>
      <c r="Q1356" s="2"/>
      <c r="R1356" s="2"/>
      <c r="S1356" s="2"/>
      <c r="T1356" s="2"/>
      <c r="U1356" s="2"/>
      <c r="V1356" s="2"/>
      <c r="W1356" s="2"/>
      <c r="X1356" s="2"/>
      <c r="Y1356" s="2"/>
      <c r="Z1356" s="2"/>
      <c r="AA1356" s="2"/>
      <c r="AB1356" s="2"/>
      <c r="AC1356" s="2"/>
    </row>
    <row r="1357" spans="7:29" x14ac:dyDescent="0.35">
      <c r="G1357" s="2"/>
      <c r="H1357" s="2"/>
      <c r="I1357" s="2"/>
      <c r="J1357" s="2"/>
      <c r="K1357" s="2"/>
      <c r="L1357" s="2"/>
      <c r="M1357" s="2"/>
      <c r="N1357" s="2"/>
      <c r="O1357" s="2"/>
      <c r="P1357" s="2"/>
      <c r="Q1357" s="2"/>
      <c r="R1357" s="2"/>
      <c r="S1357" s="2"/>
      <c r="T1357" s="2"/>
      <c r="U1357" s="2"/>
      <c r="V1357" s="2"/>
      <c r="W1357" s="2"/>
      <c r="X1357" s="2"/>
      <c r="Y1357" s="2"/>
      <c r="Z1357" s="2"/>
      <c r="AA1357" s="2"/>
      <c r="AB1357" s="2"/>
      <c r="AC1357" s="2"/>
    </row>
    <row r="1358" spans="7:29" x14ac:dyDescent="0.35">
      <c r="G1358" s="2"/>
      <c r="H1358" s="2"/>
      <c r="I1358" s="2"/>
      <c r="J1358" s="2"/>
      <c r="K1358" s="2"/>
      <c r="L1358" s="2"/>
      <c r="M1358" s="2"/>
      <c r="N1358" s="2"/>
      <c r="O1358" s="2"/>
      <c r="P1358" s="2"/>
      <c r="Q1358" s="2"/>
      <c r="R1358" s="2"/>
      <c r="S1358" s="2"/>
      <c r="T1358" s="2"/>
      <c r="U1358" s="2"/>
      <c r="V1358" s="2"/>
      <c r="W1358" s="2"/>
      <c r="X1358" s="2"/>
      <c r="Y1358" s="2"/>
      <c r="Z1358" s="2"/>
      <c r="AA1358" s="2"/>
      <c r="AB1358" s="2"/>
      <c r="AC1358" s="2"/>
    </row>
    <row r="1359" spans="7:29" x14ac:dyDescent="0.35">
      <c r="G1359" s="2"/>
      <c r="H1359" s="2"/>
      <c r="I1359" s="2"/>
      <c r="J1359" s="2"/>
      <c r="K1359" s="2"/>
      <c r="L1359" s="2"/>
      <c r="M1359" s="2"/>
      <c r="N1359" s="2"/>
      <c r="O1359" s="2"/>
      <c r="P1359" s="2"/>
      <c r="Q1359" s="2"/>
      <c r="R1359" s="2"/>
      <c r="S1359" s="2"/>
      <c r="T1359" s="2"/>
      <c r="U1359" s="2"/>
      <c r="V1359" s="2"/>
      <c r="W1359" s="2"/>
      <c r="X1359" s="2"/>
      <c r="Y1359" s="2"/>
      <c r="Z1359" s="2"/>
      <c r="AA1359" s="2"/>
      <c r="AB1359" s="2"/>
      <c r="AC1359" s="2"/>
    </row>
    <row r="1360" spans="7:29" x14ac:dyDescent="0.35">
      <c r="G1360" s="2"/>
      <c r="H1360" s="2"/>
      <c r="I1360" s="2"/>
      <c r="J1360" s="2"/>
      <c r="K1360" s="2"/>
      <c r="L1360" s="2"/>
      <c r="M1360" s="2"/>
      <c r="N1360" s="2"/>
      <c r="O1360" s="2"/>
      <c r="P1360" s="2"/>
      <c r="Q1360" s="2"/>
      <c r="R1360" s="2"/>
      <c r="S1360" s="2"/>
      <c r="T1360" s="2"/>
      <c r="U1360" s="2"/>
      <c r="V1360" s="2"/>
      <c r="W1360" s="2"/>
      <c r="X1360" s="2"/>
      <c r="Y1360" s="2"/>
      <c r="Z1360" s="2"/>
      <c r="AA1360" s="2"/>
      <c r="AB1360" s="2"/>
      <c r="AC1360" s="2"/>
    </row>
    <row r="1361" spans="7:29" x14ac:dyDescent="0.35">
      <c r="G1361" s="2"/>
      <c r="H1361" s="2"/>
      <c r="I1361" s="2"/>
      <c r="J1361" s="2"/>
      <c r="K1361" s="2"/>
      <c r="L1361" s="2"/>
      <c r="M1361" s="2"/>
      <c r="N1361" s="2"/>
      <c r="O1361" s="2"/>
      <c r="P1361" s="2"/>
      <c r="Q1361" s="2"/>
      <c r="R1361" s="2"/>
      <c r="S1361" s="2"/>
      <c r="T1361" s="2"/>
      <c r="U1361" s="2"/>
      <c r="V1361" s="2"/>
      <c r="W1361" s="2"/>
      <c r="X1361" s="2"/>
      <c r="Y1361" s="2"/>
      <c r="Z1361" s="2"/>
      <c r="AA1361" s="2"/>
      <c r="AB1361" s="2"/>
      <c r="AC1361" s="2"/>
    </row>
    <row r="1362" spans="7:29" x14ac:dyDescent="0.35">
      <c r="G1362" s="2"/>
      <c r="H1362" s="2"/>
      <c r="I1362" s="2"/>
      <c r="J1362" s="2"/>
      <c r="K1362" s="2"/>
      <c r="L1362" s="2"/>
      <c r="M1362" s="2"/>
      <c r="N1362" s="2"/>
      <c r="O1362" s="2"/>
      <c r="P1362" s="2"/>
      <c r="Q1362" s="2"/>
      <c r="R1362" s="2"/>
      <c r="S1362" s="2"/>
      <c r="T1362" s="2"/>
      <c r="U1362" s="2"/>
      <c r="V1362" s="2"/>
      <c r="W1362" s="2"/>
      <c r="X1362" s="2"/>
      <c r="Y1362" s="2"/>
      <c r="Z1362" s="2"/>
      <c r="AA1362" s="2"/>
      <c r="AB1362" s="2"/>
      <c r="AC1362" s="2"/>
    </row>
    <row r="1363" spans="7:29" x14ac:dyDescent="0.35">
      <c r="G1363" s="2"/>
      <c r="H1363" s="2"/>
      <c r="I1363" s="2"/>
      <c r="J1363" s="2"/>
      <c r="K1363" s="2"/>
      <c r="L1363" s="2"/>
      <c r="M1363" s="2"/>
      <c r="N1363" s="2"/>
      <c r="O1363" s="2"/>
      <c r="P1363" s="2"/>
      <c r="Q1363" s="2"/>
      <c r="R1363" s="2"/>
      <c r="S1363" s="2"/>
      <c r="T1363" s="2"/>
      <c r="U1363" s="2"/>
      <c r="V1363" s="2"/>
      <c r="W1363" s="2"/>
      <c r="X1363" s="2"/>
      <c r="Y1363" s="2"/>
      <c r="Z1363" s="2"/>
      <c r="AA1363" s="2"/>
      <c r="AB1363" s="2"/>
      <c r="AC1363" s="2"/>
    </row>
    <row r="1364" spans="7:29" x14ac:dyDescent="0.35">
      <c r="G1364" s="2"/>
      <c r="H1364" s="2"/>
      <c r="I1364" s="2"/>
      <c r="J1364" s="2"/>
      <c r="K1364" s="2"/>
      <c r="L1364" s="2"/>
      <c r="M1364" s="2"/>
      <c r="N1364" s="2"/>
      <c r="O1364" s="2"/>
      <c r="P1364" s="2"/>
      <c r="Q1364" s="2"/>
      <c r="R1364" s="2"/>
      <c r="S1364" s="2"/>
      <c r="T1364" s="2"/>
      <c r="U1364" s="2"/>
      <c r="V1364" s="2"/>
      <c r="W1364" s="2"/>
      <c r="X1364" s="2"/>
      <c r="Y1364" s="2"/>
      <c r="Z1364" s="2"/>
      <c r="AA1364" s="2"/>
      <c r="AB1364" s="2"/>
      <c r="AC1364" s="2"/>
    </row>
    <row r="1365" spans="7:29" x14ac:dyDescent="0.35">
      <c r="G1365" s="2"/>
      <c r="H1365" s="2"/>
      <c r="I1365" s="2"/>
      <c r="J1365" s="2"/>
      <c r="K1365" s="2"/>
      <c r="L1365" s="2"/>
      <c r="M1365" s="2"/>
      <c r="N1365" s="2"/>
      <c r="O1365" s="2"/>
      <c r="P1365" s="2"/>
      <c r="Q1365" s="2"/>
      <c r="R1365" s="2"/>
      <c r="S1365" s="2"/>
      <c r="T1365" s="2"/>
      <c r="U1365" s="2"/>
      <c r="V1365" s="2"/>
      <c r="W1365" s="2"/>
      <c r="X1365" s="2"/>
      <c r="Y1365" s="2"/>
      <c r="Z1365" s="2"/>
      <c r="AA1365" s="2"/>
      <c r="AB1365" s="2"/>
      <c r="AC1365" s="2"/>
    </row>
    <row r="1366" spans="7:29" x14ac:dyDescent="0.35">
      <c r="G1366" s="2"/>
      <c r="H1366" s="2"/>
      <c r="I1366" s="2"/>
      <c r="J1366" s="2"/>
      <c r="K1366" s="2"/>
      <c r="L1366" s="2"/>
      <c r="M1366" s="2"/>
      <c r="N1366" s="2"/>
      <c r="O1366" s="2"/>
      <c r="P1366" s="2"/>
      <c r="Q1366" s="2"/>
      <c r="R1366" s="2"/>
      <c r="S1366" s="2"/>
      <c r="T1366" s="2"/>
      <c r="U1366" s="2"/>
      <c r="V1366" s="2"/>
      <c r="W1366" s="2"/>
      <c r="X1366" s="2"/>
      <c r="Y1366" s="2"/>
      <c r="Z1366" s="2"/>
      <c r="AA1366" s="2"/>
      <c r="AB1366" s="2"/>
      <c r="AC1366" s="2"/>
    </row>
    <row r="1367" spans="7:29" x14ac:dyDescent="0.35">
      <c r="G1367" s="2"/>
      <c r="H1367" s="2"/>
      <c r="I1367" s="2"/>
      <c r="J1367" s="2"/>
      <c r="K1367" s="2"/>
      <c r="L1367" s="2"/>
      <c r="M1367" s="2"/>
      <c r="N1367" s="2"/>
      <c r="O1367" s="2"/>
      <c r="P1367" s="2"/>
      <c r="Q1367" s="2"/>
      <c r="R1367" s="2"/>
      <c r="S1367" s="2"/>
      <c r="T1367" s="2"/>
      <c r="U1367" s="2"/>
      <c r="V1367" s="2"/>
      <c r="W1367" s="2"/>
      <c r="X1367" s="2"/>
      <c r="Y1367" s="2"/>
      <c r="Z1367" s="2"/>
      <c r="AA1367" s="2"/>
      <c r="AB1367" s="2"/>
      <c r="AC1367" s="2"/>
    </row>
    <row r="1368" spans="7:29" x14ac:dyDescent="0.35">
      <c r="G1368" s="2"/>
      <c r="H1368" s="2"/>
      <c r="I1368" s="2"/>
      <c r="J1368" s="2"/>
      <c r="K1368" s="2"/>
      <c r="L1368" s="2"/>
      <c r="M1368" s="2"/>
      <c r="N1368" s="2"/>
      <c r="O1368" s="2"/>
      <c r="P1368" s="2"/>
      <c r="Q1368" s="2"/>
      <c r="R1368" s="2"/>
      <c r="S1368" s="2"/>
      <c r="T1368" s="2"/>
      <c r="U1368" s="2"/>
      <c r="V1368" s="2"/>
      <c r="W1368" s="2"/>
      <c r="X1368" s="2"/>
      <c r="Y1368" s="2"/>
      <c r="Z1368" s="2"/>
      <c r="AA1368" s="2"/>
      <c r="AB1368" s="2"/>
      <c r="AC1368" s="2"/>
    </row>
    <row r="1369" spans="7:29" x14ac:dyDescent="0.35">
      <c r="G1369" s="2"/>
      <c r="H1369" s="2"/>
      <c r="I1369" s="2"/>
      <c r="J1369" s="2"/>
      <c r="K1369" s="2"/>
      <c r="L1369" s="2"/>
      <c r="M1369" s="2"/>
      <c r="N1369" s="2"/>
      <c r="O1369" s="2"/>
      <c r="P1369" s="2"/>
      <c r="Q1369" s="2"/>
      <c r="R1369" s="2"/>
      <c r="S1369" s="2"/>
      <c r="T1369" s="2"/>
      <c r="U1369" s="2"/>
      <c r="V1369" s="2"/>
      <c r="W1369" s="2"/>
      <c r="X1369" s="2"/>
      <c r="Y1369" s="2"/>
      <c r="Z1369" s="2"/>
      <c r="AA1369" s="2"/>
      <c r="AB1369" s="2"/>
      <c r="AC1369" s="2"/>
    </row>
    <row r="1370" spans="7:29" x14ac:dyDescent="0.35">
      <c r="G1370" s="2"/>
      <c r="H1370" s="2"/>
      <c r="I1370" s="2"/>
      <c r="J1370" s="2"/>
      <c r="K1370" s="2"/>
      <c r="L1370" s="2"/>
      <c r="M1370" s="2"/>
      <c r="N1370" s="2"/>
      <c r="O1370" s="2"/>
      <c r="P1370" s="2"/>
      <c r="Q1370" s="2"/>
      <c r="R1370" s="2"/>
      <c r="S1370" s="2"/>
      <c r="T1370" s="2"/>
      <c r="U1370" s="2"/>
      <c r="V1370" s="2"/>
      <c r="W1370" s="2"/>
      <c r="X1370" s="2"/>
      <c r="Y1370" s="2"/>
      <c r="Z1370" s="2"/>
      <c r="AA1370" s="2"/>
      <c r="AB1370" s="2"/>
      <c r="AC1370" s="2"/>
    </row>
    <row r="1371" spans="7:29" x14ac:dyDescent="0.35">
      <c r="G1371" s="2"/>
      <c r="H1371" s="2"/>
      <c r="I1371" s="2"/>
      <c r="J1371" s="2"/>
      <c r="K1371" s="2"/>
      <c r="L1371" s="2"/>
      <c r="M1371" s="2"/>
      <c r="N1371" s="2"/>
      <c r="O1371" s="2"/>
      <c r="P1371" s="2"/>
      <c r="Q1371" s="2"/>
      <c r="R1371" s="2"/>
      <c r="S1371" s="2"/>
      <c r="T1371" s="2"/>
      <c r="U1371" s="2"/>
      <c r="V1371" s="2"/>
      <c r="W1371" s="2"/>
      <c r="X1371" s="2"/>
      <c r="Y1371" s="2"/>
      <c r="Z1371" s="2"/>
      <c r="AA1371" s="2"/>
      <c r="AB1371" s="2"/>
      <c r="AC1371" s="2"/>
    </row>
    <row r="1372" spans="7:29" x14ac:dyDescent="0.35">
      <c r="G1372" s="2"/>
      <c r="H1372" s="2"/>
      <c r="I1372" s="2"/>
      <c r="J1372" s="2"/>
      <c r="K1372" s="2"/>
      <c r="L1372" s="2"/>
      <c r="M1372" s="2"/>
      <c r="N1372" s="2"/>
      <c r="O1372" s="2"/>
      <c r="P1372" s="2"/>
      <c r="Q1372" s="2"/>
      <c r="R1372" s="2"/>
      <c r="S1372" s="2"/>
      <c r="T1372" s="2"/>
      <c r="U1372" s="2"/>
      <c r="V1372" s="2"/>
      <c r="W1372" s="2"/>
      <c r="X1372" s="2"/>
      <c r="Y1372" s="2"/>
      <c r="Z1372" s="2"/>
      <c r="AA1372" s="2"/>
      <c r="AB1372" s="2"/>
      <c r="AC1372" s="2"/>
    </row>
    <row r="1373" spans="7:29" x14ac:dyDescent="0.35">
      <c r="G1373" s="2"/>
      <c r="H1373" s="2"/>
      <c r="I1373" s="2"/>
      <c r="J1373" s="2"/>
      <c r="K1373" s="2"/>
      <c r="L1373" s="2"/>
      <c r="M1373" s="2"/>
      <c r="N1373" s="2"/>
      <c r="O1373" s="2"/>
      <c r="P1373" s="2"/>
      <c r="Q1373" s="2"/>
      <c r="R1373" s="2"/>
      <c r="S1373" s="2"/>
      <c r="T1373" s="2"/>
      <c r="U1373" s="2"/>
      <c r="V1373" s="2"/>
      <c r="W1373" s="2"/>
      <c r="X1373" s="2"/>
      <c r="Y1373" s="2"/>
      <c r="Z1373" s="2"/>
      <c r="AA1373" s="2"/>
      <c r="AB1373" s="2"/>
      <c r="AC1373" s="2"/>
    </row>
    <row r="1374" spans="7:29" x14ac:dyDescent="0.35">
      <c r="G1374" s="2"/>
      <c r="H1374" s="2"/>
      <c r="I1374" s="2"/>
      <c r="J1374" s="2"/>
      <c r="K1374" s="2"/>
      <c r="L1374" s="2"/>
      <c r="M1374" s="2"/>
      <c r="N1374" s="2"/>
      <c r="O1374" s="2"/>
      <c r="P1374" s="2"/>
      <c r="Q1374" s="2"/>
      <c r="R1374" s="2"/>
      <c r="S1374" s="2"/>
      <c r="T1374" s="2"/>
      <c r="U1374" s="2"/>
      <c r="V1374" s="2"/>
      <c r="W1374" s="2"/>
      <c r="X1374" s="2"/>
      <c r="Y1374" s="2"/>
      <c r="Z1374" s="2"/>
      <c r="AA1374" s="2"/>
      <c r="AB1374" s="2"/>
      <c r="AC1374" s="2"/>
    </row>
    <row r="1375" spans="7:29" x14ac:dyDescent="0.35">
      <c r="G1375" s="2"/>
      <c r="H1375" s="2"/>
      <c r="I1375" s="2"/>
      <c r="J1375" s="2"/>
      <c r="K1375" s="2"/>
      <c r="L1375" s="2"/>
      <c r="M1375" s="2"/>
      <c r="N1375" s="2"/>
      <c r="O1375" s="2"/>
      <c r="P1375" s="2"/>
      <c r="Q1375" s="2"/>
      <c r="R1375" s="2"/>
      <c r="S1375" s="2"/>
      <c r="T1375" s="2"/>
      <c r="U1375" s="2"/>
      <c r="V1375" s="2"/>
      <c r="W1375" s="2"/>
      <c r="X1375" s="2"/>
      <c r="Y1375" s="2"/>
      <c r="Z1375" s="2"/>
      <c r="AA1375" s="2"/>
      <c r="AB1375" s="2"/>
      <c r="AC1375" s="2"/>
    </row>
    <row r="1376" spans="7:29" x14ac:dyDescent="0.35">
      <c r="G1376" s="2"/>
      <c r="H1376" s="2"/>
      <c r="I1376" s="2"/>
      <c r="J1376" s="2"/>
      <c r="K1376" s="2"/>
      <c r="L1376" s="2"/>
      <c r="M1376" s="2"/>
      <c r="N1376" s="2"/>
      <c r="O1376" s="2"/>
      <c r="P1376" s="2"/>
      <c r="Q1376" s="2"/>
      <c r="R1376" s="2"/>
      <c r="S1376" s="2"/>
      <c r="T1376" s="2"/>
      <c r="U1376" s="2"/>
      <c r="V1376" s="2"/>
      <c r="W1376" s="2"/>
      <c r="X1376" s="2"/>
      <c r="Y1376" s="2"/>
      <c r="Z1376" s="2"/>
      <c r="AA1376" s="2"/>
      <c r="AB1376" s="2"/>
      <c r="AC1376" s="2"/>
    </row>
    <row r="1377" spans="7:29" x14ac:dyDescent="0.35">
      <c r="G1377" s="2"/>
      <c r="H1377" s="2"/>
      <c r="I1377" s="2"/>
      <c r="J1377" s="2"/>
      <c r="K1377" s="2"/>
      <c r="L1377" s="2"/>
      <c r="M1377" s="2"/>
      <c r="N1377" s="2"/>
      <c r="O1377" s="2"/>
      <c r="P1377" s="2"/>
      <c r="Q1377" s="2"/>
      <c r="R1377" s="2"/>
      <c r="S1377" s="2"/>
      <c r="T1377" s="2"/>
      <c r="U1377" s="2"/>
      <c r="V1377" s="2"/>
      <c r="W1377" s="2"/>
      <c r="X1377" s="2"/>
      <c r="Y1377" s="2"/>
      <c r="Z1377" s="2"/>
      <c r="AA1377" s="2"/>
      <c r="AB1377" s="2"/>
      <c r="AC1377" s="2"/>
    </row>
    <row r="1378" spans="7:29" x14ac:dyDescent="0.35">
      <c r="G1378" s="2"/>
      <c r="H1378" s="2"/>
      <c r="I1378" s="2"/>
      <c r="J1378" s="2"/>
      <c r="K1378" s="2"/>
      <c r="L1378" s="2"/>
      <c r="M1378" s="2"/>
      <c r="N1378" s="2"/>
      <c r="O1378" s="2"/>
      <c r="P1378" s="2"/>
      <c r="Q1378" s="2"/>
      <c r="R1378" s="2"/>
      <c r="S1378" s="2"/>
      <c r="T1378" s="2"/>
      <c r="U1378" s="2"/>
      <c r="V1378" s="2"/>
      <c r="W1378" s="2"/>
      <c r="X1378" s="2"/>
      <c r="Y1378" s="2"/>
      <c r="Z1378" s="2"/>
      <c r="AA1378" s="2"/>
      <c r="AB1378" s="2"/>
      <c r="AC1378" s="2"/>
    </row>
    <row r="1379" spans="7:29" x14ac:dyDescent="0.35">
      <c r="G1379" s="2"/>
      <c r="H1379" s="2"/>
      <c r="I1379" s="2"/>
      <c r="J1379" s="2"/>
      <c r="K1379" s="2"/>
      <c r="L1379" s="2"/>
      <c r="M1379" s="2"/>
      <c r="N1379" s="2"/>
      <c r="O1379" s="2"/>
      <c r="P1379" s="2"/>
      <c r="Q1379" s="2"/>
      <c r="R1379" s="2"/>
      <c r="S1379" s="2"/>
      <c r="T1379" s="2"/>
      <c r="U1379" s="2"/>
      <c r="V1379" s="2"/>
      <c r="W1379" s="2"/>
      <c r="X1379" s="2"/>
      <c r="Y1379" s="2"/>
      <c r="Z1379" s="2"/>
      <c r="AA1379" s="2"/>
      <c r="AB1379" s="2"/>
      <c r="AC1379" s="2"/>
    </row>
    <row r="1380" spans="7:29" x14ac:dyDescent="0.35">
      <c r="G1380" s="2"/>
      <c r="H1380" s="2"/>
      <c r="I1380" s="2"/>
      <c r="J1380" s="2"/>
      <c r="K1380" s="2"/>
      <c r="L1380" s="2"/>
      <c r="M1380" s="2"/>
      <c r="N1380" s="2"/>
      <c r="O1380" s="2"/>
      <c r="P1380" s="2"/>
      <c r="Q1380" s="2"/>
      <c r="R1380" s="2"/>
      <c r="S1380" s="2"/>
      <c r="T1380" s="2"/>
      <c r="U1380" s="2"/>
      <c r="V1380" s="2"/>
      <c r="W1380" s="2"/>
      <c r="X1380" s="2"/>
      <c r="Y1380" s="2"/>
      <c r="Z1380" s="2"/>
      <c r="AA1380" s="2"/>
      <c r="AB1380" s="2"/>
      <c r="AC1380" s="2"/>
    </row>
    <row r="1381" spans="7:29" x14ac:dyDescent="0.35">
      <c r="G1381" s="2"/>
      <c r="H1381" s="2"/>
      <c r="I1381" s="2"/>
      <c r="J1381" s="2"/>
      <c r="K1381" s="2"/>
      <c r="L1381" s="2"/>
      <c r="M1381" s="2"/>
      <c r="N1381" s="2"/>
      <c r="O1381" s="2"/>
      <c r="P1381" s="2"/>
      <c r="Q1381" s="2"/>
      <c r="R1381" s="2"/>
      <c r="S1381" s="2"/>
      <c r="T1381" s="2"/>
      <c r="U1381" s="2"/>
      <c r="V1381" s="2"/>
      <c r="W1381" s="2"/>
      <c r="X1381" s="2"/>
      <c r="Y1381" s="2"/>
      <c r="Z1381" s="2"/>
      <c r="AA1381" s="2"/>
      <c r="AB1381" s="2"/>
      <c r="AC1381" s="2"/>
    </row>
    <row r="1382" spans="7:29" x14ac:dyDescent="0.35">
      <c r="G1382" s="2"/>
      <c r="H1382" s="2"/>
      <c r="I1382" s="2"/>
      <c r="J1382" s="2"/>
      <c r="K1382" s="2"/>
      <c r="L1382" s="2"/>
      <c r="M1382" s="2"/>
      <c r="N1382" s="2"/>
      <c r="O1382" s="2"/>
      <c r="P1382" s="2"/>
      <c r="Q1382" s="2"/>
      <c r="R1382" s="2"/>
      <c r="S1382" s="2"/>
      <c r="T1382" s="2"/>
      <c r="U1382" s="2"/>
      <c r="V1382" s="2"/>
      <c r="W1382" s="2"/>
      <c r="X1382" s="2"/>
      <c r="Y1382" s="2"/>
      <c r="Z1382" s="2"/>
      <c r="AA1382" s="2"/>
      <c r="AB1382" s="2"/>
      <c r="AC1382" s="2"/>
    </row>
    <row r="1383" spans="7:29" x14ac:dyDescent="0.35">
      <c r="G1383" s="2"/>
      <c r="H1383" s="2"/>
      <c r="I1383" s="2"/>
      <c r="J1383" s="2"/>
      <c r="K1383" s="2"/>
      <c r="L1383" s="2"/>
      <c r="M1383" s="2"/>
      <c r="N1383" s="2"/>
      <c r="O1383" s="2"/>
      <c r="P1383" s="2"/>
      <c r="Q1383" s="2"/>
      <c r="R1383" s="2"/>
      <c r="S1383" s="2"/>
      <c r="T1383" s="2"/>
      <c r="U1383" s="2"/>
      <c r="V1383" s="2"/>
      <c r="W1383" s="2"/>
      <c r="X1383" s="2"/>
      <c r="Y1383" s="2"/>
      <c r="Z1383" s="2"/>
      <c r="AA1383" s="2"/>
      <c r="AB1383" s="2"/>
      <c r="AC1383" s="2"/>
    </row>
    <row r="1384" spans="7:29" x14ac:dyDescent="0.35">
      <c r="G1384" s="2"/>
      <c r="H1384" s="2"/>
      <c r="I1384" s="2"/>
      <c r="J1384" s="2"/>
      <c r="K1384" s="2"/>
      <c r="L1384" s="2"/>
      <c r="M1384" s="2"/>
      <c r="N1384" s="2"/>
      <c r="O1384" s="2"/>
      <c r="P1384" s="2"/>
      <c r="Q1384" s="2"/>
      <c r="R1384" s="2"/>
      <c r="S1384" s="2"/>
      <c r="T1384" s="2"/>
      <c r="U1384" s="2"/>
      <c r="V1384" s="2"/>
      <c r="W1384" s="2"/>
      <c r="X1384" s="2"/>
      <c r="Y1384" s="2"/>
      <c r="Z1384" s="2"/>
      <c r="AA1384" s="2"/>
      <c r="AB1384" s="2"/>
      <c r="AC1384" s="2"/>
    </row>
    <row r="1385" spans="7:29" x14ac:dyDescent="0.35">
      <c r="G1385" s="2"/>
      <c r="H1385" s="2"/>
      <c r="I1385" s="2"/>
      <c r="J1385" s="2"/>
      <c r="K1385" s="2"/>
      <c r="L1385" s="2"/>
      <c r="M1385" s="2"/>
      <c r="N1385" s="2"/>
      <c r="O1385" s="2"/>
      <c r="P1385" s="2"/>
      <c r="Q1385" s="2"/>
      <c r="R1385" s="2"/>
      <c r="S1385" s="2"/>
      <c r="T1385" s="2"/>
      <c r="U1385" s="2"/>
      <c r="V1385" s="2"/>
      <c r="W1385" s="2"/>
      <c r="X1385" s="2"/>
      <c r="Y1385" s="2"/>
      <c r="Z1385" s="2"/>
      <c r="AA1385" s="2"/>
      <c r="AB1385" s="2"/>
      <c r="AC1385" s="2"/>
    </row>
    <row r="1386" spans="7:29" x14ac:dyDescent="0.35">
      <c r="G1386" s="2"/>
      <c r="H1386" s="2"/>
      <c r="I1386" s="2"/>
      <c r="J1386" s="2"/>
      <c r="K1386" s="2"/>
      <c r="L1386" s="2"/>
      <c r="M1386" s="2"/>
      <c r="N1386" s="2"/>
      <c r="O1386" s="2"/>
      <c r="P1386" s="2"/>
      <c r="Q1386" s="2"/>
      <c r="R1386" s="2"/>
      <c r="S1386" s="2"/>
      <c r="T1386" s="2"/>
      <c r="U1386" s="2"/>
      <c r="V1386" s="2"/>
      <c r="W1386" s="2"/>
      <c r="X1386" s="2"/>
      <c r="Y1386" s="2"/>
      <c r="Z1386" s="2"/>
      <c r="AA1386" s="2"/>
      <c r="AB1386" s="2"/>
      <c r="AC1386" s="2"/>
    </row>
    <row r="1387" spans="7:29" x14ac:dyDescent="0.35">
      <c r="G1387" s="2"/>
      <c r="H1387" s="2"/>
      <c r="I1387" s="2"/>
      <c r="J1387" s="2"/>
      <c r="K1387" s="2"/>
      <c r="L1387" s="2"/>
      <c r="M1387" s="2"/>
      <c r="N1387" s="2"/>
      <c r="O1387" s="2"/>
      <c r="P1387" s="2"/>
      <c r="Q1387" s="2"/>
      <c r="R1387" s="2"/>
      <c r="S1387" s="2"/>
      <c r="T1387" s="2"/>
      <c r="U1387" s="2"/>
      <c r="V1387" s="2"/>
      <c r="W1387" s="2"/>
      <c r="X1387" s="2"/>
      <c r="Y1387" s="2"/>
      <c r="Z1387" s="2"/>
      <c r="AA1387" s="2"/>
      <c r="AB1387" s="2"/>
      <c r="AC1387" s="2"/>
    </row>
    <row r="1388" spans="7:29" x14ac:dyDescent="0.35">
      <c r="G1388" s="2"/>
      <c r="H1388" s="2"/>
      <c r="I1388" s="2"/>
      <c r="J1388" s="2"/>
      <c r="K1388" s="2"/>
      <c r="L1388" s="2"/>
      <c r="M1388" s="2"/>
      <c r="N1388" s="2"/>
      <c r="O1388" s="2"/>
      <c r="P1388" s="2"/>
      <c r="Q1388" s="2"/>
      <c r="R1388" s="2"/>
      <c r="S1388" s="2"/>
      <c r="T1388" s="2"/>
      <c r="U1388" s="2"/>
      <c r="V1388" s="2"/>
      <c r="W1388" s="2"/>
      <c r="X1388" s="2"/>
      <c r="Y1388" s="2"/>
      <c r="Z1388" s="2"/>
      <c r="AA1388" s="2"/>
      <c r="AB1388" s="2"/>
      <c r="AC1388" s="2"/>
    </row>
    <row r="1389" spans="7:29" x14ac:dyDescent="0.35">
      <c r="G1389" s="2"/>
      <c r="H1389" s="2"/>
      <c r="I1389" s="2"/>
      <c r="J1389" s="2"/>
      <c r="K1389" s="2"/>
      <c r="L1389" s="2"/>
      <c r="M1389" s="2"/>
      <c r="N1389" s="2"/>
      <c r="O1389" s="2"/>
      <c r="P1389" s="2"/>
      <c r="Q1389" s="2"/>
      <c r="R1389" s="2"/>
      <c r="S1389" s="2"/>
      <c r="T1389" s="2"/>
      <c r="U1389" s="2"/>
      <c r="V1389" s="2"/>
      <c r="W1389" s="2"/>
      <c r="X1389" s="2"/>
      <c r="Y1389" s="2"/>
      <c r="Z1389" s="2"/>
      <c r="AA1389" s="2"/>
      <c r="AB1389" s="2"/>
      <c r="AC1389" s="2"/>
    </row>
    <row r="1390" spans="7:29" x14ac:dyDescent="0.35">
      <c r="G1390" s="2"/>
      <c r="H1390" s="2"/>
      <c r="I1390" s="2"/>
      <c r="J1390" s="2"/>
      <c r="K1390" s="2"/>
      <c r="L1390" s="2"/>
      <c r="M1390" s="2"/>
      <c r="N1390" s="2"/>
      <c r="O1390" s="2"/>
      <c r="P1390" s="2"/>
      <c r="Q1390" s="2"/>
      <c r="R1390" s="2"/>
      <c r="S1390" s="2"/>
      <c r="T1390" s="2"/>
      <c r="U1390" s="2"/>
      <c r="V1390" s="2"/>
      <c r="W1390" s="2"/>
      <c r="X1390" s="2"/>
      <c r="Y1390" s="2"/>
      <c r="Z1390" s="2"/>
      <c r="AA1390" s="2"/>
      <c r="AB1390" s="2"/>
      <c r="AC1390" s="2"/>
    </row>
    <row r="1391" spans="7:29" x14ac:dyDescent="0.35">
      <c r="G1391" s="2"/>
      <c r="H1391" s="2"/>
      <c r="I1391" s="2"/>
      <c r="J1391" s="2"/>
      <c r="K1391" s="2"/>
      <c r="L1391" s="2"/>
      <c r="M1391" s="2"/>
      <c r="N1391" s="2"/>
      <c r="O1391" s="2"/>
      <c r="P1391" s="2"/>
      <c r="Q1391" s="2"/>
      <c r="R1391" s="2"/>
      <c r="S1391" s="2"/>
      <c r="T1391" s="2"/>
      <c r="U1391" s="2"/>
      <c r="V1391" s="2"/>
      <c r="W1391" s="2"/>
      <c r="X1391" s="2"/>
      <c r="Y1391" s="2"/>
      <c r="Z1391" s="2"/>
      <c r="AA1391" s="2"/>
      <c r="AB1391" s="2"/>
      <c r="AC1391" s="2"/>
    </row>
    <row r="1392" spans="7:29" x14ac:dyDescent="0.35">
      <c r="G1392" s="2"/>
      <c r="H1392" s="2"/>
      <c r="I1392" s="2"/>
      <c r="J1392" s="2"/>
      <c r="K1392" s="2"/>
      <c r="L1392" s="2"/>
      <c r="M1392" s="2"/>
      <c r="N1392" s="2"/>
      <c r="O1392" s="2"/>
      <c r="P1392" s="2"/>
      <c r="Q1392" s="2"/>
      <c r="R1392" s="2"/>
      <c r="S1392" s="2"/>
      <c r="T1392" s="2"/>
      <c r="U1392" s="2"/>
      <c r="V1392" s="2"/>
      <c r="W1392" s="2"/>
      <c r="X1392" s="2"/>
      <c r="Y1392" s="2"/>
      <c r="Z1392" s="2"/>
      <c r="AA1392" s="2"/>
      <c r="AB1392" s="2"/>
      <c r="AC1392" s="2"/>
    </row>
    <row r="1393" spans="7:29" x14ac:dyDescent="0.35">
      <c r="G1393" s="2"/>
      <c r="H1393" s="2"/>
      <c r="I1393" s="2"/>
      <c r="J1393" s="2"/>
      <c r="K1393" s="2"/>
      <c r="L1393" s="2"/>
      <c r="M1393" s="2"/>
      <c r="N1393" s="2"/>
      <c r="O1393" s="2"/>
      <c r="P1393" s="2"/>
      <c r="Q1393" s="2"/>
      <c r="R1393" s="2"/>
      <c r="S1393" s="2"/>
      <c r="T1393" s="2"/>
      <c r="U1393" s="2"/>
      <c r="V1393" s="2"/>
      <c r="W1393" s="2"/>
      <c r="X1393" s="2"/>
      <c r="Y1393" s="2"/>
      <c r="Z1393" s="2"/>
      <c r="AA1393" s="2"/>
      <c r="AB1393" s="2"/>
      <c r="AC1393" s="2"/>
    </row>
    <row r="1394" spans="7:29" x14ac:dyDescent="0.35">
      <c r="G1394" s="2"/>
      <c r="H1394" s="2"/>
      <c r="I1394" s="2"/>
      <c r="J1394" s="2"/>
      <c r="K1394" s="2"/>
      <c r="L1394" s="2"/>
      <c r="M1394" s="2"/>
      <c r="N1394" s="2"/>
      <c r="O1394" s="2"/>
      <c r="P1394" s="2"/>
      <c r="Q1394" s="2"/>
      <c r="R1394" s="2"/>
      <c r="S1394" s="2"/>
      <c r="T1394" s="2"/>
      <c r="U1394" s="2"/>
      <c r="V1394" s="2"/>
      <c r="W1394" s="2"/>
      <c r="X1394" s="2"/>
      <c r="Y1394" s="2"/>
      <c r="Z1394" s="2"/>
      <c r="AA1394" s="2"/>
      <c r="AB1394" s="2"/>
      <c r="AC1394" s="2"/>
    </row>
    <row r="1395" spans="7:29" x14ac:dyDescent="0.35">
      <c r="G1395" s="2"/>
      <c r="H1395" s="2"/>
      <c r="I1395" s="2"/>
      <c r="J1395" s="2"/>
      <c r="K1395" s="2"/>
      <c r="L1395" s="2"/>
      <c r="M1395" s="2"/>
      <c r="N1395" s="2"/>
      <c r="O1395" s="2"/>
      <c r="P1395" s="2"/>
      <c r="Q1395" s="2"/>
      <c r="R1395" s="2"/>
      <c r="S1395" s="2"/>
      <c r="T1395" s="2"/>
      <c r="U1395" s="2"/>
      <c r="V1395" s="2"/>
      <c r="W1395" s="2"/>
      <c r="X1395" s="2"/>
      <c r="Y1395" s="2"/>
      <c r="Z1395" s="2"/>
      <c r="AA1395" s="2"/>
      <c r="AB1395" s="2"/>
      <c r="AC1395" s="2"/>
    </row>
    <row r="1396" spans="7:29" x14ac:dyDescent="0.35">
      <c r="G1396" s="2"/>
      <c r="H1396" s="2"/>
      <c r="I1396" s="2"/>
      <c r="J1396" s="2"/>
      <c r="K1396" s="2"/>
      <c r="L1396" s="2"/>
      <c r="M1396" s="2"/>
      <c r="N1396" s="2"/>
      <c r="O1396" s="2"/>
      <c r="P1396" s="2"/>
      <c r="Q1396" s="2"/>
      <c r="R1396" s="2"/>
      <c r="S1396" s="2"/>
      <c r="T1396" s="2"/>
      <c r="U1396" s="2"/>
      <c r="V1396" s="2"/>
      <c r="W1396" s="2"/>
      <c r="X1396" s="2"/>
      <c r="Y1396" s="2"/>
      <c r="Z1396" s="2"/>
      <c r="AA1396" s="2"/>
      <c r="AB1396" s="2"/>
      <c r="AC1396" s="2"/>
    </row>
    <row r="1397" spans="7:29" x14ac:dyDescent="0.35">
      <c r="G1397" s="2"/>
      <c r="H1397" s="2"/>
      <c r="I1397" s="2"/>
      <c r="J1397" s="2"/>
      <c r="K1397" s="2"/>
      <c r="L1397" s="2"/>
      <c r="M1397" s="2"/>
      <c r="N1397" s="2"/>
      <c r="O1397" s="2"/>
      <c r="P1397" s="2"/>
      <c r="Q1397" s="2"/>
      <c r="R1397" s="2"/>
      <c r="S1397" s="2"/>
      <c r="T1397" s="2"/>
      <c r="U1397" s="2"/>
      <c r="V1397" s="2"/>
      <c r="W1397" s="2"/>
      <c r="X1397" s="2"/>
      <c r="Y1397" s="2"/>
      <c r="Z1397" s="2"/>
      <c r="AA1397" s="2"/>
      <c r="AB1397" s="2"/>
      <c r="AC1397" s="2"/>
    </row>
    <row r="1398" spans="7:29" x14ac:dyDescent="0.35">
      <c r="G1398" s="2"/>
      <c r="H1398" s="2"/>
      <c r="I1398" s="2"/>
      <c r="J1398" s="2"/>
      <c r="K1398" s="2"/>
      <c r="L1398" s="2"/>
      <c r="M1398" s="2"/>
      <c r="N1398" s="2"/>
      <c r="O1398" s="2"/>
      <c r="P1398" s="2"/>
      <c r="Q1398" s="2"/>
      <c r="R1398" s="2"/>
      <c r="S1398" s="2"/>
      <c r="T1398" s="2"/>
      <c r="U1398" s="2"/>
      <c r="V1398" s="2"/>
      <c r="W1398" s="2"/>
      <c r="X1398" s="2"/>
      <c r="Y1398" s="2"/>
      <c r="Z1398" s="2"/>
      <c r="AA1398" s="2"/>
      <c r="AB1398" s="2"/>
      <c r="AC1398" s="2"/>
    </row>
    <row r="1399" spans="7:29" x14ac:dyDescent="0.35">
      <c r="G1399" s="2"/>
      <c r="H1399" s="2"/>
      <c r="I1399" s="2"/>
      <c r="J1399" s="2"/>
      <c r="K1399" s="2"/>
      <c r="L1399" s="2"/>
      <c r="M1399" s="2"/>
      <c r="N1399" s="2"/>
      <c r="O1399" s="2"/>
      <c r="P1399" s="2"/>
      <c r="Q1399" s="2"/>
      <c r="R1399" s="2"/>
      <c r="S1399" s="2"/>
      <c r="T1399" s="2"/>
      <c r="U1399" s="2"/>
      <c r="V1399" s="2"/>
      <c r="W1399" s="2"/>
      <c r="X1399" s="2"/>
      <c r="Y1399" s="2"/>
      <c r="Z1399" s="2"/>
      <c r="AA1399" s="2"/>
      <c r="AB1399" s="2"/>
      <c r="AC1399" s="2"/>
    </row>
    <row r="1400" spans="7:29" x14ac:dyDescent="0.35">
      <c r="G1400" s="2"/>
      <c r="H1400" s="2"/>
      <c r="I1400" s="2"/>
      <c r="J1400" s="2"/>
      <c r="K1400" s="2"/>
      <c r="L1400" s="2"/>
      <c r="M1400" s="2"/>
      <c r="N1400" s="2"/>
      <c r="O1400" s="2"/>
      <c r="P1400" s="2"/>
      <c r="Q1400" s="2"/>
      <c r="R1400" s="2"/>
      <c r="S1400" s="2"/>
      <c r="T1400" s="2"/>
      <c r="U1400" s="2"/>
      <c r="V1400" s="2"/>
      <c r="W1400" s="2"/>
      <c r="X1400" s="2"/>
      <c r="Y1400" s="2"/>
      <c r="Z1400" s="2"/>
      <c r="AA1400" s="2"/>
      <c r="AB1400" s="2"/>
      <c r="AC1400" s="2"/>
    </row>
    <row r="1401" spans="7:29" x14ac:dyDescent="0.35">
      <c r="G1401" s="2"/>
      <c r="H1401" s="2"/>
      <c r="I1401" s="2"/>
      <c r="J1401" s="2"/>
      <c r="K1401" s="2"/>
      <c r="L1401" s="2"/>
      <c r="M1401" s="2"/>
      <c r="N1401" s="2"/>
      <c r="O1401" s="2"/>
      <c r="P1401" s="2"/>
      <c r="Q1401" s="2"/>
      <c r="R1401" s="2"/>
      <c r="S1401" s="2"/>
      <c r="T1401" s="2"/>
      <c r="U1401" s="2"/>
      <c r="V1401" s="2"/>
      <c r="W1401" s="2"/>
      <c r="X1401" s="2"/>
      <c r="Y1401" s="2"/>
      <c r="Z1401" s="2"/>
      <c r="AA1401" s="2"/>
      <c r="AB1401" s="2"/>
      <c r="AC1401" s="2"/>
    </row>
    <row r="1402" spans="7:29" x14ac:dyDescent="0.35">
      <c r="G1402" s="2"/>
      <c r="H1402" s="2"/>
      <c r="I1402" s="2"/>
      <c r="J1402" s="2"/>
      <c r="K1402" s="2"/>
      <c r="L1402" s="2"/>
      <c r="M1402" s="2"/>
      <c r="N1402" s="2"/>
      <c r="O1402" s="2"/>
      <c r="P1402" s="2"/>
      <c r="Q1402" s="2"/>
      <c r="R1402" s="2"/>
      <c r="S1402" s="2"/>
      <c r="T1402" s="2"/>
      <c r="U1402" s="2"/>
      <c r="V1402" s="2"/>
      <c r="W1402" s="2"/>
      <c r="X1402" s="2"/>
      <c r="Y1402" s="2"/>
      <c r="Z1402" s="2"/>
      <c r="AA1402" s="2"/>
      <c r="AB1402" s="2"/>
      <c r="AC1402" s="2"/>
    </row>
    <row r="1403" spans="7:29" x14ac:dyDescent="0.35">
      <c r="G1403" s="2"/>
      <c r="H1403" s="2"/>
      <c r="I1403" s="2"/>
      <c r="J1403" s="2"/>
      <c r="K1403" s="2"/>
      <c r="L1403" s="2"/>
      <c r="M1403" s="2"/>
      <c r="N1403" s="2"/>
      <c r="O1403" s="2"/>
      <c r="P1403" s="2"/>
      <c r="Q1403" s="2"/>
      <c r="R1403" s="2"/>
      <c r="S1403" s="2"/>
      <c r="T1403" s="2"/>
      <c r="U1403" s="2"/>
      <c r="V1403" s="2"/>
      <c r="W1403" s="2"/>
      <c r="X1403" s="2"/>
      <c r="Y1403" s="2"/>
      <c r="Z1403" s="2"/>
      <c r="AA1403" s="2"/>
      <c r="AB1403" s="2"/>
      <c r="AC1403" s="2"/>
    </row>
    <row r="1404" spans="7:29" x14ac:dyDescent="0.35">
      <c r="G1404" s="2"/>
      <c r="H1404" s="2"/>
      <c r="I1404" s="2"/>
      <c r="J1404" s="2"/>
      <c r="K1404" s="2"/>
      <c r="L1404" s="2"/>
      <c r="M1404" s="2"/>
      <c r="N1404" s="2"/>
      <c r="O1404" s="2"/>
      <c r="P1404" s="2"/>
      <c r="Q1404" s="2"/>
      <c r="R1404" s="2"/>
      <c r="S1404" s="2"/>
      <c r="T1404" s="2"/>
      <c r="U1404" s="2"/>
      <c r="V1404" s="2"/>
      <c r="W1404" s="2"/>
      <c r="X1404" s="2"/>
      <c r="Y1404" s="2"/>
      <c r="Z1404" s="2"/>
      <c r="AA1404" s="2"/>
      <c r="AB1404" s="2"/>
      <c r="AC1404" s="2"/>
    </row>
    <row r="1405" spans="7:29" x14ac:dyDescent="0.35">
      <c r="G1405" s="2"/>
      <c r="H1405" s="2"/>
      <c r="I1405" s="2"/>
      <c r="J1405" s="2"/>
      <c r="K1405" s="2"/>
      <c r="L1405" s="2"/>
      <c r="M1405" s="2"/>
      <c r="N1405" s="2"/>
      <c r="O1405" s="2"/>
      <c r="P1405" s="2"/>
      <c r="Q1405" s="2"/>
      <c r="R1405" s="2"/>
      <c r="S1405" s="2"/>
      <c r="T1405" s="2"/>
      <c r="U1405" s="2"/>
      <c r="V1405" s="2"/>
      <c r="W1405" s="2"/>
      <c r="X1405" s="2"/>
      <c r="Y1405" s="2"/>
      <c r="Z1405" s="2"/>
      <c r="AA1405" s="2"/>
      <c r="AB1405" s="2"/>
      <c r="AC1405" s="2"/>
    </row>
    <row r="1406" spans="7:29" x14ac:dyDescent="0.35">
      <c r="G1406" s="2"/>
      <c r="H1406" s="2"/>
      <c r="I1406" s="2"/>
      <c r="J1406" s="2"/>
      <c r="K1406" s="2"/>
      <c r="L1406" s="2"/>
      <c r="M1406" s="2"/>
      <c r="N1406" s="2"/>
      <c r="O1406" s="2"/>
      <c r="P1406" s="2"/>
      <c r="Q1406" s="2"/>
      <c r="R1406" s="2"/>
      <c r="S1406" s="2"/>
      <c r="T1406" s="2"/>
      <c r="U1406" s="2"/>
      <c r="V1406" s="2"/>
      <c r="W1406" s="2"/>
      <c r="X1406" s="2"/>
      <c r="Y1406" s="2"/>
      <c r="Z1406" s="2"/>
      <c r="AA1406" s="2"/>
      <c r="AB1406" s="2"/>
      <c r="AC1406" s="2"/>
    </row>
    <row r="1407" spans="7:29" x14ac:dyDescent="0.35">
      <c r="G1407" s="2"/>
      <c r="H1407" s="2"/>
      <c r="I1407" s="2"/>
      <c r="J1407" s="2"/>
      <c r="K1407" s="2"/>
      <c r="L1407" s="2"/>
      <c r="M1407" s="2"/>
      <c r="N1407" s="2"/>
      <c r="O1407" s="2"/>
      <c r="P1407" s="2"/>
      <c r="Q1407" s="2"/>
      <c r="R1407" s="2"/>
      <c r="S1407" s="2"/>
      <c r="T1407" s="2"/>
      <c r="U1407" s="2"/>
      <c r="V1407" s="2"/>
      <c r="W1407" s="2"/>
      <c r="X1407" s="2"/>
      <c r="Y1407" s="2"/>
      <c r="Z1407" s="2"/>
      <c r="AA1407" s="2"/>
      <c r="AB1407" s="2"/>
      <c r="AC1407" s="2"/>
    </row>
    <row r="1408" spans="7:29" x14ac:dyDescent="0.35">
      <c r="G1408" s="2"/>
      <c r="H1408" s="2"/>
      <c r="I1408" s="2"/>
      <c r="J1408" s="2"/>
      <c r="K1408" s="2"/>
      <c r="L1408" s="2"/>
      <c r="M1408" s="2"/>
      <c r="N1408" s="2"/>
      <c r="O1408" s="2"/>
      <c r="P1408" s="2"/>
      <c r="Q1408" s="2"/>
      <c r="R1408" s="2"/>
      <c r="S1408" s="2"/>
      <c r="T1408" s="2"/>
      <c r="U1408" s="2"/>
      <c r="V1408" s="2"/>
      <c r="W1408" s="2"/>
      <c r="X1408" s="2"/>
      <c r="Y1408" s="2"/>
      <c r="Z1408" s="2"/>
      <c r="AA1408" s="2"/>
      <c r="AB1408" s="2"/>
      <c r="AC1408" s="2"/>
    </row>
    <row r="1409" spans="7:29" x14ac:dyDescent="0.35">
      <c r="G1409" s="2"/>
      <c r="H1409" s="2"/>
      <c r="I1409" s="2"/>
      <c r="J1409" s="2"/>
      <c r="K1409" s="2"/>
      <c r="L1409" s="2"/>
      <c r="M1409" s="2"/>
      <c r="N1409" s="2"/>
      <c r="O1409" s="2"/>
      <c r="P1409" s="2"/>
      <c r="Q1409" s="2"/>
      <c r="R1409" s="2"/>
      <c r="S1409" s="2"/>
      <c r="T1409" s="2"/>
      <c r="U1409" s="2"/>
      <c r="V1409" s="2"/>
      <c r="W1409" s="2"/>
      <c r="X1409" s="2"/>
      <c r="Y1409" s="2"/>
      <c r="Z1409" s="2"/>
      <c r="AA1409" s="2"/>
      <c r="AB1409" s="2"/>
      <c r="AC1409" s="2"/>
    </row>
    <row r="1410" spans="7:29" x14ac:dyDescent="0.35">
      <c r="G1410" s="2"/>
      <c r="H1410" s="2"/>
      <c r="I1410" s="2"/>
      <c r="J1410" s="2"/>
      <c r="K1410" s="2"/>
      <c r="L1410" s="2"/>
      <c r="M1410" s="2"/>
      <c r="N1410" s="2"/>
      <c r="O1410" s="2"/>
      <c r="P1410" s="2"/>
      <c r="Q1410" s="2"/>
      <c r="R1410" s="2"/>
      <c r="S1410" s="2"/>
      <c r="T1410" s="2"/>
      <c r="U1410" s="2"/>
      <c r="V1410" s="2"/>
      <c r="W1410" s="2"/>
      <c r="X1410" s="2"/>
      <c r="Y1410" s="2"/>
      <c r="Z1410" s="2"/>
      <c r="AA1410" s="2"/>
      <c r="AB1410" s="2"/>
      <c r="AC1410" s="2"/>
    </row>
    <row r="1411" spans="7:29" x14ac:dyDescent="0.35">
      <c r="G1411" s="2"/>
      <c r="H1411" s="2"/>
      <c r="I1411" s="2"/>
      <c r="J1411" s="2"/>
      <c r="K1411" s="2"/>
      <c r="L1411" s="2"/>
      <c r="M1411" s="2"/>
      <c r="N1411" s="2"/>
      <c r="O1411" s="2"/>
      <c r="P1411" s="2"/>
      <c r="Q1411" s="2"/>
      <c r="R1411" s="2"/>
      <c r="S1411" s="2"/>
      <c r="T1411" s="2"/>
      <c r="U1411" s="2"/>
      <c r="V1411" s="2"/>
      <c r="W1411" s="2"/>
      <c r="X1411" s="2"/>
      <c r="Y1411" s="2"/>
      <c r="Z1411" s="2"/>
      <c r="AA1411" s="2"/>
      <c r="AB1411" s="2"/>
      <c r="AC1411" s="2"/>
    </row>
    <row r="1412" spans="7:29" x14ac:dyDescent="0.35">
      <c r="G1412" s="2"/>
      <c r="H1412" s="2"/>
      <c r="I1412" s="2"/>
      <c r="J1412" s="2"/>
      <c r="K1412" s="2"/>
      <c r="L1412" s="2"/>
      <c r="M1412" s="2"/>
      <c r="N1412" s="2"/>
      <c r="O1412" s="2"/>
      <c r="P1412" s="2"/>
      <c r="Q1412" s="2"/>
      <c r="R1412" s="2"/>
      <c r="S1412" s="2"/>
      <c r="T1412" s="2"/>
      <c r="U1412" s="2"/>
      <c r="V1412" s="2"/>
      <c r="W1412" s="2"/>
      <c r="X1412" s="2"/>
      <c r="Y1412" s="2"/>
      <c r="Z1412" s="2"/>
      <c r="AA1412" s="2"/>
      <c r="AB1412" s="2"/>
      <c r="AC1412" s="2"/>
    </row>
    <row r="1413" spans="7:29" x14ac:dyDescent="0.35">
      <c r="G1413" s="2"/>
      <c r="H1413" s="2"/>
      <c r="I1413" s="2"/>
      <c r="J1413" s="2"/>
      <c r="K1413" s="2"/>
      <c r="L1413" s="2"/>
      <c r="M1413" s="2"/>
      <c r="N1413" s="2"/>
      <c r="O1413" s="2"/>
      <c r="P1413" s="2"/>
      <c r="Q1413" s="2"/>
      <c r="R1413" s="2"/>
      <c r="S1413" s="2"/>
      <c r="T1413" s="2"/>
      <c r="U1413" s="2"/>
      <c r="V1413" s="2"/>
      <c r="W1413" s="2"/>
      <c r="X1413" s="2"/>
      <c r="Y1413" s="2"/>
      <c r="Z1413" s="2"/>
      <c r="AA1413" s="2"/>
      <c r="AB1413" s="2"/>
      <c r="AC1413" s="2"/>
    </row>
    <row r="1414" spans="7:29" x14ac:dyDescent="0.35">
      <c r="G1414" s="2"/>
      <c r="H1414" s="2"/>
      <c r="I1414" s="2"/>
      <c r="J1414" s="2"/>
      <c r="K1414" s="2"/>
      <c r="L1414" s="2"/>
      <c r="M1414" s="2"/>
      <c r="N1414" s="2"/>
      <c r="O1414" s="2"/>
      <c r="P1414" s="2"/>
      <c r="Q1414" s="2"/>
      <c r="R1414" s="2"/>
      <c r="S1414" s="2"/>
      <c r="T1414" s="2"/>
      <c r="U1414" s="2"/>
      <c r="V1414" s="2"/>
      <c r="W1414" s="2"/>
      <c r="X1414" s="2"/>
      <c r="Y1414" s="2"/>
      <c r="Z1414" s="2"/>
      <c r="AA1414" s="2"/>
      <c r="AB1414" s="2"/>
      <c r="AC1414" s="2"/>
    </row>
    <row r="1415" spans="7:29" x14ac:dyDescent="0.35">
      <c r="G1415" s="2"/>
      <c r="H1415" s="2"/>
      <c r="I1415" s="2"/>
      <c r="J1415" s="2"/>
      <c r="K1415" s="2"/>
      <c r="L1415" s="2"/>
      <c r="M1415" s="2"/>
      <c r="N1415" s="2"/>
      <c r="O1415" s="2"/>
      <c r="P1415" s="2"/>
      <c r="Q1415" s="2"/>
      <c r="R1415" s="2"/>
      <c r="S1415" s="2"/>
      <c r="T1415" s="2"/>
      <c r="U1415" s="2"/>
      <c r="V1415" s="2"/>
      <c r="W1415" s="2"/>
      <c r="X1415" s="2"/>
      <c r="Y1415" s="2"/>
      <c r="Z1415" s="2"/>
      <c r="AA1415" s="2"/>
      <c r="AB1415" s="2"/>
      <c r="AC1415" s="2"/>
    </row>
    <row r="1416" spans="7:29" x14ac:dyDescent="0.35">
      <c r="G1416" s="2"/>
      <c r="H1416" s="2"/>
      <c r="I1416" s="2"/>
      <c r="J1416" s="2"/>
      <c r="K1416" s="2"/>
      <c r="L1416" s="2"/>
      <c r="M1416" s="2"/>
      <c r="N1416" s="2"/>
      <c r="O1416" s="2"/>
      <c r="P1416" s="2"/>
      <c r="Q1416" s="2"/>
      <c r="R1416" s="2"/>
      <c r="S1416" s="2"/>
      <c r="T1416" s="2"/>
      <c r="U1416" s="2"/>
      <c r="V1416" s="2"/>
      <c r="W1416" s="2"/>
      <c r="X1416" s="2"/>
      <c r="Y1416" s="2"/>
      <c r="Z1416" s="2"/>
      <c r="AA1416" s="2"/>
      <c r="AB1416" s="2"/>
      <c r="AC1416" s="2"/>
    </row>
    <row r="1417" spans="7:29" x14ac:dyDescent="0.35">
      <c r="G1417" s="2"/>
      <c r="H1417" s="2"/>
      <c r="I1417" s="2"/>
      <c r="J1417" s="2"/>
      <c r="K1417" s="2"/>
      <c r="L1417" s="2"/>
      <c r="M1417" s="2"/>
      <c r="N1417" s="2"/>
      <c r="O1417" s="2"/>
      <c r="P1417" s="2"/>
      <c r="Q1417" s="2"/>
      <c r="R1417" s="2"/>
      <c r="S1417" s="2"/>
      <c r="T1417" s="2"/>
      <c r="U1417" s="2"/>
      <c r="V1417" s="2"/>
      <c r="W1417" s="2"/>
      <c r="X1417" s="2"/>
      <c r="Y1417" s="2"/>
      <c r="Z1417" s="2"/>
      <c r="AA1417" s="2"/>
      <c r="AB1417" s="2"/>
      <c r="AC1417" s="2"/>
    </row>
    <row r="1418" spans="7:29" x14ac:dyDescent="0.35">
      <c r="G1418" s="2"/>
      <c r="H1418" s="2"/>
      <c r="I1418" s="2"/>
      <c r="J1418" s="2"/>
      <c r="K1418" s="2"/>
      <c r="L1418" s="2"/>
      <c r="M1418" s="2"/>
      <c r="N1418" s="2"/>
      <c r="O1418" s="2"/>
      <c r="P1418" s="2"/>
      <c r="Q1418" s="2"/>
      <c r="R1418" s="2"/>
      <c r="S1418" s="2"/>
      <c r="T1418" s="2"/>
      <c r="U1418" s="2"/>
      <c r="V1418" s="2"/>
      <c r="W1418" s="2"/>
      <c r="X1418" s="2"/>
      <c r="Y1418" s="2"/>
      <c r="Z1418" s="2"/>
      <c r="AA1418" s="2"/>
      <c r="AB1418" s="2"/>
      <c r="AC1418" s="2"/>
    </row>
    <row r="1419" spans="7:29" x14ac:dyDescent="0.35">
      <c r="G1419" s="2"/>
      <c r="H1419" s="2"/>
      <c r="I1419" s="2"/>
      <c r="J1419" s="2"/>
      <c r="K1419" s="2"/>
      <c r="L1419" s="2"/>
      <c r="M1419" s="2"/>
      <c r="N1419" s="2"/>
      <c r="O1419" s="2"/>
      <c r="P1419" s="2"/>
      <c r="Q1419" s="2"/>
      <c r="R1419" s="2"/>
      <c r="S1419" s="2"/>
      <c r="T1419" s="2"/>
      <c r="U1419" s="2"/>
      <c r="V1419" s="2"/>
      <c r="W1419" s="2"/>
      <c r="X1419" s="2"/>
      <c r="Y1419" s="2"/>
      <c r="Z1419" s="2"/>
      <c r="AA1419" s="2"/>
      <c r="AB1419" s="2"/>
      <c r="AC1419" s="2"/>
    </row>
    <row r="1420" spans="7:29" x14ac:dyDescent="0.35">
      <c r="G1420" s="2"/>
      <c r="H1420" s="2"/>
      <c r="I1420" s="2"/>
      <c r="J1420" s="2"/>
      <c r="K1420" s="2"/>
      <c r="L1420" s="2"/>
      <c r="M1420" s="2"/>
      <c r="N1420" s="2"/>
      <c r="O1420" s="2"/>
      <c r="P1420" s="2"/>
      <c r="Q1420" s="2"/>
      <c r="R1420" s="2"/>
      <c r="S1420" s="2"/>
      <c r="T1420" s="2"/>
      <c r="U1420" s="2"/>
      <c r="V1420" s="2"/>
      <c r="W1420" s="2"/>
      <c r="X1420" s="2"/>
      <c r="Y1420" s="2"/>
      <c r="Z1420" s="2"/>
      <c r="AA1420" s="2"/>
      <c r="AB1420" s="2"/>
      <c r="AC1420" s="2"/>
    </row>
    <row r="1421" spans="7:29" x14ac:dyDescent="0.35">
      <c r="G1421" s="2"/>
      <c r="H1421" s="2"/>
      <c r="I1421" s="2"/>
      <c r="J1421" s="2"/>
      <c r="K1421" s="2"/>
      <c r="L1421" s="2"/>
      <c r="M1421" s="2"/>
      <c r="N1421" s="2"/>
      <c r="O1421" s="2"/>
      <c r="P1421" s="2"/>
      <c r="Q1421" s="2"/>
      <c r="R1421" s="2"/>
      <c r="S1421" s="2"/>
      <c r="T1421" s="2"/>
      <c r="U1421" s="2"/>
      <c r="V1421" s="2"/>
      <c r="W1421" s="2"/>
      <c r="X1421" s="2"/>
      <c r="Y1421" s="2"/>
      <c r="Z1421" s="2"/>
      <c r="AA1421" s="2"/>
      <c r="AB1421" s="2"/>
      <c r="AC1421" s="2"/>
    </row>
    <row r="1422" spans="7:29" x14ac:dyDescent="0.35">
      <c r="G1422" s="2"/>
      <c r="H1422" s="2"/>
      <c r="I1422" s="2"/>
      <c r="J1422" s="2"/>
      <c r="K1422" s="2"/>
      <c r="L1422" s="2"/>
      <c r="M1422" s="2"/>
      <c r="N1422" s="2"/>
      <c r="O1422" s="2"/>
      <c r="P1422" s="2"/>
      <c r="Q1422" s="2"/>
      <c r="R1422" s="2"/>
      <c r="S1422" s="2"/>
      <c r="T1422" s="2"/>
      <c r="U1422" s="2"/>
      <c r="V1422" s="2"/>
      <c r="W1422" s="2"/>
      <c r="X1422" s="2"/>
      <c r="Y1422" s="2"/>
      <c r="Z1422" s="2"/>
      <c r="AA1422" s="2"/>
      <c r="AB1422" s="2"/>
      <c r="AC1422" s="2"/>
    </row>
    <row r="1423" spans="7:29" x14ac:dyDescent="0.35">
      <c r="G1423" s="2"/>
      <c r="H1423" s="2"/>
      <c r="I1423" s="2"/>
      <c r="J1423" s="2"/>
      <c r="K1423" s="2"/>
      <c r="L1423" s="2"/>
      <c r="M1423" s="2"/>
      <c r="N1423" s="2"/>
      <c r="O1423" s="2"/>
      <c r="P1423" s="2"/>
      <c r="Q1423" s="2"/>
      <c r="R1423" s="2"/>
      <c r="S1423" s="2"/>
      <c r="T1423" s="2"/>
      <c r="U1423" s="2"/>
      <c r="V1423" s="2"/>
      <c r="W1423" s="2"/>
      <c r="X1423" s="2"/>
      <c r="Y1423" s="2"/>
      <c r="Z1423" s="2"/>
      <c r="AA1423" s="2"/>
      <c r="AB1423" s="2"/>
      <c r="AC1423" s="2"/>
    </row>
    <row r="1424" spans="7:29" x14ac:dyDescent="0.35">
      <c r="G1424" s="2"/>
      <c r="H1424" s="2"/>
      <c r="I1424" s="2"/>
      <c r="J1424" s="2"/>
      <c r="K1424" s="2"/>
      <c r="L1424" s="2"/>
      <c r="M1424" s="2"/>
      <c r="N1424" s="2"/>
      <c r="O1424" s="2"/>
      <c r="P1424" s="2"/>
      <c r="Q1424" s="2"/>
      <c r="R1424" s="2"/>
      <c r="S1424" s="2"/>
      <c r="T1424" s="2"/>
      <c r="U1424" s="2"/>
      <c r="V1424" s="2"/>
      <c r="W1424" s="2"/>
      <c r="X1424" s="2"/>
      <c r="Y1424" s="2"/>
      <c r="Z1424" s="2"/>
      <c r="AA1424" s="2"/>
      <c r="AB1424" s="2"/>
      <c r="AC1424" s="2"/>
    </row>
    <row r="1425" spans="7:29" x14ac:dyDescent="0.35">
      <c r="G1425" s="2"/>
      <c r="H1425" s="2"/>
      <c r="I1425" s="2"/>
      <c r="J1425" s="2"/>
      <c r="K1425" s="2"/>
      <c r="L1425" s="2"/>
      <c r="M1425" s="2"/>
      <c r="N1425" s="2"/>
      <c r="O1425" s="2"/>
      <c r="P1425" s="2"/>
      <c r="Q1425" s="2"/>
      <c r="R1425" s="2"/>
      <c r="S1425" s="2"/>
      <c r="T1425" s="2"/>
      <c r="U1425" s="2"/>
      <c r="V1425" s="2"/>
      <c r="W1425" s="2"/>
      <c r="X1425" s="2"/>
      <c r="Y1425" s="2"/>
      <c r="Z1425" s="2"/>
      <c r="AA1425" s="2"/>
      <c r="AB1425" s="2"/>
      <c r="AC1425" s="2"/>
    </row>
    <row r="1426" spans="7:29" x14ac:dyDescent="0.35">
      <c r="G1426" s="2"/>
      <c r="H1426" s="2"/>
      <c r="I1426" s="2"/>
      <c r="J1426" s="2"/>
      <c r="K1426" s="2"/>
      <c r="L1426" s="2"/>
      <c r="M1426" s="2"/>
      <c r="N1426" s="2"/>
      <c r="O1426" s="2"/>
      <c r="P1426" s="2"/>
      <c r="Q1426" s="2"/>
      <c r="R1426" s="2"/>
      <c r="S1426" s="2"/>
      <c r="T1426" s="2"/>
      <c r="U1426" s="2"/>
      <c r="V1426" s="2"/>
      <c r="W1426" s="2"/>
      <c r="X1426" s="2"/>
      <c r="Y1426" s="2"/>
      <c r="Z1426" s="2"/>
      <c r="AA1426" s="2"/>
      <c r="AB1426" s="2"/>
      <c r="AC1426" s="2"/>
    </row>
    <row r="1427" spans="7:29" x14ac:dyDescent="0.35">
      <c r="G1427" s="2"/>
      <c r="H1427" s="2"/>
      <c r="I1427" s="2"/>
      <c r="J1427" s="2"/>
      <c r="K1427" s="2"/>
      <c r="L1427" s="2"/>
      <c r="M1427" s="2"/>
      <c r="N1427" s="2"/>
      <c r="O1427" s="2"/>
      <c r="P1427" s="2"/>
      <c r="Q1427" s="2"/>
      <c r="R1427" s="2"/>
      <c r="S1427" s="2"/>
      <c r="T1427" s="2"/>
      <c r="U1427" s="2"/>
      <c r="V1427" s="2"/>
      <c r="W1427" s="2"/>
      <c r="X1427" s="2"/>
      <c r="Y1427" s="2"/>
      <c r="Z1427" s="2"/>
      <c r="AA1427" s="2"/>
      <c r="AB1427" s="2"/>
      <c r="AC1427" s="2"/>
    </row>
    <row r="1428" spans="7:29" x14ac:dyDescent="0.35">
      <c r="G1428" s="2"/>
      <c r="H1428" s="2"/>
      <c r="I1428" s="2"/>
      <c r="J1428" s="2"/>
      <c r="K1428" s="2"/>
      <c r="L1428" s="2"/>
      <c r="M1428" s="2"/>
      <c r="N1428" s="2"/>
      <c r="O1428" s="2"/>
      <c r="P1428" s="2"/>
      <c r="Q1428" s="2"/>
      <c r="R1428" s="2"/>
      <c r="S1428" s="2"/>
      <c r="T1428" s="2"/>
      <c r="U1428" s="2"/>
      <c r="V1428" s="2"/>
      <c r="W1428" s="2"/>
      <c r="X1428" s="2"/>
      <c r="Y1428" s="2"/>
      <c r="Z1428" s="2"/>
      <c r="AA1428" s="2"/>
      <c r="AB1428" s="2"/>
      <c r="AC1428" s="2"/>
    </row>
    <row r="1429" spans="7:29" x14ac:dyDescent="0.35">
      <c r="G1429" s="2"/>
      <c r="H1429" s="2"/>
      <c r="I1429" s="2"/>
      <c r="J1429" s="2"/>
      <c r="K1429" s="2"/>
      <c r="L1429" s="2"/>
      <c r="M1429" s="2"/>
      <c r="N1429" s="2"/>
      <c r="O1429" s="2"/>
      <c r="P1429" s="2"/>
      <c r="Q1429" s="2"/>
      <c r="R1429" s="2"/>
      <c r="S1429" s="2"/>
      <c r="T1429" s="2"/>
      <c r="U1429" s="2"/>
      <c r="V1429" s="2"/>
      <c r="W1429" s="2"/>
      <c r="X1429" s="2"/>
      <c r="Y1429" s="2"/>
      <c r="Z1429" s="2"/>
      <c r="AA1429" s="2"/>
      <c r="AB1429" s="2"/>
      <c r="AC1429" s="2"/>
    </row>
    <row r="1430" spans="7:29" x14ac:dyDescent="0.35">
      <c r="G1430" s="2"/>
      <c r="H1430" s="2"/>
      <c r="I1430" s="2"/>
      <c r="J1430" s="2"/>
      <c r="K1430" s="2"/>
      <c r="L1430" s="2"/>
      <c r="M1430" s="2"/>
      <c r="N1430" s="2"/>
      <c r="O1430" s="2"/>
      <c r="P1430" s="2"/>
      <c r="Q1430" s="2"/>
      <c r="R1430" s="2"/>
      <c r="S1430" s="2"/>
      <c r="T1430" s="2"/>
      <c r="U1430" s="2"/>
      <c r="V1430" s="2"/>
      <c r="W1430" s="2"/>
      <c r="X1430" s="2"/>
      <c r="Y1430" s="2"/>
      <c r="Z1430" s="2"/>
      <c r="AA1430" s="2"/>
      <c r="AB1430" s="2"/>
      <c r="AC1430" s="2"/>
    </row>
    <row r="1431" spans="7:29" x14ac:dyDescent="0.35">
      <c r="G1431" s="2"/>
      <c r="H1431" s="2"/>
      <c r="I1431" s="2"/>
      <c r="J1431" s="2"/>
      <c r="K1431" s="2"/>
      <c r="L1431" s="2"/>
      <c r="M1431" s="2"/>
      <c r="N1431" s="2"/>
      <c r="O1431" s="2"/>
      <c r="P1431" s="2"/>
      <c r="Q1431" s="2"/>
      <c r="R1431" s="2"/>
      <c r="S1431" s="2"/>
      <c r="T1431" s="2"/>
      <c r="U1431" s="2"/>
      <c r="V1431" s="2"/>
      <c r="W1431" s="2"/>
      <c r="X1431" s="2"/>
      <c r="Y1431" s="2"/>
      <c r="Z1431" s="2"/>
      <c r="AA1431" s="2"/>
      <c r="AB1431" s="2"/>
      <c r="AC1431" s="2"/>
    </row>
    <row r="1432" spans="7:29" x14ac:dyDescent="0.35">
      <c r="G1432" s="2"/>
      <c r="H1432" s="2"/>
      <c r="I1432" s="2"/>
      <c r="J1432" s="2"/>
      <c r="K1432" s="2"/>
      <c r="L1432" s="2"/>
      <c r="M1432" s="2"/>
      <c r="N1432" s="2"/>
      <c r="O1432" s="2"/>
      <c r="P1432" s="2"/>
      <c r="Q1432" s="2"/>
      <c r="R1432" s="2"/>
      <c r="S1432" s="2"/>
      <c r="T1432" s="2"/>
      <c r="U1432" s="2"/>
      <c r="V1432" s="2"/>
      <c r="W1432" s="2"/>
      <c r="X1432" s="2"/>
      <c r="Y1432" s="2"/>
      <c r="Z1432" s="2"/>
      <c r="AA1432" s="2"/>
      <c r="AB1432" s="2"/>
      <c r="AC1432" s="2"/>
    </row>
    <row r="1433" spans="7:29" x14ac:dyDescent="0.35">
      <c r="G1433" s="2"/>
      <c r="H1433" s="2"/>
      <c r="I1433" s="2"/>
      <c r="J1433" s="2"/>
      <c r="K1433" s="2"/>
      <c r="L1433" s="2"/>
      <c r="M1433" s="2"/>
      <c r="N1433" s="2"/>
      <c r="O1433" s="2"/>
      <c r="P1433" s="2"/>
      <c r="Q1433" s="2"/>
      <c r="R1433" s="2"/>
      <c r="S1433" s="2"/>
      <c r="T1433" s="2"/>
      <c r="U1433" s="2"/>
      <c r="V1433" s="2"/>
      <c r="W1433" s="2"/>
      <c r="X1433" s="2"/>
      <c r="Y1433" s="2"/>
      <c r="Z1433" s="2"/>
      <c r="AA1433" s="2"/>
      <c r="AB1433" s="2"/>
      <c r="AC1433" s="2"/>
    </row>
    <row r="1434" spans="7:29" x14ac:dyDescent="0.35">
      <c r="G1434" s="2"/>
      <c r="H1434" s="2"/>
      <c r="I1434" s="2"/>
      <c r="J1434" s="2"/>
      <c r="K1434" s="2"/>
      <c r="L1434" s="2"/>
      <c r="M1434" s="2"/>
      <c r="N1434" s="2"/>
      <c r="O1434" s="2"/>
      <c r="P1434" s="2"/>
      <c r="Q1434" s="2"/>
      <c r="R1434" s="2"/>
      <c r="S1434" s="2"/>
      <c r="T1434" s="2"/>
      <c r="U1434" s="2"/>
      <c r="V1434" s="2"/>
      <c r="W1434" s="2"/>
      <c r="X1434" s="2"/>
      <c r="Y1434" s="2"/>
      <c r="Z1434" s="2"/>
      <c r="AA1434" s="2"/>
      <c r="AB1434" s="2"/>
      <c r="AC1434" s="2"/>
    </row>
    <row r="1435" spans="7:29" x14ac:dyDescent="0.35">
      <c r="G1435" s="2"/>
      <c r="H1435" s="2"/>
      <c r="I1435" s="2"/>
      <c r="J1435" s="2"/>
      <c r="K1435" s="2"/>
      <c r="L1435" s="2"/>
      <c r="M1435" s="2"/>
      <c r="N1435" s="2"/>
      <c r="O1435" s="2"/>
      <c r="P1435" s="2"/>
      <c r="Q1435" s="2"/>
      <c r="R1435" s="2"/>
      <c r="S1435" s="2"/>
      <c r="T1435" s="2"/>
      <c r="U1435" s="2"/>
      <c r="V1435" s="2"/>
      <c r="W1435" s="2"/>
      <c r="X1435" s="2"/>
      <c r="Y1435" s="2"/>
      <c r="Z1435" s="2"/>
      <c r="AA1435" s="2"/>
      <c r="AB1435" s="2"/>
      <c r="AC1435" s="2"/>
    </row>
    <row r="1436" spans="7:29" x14ac:dyDescent="0.35">
      <c r="G1436" s="2"/>
      <c r="H1436" s="2"/>
      <c r="I1436" s="2"/>
      <c r="J1436" s="2"/>
      <c r="K1436" s="2"/>
      <c r="L1436" s="2"/>
      <c r="M1436" s="2"/>
      <c r="N1436" s="2"/>
      <c r="O1436" s="2"/>
      <c r="P1436" s="2"/>
      <c r="Q1436" s="2"/>
      <c r="R1436" s="2"/>
      <c r="S1436" s="2"/>
      <c r="T1436" s="2"/>
      <c r="U1436" s="2"/>
      <c r="V1436" s="2"/>
      <c r="W1436" s="2"/>
      <c r="X1436" s="2"/>
      <c r="Y1436" s="2"/>
      <c r="Z1436" s="2"/>
      <c r="AA1436" s="2"/>
      <c r="AB1436" s="2"/>
      <c r="AC1436" s="2"/>
    </row>
    <row r="1437" spans="7:29" x14ac:dyDescent="0.35">
      <c r="G1437" s="2"/>
      <c r="H1437" s="2"/>
      <c r="I1437" s="2"/>
      <c r="J1437" s="2"/>
      <c r="K1437" s="2"/>
      <c r="L1437" s="2"/>
      <c r="M1437" s="2"/>
      <c r="N1437" s="2"/>
      <c r="O1437" s="2"/>
      <c r="P1437" s="2"/>
      <c r="Q1437" s="2"/>
      <c r="R1437" s="2"/>
      <c r="S1437" s="2"/>
      <c r="T1437" s="2"/>
      <c r="U1437" s="2"/>
      <c r="V1437" s="2"/>
      <c r="W1437" s="2"/>
      <c r="X1437" s="2"/>
      <c r="Y1437" s="2"/>
      <c r="Z1437" s="2"/>
      <c r="AA1437" s="2"/>
      <c r="AB1437" s="2"/>
      <c r="AC1437" s="2"/>
    </row>
    <row r="1438" spans="7:29" x14ac:dyDescent="0.35">
      <c r="G1438" s="2"/>
      <c r="H1438" s="2"/>
      <c r="I1438" s="2"/>
      <c r="J1438" s="2"/>
      <c r="K1438" s="2"/>
      <c r="L1438" s="2"/>
      <c r="M1438" s="2"/>
      <c r="N1438" s="2"/>
      <c r="O1438" s="2"/>
      <c r="P1438" s="2"/>
      <c r="Q1438" s="2"/>
      <c r="R1438" s="2"/>
      <c r="S1438" s="2"/>
      <c r="T1438" s="2"/>
      <c r="U1438" s="2"/>
      <c r="V1438" s="2"/>
      <c r="W1438" s="2"/>
      <c r="X1438" s="2"/>
      <c r="Y1438" s="2"/>
      <c r="Z1438" s="2"/>
      <c r="AA1438" s="2"/>
      <c r="AB1438" s="2"/>
      <c r="AC1438" s="2"/>
    </row>
    <row r="1439" spans="7:29" x14ac:dyDescent="0.35">
      <c r="G1439" s="2"/>
      <c r="H1439" s="2"/>
      <c r="I1439" s="2"/>
      <c r="J1439" s="2"/>
      <c r="K1439" s="2"/>
      <c r="L1439" s="2"/>
      <c r="M1439" s="2"/>
      <c r="N1439" s="2"/>
      <c r="O1439" s="2"/>
      <c r="P1439" s="2"/>
      <c r="Q1439" s="2"/>
      <c r="R1439" s="2"/>
      <c r="S1439" s="2"/>
      <c r="T1439" s="2"/>
      <c r="U1439" s="2"/>
      <c r="V1439" s="2"/>
      <c r="W1439" s="2"/>
      <c r="X1439" s="2"/>
      <c r="Y1439" s="2"/>
      <c r="Z1439" s="2"/>
      <c r="AA1439" s="2"/>
      <c r="AB1439" s="2"/>
      <c r="AC1439" s="2"/>
    </row>
    <row r="1440" spans="7:29" x14ac:dyDescent="0.35">
      <c r="G1440" s="2"/>
      <c r="H1440" s="2"/>
      <c r="I1440" s="2"/>
      <c r="J1440" s="2"/>
      <c r="K1440" s="2"/>
      <c r="L1440" s="2"/>
      <c r="M1440" s="2"/>
      <c r="N1440" s="2"/>
      <c r="O1440" s="2"/>
      <c r="P1440" s="2"/>
      <c r="Q1440" s="2"/>
      <c r="R1440" s="2"/>
      <c r="S1440" s="2"/>
      <c r="T1440" s="2"/>
      <c r="U1440" s="2"/>
      <c r="V1440" s="2"/>
      <c r="W1440" s="2"/>
      <c r="X1440" s="2"/>
      <c r="Y1440" s="2"/>
      <c r="Z1440" s="2"/>
      <c r="AA1440" s="2"/>
      <c r="AB1440" s="2"/>
      <c r="AC1440" s="2"/>
    </row>
    <row r="1441" spans="7:29" x14ac:dyDescent="0.35">
      <c r="G1441" s="2"/>
      <c r="H1441" s="2"/>
      <c r="I1441" s="2"/>
      <c r="J1441" s="2"/>
      <c r="K1441" s="2"/>
      <c r="L1441" s="2"/>
      <c r="M1441" s="2"/>
      <c r="N1441" s="2"/>
      <c r="O1441" s="2"/>
      <c r="P1441" s="2"/>
      <c r="Q1441" s="2"/>
      <c r="R1441" s="2"/>
      <c r="S1441" s="2"/>
      <c r="T1441" s="2"/>
      <c r="U1441" s="2"/>
      <c r="V1441" s="2"/>
      <c r="W1441" s="2"/>
      <c r="X1441" s="2"/>
      <c r="Y1441" s="2"/>
      <c r="Z1441" s="2"/>
      <c r="AA1441" s="2"/>
      <c r="AB1441" s="2"/>
      <c r="AC1441" s="2"/>
    </row>
    <row r="1442" spans="7:29" x14ac:dyDescent="0.35">
      <c r="G1442" s="2"/>
      <c r="H1442" s="2"/>
      <c r="I1442" s="2"/>
      <c r="J1442" s="2"/>
      <c r="K1442" s="2"/>
      <c r="L1442" s="2"/>
      <c r="M1442" s="2"/>
      <c r="N1442" s="2"/>
      <c r="O1442" s="2"/>
      <c r="P1442" s="2"/>
      <c r="Q1442" s="2"/>
      <c r="R1442" s="2"/>
      <c r="S1442" s="2"/>
      <c r="T1442" s="2"/>
      <c r="U1442" s="2"/>
      <c r="V1442" s="2"/>
      <c r="W1442" s="2"/>
      <c r="X1442" s="2"/>
      <c r="Y1442" s="2"/>
      <c r="Z1442" s="2"/>
      <c r="AA1442" s="2"/>
      <c r="AB1442" s="2"/>
      <c r="AC1442" s="2"/>
    </row>
    <row r="1443" spans="7:29" x14ac:dyDescent="0.35">
      <c r="G1443" s="2"/>
      <c r="H1443" s="2"/>
      <c r="I1443" s="2"/>
      <c r="J1443" s="2"/>
      <c r="K1443" s="2"/>
      <c r="L1443" s="2"/>
      <c r="M1443" s="2"/>
      <c r="N1443" s="2"/>
      <c r="O1443" s="2"/>
      <c r="P1443" s="2"/>
      <c r="Q1443" s="2"/>
      <c r="R1443" s="2"/>
      <c r="S1443" s="2"/>
      <c r="T1443" s="2"/>
      <c r="U1443" s="2"/>
      <c r="V1443" s="2"/>
      <c r="W1443" s="2"/>
      <c r="X1443" s="2"/>
      <c r="Y1443" s="2"/>
      <c r="Z1443" s="2"/>
      <c r="AA1443" s="2"/>
      <c r="AB1443" s="2"/>
      <c r="AC1443" s="2"/>
    </row>
    <row r="1444" spans="7:29" x14ac:dyDescent="0.35">
      <c r="G1444" s="2"/>
      <c r="H1444" s="2"/>
      <c r="I1444" s="2"/>
      <c r="J1444" s="2"/>
      <c r="K1444" s="2"/>
      <c r="L1444" s="2"/>
      <c r="M1444" s="2"/>
      <c r="N1444" s="2"/>
      <c r="O1444" s="2"/>
      <c r="P1444" s="2"/>
      <c r="Q1444" s="2"/>
      <c r="R1444" s="2"/>
      <c r="S1444" s="2"/>
      <c r="T1444" s="2"/>
      <c r="U1444" s="2"/>
      <c r="V1444" s="2"/>
      <c r="W1444" s="2"/>
      <c r="X1444" s="2"/>
      <c r="Y1444" s="2"/>
      <c r="Z1444" s="2"/>
      <c r="AA1444" s="2"/>
      <c r="AB1444" s="2"/>
      <c r="AC1444" s="2"/>
    </row>
    <row r="1445" spans="7:29" x14ac:dyDescent="0.35">
      <c r="G1445" s="2"/>
      <c r="H1445" s="2"/>
      <c r="I1445" s="2"/>
      <c r="J1445" s="2"/>
      <c r="K1445" s="2"/>
      <c r="L1445" s="2"/>
      <c r="M1445" s="2"/>
      <c r="N1445" s="2"/>
      <c r="O1445" s="2"/>
      <c r="P1445" s="2"/>
      <c r="Q1445" s="2"/>
      <c r="R1445" s="2"/>
      <c r="S1445" s="2"/>
      <c r="T1445" s="2"/>
      <c r="U1445" s="2"/>
      <c r="V1445" s="2"/>
      <c r="W1445" s="2"/>
      <c r="X1445" s="2"/>
      <c r="Y1445" s="2"/>
      <c r="Z1445" s="2"/>
      <c r="AA1445" s="2"/>
      <c r="AB1445" s="2"/>
      <c r="AC1445" s="2"/>
    </row>
    <row r="1446" spans="7:29" x14ac:dyDescent="0.35">
      <c r="G1446" s="2"/>
      <c r="H1446" s="2"/>
      <c r="I1446" s="2"/>
      <c r="J1446" s="2"/>
      <c r="K1446" s="2"/>
      <c r="L1446" s="2"/>
      <c r="M1446" s="2"/>
      <c r="N1446" s="2"/>
      <c r="O1446" s="2"/>
      <c r="P1446" s="2"/>
      <c r="Q1446" s="2"/>
      <c r="R1446" s="2"/>
      <c r="S1446" s="2"/>
      <c r="T1446" s="2"/>
      <c r="U1446" s="2"/>
      <c r="V1446" s="2"/>
      <c r="W1446" s="2"/>
      <c r="X1446" s="2"/>
      <c r="Y1446" s="2"/>
      <c r="Z1446" s="2"/>
      <c r="AA1446" s="2"/>
      <c r="AB1446" s="2"/>
      <c r="AC1446" s="2"/>
    </row>
    <row r="1447" spans="7:29" x14ac:dyDescent="0.35">
      <c r="G1447" s="2"/>
      <c r="H1447" s="2"/>
      <c r="I1447" s="2"/>
      <c r="J1447" s="2"/>
      <c r="K1447" s="2"/>
      <c r="L1447" s="2"/>
      <c r="M1447" s="2"/>
      <c r="N1447" s="2"/>
      <c r="O1447" s="2"/>
      <c r="P1447" s="2"/>
      <c r="Q1447" s="2"/>
      <c r="R1447" s="2"/>
      <c r="S1447" s="2"/>
      <c r="T1447" s="2"/>
      <c r="U1447" s="2"/>
      <c r="V1447" s="2"/>
      <c r="W1447" s="2"/>
      <c r="X1447" s="2"/>
      <c r="Y1447" s="2"/>
      <c r="Z1447" s="2"/>
      <c r="AA1447" s="2"/>
      <c r="AB1447" s="2"/>
      <c r="AC1447" s="2"/>
    </row>
    <row r="1448" spans="7:29" x14ac:dyDescent="0.35">
      <c r="G1448" s="2"/>
      <c r="H1448" s="2"/>
      <c r="I1448" s="2"/>
      <c r="J1448" s="2"/>
      <c r="K1448" s="2"/>
      <c r="L1448" s="2"/>
      <c r="M1448" s="2"/>
      <c r="N1448" s="2"/>
      <c r="O1448" s="2"/>
      <c r="P1448" s="2"/>
      <c r="Q1448" s="2"/>
      <c r="R1448" s="2"/>
      <c r="S1448" s="2"/>
      <c r="T1448" s="2"/>
      <c r="U1448" s="2"/>
      <c r="V1448" s="2"/>
      <c r="W1448" s="2"/>
      <c r="X1448" s="2"/>
      <c r="Y1448" s="2"/>
      <c r="Z1448" s="2"/>
      <c r="AA1448" s="2"/>
      <c r="AB1448" s="2"/>
      <c r="AC1448" s="2"/>
    </row>
    <row r="1449" spans="7:29" x14ac:dyDescent="0.35">
      <c r="G1449" s="2"/>
      <c r="H1449" s="2"/>
      <c r="I1449" s="2"/>
      <c r="J1449" s="2"/>
      <c r="K1449" s="2"/>
      <c r="L1449" s="2"/>
      <c r="M1449" s="2"/>
      <c r="N1449" s="2"/>
      <c r="O1449" s="2"/>
      <c r="P1449" s="2"/>
      <c r="Q1449" s="2"/>
      <c r="R1449" s="2"/>
      <c r="S1449" s="2"/>
      <c r="T1449" s="2"/>
      <c r="U1449" s="2"/>
      <c r="V1449" s="2"/>
      <c r="W1449" s="2"/>
      <c r="X1449" s="2"/>
      <c r="Y1449" s="2"/>
      <c r="Z1449" s="2"/>
      <c r="AA1449" s="2"/>
      <c r="AB1449" s="2"/>
      <c r="AC1449" s="2"/>
    </row>
    <row r="1450" spans="7:29" x14ac:dyDescent="0.35">
      <c r="G1450" s="2"/>
      <c r="H1450" s="2"/>
      <c r="I1450" s="2"/>
      <c r="J1450" s="2"/>
      <c r="K1450" s="2"/>
      <c r="L1450" s="2"/>
      <c r="M1450" s="2"/>
      <c r="N1450" s="2"/>
      <c r="O1450" s="2"/>
      <c r="P1450" s="2"/>
      <c r="Q1450" s="2"/>
      <c r="R1450" s="2"/>
      <c r="S1450" s="2"/>
      <c r="T1450" s="2"/>
      <c r="U1450" s="2"/>
      <c r="V1450" s="2"/>
      <c r="W1450" s="2"/>
      <c r="X1450" s="2"/>
      <c r="Y1450" s="2"/>
      <c r="Z1450" s="2"/>
      <c r="AA1450" s="2"/>
      <c r="AB1450" s="2"/>
      <c r="AC1450" s="2"/>
    </row>
    <row r="1451" spans="7:29" x14ac:dyDescent="0.35">
      <c r="G1451" s="2"/>
      <c r="H1451" s="2"/>
      <c r="I1451" s="2"/>
      <c r="J1451" s="2"/>
      <c r="K1451" s="2"/>
      <c r="L1451" s="2"/>
      <c r="M1451" s="2"/>
      <c r="N1451" s="2"/>
      <c r="O1451" s="2"/>
      <c r="P1451" s="2"/>
      <c r="Q1451" s="2"/>
      <c r="R1451" s="2"/>
      <c r="S1451" s="2"/>
      <c r="T1451" s="2"/>
      <c r="U1451" s="2"/>
      <c r="V1451" s="2"/>
      <c r="W1451" s="2"/>
      <c r="X1451" s="2"/>
      <c r="Y1451" s="2"/>
      <c r="Z1451" s="2"/>
      <c r="AA1451" s="2"/>
      <c r="AB1451" s="2"/>
      <c r="AC1451" s="2"/>
    </row>
    <row r="1452" spans="7:29" x14ac:dyDescent="0.35">
      <c r="G1452" s="2"/>
      <c r="H1452" s="2"/>
      <c r="I1452" s="2"/>
      <c r="J1452" s="2"/>
      <c r="K1452" s="2"/>
      <c r="L1452" s="2"/>
      <c r="M1452" s="2"/>
      <c r="N1452" s="2"/>
      <c r="O1452" s="2"/>
      <c r="P1452" s="2"/>
      <c r="Q1452" s="2"/>
      <c r="R1452" s="2"/>
      <c r="S1452" s="2"/>
      <c r="T1452" s="2"/>
      <c r="U1452" s="2"/>
      <c r="V1452" s="2"/>
      <c r="W1452" s="2"/>
      <c r="X1452" s="2"/>
      <c r="Y1452" s="2"/>
      <c r="Z1452" s="2"/>
      <c r="AA1452" s="2"/>
      <c r="AB1452" s="2"/>
      <c r="AC1452" s="2"/>
    </row>
    <row r="1453" spans="7:29" x14ac:dyDescent="0.35">
      <c r="G1453" s="2"/>
      <c r="H1453" s="2"/>
      <c r="I1453" s="2"/>
      <c r="J1453" s="2"/>
      <c r="K1453" s="2"/>
      <c r="L1453" s="2"/>
      <c r="M1453" s="2"/>
      <c r="N1453" s="2"/>
      <c r="O1453" s="2"/>
      <c r="P1453" s="2"/>
      <c r="Q1453" s="2"/>
      <c r="R1453" s="2"/>
      <c r="S1453" s="2"/>
      <c r="T1453" s="2"/>
      <c r="U1453" s="2"/>
      <c r="V1453" s="2"/>
      <c r="W1453" s="2"/>
      <c r="X1453" s="2"/>
      <c r="Y1453" s="2"/>
      <c r="Z1453" s="2"/>
      <c r="AA1453" s="2"/>
      <c r="AB1453" s="2"/>
      <c r="AC1453" s="2"/>
    </row>
    <row r="1454" spans="7:29" x14ac:dyDescent="0.35">
      <c r="G1454" s="2"/>
      <c r="H1454" s="2"/>
      <c r="I1454" s="2"/>
      <c r="J1454" s="2"/>
      <c r="K1454" s="2"/>
      <c r="L1454" s="2"/>
      <c r="M1454" s="2"/>
      <c r="N1454" s="2"/>
      <c r="O1454" s="2"/>
      <c r="P1454" s="2"/>
      <c r="Q1454" s="2"/>
      <c r="R1454" s="2"/>
      <c r="S1454" s="2"/>
      <c r="T1454" s="2"/>
      <c r="U1454" s="2"/>
      <c r="V1454" s="2"/>
      <c r="W1454" s="2"/>
      <c r="X1454" s="2"/>
      <c r="Y1454" s="2"/>
      <c r="Z1454" s="2"/>
      <c r="AA1454" s="2"/>
      <c r="AB1454" s="2"/>
      <c r="AC1454" s="2"/>
    </row>
    <row r="1455" spans="7:29" x14ac:dyDescent="0.35">
      <c r="G1455" s="2"/>
      <c r="H1455" s="2"/>
      <c r="I1455" s="2"/>
      <c r="J1455" s="2"/>
      <c r="K1455" s="2"/>
      <c r="L1455" s="2"/>
      <c r="M1455" s="2"/>
      <c r="N1455" s="2"/>
      <c r="O1455" s="2"/>
      <c r="P1455" s="2"/>
      <c r="Q1455" s="2"/>
      <c r="R1455" s="2"/>
      <c r="S1455" s="2"/>
      <c r="T1455" s="2"/>
      <c r="U1455" s="2"/>
      <c r="V1455" s="2"/>
      <c r="W1455" s="2"/>
      <c r="X1455" s="2"/>
      <c r="Y1455" s="2"/>
      <c r="Z1455" s="2"/>
      <c r="AA1455" s="2"/>
      <c r="AB1455" s="2"/>
      <c r="AC1455" s="2"/>
    </row>
    <row r="1456" spans="7:29" x14ac:dyDescent="0.35">
      <c r="G1456" s="2"/>
      <c r="H1456" s="2"/>
      <c r="I1456" s="2"/>
      <c r="J1456" s="2"/>
      <c r="K1456" s="2"/>
      <c r="L1456" s="2"/>
      <c r="M1456" s="2"/>
      <c r="N1456" s="2"/>
      <c r="O1456" s="2"/>
      <c r="P1456" s="2"/>
      <c r="Q1456" s="2"/>
      <c r="R1456" s="2"/>
      <c r="S1456" s="2"/>
      <c r="T1456" s="2"/>
      <c r="U1456" s="2"/>
      <c r="V1456" s="2"/>
      <c r="W1456" s="2"/>
      <c r="X1456" s="2"/>
      <c r="Y1456" s="2"/>
      <c r="Z1456" s="2"/>
      <c r="AA1456" s="2"/>
      <c r="AB1456" s="2"/>
      <c r="AC1456" s="2"/>
    </row>
    <row r="1457" spans="7:29" x14ac:dyDescent="0.35">
      <c r="G1457" s="2"/>
      <c r="H1457" s="2"/>
      <c r="I1457" s="2"/>
      <c r="J1457" s="2"/>
      <c r="K1457" s="2"/>
      <c r="L1457" s="2"/>
      <c r="M1457" s="2"/>
      <c r="N1457" s="2"/>
      <c r="O1457" s="2"/>
      <c r="P1457" s="2"/>
      <c r="Q1457" s="2"/>
      <c r="R1457" s="2"/>
      <c r="S1457" s="2"/>
      <c r="T1457" s="2"/>
      <c r="U1457" s="2"/>
      <c r="V1457" s="2"/>
      <c r="W1457" s="2"/>
      <c r="X1457" s="2"/>
      <c r="Y1457" s="2"/>
      <c r="Z1457" s="2"/>
      <c r="AA1457" s="2"/>
      <c r="AB1457" s="2"/>
      <c r="AC1457" s="2"/>
    </row>
    <row r="1458" spans="7:29" x14ac:dyDescent="0.35">
      <c r="G1458" s="2"/>
      <c r="H1458" s="2"/>
      <c r="I1458" s="2"/>
      <c r="J1458" s="2"/>
      <c r="K1458" s="2"/>
      <c r="L1458" s="2"/>
      <c r="M1458" s="2"/>
      <c r="N1458" s="2"/>
      <c r="O1458" s="2"/>
      <c r="P1458" s="2"/>
      <c r="Q1458" s="2"/>
      <c r="R1458" s="2"/>
      <c r="S1458" s="2"/>
      <c r="T1458" s="2"/>
      <c r="U1458" s="2"/>
      <c r="V1458" s="2"/>
      <c r="W1458" s="2"/>
      <c r="X1458" s="2"/>
      <c r="Y1458" s="2"/>
      <c r="Z1458" s="2"/>
      <c r="AA1458" s="2"/>
      <c r="AB1458" s="2"/>
      <c r="AC1458" s="2"/>
    </row>
    <row r="1459" spans="7:29" x14ac:dyDescent="0.35">
      <c r="G1459" s="2"/>
      <c r="H1459" s="2"/>
      <c r="I1459" s="2"/>
      <c r="J1459" s="2"/>
      <c r="K1459" s="2"/>
      <c r="L1459" s="2"/>
      <c r="M1459" s="2"/>
      <c r="N1459" s="2"/>
      <c r="O1459" s="2"/>
      <c r="P1459" s="2"/>
      <c r="Q1459" s="2"/>
      <c r="R1459" s="2"/>
      <c r="S1459" s="2"/>
      <c r="T1459" s="2"/>
      <c r="U1459" s="2"/>
      <c r="V1459" s="2"/>
      <c r="W1459" s="2"/>
      <c r="X1459" s="2"/>
      <c r="Y1459" s="2"/>
      <c r="Z1459" s="2"/>
      <c r="AA1459" s="2"/>
      <c r="AB1459" s="2"/>
      <c r="AC1459" s="2"/>
    </row>
    <row r="1460" spans="7:29" x14ac:dyDescent="0.35">
      <c r="G1460" s="2"/>
      <c r="H1460" s="2"/>
      <c r="I1460" s="2"/>
      <c r="J1460" s="2"/>
      <c r="K1460" s="2"/>
      <c r="L1460" s="2"/>
      <c r="M1460" s="2"/>
      <c r="N1460" s="2"/>
      <c r="O1460" s="2"/>
      <c r="P1460" s="2"/>
      <c r="Q1460" s="2"/>
      <c r="R1460" s="2"/>
      <c r="S1460" s="2"/>
      <c r="T1460" s="2"/>
      <c r="U1460" s="2"/>
      <c r="V1460" s="2"/>
      <c r="W1460" s="2"/>
      <c r="X1460" s="2"/>
      <c r="Y1460" s="2"/>
      <c r="Z1460" s="2"/>
      <c r="AA1460" s="2"/>
      <c r="AB1460" s="2"/>
      <c r="AC1460" s="2"/>
    </row>
    <row r="1461" spans="7:29" x14ac:dyDescent="0.35">
      <c r="G1461" s="2"/>
      <c r="H1461" s="2"/>
      <c r="I1461" s="2"/>
      <c r="J1461" s="2"/>
      <c r="K1461" s="2"/>
      <c r="L1461" s="2"/>
      <c r="M1461" s="2"/>
      <c r="N1461" s="2"/>
      <c r="O1461" s="2"/>
      <c r="P1461" s="2"/>
      <c r="Q1461" s="2"/>
      <c r="R1461" s="2"/>
      <c r="S1461" s="2"/>
      <c r="T1461" s="2"/>
      <c r="U1461" s="2"/>
      <c r="V1461" s="2"/>
      <c r="W1461" s="2"/>
      <c r="X1461" s="2"/>
      <c r="Y1461" s="2"/>
      <c r="Z1461" s="2"/>
      <c r="AA1461" s="2"/>
      <c r="AB1461" s="2"/>
      <c r="AC1461" s="2"/>
    </row>
    <row r="1462" spans="7:29" x14ac:dyDescent="0.35">
      <c r="G1462" s="2"/>
      <c r="H1462" s="2"/>
      <c r="I1462" s="2"/>
      <c r="J1462" s="2"/>
      <c r="K1462" s="2"/>
      <c r="L1462" s="2"/>
      <c r="M1462" s="2"/>
      <c r="N1462" s="2"/>
      <c r="O1462" s="2"/>
      <c r="P1462" s="2"/>
      <c r="Q1462" s="2"/>
      <c r="R1462" s="2"/>
      <c r="S1462" s="2"/>
      <c r="T1462" s="2"/>
      <c r="U1462" s="2"/>
      <c r="V1462" s="2"/>
      <c r="W1462" s="2"/>
      <c r="X1462" s="2"/>
      <c r="Y1462" s="2"/>
      <c r="Z1462" s="2"/>
      <c r="AA1462" s="2"/>
      <c r="AB1462" s="2"/>
      <c r="AC1462" s="2"/>
    </row>
    <row r="1463" spans="7:29" x14ac:dyDescent="0.35">
      <c r="G1463" s="2"/>
      <c r="H1463" s="2"/>
      <c r="I1463" s="2"/>
      <c r="J1463" s="2"/>
      <c r="K1463" s="2"/>
      <c r="L1463" s="2"/>
      <c r="M1463" s="2"/>
      <c r="N1463" s="2"/>
      <c r="O1463" s="2"/>
      <c r="P1463" s="2"/>
      <c r="Q1463" s="2"/>
      <c r="R1463" s="2"/>
      <c r="S1463" s="2"/>
      <c r="T1463" s="2"/>
      <c r="U1463" s="2"/>
      <c r="V1463" s="2"/>
      <c r="W1463" s="2"/>
      <c r="X1463" s="2"/>
      <c r="Y1463" s="2"/>
      <c r="Z1463" s="2"/>
      <c r="AA1463" s="2"/>
      <c r="AB1463" s="2"/>
      <c r="AC1463" s="2"/>
    </row>
    <row r="1464" spans="7:29" x14ac:dyDescent="0.35">
      <c r="G1464" s="2"/>
      <c r="H1464" s="2"/>
      <c r="I1464" s="2"/>
      <c r="J1464" s="2"/>
      <c r="K1464" s="2"/>
      <c r="L1464" s="2"/>
      <c r="M1464" s="2"/>
      <c r="N1464" s="2"/>
      <c r="O1464" s="2"/>
      <c r="P1464" s="2"/>
      <c r="Q1464" s="2"/>
      <c r="R1464" s="2"/>
      <c r="S1464" s="2"/>
      <c r="T1464" s="2"/>
      <c r="U1464" s="2"/>
      <c r="V1464" s="2"/>
      <c r="W1464" s="2"/>
      <c r="X1464" s="2"/>
      <c r="Y1464" s="2"/>
      <c r="Z1464" s="2"/>
      <c r="AA1464" s="2"/>
      <c r="AB1464" s="2"/>
      <c r="AC1464" s="2"/>
    </row>
    <row r="1465" spans="7:29" x14ac:dyDescent="0.35">
      <c r="G1465" s="2"/>
      <c r="H1465" s="2"/>
      <c r="I1465" s="2"/>
      <c r="J1465" s="2"/>
      <c r="K1465" s="2"/>
      <c r="L1465" s="2"/>
      <c r="M1465" s="2"/>
      <c r="N1465" s="2"/>
      <c r="O1465" s="2"/>
      <c r="P1465" s="2"/>
      <c r="Q1465" s="2"/>
      <c r="R1465" s="2"/>
      <c r="S1465" s="2"/>
      <c r="T1465" s="2"/>
      <c r="U1465" s="2"/>
      <c r="V1465" s="2"/>
      <c r="W1465" s="2"/>
      <c r="X1465" s="2"/>
      <c r="Y1465" s="2"/>
      <c r="Z1465" s="2"/>
      <c r="AA1465" s="2"/>
      <c r="AB1465" s="2"/>
      <c r="AC1465" s="2"/>
    </row>
    <row r="1466" spans="7:29" x14ac:dyDescent="0.35">
      <c r="G1466" s="2"/>
      <c r="H1466" s="2"/>
      <c r="I1466" s="2"/>
      <c r="J1466" s="2"/>
      <c r="K1466" s="2"/>
      <c r="L1466" s="2"/>
      <c r="M1466" s="2"/>
      <c r="N1466" s="2"/>
      <c r="O1466" s="2"/>
      <c r="P1466" s="2"/>
      <c r="Q1466" s="2"/>
      <c r="R1466" s="2"/>
      <c r="S1466" s="2"/>
      <c r="T1466" s="2"/>
      <c r="U1466" s="2"/>
      <c r="V1466" s="2"/>
      <c r="W1466" s="2"/>
      <c r="X1466" s="2"/>
      <c r="Y1466" s="2"/>
      <c r="Z1466" s="2"/>
      <c r="AA1466" s="2"/>
      <c r="AB1466" s="2"/>
      <c r="AC1466" s="2"/>
    </row>
    <row r="1467" spans="7:29" x14ac:dyDescent="0.35">
      <c r="G1467" s="2"/>
      <c r="H1467" s="2"/>
      <c r="I1467" s="2"/>
      <c r="J1467" s="2"/>
      <c r="K1467" s="2"/>
      <c r="L1467" s="2"/>
      <c r="M1467" s="2"/>
      <c r="N1467" s="2"/>
      <c r="O1467" s="2"/>
      <c r="P1467" s="2"/>
      <c r="Q1467" s="2"/>
      <c r="R1467" s="2"/>
      <c r="S1467" s="2"/>
      <c r="T1467" s="2"/>
      <c r="U1467" s="2"/>
      <c r="V1467" s="2"/>
      <c r="W1467" s="2"/>
      <c r="X1467" s="2"/>
      <c r="Y1467" s="2"/>
      <c r="Z1467" s="2"/>
      <c r="AA1467" s="2"/>
      <c r="AB1467" s="2"/>
      <c r="AC1467" s="2"/>
    </row>
    <row r="1468" spans="7:29" x14ac:dyDescent="0.35">
      <c r="G1468" s="2"/>
      <c r="H1468" s="2"/>
      <c r="I1468" s="2"/>
      <c r="J1468" s="2"/>
      <c r="K1468" s="2"/>
      <c r="L1468" s="2"/>
      <c r="M1468" s="2"/>
      <c r="N1468" s="2"/>
      <c r="O1468" s="2"/>
      <c r="P1468" s="2"/>
      <c r="Q1468" s="2"/>
      <c r="R1468" s="2"/>
      <c r="S1468" s="2"/>
      <c r="T1468" s="2"/>
      <c r="U1468" s="2"/>
      <c r="V1468" s="2"/>
      <c r="W1468" s="2"/>
      <c r="X1468" s="2"/>
      <c r="Y1468" s="2"/>
      <c r="Z1468" s="2"/>
      <c r="AA1468" s="2"/>
      <c r="AB1468" s="2"/>
      <c r="AC1468" s="2"/>
    </row>
    <row r="1469" spans="7:29" x14ac:dyDescent="0.35">
      <c r="G1469" s="2"/>
      <c r="H1469" s="2"/>
      <c r="I1469" s="2"/>
      <c r="J1469" s="2"/>
      <c r="K1469" s="2"/>
      <c r="L1469" s="2"/>
      <c r="M1469" s="2"/>
      <c r="N1469" s="2"/>
      <c r="O1469" s="2"/>
      <c r="P1469" s="2"/>
      <c r="Q1469" s="2"/>
      <c r="R1469" s="2"/>
      <c r="S1469" s="2"/>
      <c r="T1469" s="2"/>
      <c r="U1469" s="2"/>
      <c r="V1469" s="2"/>
      <c r="W1469" s="2"/>
      <c r="X1469" s="2"/>
      <c r="Y1469" s="2"/>
      <c r="Z1469" s="2"/>
      <c r="AA1469" s="2"/>
      <c r="AB1469" s="2"/>
      <c r="AC1469" s="2"/>
    </row>
    <row r="1470" spans="7:29" x14ac:dyDescent="0.35">
      <c r="G1470" s="2"/>
      <c r="H1470" s="2"/>
      <c r="I1470" s="2"/>
      <c r="J1470" s="2"/>
      <c r="K1470" s="2"/>
      <c r="L1470" s="2"/>
      <c r="M1470" s="2"/>
      <c r="N1470" s="2"/>
      <c r="O1470" s="2"/>
      <c r="P1470" s="2"/>
      <c r="Q1470" s="2"/>
      <c r="R1470" s="2"/>
      <c r="S1470" s="2"/>
      <c r="T1470" s="2"/>
      <c r="U1470" s="2"/>
      <c r="V1470" s="2"/>
      <c r="W1470" s="2"/>
      <c r="X1470" s="2"/>
      <c r="Y1470" s="2"/>
      <c r="Z1470" s="2"/>
      <c r="AA1470" s="2"/>
      <c r="AB1470" s="2"/>
      <c r="AC1470" s="2"/>
    </row>
    <row r="1471" spans="7:29" x14ac:dyDescent="0.35">
      <c r="G1471" s="2"/>
      <c r="H1471" s="2"/>
      <c r="I1471" s="2"/>
      <c r="J1471" s="2"/>
      <c r="K1471" s="2"/>
      <c r="L1471" s="2"/>
      <c r="M1471" s="2"/>
      <c r="N1471" s="2"/>
      <c r="O1471" s="2"/>
      <c r="P1471" s="2"/>
      <c r="Q1471" s="2"/>
      <c r="R1471" s="2"/>
      <c r="S1471" s="2"/>
      <c r="T1471" s="2"/>
      <c r="U1471" s="2"/>
      <c r="V1471" s="2"/>
      <c r="W1471" s="2"/>
      <c r="X1471" s="2"/>
      <c r="Y1471" s="2"/>
      <c r="Z1471" s="2"/>
      <c r="AA1471" s="2"/>
      <c r="AB1471" s="2"/>
      <c r="AC1471" s="2"/>
    </row>
    <row r="1472" spans="7:29" x14ac:dyDescent="0.35">
      <c r="G1472" s="2"/>
      <c r="H1472" s="2"/>
      <c r="I1472" s="2"/>
      <c r="J1472" s="2"/>
      <c r="K1472" s="2"/>
      <c r="L1472" s="2"/>
      <c r="M1472" s="2"/>
      <c r="N1472" s="2"/>
      <c r="O1472" s="2"/>
      <c r="P1472" s="2"/>
      <c r="Q1472" s="2"/>
      <c r="R1472" s="2"/>
      <c r="S1472" s="2"/>
      <c r="T1472" s="2"/>
      <c r="U1472" s="2"/>
      <c r="V1472" s="2"/>
      <c r="W1472" s="2"/>
      <c r="X1472" s="2"/>
      <c r="Y1472" s="2"/>
      <c r="Z1472" s="2"/>
      <c r="AA1472" s="2"/>
      <c r="AB1472" s="2"/>
      <c r="AC1472" s="2"/>
    </row>
    <row r="1473" spans="7:29" x14ac:dyDescent="0.35">
      <c r="G1473" s="2"/>
      <c r="H1473" s="2"/>
      <c r="I1473" s="2"/>
      <c r="J1473" s="2"/>
      <c r="K1473" s="2"/>
      <c r="L1473" s="2"/>
      <c r="M1473" s="2"/>
      <c r="N1473" s="2"/>
      <c r="O1473" s="2"/>
      <c r="P1473" s="2"/>
      <c r="Q1473" s="2"/>
      <c r="R1473" s="2"/>
      <c r="S1473" s="2"/>
      <c r="T1473" s="2"/>
      <c r="U1473" s="2"/>
      <c r="V1473" s="2"/>
      <c r="W1473" s="2"/>
      <c r="X1473" s="2"/>
      <c r="Y1473" s="2"/>
      <c r="Z1473" s="2"/>
      <c r="AA1473" s="2"/>
      <c r="AB1473" s="2"/>
      <c r="AC1473" s="2"/>
    </row>
    <row r="1474" spans="7:29" x14ac:dyDescent="0.35">
      <c r="G1474" s="2"/>
      <c r="H1474" s="2"/>
      <c r="I1474" s="2"/>
      <c r="J1474" s="2"/>
      <c r="K1474" s="2"/>
      <c r="L1474" s="2"/>
      <c r="M1474" s="2"/>
      <c r="N1474" s="2"/>
      <c r="O1474" s="2"/>
      <c r="P1474" s="2"/>
      <c r="Q1474" s="2"/>
      <c r="R1474" s="2"/>
      <c r="S1474" s="2"/>
      <c r="T1474" s="2"/>
      <c r="U1474" s="2"/>
      <c r="V1474" s="2"/>
      <c r="W1474" s="2"/>
      <c r="X1474" s="2"/>
      <c r="Y1474" s="2"/>
      <c r="Z1474" s="2"/>
      <c r="AA1474" s="2"/>
      <c r="AB1474" s="2"/>
      <c r="AC1474" s="2"/>
    </row>
    <row r="1475" spans="7:29" x14ac:dyDescent="0.35">
      <c r="G1475" s="2"/>
      <c r="H1475" s="2"/>
      <c r="I1475" s="2"/>
      <c r="J1475" s="2"/>
      <c r="K1475" s="2"/>
      <c r="L1475" s="2"/>
      <c r="M1475" s="2"/>
      <c r="N1475" s="2"/>
      <c r="O1475" s="2"/>
      <c r="P1475" s="2"/>
      <c r="Q1475" s="2"/>
      <c r="R1475" s="2"/>
      <c r="S1475" s="2"/>
      <c r="T1475" s="2"/>
      <c r="U1475" s="2"/>
      <c r="V1475" s="2"/>
      <c r="W1475" s="2"/>
      <c r="X1475" s="2"/>
      <c r="Y1475" s="2"/>
      <c r="Z1475" s="2"/>
      <c r="AA1475" s="2"/>
      <c r="AB1475" s="2"/>
      <c r="AC1475" s="2"/>
    </row>
    <row r="1476" spans="7:29" x14ac:dyDescent="0.35">
      <c r="G1476" s="2"/>
      <c r="H1476" s="2"/>
      <c r="I1476" s="2"/>
      <c r="J1476" s="2"/>
      <c r="K1476" s="2"/>
      <c r="L1476" s="2"/>
      <c r="M1476" s="2"/>
      <c r="N1476" s="2"/>
      <c r="O1476" s="2"/>
      <c r="P1476" s="2"/>
      <c r="Q1476" s="2"/>
      <c r="R1476" s="2"/>
      <c r="S1476" s="2"/>
      <c r="T1476" s="2"/>
      <c r="U1476" s="2"/>
      <c r="V1476" s="2"/>
      <c r="W1476" s="2"/>
      <c r="X1476" s="2"/>
      <c r="Y1476" s="2"/>
      <c r="Z1476" s="2"/>
      <c r="AA1476" s="2"/>
      <c r="AB1476" s="2"/>
      <c r="AC1476" s="2"/>
    </row>
    <row r="1477" spans="7:29" x14ac:dyDescent="0.35">
      <c r="G1477" s="2"/>
      <c r="H1477" s="2"/>
      <c r="I1477" s="2"/>
      <c r="J1477" s="2"/>
      <c r="K1477" s="2"/>
      <c r="L1477" s="2"/>
      <c r="M1477" s="2"/>
      <c r="N1477" s="2"/>
      <c r="O1477" s="2"/>
      <c r="P1477" s="2"/>
      <c r="Q1477" s="2"/>
      <c r="R1477" s="2"/>
      <c r="S1477" s="2"/>
      <c r="T1477" s="2"/>
      <c r="U1477" s="2"/>
      <c r="V1477" s="2"/>
      <c r="W1477" s="2"/>
      <c r="X1477" s="2"/>
      <c r="Y1477" s="2"/>
      <c r="Z1477" s="2"/>
      <c r="AA1477" s="2"/>
      <c r="AB1477" s="2"/>
      <c r="AC1477" s="2"/>
    </row>
    <row r="1478" spans="7:29" x14ac:dyDescent="0.35">
      <c r="G1478" s="2"/>
      <c r="H1478" s="2"/>
      <c r="I1478" s="2"/>
      <c r="J1478" s="2"/>
      <c r="K1478" s="2"/>
      <c r="L1478" s="2"/>
      <c r="M1478" s="2"/>
      <c r="N1478" s="2"/>
      <c r="O1478" s="2"/>
      <c r="P1478" s="2"/>
      <c r="Q1478" s="2"/>
      <c r="R1478" s="2"/>
      <c r="S1478" s="2"/>
      <c r="T1478" s="2"/>
      <c r="U1478" s="2"/>
      <c r="V1478" s="2"/>
      <c r="W1478" s="2"/>
      <c r="X1478" s="2"/>
      <c r="Y1478" s="2"/>
      <c r="Z1478" s="2"/>
      <c r="AA1478" s="2"/>
      <c r="AB1478" s="2"/>
      <c r="AC1478" s="2"/>
    </row>
    <row r="1479" spans="7:29" x14ac:dyDescent="0.35">
      <c r="G1479" s="2"/>
      <c r="H1479" s="2"/>
      <c r="I1479" s="2"/>
      <c r="J1479" s="2"/>
      <c r="K1479" s="2"/>
      <c r="L1479" s="2"/>
      <c r="M1479" s="2"/>
      <c r="N1479" s="2"/>
      <c r="O1479" s="2"/>
      <c r="P1479" s="2"/>
      <c r="Q1479" s="2"/>
      <c r="R1479" s="2"/>
      <c r="S1479" s="2"/>
      <c r="T1479" s="2"/>
      <c r="U1479" s="2"/>
      <c r="V1479" s="2"/>
      <c r="W1479" s="2"/>
      <c r="X1479" s="2"/>
      <c r="Y1479" s="2"/>
      <c r="Z1479" s="2"/>
      <c r="AA1479" s="2"/>
      <c r="AB1479" s="2"/>
      <c r="AC1479" s="2"/>
    </row>
    <row r="1480" spans="7:29" x14ac:dyDescent="0.35">
      <c r="G1480" s="2"/>
      <c r="H1480" s="2"/>
      <c r="I1480" s="2"/>
      <c r="J1480" s="2"/>
      <c r="K1480" s="2"/>
      <c r="L1480" s="2"/>
      <c r="M1480" s="2"/>
      <c r="N1480" s="2"/>
      <c r="O1480" s="2"/>
      <c r="P1480" s="2"/>
      <c r="Q1480" s="2"/>
      <c r="R1480" s="2"/>
      <c r="S1480" s="2"/>
      <c r="T1480" s="2"/>
      <c r="U1480" s="2"/>
      <c r="V1480" s="2"/>
      <c r="W1480" s="2"/>
      <c r="X1480" s="2"/>
      <c r="Y1480" s="2"/>
      <c r="Z1480" s="2"/>
      <c r="AA1480" s="2"/>
      <c r="AB1480" s="2"/>
      <c r="AC1480" s="2"/>
    </row>
    <row r="1481" spans="7:29" x14ac:dyDescent="0.35">
      <c r="G1481" s="2"/>
      <c r="H1481" s="2"/>
      <c r="I1481" s="2"/>
      <c r="J1481" s="2"/>
      <c r="K1481" s="2"/>
      <c r="L1481" s="2"/>
      <c r="M1481" s="2"/>
      <c r="N1481" s="2"/>
      <c r="O1481" s="2"/>
      <c r="P1481" s="2"/>
      <c r="Q1481" s="2"/>
      <c r="R1481" s="2"/>
      <c r="S1481" s="2"/>
      <c r="T1481" s="2"/>
      <c r="U1481" s="2"/>
      <c r="V1481" s="2"/>
      <c r="W1481" s="2"/>
      <c r="X1481" s="2"/>
      <c r="Y1481" s="2"/>
      <c r="Z1481" s="2"/>
      <c r="AA1481" s="2"/>
      <c r="AB1481" s="2"/>
      <c r="AC1481" s="2"/>
    </row>
    <row r="1482" spans="7:29" x14ac:dyDescent="0.35">
      <c r="G1482" s="2"/>
      <c r="H1482" s="2"/>
      <c r="I1482" s="2"/>
      <c r="J1482" s="2"/>
      <c r="K1482" s="2"/>
      <c r="L1482" s="2"/>
      <c r="M1482" s="2"/>
      <c r="N1482" s="2"/>
      <c r="O1482" s="2"/>
      <c r="P1482" s="2"/>
      <c r="Q1482" s="2"/>
      <c r="R1482" s="2"/>
      <c r="S1482" s="2"/>
      <c r="T1482" s="2"/>
      <c r="U1482" s="2"/>
      <c r="V1482" s="2"/>
      <c r="W1482" s="2"/>
      <c r="X1482" s="2"/>
      <c r="Y1482" s="2"/>
      <c r="Z1482" s="2"/>
      <c r="AA1482" s="2"/>
      <c r="AB1482" s="2"/>
      <c r="AC1482" s="2"/>
    </row>
    <row r="1483" spans="7:29" x14ac:dyDescent="0.35">
      <c r="G1483" s="2"/>
      <c r="H1483" s="2"/>
      <c r="I1483" s="2"/>
      <c r="J1483" s="2"/>
      <c r="K1483" s="2"/>
      <c r="L1483" s="2"/>
      <c r="M1483" s="2"/>
      <c r="N1483" s="2"/>
      <c r="O1483" s="2"/>
      <c r="P1483" s="2"/>
      <c r="Q1483" s="2"/>
      <c r="R1483" s="2"/>
      <c r="S1483" s="2"/>
      <c r="T1483" s="2"/>
      <c r="U1483" s="2"/>
      <c r="V1483" s="2"/>
      <c r="W1483" s="2"/>
      <c r="X1483" s="2"/>
      <c r="Y1483" s="2"/>
      <c r="Z1483" s="2"/>
      <c r="AA1483" s="2"/>
      <c r="AB1483" s="2"/>
      <c r="AC1483" s="2"/>
    </row>
    <row r="1484" spans="7:29" x14ac:dyDescent="0.35">
      <c r="G1484" s="2"/>
      <c r="H1484" s="2"/>
      <c r="I1484" s="2"/>
      <c r="J1484" s="2"/>
      <c r="K1484" s="2"/>
      <c r="L1484" s="2"/>
      <c r="M1484" s="2"/>
      <c r="N1484" s="2"/>
      <c r="O1484" s="2"/>
      <c r="P1484" s="2"/>
      <c r="Q1484" s="2"/>
      <c r="R1484" s="2"/>
      <c r="S1484" s="2"/>
      <c r="T1484" s="2"/>
      <c r="U1484" s="2"/>
      <c r="V1484" s="2"/>
      <c r="W1484" s="2"/>
      <c r="X1484" s="2"/>
      <c r="Y1484" s="2"/>
      <c r="Z1484" s="2"/>
      <c r="AA1484" s="2"/>
      <c r="AB1484" s="2"/>
      <c r="AC1484" s="2"/>
    </row>
    <row r="1485" spans="7:29" x14ac:dyDescent="0.35">
      <c r="G1485" s="2"/>
      <c r="H1485" s="2"/>
      <c r="I1485" s="2"/>
      <c r="J1485" s="2"/>
      <c r="K1485" s="2"/>
      <c r="L1485" s="2"/>
      <c r="M1485" s="2"/>
      <c r="N1485" s="2"/>
      <c r="O1485" s="2"/>
      <c r="P1485" s="2"/>
      <c r="Q1485" s="2"/>
      <c r="R1485" s="2"/>
      <c r="S1485" s="2"/>
      <c r="T1485" s="2"/>
      <c r="U1485" s="2"/>
      <c r="V1485" s="2"/>
      <c r="W1485" s="2"/>
      <c r="X1485" s="2"/>
      <c r="Y1485" s="2"/>
      <c r="Z1485" s="2"/>
      <c r="AA1485" s="2"/>
      <c r="AB1485" s="2"/>
      <c r="AC1485" s="2"/>
    </row>
    <row r="1486" spans="7:29" x14ac:dyDescent="0.35">
      <c r="G1486" s="2"/>
      <c r="H1486" s="2"/>
      <c r="I1486" s="2"/>
      <c r="J1486" s="2"/>
      <c r="K1486" s="2"/>
      <c r="L1486" s="2"/>
      <c r="M1486" s="2"/>
      <c r="N1486" s="2"/>
      <c r="O1486" s="2"/>
      <c r="P1486" s="2"/>
      <c r="Q1486" s="2"/>
      <c r="R1486" s="2"/>
      <c r="S1486" s="2"/>
      <c r="T1486" s="2"/>
      <c r="U1486" s="2"/>
      <c r="V1486" s="2"/>
      <c r="W1486" s="2"/>
      <c r="X1486" s="2"/>
      <c r="Y1486" s="2"/>
      <c r="Z1486" s="2"/>
      <c r="AA1486" s="2"/>
      <c r="AB1486" s="2"/>
      <c r="AC1486" s="2"/>
    </row>
    <row r="1487" spans="7:29" x14ac:dyDescent="0.35">
      <c r="G1487" s="2"/>
      <c r="H1487" s="2"/>
      <c r="I1487" s="2"/>
      <c r="J1487" s="2"/>
      <c r="K1487" s="2"/>
      <c r="L1487" s="2"/>
      <c r="M1487" s="2"/>
      <c r="N1487" s="2"/>
      <c r="O1487" s="2"/>
      <c r="P1487" s="2"/>
      <c r="Q1487" s="2"/>
      <c r="R1487" s="2"/>
      <c r="S1487" s="2"/>
      <c r="T1487" s="2"/>
      <c r="U1487" s="2"/>
      <c r="V1487" s="2"/>
      <c r="W1487" s="2"/>
      <c r="X1487" s="2"/>
      <c r="Y1487" s="2"/>
      <c r="Z1487" s="2"/>
      <c r="AA1487" s="2"/>
      <c r="AB1487" s="2"/>
      <c r="AC1487" s="2"/>
    </row>
    <row r="1488" spans="7:29" x14ac:dyDescent="0.35">
      <c r="G1488" s="2"/>
      <c r="H1488" s="2"/>
      <c r="I1488" s="2"/>
      <c r="J1488" s="2"/>
      <c r="K1488" s="2"/>
      <c r="L1488" s="2"/>
      <c r="M1488" s="2"/>
      <c r="N1488" s="2"/>
      <c r="O1488" s="2"/>
      <c r="P1488" s="2"/>
      <c r="Q1488" s="2"/>
      <c r="R1488" s="2"/>
      <c r="S1488" s="2"/>
      <c r="T1488" s="2"/>
      <c r="U1488" s="2"/>
      <c r="V1488" s="2"/>
      <c r="W1488" s="2"/>
      <c r="X1488" s="2"/>
      <c r="Y1488" s="2"/>
      <c r="Z1488" s="2"/>
      <c r="AA1488" s="2"/>
      <c r="AB1488" s="2"/>
      <c r="AC1488" s="2"/>
    </row>
    <row r="1489" spans="7:29" x14ac:dyDescent="0.35">
      <c r="G1489" s="2"/>
      <c r="H1489" s="2"/>
      <c r="I1489" s="2"/>
      <c r="J1489" s="2"/>
      <c r="K1489" s="2"/>
      <c r="L1489" s="2"/>
      <c r="M1489" s="2"/>
      <c r="N1489" s="2"/>
      <c r="O1489" s="2"/>
      <c r="P1489" s="2"/>
      <c r="Q1489" s="2"/>
      <c r="R1489" s="2"/>
      <c r="S1489" s="2"/>
      <c r="T1489" s="2"/>
      <c r="U1489" s="2"/>
      <c r="V1489" s="2"/>
      <c r="W1489" s="2"/>
      <c r="X1489" s="2"/>
      <c r="Y1489" s="2"/>
      <c r="Z1489" s="2"/>
      <c r="AA1489" s="2"/>
      <c r="AB1489" s="2"/>
      <c r="AC1489" s="2"/>
    </row>
    <row r="1490" spans="7:29" x14ac:dyDescent="0.35">
      <c r="G1490" s="2"/>
      <c r="H1490" s="2"/>
      <c r="I1490" s="2"/>
      <c r="J1490" s="2"/>
      <c r="K1490" s="2"/>
      <c r="L1490" s="2"/>
      <c r="M1490" s="2"/>
      <c r="N1490" s="2"/>
      <c r="O1490" s="2"/>
      <c r="P1490" s="2"/>
      <c r="Q1490" s="2"/>
      <c r="R1490" s="2"/>
      <c r="S1490" s="2"/>
      <c r="T1490" s="2"/>
      <c r="U1490" s="2"/>
      <c r="V1490" s="2"/>
      <c r="W1490" s="2"/>
      <c r="X1490" s="2"/>
      <c r="Y1490" s="2"/>
      <c r="Z1490" s="2"/>
      <c r="AA1490" s="2"/>
      <c r="AB1490" s="2"/>
      <c r="AC1490" s="2"/>
    </row>
    <row r="1491" spans="7:29" x14ac:dyDescent="0.35">
      <c r="G1491" s="2"/>
      <c r="H1491" s="2"/>
      <c r="I1491" s="2"/>
      <c r="J1491" s="2"/>
      <c r="K1491" s="2"/>
      <c r="L1491" s="2"/>
      <c r="M1491" s="2"/>
      <c r="N1491" s="2"/>
      <c r="O1491" s="2"/>
      <c r="P1491" s="2"/>
      <c r="Q1491" s="2"/>
      <c r="R1491" s="2"/>
      <c r="S1491" s="2"/>
      <c r="T1491" s="2"/>
      <c r="U1491" s="2"/>
      <c r="V1491" s="2"/>
      <c r="W1491" s="2"/>
      <c r="X1491" s="2"/>
      <c r="Y1491" s="2"/>
      <c r="Z1491" s="2"/>
      <c r="AA1491" s="2"/>
      <c r="AB1491" s="2"/>
      <c r="AC1491" s="2"/>
    </row>
    <row r="1492" spans="7:29" x14ac:dyDescent="0.35">
      <c r="G1492" s="2"/>
      <c r="H1492" s="2"/>
      <c r="I1492" s="2"/>
      <c r="J1492" s="2"/>
      <c r="K1492" s="2"/>
      <c r="L1492" s="2"/>
      <c r="M1492" s="2"/>
      <c r="N1492" s="2"/>
      <c r="O1492" s="2"/>
      <c r="P1492" s="2"/>
      <c r="Q1492" s="2"/>
      <c r="R1492" s="2"/>
      <c r="S1492" s="2"/>
      <c r="T1492" s="2"/>
      <c r="U1492" s="2"/>
      <c r="V1492" s="2"/>
      <c r="W1492" s="2"/>
      <c r="X1492" s="2"/>
      <c r="Y1492" s="2"/>
      <c r="Z1492" s="2"/>
      <c r="AA1492" s="2"/>
      <c r="AB1492" s="2"/>
      <c r="AC1492" s="2"/>
    </row>
    <row r="1493" spans="7:29" x14ac:dyDescent="0.35">
      <c r="G1493" s="2"/>
      <c r="H1493" s="2"/>
      <c r="I1493" s="2"/>
      <c r="J1493" s="2"/>
      <c r="K1493" s="2"/>
      <c r="L1493" s="2"/>
      <c r="M1493" s="2"/>
      <c r="N1493" s="2"/>
      <c r="O1493" s="2"/>
      <c r="P1493" s="2"/>
      <c r="Q1493" s="2"/>
      <c r="R1493" s="2"/>
      <c r="S1493" s="2"/>
      <c r="T1493" s="2"/>
      <c r="U1493" s="2"/>
      <c r="V1493" s="2"/>
      <c r="W1493" s="2"/>
      <c r="X1493" s="2"/>
      <c r="Y1493" s="2"/>
      <c r="Z1493" s="2"/>
      <c r="AA1493" s="2"/>
      <c r="AB1493" s="2"/>
      <c r="AC1493" s="2"/>
    </row>
    <row r="1494" spans="7:29" x14ac:dyDescent="0.35">
      <c r="G1494" s="2"/>
      <c r="H1494" s="2"/>
      <c r="I1494" s="2"/>
      <c r="J1494" s="2"/>
      <c r="K1494" s="2"/>
      <c r="L1494" s="2"/>
      <c r="M1494" s="2"/>
      <c r="N1494" s="2"/>
      <c r="O1494" s="2"/>
      <c r="P1494" s="2"/>
      <c r="Q1494" s="2"/>
      <c r="R1494" s="2"/>
      <c r="S1494" s="2"/>
      <c r="T1494" s="2"/>
      <c r="U1494" s="2"/>
      <c r="V1494" s="2"/>
      <c r="W1494" s="2"/>
      <c r="X1494" s="2"/>
      <c r="Y1494" s="2"/>
      <c r="Z1494" s="2"/>
      <c r="AA1494" s="2"/>
      <c r="AB1494" s="2"/>
      <c r="AC1494" s="2"/>
    </row>
    <row r="1495" spans="7:29" x14ac:dyDescent="0.35">
      <c r="G1495" s="2"/>
      <c r="H1495" s="2"/>
      <c r="I1495" s="2"/>
      <c r="J1495" s="2"/>
      <c r="K1495" s="2"/>
      <c r="L1495" s="2"/>
      <c r="M1495" s="2"/>
      <c r="N1495" s="2"/>
      <c r="O1495" s="2"/>
      <c r="P1495" s="2"/>
      <c r="Q1495" s="2"/>
      <c r="R1495" s="2"/>
      <c r="S1495" s="2"/>
      <c r="T1495" s="2"/>
      <c r="U1495" s="2"/>
      <c r="V1495" s="2"/>
      <c r="W1495" s="2"/>
      <c r="X1495" s="2"/>
      <c r="Y1495" s="2"/>
      <c r="Z1495" s="2"/>
      <c r="AA1495" s="2"/>
      <c r="AB1495" s="2"/>
      <c r="AC1495" s="2"/>
    </row>
    <row r="1496" spans="7:29" x14ac:dyDescent="0.35">
      <c r="G1496" s="2"/>
      <c r="H1496" s="2"/>
      <c r="I1496" s="2"/>
      <c r="J1496" s="2"/>
      <c r="K1496" s="2"/>
      <c r="L1496" s="2"/>
      <c r="M1496" s="2"/>
      <c r="N1496" s="2"/>
      <c r="O1496" s="2"/>
      <c r="P1496" s="2"/>
      <c r="Q1496" s="2"/>
      <c r="R1496" s="2"/>
      <c r="S1496" s="2"/>
      <c r="T1496" s="2"/>
      <c r="U1496" s="2"/>
      <c r="V1496" s="2"/>
      <c r="W1496" s="2"/>
      <c r="X1496" s="2"/>
      <c r="Y1496" s="2"/>
      <c r="Z1496" s="2"/>
      <c r="AA1496" s="2"/>
      <c r="AB1496" s="2"/>
      <c r="AC1496" s="2"/>
    </row>
    <row r="1497" spans="7:29" x14ac:dyDescent="0.35">
      <c r="G1497" s="2"/>
      <c r="H1497" s="2"/>
      <c r="I1497" s="2"/>
      <c r="J1497" s="2"/>
      <c r="K1497" s="2"/>
      <c r="L1497" s="2"/>
      <c r="M1497" s="2"/>
      <c r="N1497" s="2"/>
      <c r="O1497" s="2"/>
      <c r="P1497" s="2"/>
      <c r="Q1497" s="2"/>
      <c r="R1497" s="2"/>
      <c r="S1497" s="2"/>
      <c r="T1497" s="2"/>
      <c r="U1497" s="2"/>
      <c r="V1497" s="2"/>
      <c r="W1497" s="2"/>
      <c r="X1497" s="2"/>
      <c r="Y1497" s="2"/>
      <c r="Z1497" s="2"/>
      <c r="AA1497" s="2"/>
      <c r="AB1497" s="2"/>
      <c r="AC1497" s="2"/>
    </row>
    <row r="1498" spans="7:29" x14ac:dyDescent="0.35">
      <c r="G1498" s="2"/>
      <c r="H1498" s="2"/>
      <c r="I1498" s="2"/>
      <c r="J1498" s="2"/>
      <c r="K1498" s="2"/>
      <c r="L1498" s="2"/>
      <c r="M1498" s="2"/>
      <c r="N1498" s="2"/>
      <c r="O1498" s="2"/>
      <c r="P1498" s="2"/>
      <c r="Q1498" s="2"/>
      <c r="R1498" s="2"/>
      <c r="S1498" s="2"/>
      <c r="T1498" s="2"/>
      <c r="U1498" s="2"/>
      <c r="V1498" s="2"/>
      <c r="W1498" s="2"/>
      <c r="X1498" s="2"/>
      <c r="Y1498" s="2"/>
      <c r="Z1498" s="2"/>
      <c r="AA1498" s="2"/>
      <c r="AB1498" s="2"/>
      <c r="AC1498" s="2"/>
    </row>
    <row r="1499" spans="7:29" x14ac:dyDescent="0.35">
      <c r="G1499" s="2"/>
      <c r="H1499" s="2"/>
      <c r="I1499" s="2"/>
      <c r="J1499" s="2"/>
      <c r="K1499" s="2"/>
      <c r="L1499" s="2"/>
      <c r="M1499" s="2"/>
      <c r="N1499" s="2"/>
      <c r="O1499" s="2"/>
      <c r="P1499" s="2"/>
      <c r="Q1499" s="2"/>
      <c r="R1499" s="2"/>
      <c r="S1499" s="2"/>
      <c r="T1499" s="2"/>
      <c r="U1499" s="2"/>
      <c r="V1499" s="2"/>
      <c r="W1499" s="2"/>
      <c r="X1499" s="2"/>
      <c r="Y1499" s="2"/>
      <c r="Z1499" s="2"/>
      <c r="AA1499" s="2"/>
      <c r="AB1499" s="2"/>
      <c r="AC1499" s="2"/>
    </row>
    <row r="1500" spans="7:29" x14ac:dyDescent="0.35">
      <c r="G1500" s="2"/>
      <c r="H1500" s="2"/>
      <c r="I1500" s="2"/>
      <c r="J1500" s="2"/>
      <c r="K1500" s="2"/>
      <c r="L1500" s="2"/>
      <c r="M1500" s="2"/>
      <c r="N1500" s="2"/>
      <c r="O1500" s="2"/>
      <c r="P1500" s="2"/>
      <c r="Q1500" s="2"/>
      <c r="R1500" s="2"/>
      <c r="S1500" s="2"/>
      <c r="T1500" s="2"/>
      <c r="U1500" s="2"/>
      <c r="V1500" s="2"/>
      <c r="W1500" s="2"/>
      <c r="X1500" s="2"/>
      <c r="Y1500" s="2"/>
      <c r="Z1500" s="2"/>
      <c r="AA1500" s="2"/>
      <c r="AB1500" s="2"/>
      <c r="AC1500" s="2"/>
    </row>
    <row r="1501" spans="7:29" x14ac:dyDescent="0.35">
      <c r="G1501" s="2"/>
      <c r="H1501" s="2"/>
      <c r="I1501" s="2"/>
      <c r="J1501" s="2"/>
      <c r="K1501" s="2"/>
      <c r="L1501" s="2"/>
      <c r="M1501" s="2"/>
      <c r="N1501" s="2"/>
      <c r="O1501" s="2"/>
      <c r="P1501" s="2"/>
      <c r="Q1501" s="2"/>
      <c r="R1501" s="2"/>
      <c r="S1501" s="2"/>
      <c r="T1501" s="2"/>
      <c r="U1501" s="2"/>
      <c r="V1501" s="2"/>
      <c r="W1501" s="2"/>
      <c r="X1501" s="2"/>
      <c r="Y1501" s="2"/>
      <c r="Z1501" s="2"/>
      <c r="AA1501" s="2"/>
      <c r="AB1501" s="2"/>
      <c r="AC1501" s="2"/>
    </row>
    <row r="1502" spans="7:29" x14ac:dyDescent="0.35">
      <c r="G1502" s="2"/>
      <c r="H1502" s="2"/>
      <c r="I1502" s="2"/>
      <c r="J1502" s="2"/>
      <c r="K1502" s="2"/>
      <c r="L1502" s="2"/>
      <c r="M1502" s="2"/>
      <c r="N1502" s="2"/>
      <c r="O1502" s="2"/>
      <c r="P1502" s="2"/>
      <c r="Q1502" s="2"/>
      <c r="R1502" s="2"/>
      <c r="S1502" s="2"/>
      <c r="T1502" s="2"/>
      <c r="U1502" s="2"/>
      <c r="V1502" s="2"/>
      <c r="W1502" s="2"/>
      <c r="X1502" s="2"/>
      <c r="Y1502" s="2"/>
      <c r="Z1502" s="2"/>
      <c r="AA1502" s="2"/>
      <c r="AB1502" s="2"/>
      <c r="AC1502" s="2"/>
    </row>
    <row r="1503" spans="7:29" x14ac:dyDescent="0.35">
      <c r="G1503" s="2"/>
      <c r="H1503" s="2"/>
      <c r="I1503" s="2"/>
      <c r="J1503" s="2"/>
      <c r="K1503" s="2"/>
      <c r="L1503" s="2"/>
      <c r="M1503" s="2"/>
      <c r="N1503" s="2"/>
      <c r="O1503" s="2"/>
      <c r="P1503" s="2"/>
      <c r="Q1503" s="2"/>
      <c r="R1503" s="2"/>
      <c r="S1503" s="2"/>
      <c r="T1503" s="2"/>
      <c r="U1503" s="2"/>
      <c r="V1503" s="2"/>
      <c r="W1503" s="2"/>
      <c r="X1503" s="2"/>
      <c r="Y1503" s="2"/>
      <c r="Z1503" s="2"/>
      <c r="AA1503" s="2"/>
      <c r="AB1503" s="2"/>
      <c r="AC1503" s="2"/>
    </row>
    <row r="1504" spans="7:29" x14ac:dyDescent="0.35">
      <c r="G1504" s="2"/>
      <c r="H1504" s="2"/>
      <c r="I1504" s="2"/>
      <c r="J1504" s="2"/>
      <c r="K1504" s="2"/>
      <c r="L1504" s="2"/>
      <c r="M1504" s="2"/>
      <c r="N1504" s="2"/>
      <c r="O1504" s="2"/>
      <c r="P1504" s="2"/>
      <c r="Q1504" s="2"/>
      <c r="R1504" s="2"/>
      <c r="S1504" s="2"/>
      <c r="T1504" s="2"/>
      <c r="U1504" s="2"/>
      <c r="V1504" s="2"/>
      <c r="W1504" s="2"/>
      <c r="X1504" s="2"/>
      <c r="Y1504" s="2"/>
      <c r="Z1504" s="2"/>
      <c r="AA1504" s="2"/>
      <c r="AB1504" s="2"/>
      <c r="AC1504" s="2"/>
    </row>
    <row r="1505" spans="7:29" x14ac:dyDescent="0.35">
      <c r="G1505" s="2"/>
      <c r="H1505" s="2"/>
      <c r="I1505" s="2"/>
      <c r="J1505" s="2"/>
      <c r="K1505" s="2"/>
      <c r="L1505" s="2"/>
      <c r="M1505" s="2"/>
      <c r="N1505" s="2"/>
      <c r="O1505" s="2"/>
      <c r="P1505" s="2"/>
      <c r="Q1505" s="2"/>
      <c r="R1505" s="2"/>
      <c r="S1505" s="2"/>
      <c r="T1505" s="2"/>
      <c r="U1505" s="2"/>
      <c r="V1505" s="2"/>
      <c r="W1505" s="2"/>
      <c r="X1505" s="2"/>
      <c r="Y1505" s="2"/>
      <c r="Z1505" s="2"/>
      <c r="AA1505" s="2"/>
      <c r="AB1505" s="2"/>
      <c r="AC1505" s="2"/>
    </row>
    <row r="1506" spans="7:29" x14ac:dyDescent="0.35">
      <c r="G1506" s="2"/>
      <c r="H1506" s="2"/>
      <c r="I1506" s="2"/>
      <c r="J1506" s="2"/>
      <c r="K1506" s="2"/>
      <c r="L1506" s="2"/>
      <c r="M1506" s="2"/>
      <c r="N1506" s="2"/>
      <c r="O1506" s="2"/>
      <c r="P1506" s="2"/>
      <c r="Q1506" s="2"/>
      <c r="R1506" s="2"/>
      <c r="S1506" s="2"/>
      <c r="T1506" s="2"/>
      <c r="U1506" s="2"/>
      <c r="V1506" s="2"/>
      <c r="W1506" s="2"/>
      <c r="X1506" s="2"/>
      <c r="Y1506" s="2"/>
      <c r="Z1506" s="2"/>
      <c r="AA1506" s="2"/>
      <c r="AB1506" s="2"/>
      <c r="AC1506" s="2"/>
    </row>
    <row r="1507" spans="7:29" x14ac:dyDescent="0.35">
      <c r="G1507" s="2"/>
      <c r="H1507" s="2"/>
      <c r="I1507" s="2"/>
      <c r="J1507" s="2"/>
      <c r="K1507" s="2"/>
      <c r="L1507" s="2"/>
      <c r="M1507" s="2"/>
      <c r="N1507" s="2"/>
      <c r="O1507" s="2"/>
      <c r="P1507" s="2"/>
      <c r="Q1507" s="2"/>
      <c r="R1507" s="2"/>
      <c r="S1507" s="2"/>
      <c r="T1507" s="2"/>
      <c r="U1507" s="2"/>
      <c r="V1507" s="2"/>
      <c r="W1507" s="2"/>
      <c r="X1507" s="2"/>
      <c r="Y1507" s="2"/>
      <c r="Z1507" s="2"/>
      <c r="AA1507" s="2"/>
      <c r="AB1507" s="2"/>
      <c r="AC1507" s="2"/>
    </row>
    <row r="1508" spans="7:29" x14ac:dyDescent="0.35">
      <c r="G1508" s="2"/>
      <c r="H1508" s="2"/>
      <c r="I1508" s="2"/>
      <c r="J1508" s="2"/>
      <c r="K1508" s="2"/>
      <c r="L1508" s="2"/>
      <c r="M1508" s="2"/>
      <c r="N1508" s="2"/>
      <c r="O1508" s="2"/>
      <c r="P1508" s="2"/>
      <c r="Q1508" s="2"/>
      <c r="R1508" s="2"/>
      <c r="S1508" s="2"/>
      <c r="T1508" s="2"/>
      <c r="U1508" s="2"/>
      <c r="V1508" s="2"/>
      <c r="W1508" s="2"/>
      <c r="X1508" s="2"/>
      <c r="Y1508" s="2"/>
      <c r="Z1508" s="2"/>
      <c r="AA1508" s="2"/>
      <c r="AB1508" s="2"/>
      <c r="AC1508" s="2"/>
    </row>
    <row r="1509" spans="7:29" x14ac:dyDescent="0.35">
      <c r="G1509" s="2"/>
      <c r="H1509" s="2"/>
      <c r="I1509" s="2"/>
      <c r="J1509" s="2"/>
      <c r="K1509" s="2"/>
      <c r="L1509" s="2"/>
      <c r="M1509" s="2"/>
      <c r="N1509" s="2"/>
      <c r="O1509" s="2"/>
      <c r="P1509" s="2"/>
      <c r="Q1509" s="2"/>
      <c r="R1509" s="2"/>
      <c r="S1509" s="2"/>
      <c r="T1509" s="2"/>
      <c r="U1509" s="2"/>
      <c r="V1509" s="2"/>
      <c r="W1509" s="2"/>
      <c r="X1509" s="2"/>
      <c r="Y1509" s="2"/>
      <c r="Z1509" s="2"/>
      <c r="AA1509" s="2"/>
      <c r="AB1509" s="2"/>
      <c r="AC1509" s="2"/>
    </row>
    <row r="1510" spans="7:29" x14ac:dyDescent="0.35">
      <c r="G1510" s="2"/>
      <c r="H1510" s="2"/>
      <c r="I1510" s="2"/>
      <c r="J1510" s="2"/>
      <c r="K1510" s="2"/>
      <c r="L1510" s="2"/>
      <c r="M1510" s="2"/>
      <c r="N1510" s="2"/>
      <c r="O1510" s="2"/>
      <c r="P1510" s="2"/>
      <c r="Q1510" s="2"/>
      <c r="R1510" s="2"/>
      <c r="S1510" s="2"/>
      <c r="T1510" s="2"/>
      <c r="U1510" s="2"/>
      <c r="V1510" s="2"/>
      <c r="W1510" s="2"/>
      <c r="X1510" s="2"/>
      <c r="Y1510" s="2"/>
      <c r="Z1510" s="2"/>
      <c r="AA1510" s="2"/>
      <c r="AB1510" s="2"/>
      <c r="AC1510" s="2"/>
    </row>
    <row r="1511" spans="7:29" x14ac:dyDescent="0.35">
      <c r="G1511" s="2"/>
      <c r="H1511" s="2"/>
      <c r="I1511" s="2"/>
      <c r="J1511" s="2"/>
      <c r="K1511" s="2"/>
      <c r="L1511" s="2"/>
      <c r="M1511" s="2"/>
      <c r="N1511" s="2"/>
      <c r="O1511" s="2"/>
      <c r="P1511" s="2"/>
      <c r="Q1511" s="2"/>
      <c r="R1511" s="2"/>
      <c r="S1511" s="2"/>
      <c r="T1511" s="2"/>
      <c r="U1511" s="2"/>
      <c r="V1511" s="2"/>
      <c r="W1511" s="2"/>
      <c r="X1511" s="2"/>
      <c r="Y1511" s="2"/>
      <c r="Z1511" s="2"/>
      <c r="AA1511" s="2"/>
      <c r="AB1511" s="2"/>
      <c r="AC1511" s="2"/>
    </row>
    <row r="1512" spans="7:29" x14ac:dyDescent="0.35">
      <c r="G1512" s="2"/>
      <c r="H1512" s="2"/>
      <c r="I1512" s="2"/>
      <c r="J1512" s="2"/>
      <c r="K1512" s="2"/>
      <c r="L1512" s="2"/>
      <c r="M1512" s="2"/>
      <c r="N1512" s="2"/>
      <c r="O1512" s="2"/>
      <c r="P1512" s="2"/>
      <c r="Q1512" s="2"/>
      <c r="R1512" s="2"/>
      <c r="S1512" s="2"/>
      <c r="T1512" s="2"/>
      <c r="U1512" s="2"/>
      <c r="V1512" s="2"/>
      <c r="W1512" s="2"/>
      <c r="X1512" s="2"/>
      <c r="Y1512" s="2"/>
      <c r="Z1512" s="2"/>
      <c r="AA1512" s="2"/>
      <c r="AB1512" s="2"/>
      <c r="AC1512" s="2"/>
    </row>
    <row r="1513" spans="7:29" x14ac:dyDescent="0.35">
      <c r="G1513" s="2"/>
      <c r="H1513" s="2"/>
      <c r="I1513" s="2"/>
      <c r="J1513" s="2"/>
      <c r="K1513" s="2"/>
      <c r="L1513" s="2"/>
      <c r="M1513" s="2"/>
      <c r="N1513" s="2"/>
      <c r="O1513" s="2"/>
      <c r="P1513" s="2"/>
      <c r="Q1513" s="2"/>
      <c r="R1513" s="2"/>
      <c r="S1513" s="2"/>
      <c r="T1513" s="2"/>
      <c r="U1513" s="2"/>
      <c r="V1513" s="2"/>
      <c r="W1513" s="2"/>
      <c r="X1513" s="2"/>
      <c r="Y1513" s="2"/>
      <c r="Z1513" s="2"/>
      <c r="AA1513" s="2"/>
      <c r="AB1513" s="2"/>
      <c r="AC1513" s="2"/>
    </row>
    <row r="1514" spans="7:29" x14ac:dyDescent="0.35">
      <c r="G1514" s="2"/>
      <c r="H1514" s="2"/>
      <c r="I1514" s="2"/>
      <c r="J1514" s="2"/>
      <c r="K1514" s="2"/>
      <c r="L1514" s="2"/>
      <c r="M1514" s="2"/>
      <c r="N1514" s="2"/>
      <c r="O1514" s="2"/>
      <c r="P1514" s="2"/>
      <c r="Q1514" s="2"/>
      <c r="R1514" s="2"/>
      <c r="S1514" s="2"/>
      <c r="T1514" s="2"/>
      <c r="U1514" s="2"/>
      <c r="V1514" s="2"/>
      <c r="W1514" s="2"/>
      <c r="X1514" s="2"/>
      <c r="Y1514" s="2"/>
      <c r="Z1514" s="2"/>
      <c r="AA1514" s="2"/>
      <c r="AB1514" s="2"/>
      <c r="AC1514" s="2"/>
    </row>
    <row r="1515" spans="7:29" x14ac:dyDescent="0.35">
      <c r="G1515" s="2"/>
      <c r="H1515" s="2"/>
      <c r="I1515" s="2"/>
      <c r="J1515" s="2"/>
      <c r="K1515" s="2"/>
      <c r="L1515" s="2"/>
      <c r="M1515" s="2"/>
      <c r="N1515" s="2"/>
      <c r="O1515" s="2"/>
      <c r="P1515" s="2"/>
      <c r="Q1515" s="2"/>
      <c r="R1515" s="2"/>
      <c r="S1515" s="2"/>
      <c r="T1515" s="2"/>
      <c r="U1515" s="2"/>
      <c r="V1515" s="2"/>
      <c r="W1515" s="2"/>
      <c r="X1515" s="2"/>
      <c r="Y1515" s="2"/>
      <c r="Z1515" s="2"/>
      <c r="AA1515" s="2"/>
      <c r="AB1515" s="2"/>
      <c r="AC1515" s="2"/>
    </row>
    <row r="1516" spans="7:29" x14ac:dyDescent="0.35">
      <c r="G1516" s="2"/>
      <c r="H1516" s="2"/>
      <c r="I1516" s="2"/>
      <c r="J1516" s="2"/>
      <c r="K1516" s="2"/>
      <c r="L1516" s="2"/>
      <c r="M1516" s="2"/>
      <c r="N1516" s="2"/>
      <c r="O1516" s="2"/>
      <c r="P1516" s="2"/>
      <c r="Q1516" s="2"/>
      <c r="R1516" s="2"/>
      <c r="S1516" s="2"/>
      <c r="T1516" s="2"/>
      <c r="U1516" s="2"/>
      <c r="V1516" s="2"/>
      <c r="W1516" s="2"/>
      <c r="X1516" s="2"/>
      <c r="Y1516" s="2"/>
      <c r="Z1516" s="2"/>
      <c r="AA1516" s="2"/>
      <c r="AB1516" s="2"/>
      <c r="AC1516" s="2"/>
    </row>
    <row r="1517" spans="7:29" x14ac:dyDescent="0.35">
      <c r="G1517" s="2"/>
      <c r="H1517" s="2"/>
      <c r="I1517" s="2"/>
      <c r="J1517" s="2"/>
      <c r="K1517" s="2"/>
      <c r="L1517" s="2"/>
      <c r="M1517" s="2"/>
      <c r="N1517" s="2"/>
      <c r="O1517" s="2"/>
      <c r="P1517" s="2"/>
      <c r="Q1517" s="2"/>
      <c r="R1517" s="2"/>
      <c r="S1517" s="2"/>
      <c r="T1517" s="2"/>
      <c r="U1517" s="2"/>
      <c r="V1517" s="2"/>
      <c r="W1517" s="2"/>
      <c r="X1517" s="2"/>
      <c r="Y1517" s="2"/>
      <c r="Z1517" s="2"/>
      <c r="AA1517" s="2"/>
      <c r="AB1517" s="2"/>
      <c r="AC1517" s="2"/>
    </row>
    <row r="1518" spans="7:29" x14ac:dyDescent="0.35">
      <c r="G1518" s="2"/>
      <c r="H1518" s="2"/>
      <c r="I1518" s="2"/>
      <c r="J1518" s="2"/>
      <c r="K1518" s="2"/>
      <c r="L1518" s="2"/>
      <c r="M1518" s="2"/>
      <c r="N1518" s="2"/>
      <c r="O1518" s="2"/>
      <c r="P1518" s="2"/>
      <c r="Q1518" s="2"/>
      <c r="R1518" s="2"/>
      <c r="S1518" s="2"/>
      <c r="T1518" s="2"/>
      <c r="U1518" s="2"/>
      <c r="V1518" s="2"/>
      <c r="W1518" s="2"/>
      <c r="X1518" s="2"/>
      <c r="Y1518" s="2"/>
      <c r="Z1518" s="2"/>
      <c r="AA1518" s="2"/>
      <c r="AB1518" s="2"/>
      <c r="AC1518" s="2"/>
    </row>
    <row r="1519" spans="7:29" x14ac:dyDescent="0.35">
      <c r="G1519" s="2"/>
      <c r="H1519" s="2"/>
      <c r="I1519" s="2"/>
      <c r="J1519" s="2"/>
      <c r="K1519" s="2"/>
      <c r="L1519" s="2"/>
      <c r="M1519" s="2"/>
      <c r="N1519" s="2"/>
      <c r="O1519" s="2"/>
      <c r="P1519" s="2"/>
      <c r="Q1519" s="2"/>
      <c r="R1519" s="2"/>
      <c r="S1519" s="2"/>
      <c r="T1519" s="2"/>
      <c r="U1519" s="2"/>
      <c r="V1519" s="2"/>
      <c r="W1519" s="2"/>
      <c r="X1519" s="2"/>
      <c r="Y1519" s="2"/>
      <c r="Z1519" s="2"/>
      <c r="AA1519" s="2"/>
      <c r="AB1519" s="2"/>
      <c r="AC1519" s="2"/>
    </row>
    <row r="1520" spans="7:29" x14ac:dyDescent="0.35">
      <c r="G1520" s="2"/>
      <c r="H1520" s="2"/>
      <c r="I1520" s="2"/>
      <c r="J1520" s="2"/>
      <c r="K1520" s="2"/>
      <c r="L1520" s="2"/>
      <c r="M1520" s="2"/>
      <c r="N1520" s="2"/>
      <c r="O1520" s="2"/>
      <c r="P1520" s="2"/>
      <c r="Q1520" s="2"/>
      <c r="R1520" s="2"/>
      <c r="S1520" s="2"/>
      <c r="T1520" s="2"/>
      <c r="U1520" s="2"/>
      <c r="V1520" s="2"/>
      <c r="W1520" s="2"/>
      <c r="X1520" s="2"/>
      <c r="Y1520" s="2"/>
      <c r="Z1520" s="2"/>
      <c r="AA1520" s="2"/>
      <c r="AB1520" s="2"/>
      <c r="AC1520" s="2"/>
    </row>
    <row r="1521" spans="7:29" x14ac:dyDescent="0.35">
      <c r="G1521" s="2"/>
      <c r="H1521" s="2"/>
      <c r="I1521" s="2"/>
      <c r="J1521" s="2"/>
      <c r="K1521" s="2"/>
      <c r="L1521" s="2"/>
      <c r="M1521" s="2"/>
      <c r="N1521" s="2"/>
      <c r="O1521" s="2"/>
      <c r="P1521" s="2"/>
      <c r="Q1521" s="2"/>
      <c r="R1521" s="2"/>
      <c r="S1521" s="2"/>
      <c r="T1521" s="2"/>
      <c r="U1521" s="2"/>
      <c r="V1521" s="2"/>
      <c r="W1521" s="2"/>
      <c r="X1521" s="2"/>
      <c r="Y1521" s="2"/>
      <c r="Z1521" s="2"/>
      <c r="AA1521" s="2"/>
      <c r="AB1521" s="2"/>
      <c r="AC1521" s="2"/>
    </row>
    <row r="1522" spans="7:29" x14ac:dyDescent="0.35">
      <c r="G1522" s="2"/>
      <c r="H1522" s="2"/>
      <c r="I1522" s="2"/>
      <c r="J1522" s="2"/>
      <c r="K1522" s="2"/>
      <c r="L1522" s="2"/>
      <c r="M1522" s="2"/>
      <c r="N1522" s="2"/>
      <c r="O1522" s="2"/>
      <c r="P1522" s="2"/>
      <c r="Q1522" s="2"/>
      <c r="R1522" s="2"/>
      <c r="S1522" s="2"/>
      <c r="T1522" s="2"/>
      <c r="U1522" s="2"/>
      <c r="V1522" s="2"/>
      <c r="W1522" s="2"/>
      <c r="X1522" s="2"/>
      <c r="Y1522" s="2"/>
      <c r="Z1522" s="2"/>
      <c r="AA1522" s="2"/>
      <c r="AB1522" s="2"/>
      <c r="AC1522" s="2"/>
    </row>
    <row r="1523" spans="7:29" x14ac:dyDescent="0.35">
      <c r="G1523" s="2"/>
      <c r="H1523" s="2"/>
      <c r="I1523" s="2"/>
      <c r="J1523" s="2"/>
      <c r="K1523" s="2"/>
      <c r="L1523" s="2"/>
      <c r="M1523" s="2"/>
      <c r="N1523" s="2"/>
      <c r="O1523" s="2"/>
      <c r="P1523" s="2"/>
      <c r="Q1523" s="2"/>
      <c r="R1523" s="2"/>
      <c r="S1523" s="2"/>
      <c r="T1523" s="2"/>
      <c r="U1523" s="2"/>
      <c r="V1523" s="2"/>
      <c r="W1523" s="2"/>
      <c r="X1523" s="2"/>
      <c r="Y1523" s="2"/>
      <c r="Z1523" s="2"/>
      <c r="AA1523" s="2"/>
      <c r="AB1523" s="2"/>
      <c r="AC1523" s="2"/>
    </row>
    <row r="1524" spans="7:29" x14ac:dyDescent="0.35">
      <c r="G1524" s="2"/>
      <c r="H1524" s="2"/>
      <c r="I1524" s="2"/>
      <c r="J1524" s="2"/>
      <c r="K1524" s="2"/>
      <c r="L1524" s="2"/>
      <c r="M1524" s="2"/>
      <c r="N1524" s="2"/>
      <c r="O1524" s="2"/>
      <c r="P1524" s="2"/>
      <c r="Q1524" s="2"/>
      <c r="R1524" s="2"/>
      <c r="S1524" s="2"/>
      <c r="T1524" s="2"/>
      <c r="U1524" s="2"/>
      <c r="V1524" s="2"/>
      <c r="W1524" s="2"/>
      <c r="X1524" s="2"/>
      <c r="Y1524" s="2"/>
      <c r="Z1524" s="2"/>
      <c r="AA1524" s="2"/>
      <c r="AB1524" s="2"/>
      <c r="AC1524" s="2"/>
    </row>
    <row r="1525" spans="7:29" x14ac:dyDescent="0.35">
      <c r="G1525" s="2"/>
      <c r="H1525" s="2"/>
      <c r="I1525" s="2"/>
      <c r="J1525" s="2"/>
      <c r="K1525" s="2"/>
      <c r="L1525" s="2"/>
      <c r="M1525" s="2"/>
      <c r="N1525" s="2"/>
      <c r="O1525" s="2"/>
      <c r="P1525" s="2"/>
      <c r="Q1525" s="2"/>
      <c r="R1525" s="2"/>
      <c r="S1525" s="2"/>
      <c r="T1525" s="2"/>
      <c r="U1525" s="2"/>
      <c r="V1525" s="2"/>
      <c r="W1525" s="2"/>
      <c r="X1525" s="2"/>
      <c r="Y1525" s="2"/>
      <c r="Z1525" s="2"/>
      <c r="AA1525" s="2"/>
      <c r="AB1525" s="2"/>
      <c r="AC1525" s="2"/>
    </row>
    <row r="1526" spans="7:29" x14ac:dyDescent="0.35">
      <c r="G1526" s="2"/>
      <c r="H1526" s="2"/>
      <c r="I1526" s="2"/>
      <c r="J1526" s="2"/>
      <c r="K1526" s="2"/>
      <c r="L1526" s="2"/>
      <c r="M1526" s="2"/>
      <c r="N1526" s="2"/>
      <c r="O1526" s="2"/>
      <c r="P1526" s="2"/>
      <c r="Q1526" s="2"/>
      <c r="R1526" s="2"/>
      <c r="S1526" s="2"/>
      <c r="T1526" s="2"/>
      <c r="U1526" s="2"/>
      <c r="V1526" s="2"/>
      <c r="W1526" s="2"/>
      <c r="X1526" s="2"/>
      <c r="Y1526" s="2"/>
      <c r="Z1526" s="2"/>
      <c r="AA1526" s="2"/>
      <c r="AB1526" s="2"/>
      <c r="AC1526" s="2"/>
    </row>
    <row r="1527" spans="7:29" x14ac:dyDescent="0.35">
      <c r="G1527" s="2"/>
      <c r="H1527" s="2"/>
      <c r="I1527" s="2"/>
      <c r="J1527" s="2"/>
      <c r="K1527" s="2"/>
      <c r="L1527" s="2"/>
      <c r="M1527" s="2"/>
      <c r="N1527" s="2"/>
      <c r="O1527" s="2"/>
      <c r="P1527" s="2"/>
      <c r="Q1527" s="2"/>
      <c r="R1527" s="2"/>
      <c r="S1527" s="2"/>
      <c r="T1527" s="2"/>
      <c r="U1527" s="2"/>
      <c r="V1527" s="2"/>
      <c r="W1527" s="2"/>
      <c r="X1527" s="2"/>
      <c r="Y1527" s="2"/>
      <c r="Z1527" s="2"/>
      <c r="AA1527" s="2"/>
      <c r="AB1527" s="2"/>
      <c r="AC1527" s="2"/>
    </row>
    <row r="1528" spans="7:29" x14ac:dyDescent="0.35">
      <c r="G1528" s="2"/>
      <c r="H1528" s="2"/>
      <c r="I1528" s="2"/>
      <c r="J1528" s="2"/>
      <c r="K1528" s="2"/>
      <c r="L1528" s="2"/>
      <c r="M1528" s="2"/>
      <c r="N1528" s="2"/>
      <c r="O1528" s="2"/>
      <c r="P1528" s="2"/>
      <c r="Q1528" s="2"/>
      <c r="R1528" s="2"/>
      <c r="S1528" s="2"/>
      <c r="T1528" s="2"/>
      <c r="U1528" s="2"/>
      <c r="V1528" s="2"/>
      <c r="W1528" s="2"/>
      <c r="X1528" s="2"/>
      <c r="Y1528" s="2"/>
      <c r="Z1528" s="2"/>
      <c r="AA1528" s="2"/>
      <c r="AB1528" s="2"/>
      <c r="AC1528" s="2"/>
    </row>
    <row r="1529" spans="7:29" x14ac:dyDescent="0.35">
      <c r="G1529" s="2"/>
      <c r="H1529" s="2"/>
      <c r="I1529" s="2"/>
      <c r="J1529" s="2"/>
      <c r="K1529" s="2"/>
      <c r="L1529" s="2"/>
      <c r="M1529" s="2"/>
      <c r="N1529" s="2"/>
      <c r="O1529" s="2"/>
      <c r="P1529" s="2"/>
      <c r="Q1529" s="2"/>
      <c r="R1529" s="2"/>
      <c r="S1529" s="2"/>
      <c r="T1529" s="2"/>
      <c r="U1529" s="2"/>
      <c r="V1529" s="2"/>
      <c r="W1529" s="2"/>
      <c r="X1529" s="2"/>
      <c r="Y1529" s="2"/>
      <c r="Z1529" s="2"/>
      <c r="AA1529" s="2"/>
      <c r="AB1529" s="2"/>
      <c r="AC1529" s="2"/>
    </row>
    <row r="1530" spans="7:29" x14ac:dyDescent="0.35">
      <c r="G1530" s="2"/>
      <c r="H1530" s="2"/>
      <c r="I1530" s="2"/>
      <c r="J1530" s="2"/>
      <c r="K1530" s="2"/>
      <c r="L1530" s="2"/>
      <c r="M1530" s="2"/>
      <c r="N1530" s="2"/>
      <c r="O1530" s="2"/>
      <c r="P1530" s="2"/>
      <c r="Q1530" s="2"/>
      <c r="R1530" s="2"/>
      <c r="S1530" s="2"/>
      <c r="T1530" s="2"/>
      <c r="U1530" s="2"/>
      <c r="V1530" s="2"/>
      <c r="W1530" s="2"/>
      <c r="X1530" s="2"/>
      <c r="Y1530" s="2"/>
      <c r="Z1530" s="2"/>
      <c r="AA1530" s="2"/>
      <c r="AB1530" s="2"/>
      <c r="AC1530" s="2"/>
    </row>
    <row r="1531" spans="7:29" x14ac:dyDescent="0.35">
      <c r="G1531" s="2"/>
      <c r="H1531" s="2"/>
      <c r="I1531" s="2"/>
      <c r="J1531" s="2"/>
      <c r="K1531" s="2"/>
      <c r="L1531" s="2"/>
      <c r="M1531" s="2"/>
      <c r="N1531" s="2"/>
      <c r="O1531" s="2"/>
      <c r="P1531" s="2"/>
      <c r="Q1531" s="2"/>
      <c r="R1531" s="2"/>
      <c r="S1531" s="2"/>
      <c r="T1531" s="2"/>
      <c r="U1531" s="2"/>
      <c r="V1531" s="2"/>
      <c r="W1531" s="2"/>
      <c r="X1531" s="2"/>
      <c r="Y1531" s="2"/>
      <c r="Z1531" s="2"/>
      <c r="AA1531" s="2"/>
      <c r="AB1531" s="2"/>
      <c r="AC1531" s="2"/>
    </row>
    <row r="1532" spans="7:29" x14ac:dyDescent="0.35">
      <c r="G1532" s="2"/>
      <c r="H1532" s="2"/>
      <c r="I1532" s="2"/>
      <c r="J1532" s="2"/>
      <c r="K1532" s="2"/>
      <c r="L1532" s="2"/>
      <c r="M1532" s="2"/>
      <c r="N1532" s="2"/>
      <c r="O1532" s="2"/>
      <c r="P1532" s="2"/>
      <c r="Q1532" s="2"/>
      <c r="R1532" s="2"/>
      <c r="S1532" s="2"/>
      <c r="T1532" s="2"/>
      <c r="U1532" s="2"/>
      <c r="V1532" s="2"/>
      <c r="W1532" s="2"/>
      <c r="X1532" s="2"/>
      <c r="Y1532" s="2"/>
      <c r="Z1532" s="2"/>
      <c r="AA1532" s="2"/>
      <c r="AB1532" s="2"/>
      <c r="AC1532" s="2"/>
    </row>
    <row r="1533" spans="7:29" x14ac:dyDescent="0.35">
      <c r="G1533" s="2"/>
      <c r="H1533" s="2"/>
      <c r="I1533" s="2"/>
      <c r="J1533" s="2"/>
      <c r="K1533" s="2"/>
      <c r="L1533" s="2"/>
      <c r="M1533" s="2"/>
      <c r="N1533" s="2"/>
      <c r="O1533" s="2"/>
      <c r="P1533" s="2"/>
      <c r="Q1533" s="2"/>
      <c r="R1533" s="2"/>
      <c r="S1533" s="2"/>
      <c r="T1533" s="2"/>
      <c r="U1533" s="2"/>
      <c r="V1533" s="2"/>
      <c r="W1533" s="2"/>
      <c r="X1533" s="2"/>
      <c r="Y1533" s="2"/>
      <c r="Z1533" s="2"/>
      <c r="AA1533" s="2"/>
      <c r="AB1533" s="2"/>
      <c r="AC1533" s="2"/>
    </row>
    <row r="1534" spans="7:29" x14ac:dyDescent="0.35">
      <c r="G1534" s="2"/>
      <c r="H1534" s="2"/>
      <c r="I1534" s="2"/>
      <c r="J1534" s="2"/>
      <c r="K1534" s="2"/>
      <c r="L1534" s="2"/>
      <c r="M1534" s="2"/>
      <c r="N1534" s="2"/>
      <c r="O1534" s="2"/>
      <c r="P1534" s="2"/>
      <c r="Q1534" s="2"/>
      <c r="R1534" s="2"/>
      <c r="S1534" s="2"/>
      <c r="T1534" s="2"/>
      <c r="U1534" s="2"/>
      <c r="V1534" s="2"/>
      <c r="W1534" s="2"/>
      <c r="X1534" s="2"/>
      <c r="Y1534" s="2"/>
      <c r="Z1534" s="2"/>
      <c r="AA1534" s="2"/>
      <c r="AB1534" s="2"/>
      <c r="AC1534" s="2"/>
    </row>
    <row r="1535" spans="7:29" x14ac:dyDescent="0.35">
      <c r="G1535" s="2"/>
      <c r="H1535" s="2"/>
      <c r="I1535" s="2"/>
      <c r="J1535" s="2"/>
      <c r="K1535" s="2"/>
      <c r="L1535" s="2"/>
      <c r="M1535" s="2"/>
      <c r="N1535" s="2"/>
      <c r="O1535" s="2"/>
      <c r="P1535" s="2"/>
      <c r="Q1535" s="2"/>
      <c r="R1535" s="2"/>
      <c r="S1535" s="2"/>
      <c r="T1535" s="2"/>
      <c r="U1535" s="2"/>
      <c r="V1535" s="2"/>
      <c r="W1535" s="2"/>
      <c r="X1535" s="2"/>
      <c r="Y1535" s="2"/>
      <c r="Z1535" s="2"/>
      <c r="AA1535" s="2"/>
      <c r="AB1535" s="2"/>
      <c r="AC1535" s="2"/>
    </row>
    <row r="1536" spans="7:29" x14ac:dyDescent="0.35">
      <c r="G1536" s="2"/>
      <c r="H1536" s="2"/>
      <c r="I1536" s="2"/>
      <c r="J1536" s="2"/>
      <c r="K1536" s="2"/>
      <c r="L1536" s="2"/>
      <c r="M1536" s="2"/>
      <c r="N1536" s="2"/>
      <c r="O1536" s="2"/>
      <c r="P1536" s="2"/>
      <c r="Q1536" s="2"/>
      <c r="R1536" s="2"/>
      <c r="S1536" s="2"/>
      <c r="T1536" s="2"/>
      <c r="U1536" s="2"/>
      <c r="V1536" s="2"/>
      <c r="W1536" s="2"/>
      <c r="X1536" s="2"/>
      <c r="Y1536" s="2"/>
      <c r="Z1536" s="2"/>
      <c r="AA1536" s="2"/>
      <c r="AB1536" s="2"/>
      <c r="AC1536" s="2"/>
    </row>
    <row r="1537" spans="7:29" x14ac:dyDescent="0.35">
      <c r="G1537" s="2"/>
      <c r="H1537" s="2"/>
      <c r="I1537" s="2"/>
      <c r="J1537" s="2"/>
      <c r="K1537" s="2"/>
      <c r="L1537" s="2"/>
      <c r="M1537" s="2"/>
      <c r="N1537" s="2"/>
      <c r="O1537" s="2"/>
      <c r="P1537" s="2"/>
      <c r="Q1537" s="2"/>
      <c r="R1537" s="2"/>
      <c r="S1537" s="2"/>
      <c r="T1537" s="2"/>
      <c r="U1537" s="2"/>
      <c r="V1537" s="2"/>
      <c r="W1537" s="2"/>
      <c r="X1537" s="2"/>
      <c r="Y1537" s="2"/>
      <c r="Z1537" s="2"/>
      <c r="AA1537" s="2"/>
      <c r="AB1537" s="2"/>
      <c r="AC1537" s="2"/>
    </row>
    <row r="1538" spans="7:29" x14ac:dyDescent="0.35">
      <c r="G1538" s="2"/>
      <c r="H1538" s="2"/>
      <c r="I1538" s="2"/>
      <c r="J1538" s="2"/>
      <c r="K1538" s="2"/>
      <c r="L1538" s="2"/>
      <c r="M1538" s="2"/>
      <c r="N1538" s="2"/>
      <c r="O1538" s="2"/>
      <c r="P1538" s="2"/>
      <c r="Q1538" s="2"/>
      <c r="R1538" s="2"/>
      <c r="S1538" s="2"/>
      <c r="T1538" s="2"/>
      <c r="U1538" s="2"/>
      <c r="V1538" s="2"/>
      <c r="W1538" s="2"/>
      <c r="X1538" s="2"/>
      <c r="Y1538" s="2"/>
      <c r="Z1538" s="2"/>
      <c r="AA1538" s="2"/>
      <c r="AB1538" s="2"/>
      <c r="AC1538" s="2"/>
    </row>
    <row r="1539" spans="7:29" x14ac:dyDescent="0.35">
      <c r="G1539" s="2"/>
      <c r="H1539" s="2"/>
      <c r="I1539" s="2"/>
      <c r="J1539" s="2"/>
      <c r="K1539" s="2"/>
      <c r="L1539" s="2"/>
      <c r="M1539" s="2"/>
      <c r="N1539" s="2"/>
      <c r="O1539" s="2"/>
      <c r="P1539" s="2"/>
      <c r="Q1539" s="2"/>
      <c r="R1539" s="2"/>
      <c r="S1539" s="2"/>
      <c r="T1539" s="2"/>
      <c r="U1539" s="2"/>
      <c r="V1539" s="2"/>
      <c r="W1539" s="2"/>
      <c r="X1539" s="2"/>
      <c r="Y1539" s="2"/>
      <c r="Z1539" s="2"/>
      <c r="AA1539" s="2"/>
      <c r="AB1539" s="2"/>
      <c r="AC1539" s="2"/>
    </row>
    <row r="1540" spans="7:29" x14ac:dyDescent="0.35">
      <c r="G1540" s="2"/>
      <c r="H1540" s="2"/>
      <c r="I1540" s="2"/>
      <c r="J1540" s="2"/>
      <c r="K1540" s="2"/>
      <c r="L1540" s="2"/>
      <c r="M1540" s="2"/>
      <c r="N1540" s="2"/>
      <c r="O1540" s="2"/>
      <c r="P1540" s="2"/>
      <c r="Q1540" s="2"/>
      <c r="R1540" s="2"/>
      <c r="S1540" s="2"/>
      <c r="T1540" s="2"/>
      <c r="U1540" s="2"/>
      <c r="V1540" s="2"/>
      <c r="W1540" s="2"/>
      <c r="X1540" s="2"/>
      <c r="Y1540" s="2"/>
      <c r="Z1540" s="2"/>
      <c r="AA1540" s="2"/>
      <c r="AB1540" s="2"/>
      <c r="AC1540" s="2"/>
    </row>
    <row r="1541" spans="7:29" x14ac:dyDescent="0.35">
      <c r="G1541" s="2"/>
      <c r="H1541" s="2"/>
      <c r="I1541" s="2"/>
      <c r="J1541" s="2"/>
      <c r="K1541" s="2"/>
      <c r="L1541" s="2"/>
      <c r="M1541" s="2"/>
      <c r="N1541" s="2"/>
      <c r="O1541" s="2"/>
      <c r="P1541" s="2"/>
      <c r="Q1541" s="2"/>
      <c r="R1541" s="2"/>
      <c r="S1541" s="2"/>
      <c r="T1541" s="2"/>
      <c r="U1541" s="2"/>
      <c r="V1541" s="2"/>
      <c r="W1541" s="2"/>
      <c r="X1541" s="2"/>
      <c r="Y1541" s="2"/>
      <c r="Z1541" s="2"/>
      <c r="AA1541" s="2"/>
      <c r="AB1541" s="2"/>
      <c r="AC1541" s="2"/>
    </row>
  </sheetData>
  <customSheetViews>
    <customSheetView guid="{5B43930B-94B3-E14E-81EE-7E8A625CA6DA}" scale="150">
      <pane ySplit="2.024390243902439" topLeftCell="A43" activePane="bottomLeft" state="frozenSplit"/>
      <selection pane="bottomLeft" activeCell="G60" sqref="G3:G61"/>
      <pageMargins left="0.7" right="0.7" top="0.75" bottom="0.75" header="0.3" footer="0.3"/>
    </customSheetView>
    <customSheetView guid="{ABB2EBC0-75A8-4650-B9C7-648A0C330DEA}">
      <pane ySplit="2" topLeftCell="A3" activePane="bottomLeft" state="frozenSplit"/>
      <selection pane="bottomLeft" activeCell="B10" sqref="B10"/>
      <pageMargins left="0.75" right="0.75" top="1" bottom="1" header="0.5" footer="0.5"/>
    </customSheetView>
    <customSheetView guid="{0B355C98-F093-4F26-9D41-2F5DE1271F90}">
      <pane ySplit="2" topLeftCell="A15" activePane="bottomLeft" state="frozenSplit"/>
      <selection pane="bottomLeft" activeCell="G27" sqref="G27"/>
      <pageMargins left="0.75" right="0.75" top="1" bottom="1" header="0.5" footer="0.5"/>
      <pageSetup paperSize="9" orientation="portrait" r:id="rId1"/>
    </customSheetView>
  </customSheetViews>
  <mergeCells count="9">
    <mergeCell ref="C1:C2"/>
    <mergeCell ref="D1:O1"/>
    <mergeCell ref="P1:S1"/>
    <mergeCell ref="T1:W1"/>
    <mergeCell ref="AE1:AE2"/>
    <mergeCell ref="AD1:AD2"/>
    <mergeCell ref="X1:AA1"/>
    <mergeCell ref="AB1:AB2"/>
    <mergeCell ref="AC1:AC2"/>
  </mergeCells>
  <phoneticPr fontId="2" type="noConversion"/>
  <pageMargins left="0.75" right="0.75" top="1" bottom="1" header="0.5" footer="0.5"/>
  <pageSetup paperSize="9" scale="48" orientation="landscape" r:id="rId2"/>
  <headerFooter>
    <oddHeader>&amp;C&amp;"-,Bold"&amp;12Workplan</oddHeader>
  </headerFooter>
  <legacy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31"/>
  <sheetViews>
    <sheetView topLeftCell="A19" workbookViewId="0">
      <selection activeCell="B24" sqref="B24"/>
    </sheetView>
  </sheetViews>
  <sheetFormatPr defaultRowHeight="14.5" x14ac:dyDescent="0.35"/>
  <cols>
    <col min="1" max="1" width="23.453125" style="154" customWidth="1"/>
    <col min="2" max="2" width="108" style="154" customWidth="1"/>
    <col min="3" max="256" width="9.1796875" style="154"/>
    <col min="257" max="257" width="23.453125" style="154" customWidth="1"/>
    <col min="258" max="258" width="108" style="154" customWidth="1"/>
    <col min="259" max="512" width="9.1796875" style="154"/>
    <col min="513" max="513" width="23.453125" style="154" customWidth="1"/>
    <col min="514" max="514" width="108" style="154" customWidth="1"/>
    <col min="515" max="768" width="9.1796875" style="154"/>
    <col min="769" max="769" width="23.453125" style="154" customWidth="1"/>
    <col min="770" max="770" width="108" style="154" customWidth="1"/>
    <col min="771" max="1024" width="9.1796875" style="154"/>
    <col min="1025" max="1025" width="23.453125" style="154" customWidth="1"/>
    <col min="1026" max="1026" width="108" style="154" customWidth="1"/>
    <col min="1027" max="1280" width="9.1796875" style="154"/>
    <col min="1281" max="1281" width="23.453125" style="154" customWidth="1"/>
    <col min="1282" max="1282" width="108" style="154" customWidth="1"/>
    <col min="1283" max="1536" width="9.1796875" style="154"/>
    <col min="1537" max="1537" width="23.453125" style="154" customWidth="1"/>
    <col min="1538" max="1538" width="108" style="154" customWidth="1"/>
    <col min="1539" max="1792" width="9.1796875" style="154"/>
    <col min="1793" max="1793" width="23.453125" style="154" customWidth="1"/>
    <col min="1794" max="1794" width="108" style="154" customWidth="1"/>
    <col min="1795" max="2048" width="9.1796875" style="154"/>
    <col min="2049" max="2049" width="23.453125" style="154" customWidth="1"/>
    <col min="2050" max="2050" width="108" style="154" customWidth="1"/>
    <col min="2051" max="2304" width="9.1796875" style="154"/>
    <col min="2305" max="2305" width="23.453125" style="154" customWidth="1"/>
    <col min="2306" max="2306" width="108" style="154" customWidth="1"/>
    <col min="2307" max="2560" width="9.1796875" style="154"/>
    <col min="2561" max="2561" width="23.453125" style="154" customWidth="1"/>
    <col min="2562" max="2562" width="108" style="154" customWidth="1"/>
    <col min="2563" max="2816" width="9.1796875" style="154"/>
    <col min="2817" max="2817" width="23.453125" style="154" customWidth="1"/>
    <col min="2818" max="2818" width="108" style="154" customWidth="1"/>
    <col min="2819" max="3072" width="9.1796875" style="154"/>
    <col min="3073" max="3073" width="23.453125" style="154" customWidth="1"/>
    <col min="3074" max="3074" width="108" style="154" customWidth="1"/>
    <col min="3075" max="3328" width="9.1796875" style="154"/>
    <col min="3329" max="3329" width="23.453125" style="154" customWidth="1"/>
    <col min="3330" max="3330" width="108" style="154" customWidth="1"/>
    <col min="3331" max="3584" width="9.1796875" style="154"/>
    <col min="3585" max="3585" width="23.453125" style="154" customWidth="1"/>
    <col min="3586" max="3586" width="108" style="154" customWidth="1"/>
    <col min="3587" max="3840" width="9.1796875" style="154"/>
    <col min="3841" max="3841" width="23.453125" style="154" customWidth="1"/>
    <col min="3842" max="3842" width="108" style="154" customWidth="1"/>
    <col min="3843" max="4096" width="9.1796875" style="154"/>
    <col min="4097" max="4097" width="23.453125" style="154" customWidth="1"/>
    <col min="4098" max="4098" width="108" style="154" customWidth="1"/>
    <col min="4099" max="4352" width="9.1796875" style="154"/>
    <col min="4353" max="4353" width="23.453125" style="154" customWidth="1"/>
    <col min="4354" max="4354" width="108" style="154" customWidth="1"/>
    <col min="4355" max="4608" width="9.1796875" style="154"/>
    <col min="4609" max="4609" width="23.453125" style="154" customWidth="1"/>
    <col min="4610" max="4610" width="108" style="154" customWidth="1"/>
    <col min="4611" max="4864" width="9.1796875" style="154"/>
    <col min="4865" max="4865" width="23.453125" style="154" customWidth="1"/>
    <col min="4866" max="4866" width="108" style="154" customWidth="1"/>
    <col min="4867" max="5120" width="9.1796875" style="154"/>
    <col min="5121" max="5121" width="23.453125" style="154" customWidth="1"/>
    <col min="5122" max="5122" width="108" style="154" customWidth="1"/>
    <col min="5123" max="5376" width="9.1796875" style="154"/>
    <col min="5377" max="5377" width="23.453125" style="154" customWidth="1"/>
    <col min="5378" max="5378" width="108" style="154" customWidth="1"/>
    <col min="5379" max="5632" width="9.1796875" style="154"/>
    <col min="5633" max="5633" width="23.453125" style="154" customWidth="1"/>
    <col min="5634" max="5634" width="108" style="154" customWidth="1"/>
    <col min="5635" max="5888" width="9.1796875" style="154"/>
    <col min="5889" max="5889" width="23.453125" style="154" customWidth="1"/>
    <col min="5890" max="5890" width="108" style="154" customWidth="1"/>
    <col min="5891" max="6144" width="9.1796875" style="154"/>
    <col min="6145" max="6145" width="23.453125" style="154" customWidth="1"/>
    <col min="6146" max="6146" width="108" style="154" customWidth="1"/>
    <col min="6147" max="6400" width="9.1796875" style="154"/>
    <col min="6401" max="6401" width="23.453125" style="154" customWidth="1"/>
    <col min="6402" max="6402" width="108" style="154" customWidth="1"/>
    <col min="6403" max="6656" width="9.1796875" style="154"/>
    <col min="6657" max="6657" width="23.453125" style="154" customWidth="1"/>
    <col min="6658" max="6658" width="108" style="154" customWidth="1"/>
    <col min="6659" max="6912" width="9.1796875" style="154"/>
    <col min="6913" max="6913" width="23.453125" style="154" customWidth="1"/>
    <col min="6914" max="6914" width="108" style="154" customWidth="1"/>
    <col min="6915" max="7168" width="9.1796875" style="154"/>
    <col min="7169" max="7169" width="23.453125" style="154" customWidth="1"/>
    <col min="7170" max="7170" width="108" style="154" customWidth="1"/>
    <col min="7171" max="7424" width="9.1796875" style="154"/>
    <col min="7425" max="7425" width="23.453125" style="154" customWidth="1"/>
    <col min="7426" max="7426" width="108" style="154" customWidth="1"/>
    <col min="7427" max="7680" width="9.1796875" style="154"/>
    <col min="7681" max="7681" width="23.453125" style="154" customWidth="1"/>
    <col min="7682" max="7682" width="108" style="154" customWidth="1"/>
    <col min="7683" max="7936" width="9.1796875" style="154"/>
    <col min="7937" max="7937" width="23.453125" style="154" customWidth="1"/>
    <col min="7938" max="7938" width="108" style="154" customWidth="1"/>
    <col min="7939" max="8192" width="9.1796875" style="154"/>
    <col min="8193" max="8193" width="23.453125" style="154" customWidth="1"/>
    <col min="8194" max="8194" width="108" style="154" customWidth="1"/>
    <col min="8195" max="8448" width="9.1796875" style="154"/>
    <col min="8449" max="8449" width="23.453125" style="154" customWidth="1"/>
    <col min="8450" max="8450" width="108" style="154" customWidth="1"/>
    <col min="8451" max="8704" width="9.1796875" style="154"/>
    <col min="8705" max="8705" width="23.453125" style="154" customWidth="1"/>
    <col min="8706" max="8706" width="108" style="154" customWidth="1"/>
    <col min="8707" max="8960" width="9.1796875" style="154"/>
    <col min="8961" max="8961" width="23.453125" style="154" customWidth="1"/>
    <col min="8962" max="8962" width="108" style="154" customWidth="1"/>
    <col min="8963" max="9216" width="9.1796875" style="154"/>
    <col min="9217" max="9217" width="23.453125" style="154" customWidth="1"/>
    <col min="9218" max="9218" width="108" style="154" customWidth="1"/>
    <col min="9219" max="9472" width="9.1796875" style="154"/>
    <col min="9473" max="9473" width="23.453125" style="154" customWidth="1"/>
    <col min="9474" max="9474" width="108" style="154" customWidth="1"/>
    <col min="9475" max="9728" width="9.1796875" style="154"/>
    <col min="9729" max="9729" width="23.453125" style="154" customWidth="1"/>
    <col min="9730" max="9730" width="108" style="154" customWidth="1"/>
    <col min="9731" max="9984" width="9.1796875" style="154"/>
    <col min="9985" max="9985" width="23.453125" style="154" customWidth="1"/>
    <col min="9986" max="9986" width="108" style="154" customWidth="1"/>
    <col min="9987" max="10240" width="9.1796875" style="154"/>
    <col min="10241" max="10241" width="23.453125" style="154" customWidth="1"/>
    <col min="10242" max="10242" width="108" style="154" customWidth="1"/>
    <col min="10243" max="10496" width="9.1796875" style="154"/>
    <col min="10497" max="10497" width="23.453125" style="154" customWidth="1"/>
    <col min="10498" max="10498" width="108" style="154" customWidth="1"/>
    <col min="10499" max="10752" width="9.1796875" style="154"/>
    <col min="10753" max="10753" width="23.453125" style="154" customWidth="1"/>
    <col min="10754" max="10754" width="108" style="154" customWidth="1"/>
    <col min="10755" max="11008" width="9.1796875" style="154"/>
    <col min="11009" max="11009" width="23.453125" style="154" customWidth="1"/>
    <col min="11010" max="11010" width="108" style="154" customWidth="1"/>
    <col min="11011" max="11264" width="9.1796875" style="154"/>
    <col min="11265" max="11265" width="23.453125" style="154" customWidth="1"/>
    <col min="11266" max="11266" width="108" style="154" customWidth="1"/>
    <col min="11267" max="11520" width="9.1796875" style="154"/>
    <col min="11521" max="11521" width="23.453125" style="154" customWidth="1"/>
    <col min="11522" max="11522" width="108" style="154" customWidth="1"/>
    <col min="11523" max="11776" width="9.1796875" style="154"/>
    <col min="11777" max="11777" width="23.453125" style="154" customWidth="1"/>
    <col min="11778" max="11778" width="108" style="154" customWidth="1"/>
    <col min="11779" max="12032" width="9.1796875" style="154"/>
    <col min="12033" max="12033" width="23.453125" style="154" customWidth="1"/>
    <col min="12034" max="12034" width="108" style="154" customWidth="1"/>
    <col min="12035" max="12288" width="9.1796875" style="154"/>
    <col min="12289" max="12289" width="23.453125" style="154" customWidth="1"/>
    <col min="12290" max="12290" width="108" style="154" customWidth="1"/>
    <col min="12291" max="12544" width="9.1796875" style="154"/>
    <col min="12545" max="12545" width="23.453125" style="154" customWidth="1"/>
    <col min="12546" max="12546" width="108" style="154" customWidth="1"/>
    <col min="12547" max="12800" width="9.1796875" style="154"/>
    <col min="12801" max="12801" width="23.453125" style="154" customWidth="1"/>
    <col min="12802" max="12802" width="108" style="154" customWidth="1"/>
    <col min="12803" max="13056" width="9.1796875" style="154"/>
    <col min="13057" max="13057" width="23.453125" style="154" customWidth="1"/>
    <col min="13058" max="13058" width="108" style="154" customWidth="1"/>
    <col min="13059" max="13312" width="9.1796875" style="154"/>
    <col min="13313" max="13313" width="23.453125" style="154" customWidth="1"/>
    <col min="13314" max="13314" width="108" style="154" customWidth="1"/>
    <col min="13315" max="13568" width="9.1796875" style="154"/>
    <col min="13569" max="13569" width="23.453125" style="154" customWidth="1"/>
    <col min="13570" max="13570" width="108" style="154" customWidth="1"/>
    <col min="13571" max="13824" width="9.1796875" style="154"/>
    <col min="13825" max="13825" width="23.453125" style="154" customWidth="1"/>
    <col min="13826" max="13826" width="108" style="154" customWidth="1"/>
    <col min="13827" max="14080" width="9.1796875" style="154"/>
    <col min="14081" max="14081" width="23.453125" style="154" customWidth="1"/>
    <col min="14082" max="14082" width="108" style="154" customWidth="1"/>
    <col min="14083" max="14336" width="9.1796875" style="154"/>
    <col min="14337" max="14337" width="23.453125" style="154" customWidth="1"/>
    <col min="14338" max="14338" width="108" style="154" customWidth="1"/>
    <col min="14339" max="14592" width="9.1796875" style="154"/>
    <col min="14593" max="14593" width="23.453125" style="154" customWidth="1"/>
    <col min="14594" max="14594" width="108" style="154" customWidth="1"/>
    <col min="14595" max="14848" width="9.1796875" style="154"/>
    <col min="14849" max="14849" width="23.453125" style="154" customWidth="1"/>
    <col min="14850" max="14850" width="108" style="154" customWidth="1"/>
    <col min="14851" max="15104" width="9.1796875" style="154"/>
    <col min="15105" max="15105" width="23.453125" style="154" customWidth="1"/>
    <col min="15106" max="15106" width="108" style="154" customWidth="1"/>
    <col min="15107" max="15360" width="9.1796875" style="154"/>
    <col min="15361" max="15361" width="23.453125" style="154" customWidth="1"/>
    <col min="15362" max="15362" width="108" style="154" customWidth="1"/>
    <col min="15363" max="15616" width="9.1796875" style="154"/>
    <col min="15617" max="15617" width="23.453125" style="154" customWidth="1"/>
    <col min="15618" max="15618" width="108" style="154" customWidth="1"/>
    <col min="15619" max="15872" width="9.1796875" style="154"/>
    <col min="15873" max="15873" width="23.453125" style="154" customWidth="1"/>
    <col min="15874" max="15874" width="108" style="154" customWidth="1"/>
    <col min="15875" max="16128" width="9.1796875" style="154"/>
    <col min="16129" max="16129" width="23.453125" style="154" customWidth="1"/>
    <col min="16130" max="16130" width="108" style="154" customWidth="1"/>
    <col min="16131" max="16384" width="9.1796875" style="154"/>
  </cols>
  <sheetData>
    <row r="1" spans="1:2" ht="20.25" customHeight="1" thickTop="1" thickBot="1" x14ac:dyDescent="0.4">
      <c r="A1" s="1332" t="s">
        <v>386</v>
      </c>
      <c r="B1" s="1333"/>
    </row>
    <row r="2" spans="1:2" ht="43.5" x14ac:dyDescent="0.35">
      <c r="A2" s="1336" t="s">
        <v>174</v>
      </c>
      <c r="B2" s="565" t="s">
        <v>387</v>
      </c>
    </row>
    <row r="3" spans="1:2" x14ac:dyDescent="0.35">
      <c r="A3" s="1334"/>
      <c r="B3" s="565"/>
    </row>
    <row r="4" spans="1:2" ht="44" thickBot="1" x14ac:dyDescent="0.4">
      <c r="A4" s="1334"/>
      <c r="B4" s="705" t="s">
        <v>388</v>
      </c>
    </row>
    <row r="5" spans="1:2" ht="12.75" customHeight="1" x14ac:dyDescent="0.35">
      <c r="A5" s="1336" t="s">
        <v>179</v>
      </c>
      <c r="B5" s="558" t="s">
        <v>389</v>
      </c>
    </row>
    <row r="6" spans="1:2" ht="12.75" customHeight="1" x14ac:dyDescent="0.35">
      <c r="A6" s="1334"/>
      <c r="B6" s="559" t="s">
        <v>181</v>
      </c>
    </row>
    <row r="7" spans="1:2" ht="12.75" customHeight="1" x14ac:dyDescent="0.35">
      <c r="A7" s="1334"/>
      <c r="B7" s="559" t="s">
        <v>335</v>
      </c>
    </row>
    <row r="8" spans="1:2" ht="12.75" customHeight="1" x14ac:dyDescent="0.35">
      <c r="A8" s="1334"/>
      <c r="B8" s="559" t="s">
        <v>337</v>
      </c>
    </row>
    <row r="9" spans="1:2" ht="13.5" customHeight="1" thickBot="1" x14ac:dyDescent="0.4">
      <c r="A9" s="1334"/>
      <c r="B9" s="560" t="s">
        <v>390</v>
      </c>
    </row>
    <row r="10" spans="1:2" ht="29.5" thickBot="1" x14ac:dyDescent="0.4">
      <c r="A10" s="556" t="s">
        <v>185</v>
      </c>
      <c r="B10" s="706" t="s">
        <v>391</v>
      </c>
    </row>
    <row r="11" spans="1:2" ht="31.5" customHeight="1" thickBot="1" x14ac:dyDescent="0.4">
      <c r="A11" s="561" t="s">
        <v>187</v>
      </c>
      <c r="B11" s="707" t="s">
        <v>392</v>
      </c>
    </row>
    <row r="12" spans="1:2" x14ac:dyDescent="0.35">
      <c r="A12" s="1336" t="s">
        <v>193</v>
      </c>
      <c r="B12" s="558" t="s">
        <v>194</v>
      </c>
    </row>
    <row r="13" spans="1:2" x14ac:dyDescent="0.35">
      <c r="A13" s="1334"/>
      <c r="B13" s="708" t="s">
        <v>393</v>
      </c>
    </row>
    <row r="14" spans="1:2" ht="15" customHeight="1" x14ac:dyDescent="0.35">
      <c r="A14" s="1334"/>
      <c r="B14" s="708" t="s">
        <v>394</v>
      </c>
    </row>
    <row r="15" spans="1:2" ht="29" x14ac:dyDescent="0.35">
      <c r="A15" s="1334"/>
      <c r="B15" s="708" t="s">
        <v>395</v>
      </c>
    </row>
    <row r="16" spans="1:2" ht="43.5" x14ac:dyDescent="0.35">
      <c r="A16" s="1334"/>
      <c r="B16" s="709" t="s">
        <v>396</v>
      </c>
    </row>
    <row r="17" spans="1:2" ht="43.5" x14ac:dyDescent="0.35">
      <c r="A17" s="1334"/>
      <c r="B17" s="709" t="s">
        <v>397</v>
      </c>
    </row>
    <row r="18" spans="1:2" x14ac:dyDescent="0.35">
      <c r="A18" s="1334"/>
      <c r="B18" s="565"/>
    </row>
    <row r="19" spans="1:2" x14ac:dyDescent="0.35">
      <c r="A19" s="1334"/>
      <c r="B19" s="558" t="s">
        <v>199</v>
      </c>
    </row>
    <row r="20" spans="1:2" ht="29" x14ac:dyDescent="0.35">
      <c r="A20" s="1334"/>
      <c r="B20" s="559" t="s">
        <v>398</v>
      </c>
    </row>
    <row r="21" spans="1:2" ht="58" x14ac:dyDescent="0.35">
      <c r="A21" s="1334"/>
      <c r="B21" s="559" t="s">
        <v>399</v>
      </c>
    </row>
    <row r="22" spans="1:2" ht="58" x14ac:dyDescent="0.35">
      <c r="A22" s="1334"/>
      <c r="B22" s="559" t="s">
        <v>400</v>
      </c>
    </row>
    <row r="23" spans="1:2" ht="44" thickBot="1" x14ac:dyDescent="0.4">
      <c r="A23" s="1334"/>
      <c r="B23" s="710" t="s">
        <v>401</v>
      </c>
    </row>
    <row r="24" spans="1:2" ht="13.5" customHeight="1" x14ac:dyDescent="0.35">
      <c r="A24" s="1336" t="s">
        <v>208</v>
      </c>
      <c r="B24" s="559" t="s">
        <v>352</v>
      </c>
    </row>
    <row r="25" spans="1:2" ht="12.75" customHeight="1" x14ac:dyDescent="0.35">
      <c r="A25" s="1334"/>
      <c r="B25" s="564" t="s">
        <v>402</v>
      </c>
    </row>
    <row r="26" spans="1:2" ht="32.25" customHeight="1" x14ac:dyDescent="0.35">
      <c r="A26" s="1334"/>
      <c r="B26" s="564" t="s">
        <v>354</v>
      </c>
    </row>
    <row r="27" spans="1:2" ht="12.75" customHeight="1" x14ac:dyDescent="0.35">
      <c r="A27" s="1334"/>
      <c r="B27" s="559" t="s">
        <v>403</v>
      </c>
    </row>
    <row r="28" spans="1:2" ht="43.5" x14ac:dyDescent="0.35">
      <c r="A28" s="1334"/>
      <c r="B28" s="564" t="s">
        <v>404</v>
      </c>
    </row>
    <row r="29" spans="1:2" ht="29" x14ac:dyDescent="0.35">
      <c r="A29" s="1334"/>
      <c r="B29" s="564" t="s">
        <v>405</v>
      </c>
    </row>
    <row r="30" spans="1:2" ht="29.5" thickBot="1" x14ac:dyDescent="0.4">
      <c r="A30" s="1409"/>
      <c r="B30" s="711" t="s">
        <v>406</v>
      </c>
    </row>
    <row r="31" spans="1:2" ht="15" thickTop="1" x14ac:dyDescent="0.35"/>
  </sheetData>
  <mergeCells count="5">
    <mergeCell ref="A1:B1"/>
    <mergeCell ref="A2:A4"/>
    <mergeCell ref="A5:A9"/>
    <mergeCell ref="A12:A23"/>
    <mergeCell ref="A24:A3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C42"/>
  <sheetViews>
    <sheetView tabSelected="1" topLeftCell="A4" zoomScale="71" zoomScaleNormal="71" workbookViewId="0">
      <pane ySplit="5" topLeftCell="A13" activePane="bottomLeft" state="frozen"/>
      <selection activeCell="A4" sqref="A4"/>
      <selection pane="bottomLeft" activeCell="W10" sqref="W10"/>
    </sheetView>
  </sheetViews>
  <sheetFormatPr defaultRowHeight="14" x14ac:dyDescent="0.3"/>
  <cols>
    <col min="1" max="1" width="10.1796875" style="573" customWidth="1"/>
    <col min="2" max="2" width="11" style="573" customWidth="1"/>
    <col min="3" max="3" width="20.453125" style="573" customWidth="1"/>
    <col min="4" max="4" width="9.1796875" style="573" customWidth="1"/>
    <col min="5" max="5" width="9.26953125" style="573" customWidth="1"/>
    <col min="6" max="6" width="8.7265625" style="573" customWidth="1"/>
    <col min="7" max="8" width="8.453125" style="573" customWidth="1"/>
    <col min="9" max="9" width="8.54296875" style="573" customWidth="1"/>
    <col min="10" max="10" width="9.26953125" style="573" customWidth="1"/>
    <col min="11" max="11" width="8.7265625" style="573" customWidth="1"/>
    <col min="12" max="12" width="7.81640625" style="573" customWidth="1"/>
    <col min="13" max="13" width="8.26953125" style="573" customWidth="1"/>
    <col min="14" max="14" width="9.1796875" style="573"/>
    <col min="15" max="15" width="8" style="573" customWidth="1"/>
    <col min="16" max="16" width="9.26953125" style="573" customWidth="1"/>
    <col min="17" max="18" width="9.453125" style="573" customWidth="1"/>
    <col min="19" max="19" width="10.453125" style="702" customWidth="1"/>
    <col min="20" max="20" width="9.81640625" style="702" customWidth="1"/>
    <col min="21" max="21" width="8.7265625" style="702" customWidth="1"/>
    <col min="22" max="22" width="12.81640625" style="703" hidden="1" customWidth="1"/>
    <col min="23" max="23" width="30.81640625" style="704" customWidth="1"/>
    <col min="24" max="256" width="9.1796875" style="573"/>
    <col min="257" max="257" width="10.1796875" style="573" customWidth="1"/>
    <col min="258" max="258" width="11" style="573" customWidth="1"/>
    <col min="259" max="259" width="20.453125" style="573" customWidth="1"/>
    <col min="260" max="260" width="9.1796875" style="573" customWidth="1"/>
    <col min="261" max="261" width="9.26953125" style="573" customWidth="1"/>
    <col min="262" max="262" width="8.7265625" style="573" customWidth="1"/>
    <col min="263" max="264" width="8.453125" style="573" customWidth="1"/>
    <col min="265" max="265" width="8.54296875" style="573" customWidth="1"/>
    <col min="266" max="266" width="9.26953125" style="573" customWidth="1"/>
    <col min="267" max="267" width="8.7265625" style="573" customWidth="1"/>
    <col min="268" max="268" width="7.81640625" style="573" customWidth="1"/>
    <col min="269" max="269" width="8.26953125" style="573" customWidth="1"/>
    <col min="270" max="270" width="9.1796875" style="573"/>
    <col min="271" max="271" width="8" style="573" customWidth="1"/>
    <col min="272" max="272" width="9.26953125" style="573" customWidth="1"/>
    <col min="273" max="274" width="9.453125" style="573" customWidth="1"/>
    <col min="275" max="275" width="10.453125" style="573" customWidth="1"/>
    <col min="276" max="276" width="9.81640625" style="573" customWidth="1"/>
    <col min="277" max="277" width="8.7265625" style="573" customWidth="1"/>
    <col min="278" max="278" width="0" style="573" hidden="1" customWidth="1"/>
    <col min="279" max="279" width="30.81640625" style="573" customWidth="1"/>
    <col min="280" max="512" width="9.1796875" style="573"/>
    <col min="513" max="513" width="10.1796875" style="573" customWidth="1"/>
    <col min="514" max="514" width="11" style="573" customWidth="1"/>
    <col min="515" max="515" width="20.453125" style="573" customWidth="1"/>
    <col min="516" max="516" width="9.1796875" style="573" customWidth="1"/>
    <col min="517" max="517" width="9.26953125" style="573" customWidth="1"/>
    <col min="518" max="518" width="8.7265625" style="573" customWidth="1"/>
    <col min="519" max="520" width="8.453125" style="573" customWidth="1"/>
    <col min="521" max="521" width="8.54296875" style="573" customWidth="1"/>
    <col min="522" max="522" width="9.26953125" style="573" customWidth="1"/>
    <col min="523" max="523" width="8.7265625" style="573" customWidth="1"/>
    <col min="524" max="524" width="7.81640625" style="573" customWidth="1"/>
    <col min="525" max="525" width="8.26953125" style="573" customWidth="1"/>
    <col min="526" max="526" width="9.1796875" style="573"/>
    <col min="527" max="527" width="8" style="573" customWidth="1"/>
    <col min="528" max="528" width="9.26953125" style="573" customWidth="1"/>
    <col min="529" max="530" width="9.453125" style="573" customWidth="1"/>
    <col min="531" max="531" width="10.453125" style="573" customWidth="1"/>
    <col min="532" max="532" width="9.81640625" style="573" customWidth="1"/>
    <col min="533" max="533" width="8.7265625" style="573" customWidth="1"/>
    <col min="534" max="534" width="0" style="573" hidden="1" customWidth="1"/>
    <col min="535" max="535" width="30.81640625" style="573" customWidth="1"/>
    <col min="536" max="768" width="9.1796875" style="573"/>
    <col min="769" max="769" width="10.1796875" style="573" customWidth="1"/>
    <col min="770" max="770" width="11" style="573" customWidth="1"/>
    <col min="771" max="771" width="20.453125" style="573" customWidth="1"/>
    <col min="772" max="772" width="9.1796875" style="573" customWidth="1"/>
    <col min="773" max="773" width="9.26953125" style="573" customWidth="1"/>
    <col min="774" max="774" width="8.7265625" style="573" customWidth="1"/>
    <col min="775" max="776" width="8.453125" style="573" customWidth="1"/>
    <col min="777" max="777" width="8.54296875" style="573" customWidth="1"/>
    <col min="778" max="778" width="9.26953125" style="573" customWidth="1"/>
    <col min="779" max="779" width="8.7265625" style="573" customWidth="1"/>
    <col min="780" max="780" width="7.81640625" style="573" customWidth="1"/>
    <col min="781" max="781" width="8.26953125" style="573" customWidth="1"/>
    <col min="782" max="782" width="9.1796875" style="573"/>
    <col min="783" max="783" width="8" style="573" customWidth="1"/>
    <col min="784" max="784" width="9.26953125" style="573" customWidth="1"/>
    <col min="785" max="786" width="9.453125" style="573" customWidth="1"/>
    <col min="787" max="787" width="10.453125" style="573" customWidth="1"/>
    <col min="788" max="788" width="9.81640625" style="573" customWidth="1"/>
    <col min="789" max="789" width="8.7265625" style="573" customWidth="1"/>
    <col min="790" max="790" width="0" style="573" hidden="1" customWidth="1"/>
    <col min="791" max="791" width="30.81640625" style="573" customWidth="1"/>
    <col min="792" max="1024" width="9.1796875" style="573"/>
    <col min="1025" max="1025" width="10.1796875" style="573" customWidth="1"/>
    <col min="1026" max="1026" width="11" style="573" customWidth="1"/>
    <col min="1027" max="1027" width="20.453125" style="573" customWidth="1"/>
    <col min="1028" max="1028" width="9.1796875" style="573" customWidth="1"/>
    <col min="1029" max="1029" width="9.26953125" style="573" customWidth="1"/>
    <col min="1030" max="1030" width="8.7265625" style="573" customWidth="1"/>
    <col min="1031" max="1032" width="8.453125" style="573" customWidth="1"/>
    <col min="1033" max="1033" width="8.54296875" style="573" customWidth="1"/>
    <col min="1034" max="1034" width="9.26953125" style="573" customWidth="1"/>
    <col min="1035" max="1035" width="8.7265625" style="573" customWidth="1"/>
    <col min="1036" max="1036" width="7.81640625" style="573" customWidth="1"/>
    <col min="1037" max="1037" width="8.26953125" style="573" customWidth="1"/>
    <col min="1038" max="1038" width="9.1796875" style="573"/>
    <col min="1039" max="1039" width="8" style="573" customWidth="1"/>
    <col min="1040" max="1040" width="9.26953125" style="573" customWidth="1"/>
    <col min="1041" max="1042" width="9.453125" style="573" customWidth="1"/>
    <col min="1043" max="1043" width="10.453125" style="573" customWidth="1"/>
    <col min="1044" max="1044" width="9.81640625" style="573" customWidth="1"/>
    <col min="1045" max="1045" width="8.7265625" style="573" customWidth="1"/>
    <col min="1046" max="1046" width="0" style="573" hidden="1" customWidth="1"/>
    <col min="1047" max="1047" width="30.81640625" style="573" customWidth="1"/>
    <col min="1048" max="1280" width="9.1796875" style="573"/>
    <col min="1281" max="1281" width="10.1796875" style="573" customWidth="1"/>
    <col min="1282" max="1282" width="11" style="573" customWidth="1"/>
    <col min="1283" max="1283" width="20.453125" style="573" customWidth="1"/>
    <col min="1284" max="1284" width="9.1796875" style="573" customWidth="1"/>
    <col min="1285" max="1285" width="9.26953125" style="573" customWidth="1"/>
    <col min="1286" max="1286" width="8.7265625" style="573" customWidth="1"/>
    <col min="1287" max="1288" width="8.453125" style="573" customWidth="1"/>
    <col min="1289" max="1289" width="8.54296875" style="573" customWidth="1"/>
    <col min="1290" max="1290" width="9.26953125" style="573" customWidth="1"/>
    <col min="1291" max="1291" width="8.7265625" style="573" customWidth="1"/>
    <col min="1292" max="1292" width="7.81640625" style="573" customWidth="1"/>
    <col min="1293" max="1293" width="8.26953125" style="573" customWidth="1"/>
    <col min="1294" max="1294" width="9.1796875" style="573"/>
    <col min="1295" max="1295" width="8" style="573" customWidth="1"/>
    <col min="1296" max="1296" width="9.26953125" style="573" customWidth="1"/>
    <col min="1297" max="1298" width="9.453125" style="573" customWidth="1"/>
    <col min="1299" max="1299" width="10.453125" style="573" customWidth="1"/>
    <col min="1300" max="1300" width="9.81640625" style="573" customWidth="1"/>
    <col min="1301" max="1301" width="8.7265625" style="573" customWidth="1"/>
    <col min="1302" max="1302" width="0" style="573" hidden="1" customWidth="1"/>
    <col min="1303" max="1303" width="30.81640625" style="573" customWidth="1"/>
    <col min="1304" max="1536" width="9.1796875" style="573"/>
    <col min="1537" max="1537" width="10.1796875" style="573" customWidth="1"/>
    <col min="1538" max="1538" width="11" style="573" customWidth="1"/>
    <col min="1539" max="1539" width="20.453125" style="573" customWidth="1"/>
    <col min="1540" max="1540" width="9.1796875" style="573" customWidth="1"/>
    <col min="1541" max="1541" width="9.26953125" style="573" customWidth="1"/>
    <col min="1542" max="1542" width="8.7265625" style="573" customWidth="1"/>
    <col min="1543" max="1544" width="8.453125" style="573" customWidth="1"/>
    <col min="1545" max="1545" width="8.54296875" style="573" customWidth="1"/>
    <col min="1546" max="1546" width="9.26953125" style="573" customWidth="1"/>
    <col min="1547" max="1547" width="8.7265625" style="573" customWidth="1"/>
    <col min="1548" max="1548" width="7.81640625" style="573" customWidth="1"/>
    <col min="1549" max="1549" width="8.26953125" style="573" customWidth="1"/>
    <col min="1550" max="1550" width="9.1796875" style="573"/>
    <col min="1551" max="1551" width="8" style="573" customWidth="1"/>
    <col min="1552" max="1552" width="9.26953125" style="573" customWidth="1"/>
    <col min="1553" max="1554" width="9.453125" style="573" customWidth="1"/>
    <col min="1555" max="1555" width="10.453125" style="573" customWidth="1"/>
    <col min="1556" max="1556" width="9.81640625" style="573" customWidth="1"/>
    <col min="1557" max="1557" width="8.7265625" style="573" customWidth="1"/>
    <col min="1558" max="1558" width="0" style="573" hidden="1" customWidth="1"/>
    <col min="1559" max="1559" width="30.81640625" style="573" customWidth="1"/>
    <col min="1560" max="1792" width="9.1796875" style="573"/>
    <col min="1793" max="1793" width="10.1796875" style="573" customWidth="1"/>
    <col min="1794" max="1794" width="11" style="573" customWidth="1"/>
    <col min="1795" max="1795" width="20.453125" style="573" customWidth="1"/>
    <col min="1796" max="1796" width="9.1796875" style="573" customWidth="1"/>
    <col min="1797" max="1797" width="9.26953125" style="573" customWidth="1"/>
    <col min="1798" max="1798" width="8.7265625" style="573" customWidth="1"/>
    <col min="1799" max="1800" width="8.453125" style="573" customWidth="1"/>
    <col min="1801" max="1801" width="8.54296875" style="573" customWidth="1"/>
    <col min="1802" max="1802" width="9.26953125" style="573" customWidth="1"/>
    <col min="1803" max="1803" width="8.7265625" style="573" customWidth="1"/>
    <col min="1804" max="1804" width="7.81640625" style="573" customWidth="1"/>
    <col min="1805" max="1805" width="8.26953125" style="573" customWidth="1"/>
    <col min="1806" max="1806" width="9.1796875" style="573"/>
    <col min="1807" max="1807" width="8" style="573" customWidth="1"/>
    <col min="1808" max="1808" width="9.26953125" style="573" customWidth="1"/>
    <col min="1809" max="1810" width="9.453125" style="573" customWidth="1"/>
    <col min="1811" max="1811" width="10.453125" style="573" customWidth="1"/>
    <col min="1812" max="1812" width="9.81640625" style="573" customWidth="1"/>
    <col min="1813" max="1813" width="8.7265625" style="573" customWidth="1"/>
    <col min="1814" max="1814" width="0" style="573" hidden="1" customWidth="1"/>
    <col min="1815" max="1815" width="30.81640625" style="573" customWidth="1"/>
    <col min="1816" max="2048" width="9.1796875" style="573"/>
    <col min="2049" max="2049" width="10.1796875" style="573" customWidth="1"/>
    <col min="2050" max="2050" width="11" style="573" customWidth="1"/>
    <col min="2051" max="2051" width="20.453125" style="573" customWidth="1"/>
    <col min="2052" max="2052" width="9.1796875" style="573" customWidth="1"/>
    <col min="2053" max="2053" width="9.26953125" style="573" customWidth="1"/>
    <col min="2054" max="2054" width="8.7265625" style="573" customWidth="1"/>
    <col min="2055" max="2056" width="8.453125" style="573" customWidth="1"/>
    <col min="2057" max="2057" width="8.54296875" style="573" customWidth="1"/>
    <col min="2058" max="2058" width="9.26953125" style="573" customWidth="1"/>
    <col min="2059" max="2059" width="8.7265625" style="573" customWidth="1"/>
    <col min="2060" max="2060" width="7.81640625" style="573" customWidth="1"/>
    <col min="2061" max="2061" width="8.26953125" style="573" customWidth="1"/>
    <col min="2062" max="2062" width="9.1796875" style="573"/>
    <col min="2063" max="2063" width="8" style="573" customWidth="1"/>
    <col min="2064" max="2064" width="9.26953125" style="573" customWidth="1"/>
    <col min="2065" max="2066" width="9.453125" style="573" customWidth="1"/>
    <col min="2067" max="2067" width="10.453125" style="573" customWidth="1"/>
    <col min="2068" max="2068" width="9.81640625" style="573" customWidth="1"/>
    <col min="2069" max="2069" width="8.7265625" style="573" customWidth="1"/>
    <col min="2070" max="2070" width="0" style="573" hidden="1" customWidth="1"/>
    <col min="2071" max="2071" width="30.81640625" style="573" customWidth="1"/>
    <col min="2072" max="2304" width="9.1796875" style="573"/>
    <col min="2305" max="2305" width="10.1796875" style="573" customWidth="1"/>
    <col min="2306" max="2306" width="11" style="573" customWidth="1"/>
    <col min="2307" max="2307" width="20.453125" style="573" customWidth="1"/>
    <col min="2308" max="2308" width="9.1796875" style="573" customWidth="1"/>
    <col min="2309" max="2309" width="9.26953125" style="573" customWidth="1"/>
    <col min="2310" max="2310" width="8.7265625" style="573" customWidth="1"/>
    <col min="2311" max="2312" width="8.453125" style="573" customWidth="1"/>
    <col min="2313" max="2313" width="8.54296875" style="573" customWidth="1"/>
    <col min="2314" max="2314" width="9.26953125" style="573" customWidth="1"/>
    <col min="2315" max="2315" width="8.7265625" style="573" customWidth="1"/>
    <col min="2316" max="2316" width="7.81640625" style="573" customWidth="1"/>
    <col min="2317" max="2317" width="8.26953125" style="573" customWidth="1"/>
    <col min="2318" max="2318" width="9.1796875" style="573"/>
    <col min="2319" max="2319" width="8" style="573" customWidth="1"/>
    <col min="2320" max="2320" width="9.26953125" style="573" customWidth="1"/>
    <col min="2321" max="2322" width="9.453125" style="573" customWidth="1"/>
    <col min="2323" max="2323" width="10.453125" style="573" customWidth="1"/>
    <col min="2324" max="2324" width="9.81640625" style="573" customWidth="1"/>
    <col min="2325" max="2325" width="8.7265625" style="573" customWidth="1"/>
    <col min="2326" max="2326" width="0" style="573" hidden="1" customWidth="1"/>
    <col min="2327" max="2327" width="30.81640625" style="573" customWidth="1"/>
    <col min="2328" max="2560" width="9.1796875" style="573"/>
    <col min="2561" max="2561" width="10.1796875" style="573" customWidth="1"/>
    <col min="2562" max="2562" width="11" style="573" customWidth="1"/>
    <col min="2563" max="2563" width="20.453125" style="573" customWidth="1"/>
    <col min="2564" max="2564" width="9.1796875" style="573" customWidth="1"/>
    <col min="2565" max="2565" width="9.26953125" style="573" customWidth="1"/>
    <col min="2566" max="2566" width="8.7265625" style="573" customWidth="1"/>
    <col min="2567" max="2568" width="8.453125" style="573" customWidth="1"/>
    <col min="2569" max="2569" width="8.54296875" style="573" customWidth="1"/>
    <col min="2570" max="2570" width="9.26953125" style="573" customWidth="1"/>
    <col min="2571" max="2571" width="8.7265625" style="573" customWidth="1"/>
    <col min="2572" max="2572" width="7.81640625" style="573" customWidth="1"/>
    <col min="2573" max="2573" width="8.26953125" style="573" customWidth="1"/>
    <col min="2574" max="2574" width="9.1796875" style="573"/>
    <col min="2575" max="2575" width="8" style="573" customWidth="1"/>
    <col min="2576" max="2576" width="9.26953125" style="573" customWidth="1"/>
    <col min="2577" max="2578" width="9.453125" style="573" customWidth="1"/>
    <col min="2579" max="2579" width="10.453125" style="573" customWidth="1"/>
    <col min="2580" max="2580" width="9.81640625" style="573" customWidth="1"/>
    <col min="2581" max="2581" width="8.7265625" style="573" customWidth="1"/>
    <col min="2582" max="2582" width="0" style="573" hidden="1" customWidth="1"/>
    <col min="2583" max="2583" width="30.81640625" style="573" customWidth="1"/>
    <col min="2584" max="2816" width="9.1796875" style="573"/>
    <col min="2817" max="2817" width="10.1796875" style="573" customWidth="1"/>
    <col min="2818" max="2818" width="11" style="573" customWidth="1"/>
    <col min="2819" max="2819" width="20.453125" style="573" customWidth="1"/>
    <col min="2820" max="2820" width="9.1796875" style="573" customWidth="1"/>
    <col min="2821" max="2821" width="9.26953125" style="573" customWidth="1"/>
    <col min="2822" max="2822" width="8.7265625" style="573" customWidth="1"/>
    <col min="2823" max="2824" width="8.453125" style="573" customWidth="1"/>
    <col min="2825" max="2825" width="8.54296875" style="573" customWidth="1"/>
    <col min="2826" max="2826" width="9.26953125" style="573" customWidth="1"/>
    <col min="2827" max="2827" width="8.7265625" style="573" customWidth="1"/>
    <col min="2828" max="2828" width="7.81640625" style="573" customWidth="1"/>
    <col min="2829" max="2829" width="8.26953125" style="573" customWidth="1"/>
    <col min="2830" max="2830" width="9.1796875" style="573"/>
    <col min="2831" max="2831" width="8" style="573" customWidth="1"/>
    <col min="2832" max="2832" width="9.26953125" style="573" customWidth="1"/>
    <col min="2833" max="2834" width="9.453125" style="573" customWidth="1"/>
    <col min="2835" max="2835" width="10.453125" style="573" customWidth="1"/>
    <col min="2836" max="2836" width="9.81640625" style="573" customWidth="1"/>
    <col min="2837" max="2837" width="8.7265625" style="573" customWidth="1"/>
    <col min="2838" max="2838" width="0" style="573" hidden="1" customWidth="1"/>
    <col min="2839" max="2839" width="30.81640625" style="573" customWidth="1"/>
    <col min="2840" max="3072" width="9.1796875" style="573"/>
    <col min="3073" max="3073" width="10.1796875" style="573" customWidth="1"/>
    <col min="3074" max="3074" width="11" style="573" customWidth="1"/>
    <col min="3075" max="3075" width="20.453125" style="573" customWidth="1"/>
    <col min="3076" max="3076" width="9.1796875" style="573" customWidth="1"/>
    <col min="3077" max="3077" width="9.26953125" style="573" customWidth="1"/>
    <col min="3078" max="3078" width="8.7265625" style="573" customWidth="1"/>
    <col min="3079" max="3080" width="8.453125" style="573" customWidth="1"/>
    <col min="3081" max="3081" width="8.54296875" style="573" customWidth="1"/>
    <col min="3082" max="3082" width="9.26953125" style="573" customWidth="1"/>
    <col min="3083" max="3083" width="8.7265625" style="573" customWidth="1"/>
    <col min="3084" max="3084" width="7.81640625" style="573" customWidth="1"/>
    <col min="3085" max="3085" width="8.26953125" style="573" customWidth="1"/>
    <col min="3086" max="3086" width="9.1796875" style="573"/>
    <col min="3087" max="3087" width="8" style="573" customWidth="1"/>
    <col min="3088" max="3088" width="9.26953125" style="573" customWidth="1"/>
    <col min="3089" max="3090" width="9.453125" style="573" customWidth="1"/>
    <col min="3091" max="3091" width="10.453125" style="573" customWidth="1"/>
    <col min="3092" max="3092" width="9.81640625" style="573" customWidth="1"/>
    <col min="3093" max="3093" width="8.7265625" style="573" customWidth="1"/>
    <col min="3094" max="3094" width="0" style="573" hidden="1" customWidth="1"/>
    <col min="3095" max="3095" width="30.81640625" style="573" customWidth="1"/>
    <col min="3096" max="3328" width="9.1796875" style="573"/>
    <col min="3329" max="3329" width="10.1796875" style="573" customWidth="1"/>
    <col min="3330" max="3330" width="11" style="573" customWidth="1"/>
    <col min="3331" max="3331" width="20.453125" style="573" customWidth="1"/>
    <col min="3332" max="3332" width="9.1796875" style="573" customWidth="1"/>
    <col min="3333" max="3333" width="9.26953125" style="573" customWidth="1"/>
    <col min="3334" max="3334" width="8.7265625" style="573" customWidth="1"/>
    <col min="3335" max="3336" width="8.453125" style="573" customWidth="1"/>
    <col min="3337" max="3337" width="8.54296875" style="573" customWidth="1"/>
    <col min="3338" max="3338" width="9.26953125" style="573" customWidth="1"/>
    <col min="3339" max="3339" width="8.7265625" style="573" customWidth="1"/>
    <col min="3340" max="3340" width="7.81640625" style="573" customWidth="1"/>
    <col min="3341" max="3341" width="8.26953125" style="573" customWidth="1"/>
    <col min="3342" max="3342" width="9.1796875" style="573"/>
    <col min="3343" max="3343" width="8" style="573" customWidth="1"/>
    <col min="3344" max="3344" width="9.26953125" style="573" customWidth="1"/>
    <col min="3345" max="3346" width="9.453125" style="573" customWidth="1"/>
    <col min="3347" max="3347" width="10.453125" style="573" customWidth="1"/>
    <col min="3348" max="3348" width="9.81640625" style="573" customWidth="1"/>
    <col min="3349" max="3349" width="8.7265625" style="573" customWidth="1"/>
    <col min="3350" max="3350" width="0" style="573" hidden="1" customWidth="1"/>
    <col min="3351" max="3351" width="30.81640625" style="573" customWidth="1"/>
    <col min="3352" max="3584" width="9.1796875" style="573"/>
    <col min="3585" max="3585" width="10.1796875" style="573" customWidth="1"/>
    <col min="3586" max="3586" width="11" style="573" customWidth="1"/>
    <col min="3587" max="3587" width="20.453125" style="573" customWidth="1"/>
    <col min="3588" max="3588" width="9.1796875" style="573" customWidth="1"/>
    <col min="3589" max="3589" width="9.26953125" style="573" customWidth="1"/>
    <col min="3590" max="3590" width="8.7265625" style="573" customWidth="1"/>
    <col min="3591" max="3592" width="8.453125" style="573" customWidth="1"/>
    <col min="3593" max="3593" width="8.54296875" style="573" customWidth="1"/>
    <col min="3594" max="3594" width="9.26953125" style="573" customWidth="1"/>
    <col min="3595" max="3595" width="8.7265625" style="573" customWidth="1"/>
    <col min="3596" max="3596" width="7.81640625" style="573" customWidth="1"/>
    <col min="3597" max="3597" width="8.26953125" style="573" customWidth="1"/>
    <col min="3598" max="3598" width="9.1796875" style="573"/>
    <col min="3599" max="3599" width="8" style="573" customWidth="1"/>
    <col min="3600" max="3600" width="9.26953125" style="573" customWidth="1"/>
    <col min="3601" max="3602" width="9.453125" style="573" customWidth="1"/>
    <col min="3603" max="3603" width="10.453125" style="573" customWidth="1"/>
    <col min="3604" max="3604" width="9.81640625" style="573" customWidth="1"/>
    <col min="3605" max="3605" width="8.7265625" style="573" customWidth="1"/>
    <col min="3606" max="3606" width="0" style="573" hidden="1" customWidth="1"/>
    <col min="3607" max="3607" width="30.81640625" style="573" customWidth="1"/>
    <col min="3608" max="3840" width="9.1796875" style="573"/>
    <col min="3841" max="3841" width="10.1796875" style="573" customWidth="1"/>
    <col min="3842" max="3842" width="11" style="573" customWidth="1"/>
    <col min="3843" max="3843" width="20.453125" style="573" customWidth="1"/>
    <col min="3844" max="3844" width="9.1796875" style="573" customWidth="1"/>
    <col min="3845" max="3845" width="9.26953125" style="573" customWidth="1"/>
    <col min="3846" max="3846" width="8.7265625" style="573" customWidth="1"/>
    <col min="3847" max="3848" width="8.453125" style="573" customWidth="1"/>
    <col min="3849" max="3849" width="8.54296875" style="573" customWidth="1"/>
    <col min="3850" max="3850" width="9.26953125" style="573" customWidth="1"/>
    <col min="3851" max="3851" width="8.7265625" style="573" customWidth="1"/>
    <col min="3852" max="3852" width="7.81640625" style="573" customWidth="1"/>
    <col min="3853" max="3853" width="8.26953125" style="573" customWidth="1"/>
    <col min="3854" max="3854" width="9.1796875" style="573"/>
    <col min="3855" max="3855" width="8" style="573" customWidth="1"/>
    <col min="3856" max="3856" width="9.26953125" style="573" customWidth="1"/>
    <col min="3857" max="3858" width="9.453125" style="573" customWidth="1"/>
    <col min="3859" max="3859" width="10.453125" style="573" customWidth="1"/>
    <col min="3860" max="3860" width="9.81640625" style="573" customWidth="1"/>
    <col min="3861" max="3861" width="8.7265625" style="573" customWidth="1"/>
    <col min="3862" max="3862" width="0" style="573" hidden="1" customWidth="1"/>
    <col min="3863" max="3863" width="30.81640625" style="573" customWidth="1"/>
    <col min="3864" max="4096" width="9.1796875" style="573"/>
    <col min="4097" max="4097" width="10.1796875" style="573" customWidth="1"/>
    <col min="4098" max="4098" width="11" style="573" customWidth="1"/>
    <col min="4099" max="4099" width="20.453125" style="573" customWidth="1"/>
    <col min="4100" max="4100" width="9.1796875" style="573" customWidth="1"/>
    <col min="4101" max="4101" width="9.26953125" style="573" customWidth="1"/>
    <col min="4102" max="4102" width="8.7265625" style="573" customWidth="1"/>
    <col min="4103" max="4104" width="8.453125" style="573" customWidth="1"/>
    <col min="4105" max="4105" width="8.54296875" style="573" customWidth="1"/>
    <col min="4106" max="4106" width="9.26953125" style="573" customWidth="1"/>
    <col min="4107" max="4107" width="8.7265625" style="573" customWidth="1"/>
    <col min="4108" max="4108" width="7.81640625" style="573" customWidth="1"/>
    <col min="4109" max="4109" width="8.26953125" style="573" customWidth="1"/>
    <col min="4110" max="4110" width="9.1796875" style="573"/>
    <col min="4111" max="4111" width="8" style="573" customWidth="1"/>
    <col min="4112" max="4112" width="9.26953125" style="573" customWidth="1"/>
    <col min="4113" max="4114" width="9.453125" style="573" customWidth="1"/>
    <col min="4115" max="4115" width="10.453125" style="573" customWidth="1"/>
    <col min="4116" max="4116" width="9.81640625" style="573" customWidth="1"/>
    <col min="4117" max="4117" width="8.7265625" style="573" customWidth="1"/>
    <col min="4118" max="4118" width="0" style="573" hidden="1" customWidth="1"/>
    <col min="4119" max="4119" width="30.81640625" style="573" customWidth="1"/>
    <col min="4120" max="4352" width="9.1796875" style="573"/>
    <col min="4353" max="4353" width="10.1796875" style="573" customWidth="1"/>
    <col min="4354" max="4354" width="11" style="573" customWidth="1"/>
    <col min="4355" max="4355" width="20.453125" style="573" customWidth="1"/>
    <col min="4356" max="4356" width="9.1796875" style="573" customWidth="1"/>
    <col min="4357" max="4357" width="9.26953125" style="573" customWidth="1"/>
    <col min="4358" max="4358" width="8.7265625" style="573" customWidth="1"/>
    <col min="4359" max="4360" width="8.453125" style="573" customWidth="1"/>
    <col min="4361" max="4361" width="8.54296875" style="573" customWidth="1"/>
    <col min="4362" max="4362" width="9.26953125" style="573" customWidth="1"/>
    <col min="4363" max="4363" width="8.7265625" style="573" customWidth="1"/>
    <col min="4364" max="4364" width="7.81640625" style="573" customWidth="1"/>
    <col min="4365" max="4365" width="8.26953125" style="573" customWidth="1"/>
    <col min="4366" max="4366" width="9.1796875" style="573"/>
    <col min="4367" max="4367" width="8" style="573" customWidth="1"/>
    <col min="4368" max="4368" width="9.26953125" style="573" customWidth="1"/>
    <col min="4369" max="4370" width="9.453125" style="573" customWidth="1"/>
    <col min="4371" max="4371" width="10.453125" style="573" customWidth="1"/>
    <col min="4372" max="4372" width="9.81640625" style="573" customWidth="1"/>
    <col min="4373" max="4373" width="8.7265625" style="573" customWidth="1"/>
    <col min="4374" max="4374" width="0" style="573" hidden="1" customWidth="1"/>
    <col min="4375" max="4375" width="30.81640625" style="573" customWidth="1"/>
    <col min="4376" max="4608" width="9.1796875" style="573"/>
    <col min="4609" max="4609" width="10.1796875" style="573" customWidth="1"/>
    <col min="4610" max="4610" width="11" style="573" customWidth="1"/>
    <col min="4611" max="4611" width="20.453125" style="573" customWidth="1"/>
    <col min="4612" max="4612" width="9.1796875" style="573" customWidth="1"/>
    <col min="4613" max="4613" width="9.26953125" style="573" customWidth="1"/>
    <col min="4614" max="4614" width="8.7265625" style="573" customWidth="1"/>
    <col min="4615" max="4616" width="8.453125" style="573" customWidth="1"/>
    <col min="4617" max="4617" width="8.54296875" style="573" customWidth="1"/>
    <col min="4618" max="4618" width="9.26953125" style="573" customWidth="1"/>
    <col min="4619" max="4619" width="8.7265625" style="573" customWidth="1"/>
    <col min="4620" max="4620" width="7.81640625" style="573" customWidth="1"/>
    <col min="4621" max="4621" width="8.26953125" style="573" customWidth="1"/>
    <col min="4622" max="4622" width="9.1796875" style="573"/>
    <col min="4623" max="4623" width="8" style="573" customWidth="1"/>
    <col min="4624" max="4624" width="9.26953125" style="573" customWidth="1"/>
    <col min="4625" max="4626" width="9.453125" style="573" customWidth="1"/>
    <col min="4627" max="4627" width="10.453125" style="573" customWidth="1"/>
    <col min="4628" max="4628" width="9.81640625" style="573" customWidth="1"/>
    <col min="4629" max="4629" width="8.7265625" style="573" customWidth="1"/>
    <col min="4630" max="4630" width="0" style="573" hidden="1" customWidth="1"/>
    <col min="4631" max="4631" width="30.81640625" style="573" customWidth="1"/>
    <col min="4632" max="4864" width="9.1796875" style="573"/>
    <col min="4865" max="4865" width="10.1796875" style="573" customWidth="1"/>
    <col min="4866" max="4866" width="11" style="573" customWidth="1"/>
    <col min="4867" max="4867" width="20.453125" style="573" customWidth="1"/>
    <col min="4868" max="4868" width="9.1796875" style="573" customWidth="1"/>
    <col min="4869" max="4869" width="9.26953125" style="573" customWidth="1"/>
    <col min="4870" max="4870" width="8.7265625" style="573" customWidth="1"/>
    <col min="4871" max="4872" width="8.453125" style="573" customWidth="1"/>
    <col min="4873" max="4873" width="8.54296875" style="573" customWidth="1"/>
    <col min="4874" max="4874" width="9.26953125" style="573" customWidth="1"/>
    <col min="4875" max="4875" width="8.7265625" style="573" customWidth="1"/>
    <col min="4876" max="4876" width="7.81640625" style="573" customWidth="1"/>
    <col min="4877" max="4877" width="8.26953125" style="573" customWidth="1"/>
    <col min="4878" max="4878" width="9.1796875" style="573"/>
    <col min="4879" max="4879" width="8" style="573" customWidth="1"/>
    <col min="4880" max="4880" width="9.26953125" style="573" customWidth="1"/>
    <col min="4881" max="4882" width="9.453125" style="573" customWidth="1"/>
    <col min="4883" max="4883" width="10.453125" style="573" customWidth="1"/>
    <col min="4884" max="4884" width="9.81640625" style="573" customWidth="1"/>
    <col min="4885" max="4885" width="8.7265625" style="573" customWidth="1"/>
    <col min="4886" max="4886" width="0" style="573" hidden="1" customWidth="1"/>
    <col min="4887" max="4887" width="30.81640625" style="573" customWidth="1"/>
    <col min="4888" max="5120" width="9.1796875" style="573"/>
    <col min="5121" max="5121" width="10.1796875" style="573" customWidth="1"/>
    <col min="5122" max="5122" width="11" style="573" customWidth="1"/>
    <col min="5123" max="5123" width="20.453125" style="573" customWidth="1"/>
    <col min="5124" max="5124" width="9.1796875" style="573" customWidth="1"/>
    <col min="5125" max="5125" width="9.26953125" style="573" customWidth="1"/>
    <col min="5126" max="5126" width="8.7265625" style="573" customWidth="1"/>
    <col min="5127" max="5128" width="8.453125" style="573" customWidth="1"/>
    <col min="5129" max="5129" width="8.54296875" style="573" customWidth="1"/>
    <col min="5130" max="5130" width="9.26953125" style="573" customWidth="1"/>
    <col min="5131" max="5131" width="8.7265625" style="573" customWidth="1"/>
    <col min="5132" max="5132" width="7.81640625" style="573" customWidth="1"/>
    <col min="5133" max="5133" width="8.26953125" style="573" customWidth="1"/>
    <col min="5134" max="5134" width="9.1796875" style="573"/>
    <col min="5135" max="5135" width="8" style="573" customWidth="1"/>
    <col min="5136" max="5136" width="9.26953125" style="573" customWidth="1"/>
    <col min="5137" max="5138" width="9.453125" style="573" customWidth="1"/>
    <col min="5139" max="5139" width="10.453125" style="573" customWidth="1"/>
    <col min="5140" max="5140" width="9.81640625" style="573" customWidth="1"/>
    <col min="5141" max="5141" width="8.7265625" style="573" customWidth="1"/>
    <col min="5142" max="5142" width="0" style="573" hidden="1" customWidth="1"/>
    <col min="5143" max="5143" width="30.81640625" style="573" customWidth="1"/>
    <col min="5144" max="5376" width="9.1796875" style="573"/>
    <col min="5377" max="5377" width="10.1796875" style="573" customWidth="1"/>
    <col min="5378" max="5378" width="11" style="573" customWidth="1"/>
    <col min="5379" max="5379" width="20.453125" style="573" customWidth="1"/>
    <col min="5380" max="5380" width="9.1796875" style="573" customWidth="1"/>
    <col min="5381" max="5381" width="9.26953125" style="573" customWidth="1"/>
    <col min="5382" max="5382" width="8.7265625" style="573" customWidth="1"/>
    <col min="5383" max="5384" width="8.453125" style="573" customWidth="1"/>
    <col min="5385" max="5385" width="8.54296875" style="573" customWidth="1"/>
    <col min="5386" max="5386" width="9.26953125" style="573" customWidth="1"/>
    <col min="5387" max="5387" width="8.7265625" style="573" customWidth="1"/>
    <col min="5388" max="5388" width="7.81640625" style="573" customWidth="1"/>
    <col min="5389" max="5389" width="8.26953125" style="573" customWidth="1"/>
    <col min="5390" max="5390" width="9.1796875" style="573"/>
    <col min="5391" max="5391" width="8" style="573" customWidth="1"/>
    <col min="5392" max="5392" width="9.26953125" style="573" customWidth="1"/>
    <col min="5393" max="5394" width="9.453125" style="573" customWidth="1"/>
    <col min="5395" max="5395" width="10.453125" style="573" customWidth="1"/>
    <col min="5396" max="5396" width="9.81640625" style="573" customWidth="1"/>
    <col min="5397" max="5397" width="8.7265625" style="573" customWidth="1"/>
    <col min="5398" max="5398" width="0" style="573" hidden="1" customWidth="1"/>
    <col min="5399" max="5399" width="30.81640625" style="573" customWidth="1"/>
    <col min="5400" max="5632" width="9.1796875" style="573"/>
    <col min="5633" max="5633" width="10.1796875" style="573" customWidth="1"/>
    <col min="5634" max="5634" width="11" style="573" customWidth="1"/>
    <col min="5635" max="5635" width="20.453125" style="573" customWidth="1"/>
    <col min="5636" max="5636" width="9.1796875" style="573" customWidth="1"/>
    <col min="5637" max="5637" width="9.26953125" style="573" customWidth="1"/>
    <col min="5638" max="5638" width="8.7265625" style="573" customWidth="1"/>
    <col min="5639" max="5640" width="8.453125" style="573" customWidth="1"/>
    <col min="5641" max="5641" width="8.54296875" style="573" customWidth="1"/>
    <col min="5642" max="5642" width="9.26953125" style="573" customWidth="1"/>
    <col min="5643" max="5643" width="8.7265625" style="573" customWidth="1"/>
    <col min="5644" max="5644" width="7.81640625" style="573" customWidth="1"/>
    <col min="5645" max="5645" width="8.26953125" style="573" customWidth="1"/>
    <col min="5646" max="5646" width="9.1796875" style="573"/>
    <col min="5647" max="5647" width="8" style="573" customWidth="1"/>
    <col min="5648" max="5648" width="9.26953125" style="573" customWidth="1"/>
    <col min="5649" max="5650" width="9.453125" style="573" customWidth="1"/>
    <col min="5651" max="5651" width="10.453125" style="573" customWidth="1"/>
    <col min="5652" max="5652" width="9.81640625" style="573" customWidth="1"/>
    <col min="5653" max="5653" width="8.7265625" style="573" customWidth="1"/>
    <col min="5654" max="5654" width="0" style="573" hidden="1" customWidth="1"/>
    <col min="5655" max="5655" width="30.81640625" style="573" customWidth="1"/>
    <col min="5656" max="5888" width="9.1796875" style="573"/>
    <col min="5889" max="5889" width="10.1796875" style="573" customWidth="1"/>
    <col min="5890" max="5890" width="11" style="573" customWidth="1"/>
    <col min="5891" max="5891" width="20.453125" style="573" customWidth="1"/>
    <col min="5892" max="5892" width="9.1796875" style="573" customWidth="1"/>
    <col min="5893" max="5893" width="9.26953125" style="573" customWidth="1"/>
    <col min="5894" max="5894" width="8.7265625" style="573" customWidth="1"/>
    <col min="5895" max="5896" width="8.453125" style="573" customWidth="1"/>
    <col min="5897" max="5897" width="8.54296875" style="573" customWidth="1"/>
    <col min="5898" max="5898" width="9.26953125" style="573" customWidth="1"/>
    <col min="5899" max="5899" width="8.7265625" style="573" customWidth="1"/>
    <col min="5900" max="5900" width="7.81640625" style="573" customWidth="1"/>
    <col min="5901" max="5901" width="8.26953125" style="573" customWidth="1"/>
    <col min="5902" max="5902" width="9.1796875" style="573"/>
    <col min="5903" max="5903" width="8" style="573" customWidth="1"/>
    <col min="5904" max="5904" width="9.26953125" style="573" customWidth="1"/>
    <col min="5905" max="5906" width="9.453125" style="573" customWidth="1"/>
    <col min="5907" max="5907" width="10.453125" style="573" customWidth="1"/>
    <col min="5908" max="5908" width="9.81640625" style="573" customWidth="1"/>
    <col min="5909" max="5909" width="8.7265625" style="573" customWidth="1"/>
    <col min="5910" max="5910" width="0" style="573" hidden="1" customWidth="1"/>
    <col min="5911" max="5911" width="30.81640625" style="573" customWidth="1"/>
    <col min="5912" max="6144" width="9.1796875" style="573"/>
    <col min="6145" max="6145" width="10.1796875" style="573" customWidth="1"/>
    <col min="6146" max="6146" width="11" style="573" customWidth="1"/>
    <col min="6147" max="6147" width="20.453125" style="573" customWidth="1"/>
    <col min="6148" max="6148" width="9.1796875" style="573" customWidth="1"/>
    <col min="6149" max="6149" width="9.26953125" style="573" customWidth="1"/>
    <col min="6150" max="6150" width="8.7265625" style="573" customWidth="1"/>
    <col min="6151" max="6152" width="8.453125" style="573" customWidth="1"/>
    <col min="6153" max="6153" width="8.54296875" style="573" customWidth="1"/>
    <col min="6154" max="6154" width="9.26953125" style="573" customWidth="1"/>
    <col min="6155" max="6155" width="8.7265625" style="573" customWidth="1"/>
    <col min="6156" max="6156" width="7.81640625" style="573" customWidth="1"/>
    <col min="6157" max="6157" width="8.26953125" style="573" customWidth="1"/>
    <col min="6158" max="6158" width="9.1796875" style="573"/>
    <col min="6159" max="6159" width="8" style="573" customWidth="1"/>
    <col min="6160" max="6160" width="9.26953125" style="573" customWidth="1"/>
    <col min="6161" max="6162" width="9.453125" style="573" customWidth="1"/>
    <col min="6163" max="6163" width="10.453125" style="573" customWidth="1"/>
    <col min="6164" max="6164" width="9.81640625" style="573" customWidth="1"/>
    <col min="6165" max="6165" width="8.7265625" style="573" customWidth="1"/>
    <col min="6166" max="6166" width="0" style="573" hidden="1" customWidth="1"/>
    <col min="6167" max="6167" width="30.81640625" style="573" customWidth="1"/>
    <col min="6168" max="6400" width="9.1796875" style="573"/>
    <col min="6401" max="6401" width="10.1796875" style="573" customWidth="1"/>
    <col min="6402" max="6402" width="11" style="573" customWidth="1"/>
    <col min="6403" max="6403" width="20.453125" style="573" customWidth="1"/>
    <col min="6404" max="6404" width="9.1796875" style="573" customWidth="1"/>
    <col min="6405" max="6405" width="9.26953125" style="573" customWidth="1"/>
    <col min="6406" max="6406" width="8.7265625" style="573" customWidth="1"/>
    <col min="6407" max="6408" width="8.453125" style="573" customWidth="1"/>
    <col min="6409" max="6409" width="8.54296875" style="573" customWidth="1"/>
    <col min="6410" max="6410" width="9.26953125" style="573" customWidth="1"/>
    <col min="6411" max="6411" width="8.7265625" style="573" customWidth="1"/>
    <col min="6412" max="6412" width="7.81640625" style="573" customWidth="1"/>
    <col min="6413" max="6413" width="8.26953125" style="573" customWidth="1"/>
    <col min="6414" max="6414" width="9.1796875" style="573"/>
    <col min="6415" max="6415" width="8" style="573" customWidth="1"/>
    <col min="6416" max="6416" width="9.26953125" style="573" customWidth="1"/>
    <col min="6417" max="6418" width="9.453125" style="573" customWidth="1"/>
    <col min="6419" max="6419" width="10.453125" style="573" customWidth="1"/>
    <col min="6420" max="6420" width="9.81640625" style="573" customWidth="1"/>
    <col min="6421" max="6421" width="8.7265625" style="573" customWidth="1"/>
    <col min="6422" max="6422" width="0" style="573" hidden="1" customWidth="1"/>
    <col min="6423" max="6423" width="30.81640625" style="573" customWidth="1"/>
    <col min="6424" max="6656" width="9.1796875" style="573"/>
    <col min="6657" max="6657" width="10.1796875" style="573" customWidth="1"/>
    <col min="6658" max="6658" width="11" style="573" customWidth="1"/>
    <col min="6659" max="6659" width="20.453125" style="573" customWidth="1"/>
    <col min="6660" max="6660" width="9.1796875" style="573" customWidth="1"/>
    <col min="6661" max="6661" width="9.26953125" style="573" customWidth="1"/>
    <col min="6662" max="6662" width="8.7265625" style="573" customWidth="1"/>
    <col min="6663" max="6664" width="8.453125" style="573" customWidth="1"/>
    <col min="6665" max="6665" width="8.54296875" style="573" customWidth="1"/>
    <col min="6666" max="6666" width="9.26953125" style="573" customWidth="1"/>
    <col min="6667" max="6667" width="8.7265625" style="573" customWidth="1"/>
    <col min="6668" max="6668" width="7.81640625" style="573" customWidth="1"/>
    <col min="6669" max="6669" width="8.26953125" style="573" customWidth="1"/>
    <col min="6670" max="6670" width="9.1796875" style="573"/>
    <col min="6671" max="6671" width="8" style="573" customWidth="1"/>
    <col min="6672" max="6672" width="9.26953125" style="573" customWidth="1"/>
    <col min="6673" max="6674" width="9.453125" style="573" customWidth="1"/>
    <col min="6675" max="6675" width="10.453125" style="573" customWidth="1"/>
    <col min="6676" max="6676" width="9.81640625" style="573" customWidth="1"/>
    <col min="6677" max="6677" width="8.7265625" style="573" customWidth="1"/>
    <col min="6678" max="6678" width="0" style="573" hidden="1" customWidth="1"/>
    <col min="6679" max="6679" width="30.81640625" style="573" customWidth="1"/>
    <col min="6680" max="6912" width="9.1796875" style="573"/>
    <col min="6913" max="6913" width="10.1796875" style="573" customWidth="1"/>
    <col min="6914" max="6914" width="11" style="573" customWidth="1"/>
    <col min="6915" max="6915" width="20.453125" style="573" customWidth="1"/>
    <col min="6916" max="6916" width="9.1796875" style="573" customWidth="1"/>
    <col min="6917" max="6917" width="9.26953125" style="573" customWidth="1"/>
    <col min="6918" max="6918" width="8.7265625" style="573" customWidth="1"/>
    <col min="6919" max="6920" width="8.453125" style="573" customWidth="1"/>
    <col min="6921" max="6921" width="8.54296875" style="573" customWidth="1"/>
    <col min="6922" max="6922" width="9.26953125" style="573" customWidth="1"/>
    <col min="6923" max="6923" width="8.7265625" style="573" customWidth="1"/>
    <col min="6924" max="6924" width="7.81640625" style="573" customWidth="1"/>
    <col min="6925" max="6925" width="8.26953125" style="573" customWidth="1"/>
    <col min="6926" max="6926" width="9.1796875" style="573"/>
    <col min="6927" max="6927" width="8" style="573" customWidth="1"/>
    <col min="6928" max="6928" width="9.26953125" style="573" customWidth="1"/>
    <col min="6929" max="6930" width="9.453125" style="573" customWidth="1"/>
    <col min="6931" max="6931" width="10.453125" style="573" customWidth="1"/>
    <col min="6932" max="6932" width="9.81640625" style="573" customWidth="1"/>
    <col min="6933" max="6933" width="8.7265625" style="573" customWidth="1"/>
    <col min="6934" max="6934" width="0" style="573" hidden="1" customWidth="1"/>
    <col min="6935" max="6935" width="30.81640625" style="573" customWidth="1"/>
    <col min="6936" max="7168" width="9.1796875" style="573"/>
    <col min="7169" max="7169" width="10.1796875" style="573" customWidth="1"/>
    <col min="7170" max="7170" width="11" style="573" customWidth="1"/>
    <col min="7171" max="7171" width="20.453125" style="573" customWidth="1"/>
    <col min="7172" max="7172" width="9.1796875" style="573" customWidth="1"/>
    <col min="7173" max="7173" width="9.26953125" style="573" customWidth="1"/>
    <col min="7174" max="7174" width="8.7265625" style="573" customWidth="1"/>
    <col min="7175" max="7176" width="8.453125" style="573" customWidth="1"/>
    <col min="7177" max="7177" width="8.54296875" style="573" customWidth="1"/>
    <col min="7178" max="7178" width="9.26953125" style="573" customWidth="1"/>
    <col min="7179" max="7179" width="8.7265625" style="573" customWidth="1"/>
    <col min="7180" max="7180" width="7.81640625" style="573" customWidth="1"/>
    <col min="7181" max="7181" width="8.26953125" style="573" customWidth="1"/>
    <col min="7182" max="7182" width="9.1796875" style="573"/>
    <col min="7183" max="7183" width="8" style="573" customWidth="1"/>
    <col min="7184" max="7184" width="9.26953125" style="573" customWidth="1"/>
    <col min="7185" max="7186" width="9.453125" style="573" customWidth="1"/>
    <col min="7187" max="7187" width="10.453125" style="573" customWidth="1"/>
    <col min="7188" max="7188" width="9.81640625" style="573" customWidth="1"/>
    <col min="7189" max="7189" width="8.7265625" style="573" customWidth="1"/>
    <col min="7190" max="7190" width="0" style="573" hidden="1" customWidth="1"/>
    <col min="7191" max="7191" width="30.81640625" style="573" customWidth="1"/>
    <col min="7192" max="7424" width="9.1796875" style="573"/>
    <col min="7425" max="7425" width="10.1796875" style="573" customWidth="1"/>
    <col min="7426" max="7426" width="11" style="573" customWidth="1"/>
    <col min="7427" max="7427" width="20.453125" style="573" customWidth="1"/>
    <col min="7428" max="7428" width="9.1796875" style="573" customWidth="1"/>
    <col min="7429" max="7429" width="9.26953125" style="573" customWidth="1"/>
    <col min="7430" max="7430" width="8.7265625" style="573" customWidth="1"/>
    <col min="7431" max="7432" width="8.453125" style="573" customWidth="1"/>
    <col min="7433" max="7433" width="8.54296875" style="573" customWidth="1"/>
    <col min="7434" max="7434" width="9.26953125" style="573" customWidth="1"/>
    <col min="7435" max="7435" width="8.7265625" style="573" customWidth="1"/>
    <col min="7436" max="7436" width="7.81640625" style="573" customWidth="1"/>
    <col min="7437" max="7437" width="8.26953125" style="573" customWidth="1"/>
    <col min="7438" max="7438" width="9.1796875" style="573"/>
    <col min="7439" max="7439" width="8" style="573" customWidth="1"/>
    <col min="7440" max="7440" width="9.26953125" style="573" customWidth="1"/>
    <col min="7441" max="7442" width="9.453125" style="573" customWidth="1"/>
    <col min="7443" max="7443" width="10.453125" style="573" customWidth="1"/>
    <col min="7444" max="7444" width="9.81640625" style="573" customWidth="1"/>
    <col min="7445" max="7445" width="8.7265625" style="573" customWidth="1"/>
    <col min="7446" max="7446" width="0" style="573" hidden="1" customWidth="1"/>
    <col min="7447" max="7447" width="30.81640625" style="573" customWidth="1"/>
    <col min="7448" max="7680" width="9.1796875" style="573"/>
    <col min="7681" max="7681" width="10.1796875" style="573" customWidth="1"/>
    <col min="7682" max="7682" width="11" style="573" customWidth="1"/>
    <col min="7683" max="7683" width="20.453125" style="573" customWidth="1"/>
    <col min="7684" max="7684" width="9.1796875" style="573" customWidth="1"/>
    <col min="7685" max="7685" width="9.26953125" style="573" customWidth="1"/>
    <col min="7686" max="7686" width="8.7265625" style="573" customWidth="1"/>
    <col min="7687" max="7688" width="8.453125" style="573" customWidth="1"/>
    <col min="7689" max="7689" width="8.54296875" style="573" customWidth="1"/>
    <col min="7690" max="7690" width="9.26953125" style="573" customWidth="1"/>
    <col min="7691" max="7691" width="8.7265625" style="573" customWidth="1"/>
    <col min="7692" max="7692" width="7.81640625" style="573" customWidth="1"/>
    <col min="7693" max="7693" width="8.26953125" style="573" customWidth="1"/>
    <col min="7694" max="7694" width="9.1796875" style="573"/>
    <col min="7695" max="7695" width="8" style="573" customWidth="1"/>
    <col min="7696" max="7696" width="9.26953125" style="573" customWidth="1"/>
    <col min="7697" max="7698" width="9.453125" style="573" customWidth="1"/>
    <col min="7699" max="7699" width="10.453125" style="573" customWidth="1"/>
    <col min="7700" max="7700" width="9.81640625" style="573" customWidth="1"/>
    <col min="7701" max="7701" width="8.7265625" style="573" customWidth="1"/>
    <col min="7702" max="7702" width="0" style="573" hidden="1" customWidth="1"/>
    <col min="7703" max="7703" width="30.81640625" style="573" customWidth="1"/>
    <col min="7704" max="7936" width="9.1796875" style="573"/>
    <col min="7937" max="7937" width="10.1796875" style="573" customWidth="1"/>
    <col min="7938" max="7938" width="11" style="573" customWidth="1"/>
    <col min="7939" max="7939" width="20.453125" style="573" customWidth="1"/>
    <col min="7940" max="7940" width="9.1796875" style="573" customWidth="1"/>
    <col min="7941" max="7941" width="9.26953125" style="573" customWidth="1"/>
    <col min="7942" max="7942" width="8.7265625" style="573" customWidth="1"/>
    <col min="7943" max="7944" width="8.453125" style="573" customWidth="1"/>
    <col min="7945" max="7945" width="8.54296875" style="573" customWidth="1"/>
    <col min="7946" max="7946" width="9.26953125" style="573" customWidth="1"/>
    <col min="7947" max="7947" width="8.7265625" style="573" customWidth="1"/>
    <col min="7948" max="7948" width="7.81640625" style="573" customWidth="1"/>
    <col min="7949" max="7949" width="8.26953125" style="573" customWidth="1"/>
    <col min="7950" max="7950" width="9.1796875" style="573"/>
    <col min="7951" max="7951" width="8" style="573" customWidth="1"/>
    <col min="7952" max="7952" width="9.26953125" style="573" customWidth="1"/>
    <col min="7953" max="7954" width="9.453125" style="573" customWidth="1"/>
    <col min="7955" max="7955" width="10.453125" style="573" customWidth="1"/>
    <col min="7956" max="7956" width="9.81640625" style="573" customWidth="1"/>
    <col min="7957" max="7957" width="8.7265625" style="573" customWidth="1"/>
    <col min="7958" max="7958" width="0" style="573" hidden="1" customWidth="1"/>
    <col min="7959" max="7959" width="30.81640625" style="573" customWidth="1"/>
    <col min="7960" max="8192" width="9.1796875" style="573"/>
    <col min="8193" max="8193" width="10.1796875" style="573" customWidth="1"/>
    <col min="8194" max="8194" width="11" style="573" customWidth="1"/>
    <col min="8195" max="8195" width="20.453125" style="573" customWidth="1"/>
    <col min="8196" max="8196" width="9.1796875" style="573" customWidth="1"/>
    <col min="8197" max="8197" width="9.26953125" style="573" customWidth="1"/>
    <col min="8198" max="8198" width="8.7265625" style="573" customWidth="1"/>
    <col min="8199" max="8200" width="8.453125" style="573" customWidth="1"/>
    <col min="8201" max="8201" width="8.54296875" style="573" customWidth="1"/>
    <col min="8202" max="8202" width="9.26953125" style="573" customWidth="1"/>
    <col min="8203" max="8203" width="8.7265625" style="573" customWidth="1"/>
    <col min="8204" max="8204" width="7.81640625" style="573" customWidth="1"/>
    <col min="8205" max="8205" width="8.26953125" style="573" customWidth="1"/>
    <col min="8206" max="8206" width="9.1796875" style="573"/>
    <col min="8207" max="8207" width="8" style="573" customWidth="1"/>
    <col min="8208" max="8208" width="9.26953125" style="573" customWidth="1"/>
    <col min="8209" max="8210" width="9.453125" style="573" customWidth="1"/>
    <col min="8211" max="8211" width="10.453125" style="573" customWidth="1"/>
    <col min="8212" max="8212" width="9.81640625" style="573" customWidth="1"/>
    <col min="8213" max="8213" width="8.7265625" style="573" customWidth="1"/>
    <col min="8214" max="8214" width="0" style="573" hidden="1" customWidth="1"/>
    <col min="8215" max="8215" width="30.81640625" style="573" customWidth="1"/>
    <col min="8216" max="8448" width="9.1796875" style="573"/>
    <col min="8449" max="8449" width="10.1796875" style="573" customWidth="1"/>
    <col min="8450" max="8450" width="11" style="573" customWidth="1"/>
    <col min="8451" max="8451" width="20.453125" style="573" customWidth="1"/>
    <col min="8452" max="8452" width="9.1796875" style="573" customWidth="1"/>
    <col min="8453" max="8453" width="9.26953125" style="573" customWidth="1"/>
    <col min="8454" max="8454" width="8.7265625" style="573" customWidth="1"/>
    <col min="8455" max="8456" width="8.453125" style="573" customWidth="1"/>
    <col min="8457" max="8457" width="8.54296875" style="573" customWidth="1"/>
    <col min="8458" max="8458" width="9.26953125" style="573" customWidth="1"/>
    <col min="8459" max="8459" width="8.7265625" style="573" customWidth="1"/>
    <col min="8460" max="8460" width="7.81640625" style="573" customWidth="1"/>
    <col min="8461" max="8461" width="8.26953125" style="573" customWidth="1"/>
    <col min="8462" max="8462" width="9.1796875" style="573"/>
    <col min="8463" max="8463" width="8" style="573" customWidth="1"/>
    <col min="8464" max="8464" width="9.26953125" style="573" customWidth="1"/>
    <col min="8465" max="8466" width="9.453125" style="573" customWidth="1"/>
    <col min="8467" max="8467" width="10.453125" style="573" customWidth="1"/>
    <col min="8468" max="8468" width="9.81640625" style="573" customWidth="1"/>
    <col min="8469" max="8469" width="8.7265625" style="573" customWidth="1"/>
    <col min="8470" max="8470" width="0" style="573" hidden="1" customWidth="1"/>
    <col min="8471" max="8471" width="30.81640625" style="573" customWidth="1"/>
    <col min="8472" max="8704" width="9.1796875" style="573"/>
    <col min="8705" max="8705" width="10.1796875" style="573" customWidth="1"/>
    <col min="8706" max="8706" width="11" style="573" customWidth="1"/>
    <col min="8707" max="8707" width="20.453125" style="573" customWidth="1"/>
    <col min="8708" max="8708" width="9.1796875" style="573" customWidth="1"/>
    <col min="8709" max="8709" width="9.26953125" style="573" customWidth="1"/>
    <col min="8710" max="8710" width="8.7265625" style="573" customWidth="1"/>
    <col min="8711" max="8712" width="8.453125" style="573" customWidth="1"/>
    <col min="8713" max="8713" width="8.54296875" style="573" customWidth="1"/>
    <col min="8714" max="8714" width="9.26953125" style="573" customWidth="1"/>
    <col min="8715" max="8715" width="8.7265625" style="573" customWidth="1"/>
    <col min="8716" max="8716" width="7.81640625" style="573" customWidth="1"/>
    <col min="8717" max="8717" width="8.26953125" style="573" customWidth="1"/>
    <col min="8718" max="8718" width="9.1796875" style="573"/>
    <col min="8719" max="8719" width="8" style="573" customWidth="1"/>
    <col min="8720" max="8720" width="9.26953125" style="573" customWidth="1"/>
    <col min="8721" max="8722" width="9.453125" style="573" customWidth="1"/>
    <col min="8723" max="8723" width="10.453125" style="573" customWidth="1"/>
    <col min="8724" max="8724" width="9.81640625" style="573" customWidth="1"/>
    <col min="8725" max="8725" width="8.7265625" style="573" customWidth="1"/>
    <col min="8726" max="8726" width="0" style="573" hidden="1" customWidth="1"/>
    <col min="8727" max="8727" width="30.81640625" style="573" customWidth="1"/>
    <col min="8728" max="8960" width="9.1796875" style="573"/>
    <col min="8961" max="8961" width="10.1796875" style="573" customWidth="1"/>
    <col min="8962" max="8962" width="11" style="573" customWidth="1"/>
    <col min="8963" max="8963" width="20.453125" style="573" customWidth="1"/>
    <col min="8964" max="8964" width="9.1796875" style="573" customWidth="1"/>
    <col min="8965" max="8965" width="9.26953125" style="573" customWidth="1"/>
    <col min="8966" max="8966" width="8.7265625" style="573" customWidth="1"/>
    <col min="8967" max="8968" width="8.453125" style="573" customWidth="1"/>
    <col min="8969" max="8969" width="8.54296875" style="573" customWidth="1"/>
    <col min="8970" max="8970" width="9.26953125" style="573" customWidth="1"/>
    <col min="8971" max="8971" width="8.7265625" style="573" customWidth="1"/>
    <col min="8972" max="8972" width="7.81640625" style="573" customWidth="1"/>
    <col min="8973" max="8973" width="8.26953125" style="573" customWidth="1"/>
    <col min="8974" max="8974" width="9.1796875" style="573"/>
    <col min="8975" max="8975" width="8" style="573" customWidth="1"/>
    <col min="8976" max="8976" width="9.26953125" style="573" customWidth="1"/>
    <col min="8977" max="8978" width="9.453125" style="573" customWidth="1"/>
    <col min="8979" max="8979" width="10.453125" style="573" customWidth="1"/>
    <col min="8980" max="8980" width="9.81640625" style="573" customWidth="1"/>
    <col min="8981" max="8981" width="8.7265625" style="573" customWidth="1"/>
    <col min="8982" max="8982" width="0" style="573" hidden="1" customWidth="1"/>
    <col min="8983" max="8983" width="30.81640625" style="573" customWidth="1"/>
    <col min="8984" max="9216" width="9.1796875" style="573"/>
    <col min="9217" max="9217" width="10.1796875" style="573" customWidth="1"/>
    <col min="9218" max="9218" width="11" style="573" customWidth="1"/>
    <col min="9219" max="9219" width="20.453125" style="573" customWidth="1"/>
    <col min="9220" max="9220" width="9.1796875" style="573" customWidth="1"/>
    <col min="9221" max="9221" width="9.26953125" style="573" customWidth="1"/>
    <col min="9222" max="9222" width="8.7265625" style="573" customWidth="1"/>
    <col min="9223" max="9224" width="8.453125" style="573" customWidth="1"/>
    <col min="9225" max="9225" width="8.54296875" style="573" customWidth="1"/>
    <col min="9226" max="9226" width="9.26953125" style="573" customWidth="1"/>
    <col min="9227" max="9227" width="8.7265625" style="573" customWidth="1"/>
    <col min="9228" max="9228" width="7.81640625" style="573" customWidth="1"/>
    <col min="9229" max="9229" width="8.26953125" style="573" customWidth="1"/>
    <col min="9230" max="9230" width="9.1796875" style="573"/>
    <col min="9231" max="9231" width="8" style="573" customWidth="1"/>
    <col min="9232" max="9232" width="9.26953125" style="573" customWidth="1"/>
    <col min="9233" max="9234" width="9.453125" style="573" customWidth="1"/>
    <col min="9235" max="9235" width="10.453125" style="573" customWidth="1"/>
    <col min="9236" max="9236" width="9.81640625" style="573" customWidth="1"/>
    <col min="9237" max="9237" width="8.7265625" style="573" customWidth="1"/>
    <col min="9238" max="9238" width="0" style="573" hidden="1" customWidth="1"/>
    <col min="9239" max="9239" width="30.81640625" style="573" customWidth="1"/>
    <col min="9240" max="9472" width="9.1796875" style="573"/>
    <col min="9473" max="9473" width="10.1796875" style="573" customWidth="1"/>
    <col min="9474" max="9474" width="11" style="573" customWidth="1"/>
    <col min="9475" max="9475" width="20.453125" style="573" customWidth="1"/>
    <col min="9476" max="9476" width="9.1796875" style="573" customWidth="1"/>
    <col min="9477" max="9477" width="9.26953125" style="573" customWidth="1"/>
    <col min="9478" max="9478" width="8.7265625" style="573" customWidth="1"/>
    <col min="9479" max="9480" width="8.453125" style="573" customWidth="1"/>
    <col min="9481" max="9481" width="8.54296875" style="573" customWidth="1"/>
    <col min="9482" max="9482" width="9.26953125" style="573" customWidth="1"/>
    <col min="9483" max="9483" width="8.7265625" style="573" customWidth="1"/>
    <col min="9484" max="9484" width="7.81640625" style="573" customWidth="1"/>
    <col min="9485" max="9485" width="8.26953125" style="573" customWidth="1"/>
    <col min="9486" max="9486" width="9.1796875" style="573"/>
    <col min="9487" max="9487" width="8" style="573" customWidth="1"/>
    <col min="9488" max="9488" width="9.26953125" style="573" customWidth="1"/>
    <col min="9489" max="9490" width="9.453125" style="573" customWidth="1"/>
    <col min="9491" max="9491" width="10.453125" style="573" customWidth="1"/>
    <col min="9492" max="9492" width="9.81640625" style="573" customWidth="1"/>
    <col min="9493" max="9493" width="8.7265625" style="573" customWidth="1"/>
    <col min="9494" max="9494" width="0" style="573" hidden="1" customWidth="1"/>
    <col min="9495" max="9495" width="30.81640625" style="573" customWidth="1"/>
    <col min="9496" max="9728" width="9.1796875" style="573"/>
    <col min="9729" max="9729" width="10.1796875" style="573" customWidth="1"/>
    <col min="9730" max="9730" width="11" style="573" customWidth="1"/>
    <col min="9731" max="9731" width="20.453125" style="573" customWidth="1"/>
    <col min="9732" max="9732" width="9.1796875" style="573" customWidth="1"/>
    <col min="9733" max="9733" width="9.26953125" style="573" customWidth="1"/>
    <col min="9734" max="9734" width="8.7265625" style="573" customWidth="1"/>
    <col min="9735" max="9736" width="8.453125" style="573" customWidth="1"/>
    <col min="9737" max="9737" width="8.54296875" style="573" customWidth="1"/>
    <col min="9738" max="9738" width="9.26953125" style="573" customWidth="1"/>
    <col min="9739" max="9739" width="8.7265625" style="573" customWidth="1"/>
    <col min="9740" max="9740" width="7.81640625" style="573" customWidth="1"/>
    <col min="9741" max="9741" width="8.26953125" style="573" customWidth="1"/>
    <col min="9742" max="9742" width="9.1796875" style="573"/>
    <col min="9743" max="9743" width="8" style="573" customWidth="1"/>
    <col min="9744" max="9744" width="9.26953125" style="573" customWidth="1"/>
    <col min="9745" max="9746" width="9.453125" style="573" customWidth="1"/>
    <col min="9747" max="9747" width="10.453125" style="573" customWidth="1"/>
    <col min="9748" max="9748" width="9.81640625" style="573" customWidth="1"/>
    <col min="9749" max="9749" width="8.7265625" style="573" customWidth="1"/>
    <col min="9750" max="9750" width="0" style="573" hidden="1" customWidth="1"/>
    <col min="9751" max="9751" width="30.81640625" style="573" customWidth="1"/>
    <col min="9752" max="9984" width="9.1796875" style="573"/>
    <col min="9985" max="9985" width="10.1796875" style="573" customWidth="1"/>
    <col min="9986" max="9986" width="11" style="573" customWidth="1"/>
    <col min="9987" max="9987" width="20.453125" style="573" customWidth="1"/>
    <col min="9988" max="9988" width="9.1796875" style="573" customWidth="1"/>
    <col min="9989" max="9989" width="9.26953125" style="573" customWidth="1"/>
    <col min="9990" max="9990" width="8.7265625" style="573" customWidth="1"/>
    <col min="9991" max="9992" width="8.453125" style="573" customWidth="1"/>
    <col min="9993" max="9993" width="8.54296875" style="573" customWidth="1"/>
    <col min="9994" max="9994" width="9.26953125" style="573" customWidth="1"/>
    <col min="9995" max="9995" width="8.7265625" style="573" customWidth="1"/>
    <col min="9996" max="9996" width="7.81640625" style="573" customWidth="1"/>
    <col min="9997" max="9997" width="8.26953125" style="573" customWidth="1"/>
    <col min="9998" max="9998" width="9.1796875" style="573"/>
    <col min="9999" max="9999" width="8" style="573" customWidth="1"/>
    <col min="10000" max="10000" width="9.26953125" style="573" customWidth="1"/>
    <col min="10001" max="10002" width="9.453125" style="573" customWidth="1"/>
    <col min="10003" max="10003" width="10.453125" style="573" customWidth="1"/>
    <col min="10004" max="10004" width="9.81640625" style="573" customWidth="1"/>
    <col min="10005" max="10005" width="8.7265625" style="573" customWidth="1"/>
    <col min="10006" max="10006" width="0" style="573" hidden="1" customWidth="1"/>
    <col min="10007" max="10007" width="30.81640625" style="573" customWidth="1"/>
    <col min="10008" max="10240" width="9.1796875" style="573"/>
    <col min="10241" max="10241" width="10.1796875" style="573" customWidth="1"/>
    <col min="10242" max="10242" width="11" style="573" customWidth="1"/>
    <col min="10243" max="10243" width="20.453125" style="573" customWidth="1"/>
    <col min="10244" max="10244" width="9.1796875" style="573" customWidth="1"/>
    <col min="10245" max="10245" width="9.26953125" style="573" customWidth="1"/>
    <col min="10246" max="10246" width="8.7265625" style="573" customWidth="1"/>
    <col min="10247" max="10248" width="8.453125" style="573" customWidth="1"/>
    <col min="10249" max="10249" width="8.54296875" style="573" customWidth="1"/>
    <col min="10250" max="10250" width="9.26953125" style="573" customWidth="1"/>
    <col min="10251" max="10251" width="8.7265625" style="573" customWidth="1"/>
    <col min="10252" max="10252" width="7.81640625" style="573" customWidth="1"/>
    <col min="10253" max="10253" width="8.26953125" style="573" customWidth="1"/>
    <col min="10254" max="10254" width="9.1796875" style="573"/>
    <col min="10255" max="10255" width="8" style="573" customWidth="1"/>
    <col min="10256" max="10256" width="9.26953125" style="573" customWidth="1"/>
    <col min="10257" max="10258" width="9.453125" style="573" customWidth="1"/>
    <col min="10259" max="10259" width="10.453125" style="573" customWidth="1"/>
    <col min="10260" max="10260" width="9.81640625" style="573" customWidth="1"/>
    <col min="10261" max="10261" width="8.7265625" style="573" customWidth="1"/>
    <col min="10262" max="10262" width="0" style="573" hidden="1" customWidth="1"/>
    <col min="10263" max="10263" width="30.81640625" style="573" customWidth="1"/>
    <col min="10264" max="10496" width="9.1796875" style="573"/>
    <col min="10497" max="10497" width="10.1796875" style="573" customWidth="1"/>
    <col min="10498" max="10498" width="11" style="573" customWidth="1"/>
    <col min="10499" max="10499" width="20.453125" style="573" customWidth="1"/>
    <col min="10500" max="10500" width="9.1796875" style="573" customWidth="1"/>
    <col min="10501" max="10501" width="9.26953125" style="573" customWidth="1"/>
    <col min="10502" max="10502" width="8.7265625" style="573" customWidth="1"/>
    <col min="10503" max="10504" width="8.453125" style="573" customWidth="1"/>
    <col min="10505" max="10505" width="8.54296875" style="573" customWidth="1"/>
    <col min="10506" max="10506" width="9.26953125" style="573" customWidth="1"/>
    <col min="10507" max="10507" width="8.7265625" style="573" customWidth="1"/>
    <col min="10508" max="10508" width="7.81640625" style="573" customWidth="1"/>
    <col min="10509" max="10509" width="8.26953125" style="573" customWidth="1"/>
    <col min="10510" max="10510" width="9.1796875" style="573"/>
    <col min="10511" max="10511" width="8" style="573" customWidth="1"/>
    <col min="10512" max="10512" width="9.26953125" style="573" customWidth="1"/>
    <col min="10513" max="10514" width="9.453125" style="573" customWidth="1"/>
    <col min="10515" max="10515" width="10.453125" style="573" customWidth="1"/>
    <col min="10516" max="10516" width="9.81640625" style="573" customWidth="1"/>
    <col min="10517" max="10517" width="8.7265625" style="573" customWidth="1"/>
    <col min="10518" max="10518" width="0" style="573" hidden="1" customWidth="1"/>
    <col min="10519" max="10519" width="30.81640625" style="573" customWidth="1"/>
    <col min="10520" max="10752" width="9.1796875" style="573"/>
    <col min="10753" max="10753" width="10.1796875" style="573" customWidth="1"/>
    <col min="10754" max="10754" width="11" style="573" customWidth="1"/>
    <col min="10755" max="10755" width="20.453125" style="573" customWidth="1"/>
    <col min="10756" max="10756" width="9.1796875" style="573" customWidth="1"/>
    <col min="10757" max="10757" width="9.26953125" style="573" customWidth="1"/>
    <col min="10758" max="10758" width="8.7265625" style="573" customWidth="1"/>
    <col min="10759" max="10760" width="8.453125" style="573" customWidth="1"/>
    <col min="10761" max="10761" width="8.54296875" style="573" customWidth="1"/>
    <col min="10762" max="10762" width="9.26953125" style="573" customWidth="1"/>
    <col min="10763" max="10763" width="8.7265625" style="573" customWidth="1"/>
    <col min="10764" max="10764" width="7.81640625" style="573" customWidth="1"/>
    <col min="10765" max="10765" width="8.26953125" style="573" customWidth="1"/>
    <col min="10766" max="10766" width="9.1796875" style="573"/>
    <col min="10767" max="10767" width="8" style="573" customWidth="1"/>
    <col min="10768" max="10768" width="9.26953125" style="573" customWidth="1"/>
    <col min="10769" max="10770" width="9.453125" style="573" customWidth="1"/>
    <col min="10771" max="10771" width="10.453125" style="573" customWidth="1"/>
    <col min="10772" max="10772" width="9.81640625" style="573" customWidth="1"/>
    <col min="10773" max="10773" width="8.7265625" style="573" customWidth="1"/>
    <col min="10774" max="10774" width="0" style="573" hidden="1" customWidth="1"/>
    <col min="10775" max="10775" width="30.81640625" style="573" customWidth="1"/>
    <col min="10776" max="11008" width="9.1796875" style="573"/>
    <col min="11009" max="11009" width="10.1796875" style="573" customWidth="1"/>
    <col min="11010" max="11010" width="11" style="573" customWidth="1"/>
    <col min="11011" max="11011" width="20.453125" style="573" customWidth="1"/>
    <col min="11012" max="11012" width="9.1796875" style="573" customWidth="1"/>
    <col min="11013" max="11013" width="9.26953125" style="573" customWidth="1"/>
    <col min="11014" max="11014" width="8.7265625" style="573" customWidth="1"/>
    <col min="11015" max="11016" width="8.453125" style="573" customWidth="1"/>
    <col min="11017" max="11017" width="8.54296875" style="573" customWidth="1"/>
    <col min="11018" max="11018" width="9.26953125" style="573" customWidth="1"/>
    <col min="11019" max="11019" width="8.7265625" style="573" customWidth="1"/>
    <col min="11020" max="11020" width="7.81640625" style="573" customWidth="1"/>
    <col min="11021" max="11021" width="8.26953125" style="573" customWidth="1"/>
    <col min="11022" max="11022" width="9.1796875" style="573"/>
    <col min="11023" max="11023" width="8" style="573" customWidth="1"/>
    <col min="11024" max="11024" width="9.26953125" style="573" customWidth="1"/>
    <col min="11025" max="11026" width="9.453125" style="573" customWidth="1"/>
    <col min="11027" max="11027" width="10.453125" style="573" customWidth="1"/>
    <col min="11028" max="11028" width="9.81640625" style="573" customWidth="1"/>
    <col min="11029" max="11029" width="8.7265625" style="573" customWidth="1"/>
    <col min="11030" max="11030" width="0" style="573" hidden="1" customWidth="1"/>
    <col min="11031" max="11031" width="30.81640625" style="573" customWidth="1"/>
    <col min="11032" max="11264" width="9.1796875" style="573"/>
    <col min="11265" max="11265" width="10.1796875" style="573" customWidth="1"/>
    <col min="11266" max="11266" width="11" style="573" customWidth="1"/>
    <col min="11267" max="11267" width="20.453125" style="573" customWidth="1"/>
    <col min="11268" max="11268" width="9.1796875" style="573" customWidth="1"/>
    <col min="11269" max="11269" width="9.26953125" style="573" customWidth="1"/>
    <col min="11270" max="11270" width="8.7265625" style="573" customWidth="1"/>
    <col min="11271" max="11272" width="8.453125" style="573" customWidth="1"/>
    <col min="11273" max="11273" width="8.54296875" style="573" customWidth="1"/>
    <col min="11274" max="11274" width="9.26953125" style="573" customWidth="1"/>
    <col min="11275" max="11275" width="8.7265625" style="573" customWidth="1"/>
    <col min="11276" max="11276" width="7.81640625" style="573" customWidth="1"/>
    <col min="11277" max="11277" width="8.26953125" style="573" customWidth="1"/>
    <col min="11278" max="11278" width="9.1796875" style="573"/>
    <col min="11279" max="11279" width="8" style="573" customWidth="1"/>
    <col min="11280" max="11280" width="9.26953125" style="573" customWidth="1"/>
    <col min="11281" max="11282" width="9.453125" style="573" customWidth="1"/>
    <col min="11283" max="11283" width="10.453125" style="573" customWidth="1"/>
    <col min="11284" max="11284" width="9.81640625" style="573" customWidth="1"/>
    <col min="11285" max="11285" width="8.7265625" style="573" customWidth="1"/>
    <col min="11286" max="11286" width="0" style="573" hidden="1" customWidth="1"/>
    <col min="11287" max="11287" width="30.81640625" style="573" customWidth="1"/>
    <col min="11288" max="11520" width="9.1796875" style="573"/>
    <col min="11521" max="11521" width="10.1796875" style="573" customWidth="1"/>
    <col min="11522" max="11522" width="11" style="573" customWidth="1"/>
    <col min="11523" max="11523" width="20.453125" style="573" customWidth="1"/>
    <col min="11524" max="11524" width="9.1796875" style="573" customWidth="1"/>
    <col min="11525" max="11525" width="9.26953125" style="573" customWidth="1"/>
    <col min="11526" max="11526" width="8.7265625" style="573" customWidth="1"/>
    <col min="11527" max="11528" width="8.453125" style="573" customWidth="1"/>
    <col min="11529" max="11529" width="8.54296875" style="573" customWidth="1"/>
    <col min="11530" max="11530" width="9.26953125" style="573" customWidth="1"/>
    <col min="11531" max="11531" width="8.7265625" style="573" customWidth="1"/>
    <col min="11532" max="11532" width="7.81640625" style="573" customWidth="1"/>
    <col min="11533" max="11533" width="8.26953125" style="573" customWidth="1"/>
    <col min="11534" max="11534" width="9.1796875" style="573"/>
    <col min="11535" max="11535" width="8" style="573" customWidth="1"/>
    <col min="11536" max="11536" width="9.26953125" style="573" customWidth="1"/>
    <col min="11537" max="11538" width="9.453125" style="573" customWidth="1"/>
    <col min="11539" max="11539" width="10.453125" style="573" customWidth="1"/>
    <col min="11540" max="11540" width="9.81640625" style="573" customWidth="1"/>
    <col min="11541" max="11541" width="8.7265625" style="573" customWidth="1"/>
    <col min="11542" max="11542" width="0" style="573" hidden="1" customWidth="1"/>
    <col min="11543" max="11543" width="30.81640625" style="573" customWidth="1"/>
    <col min="11544" max="11776" width="9.1796875" style="573"/>
    <col min="11777" max="11777" width="10.1796875" style="573" customWidth="1"/>
    <col min="11778" max="11778" width="11" style="573" customWidth="1"/>
    <col min="11779" max="11779" width="20.453125" style="573" customWidth="1"/>
    <col min="11780" max="11780" width="9.1796875" style="573" customWidth="1"/>
    <col min="11781" max="11781" width="9.26953125" style="573" customWidth="1"/>
    <col min="11782" max="11782" width="8.7265625" style="573" customWidth="1"/>
    <col min="11783" max="11784" width="8.453125" style="573" customWidth="1"/>
    <col min="11785" max="11785" width="8.54296875" style="573" customWidth="1"/>
    <col min="11786" max="11786" width="9.26953125" style="573" customWidth="1"/>
    <col min="11787" max="11787" width="8.7265625" style="573" customWidth="1"/>
    <col min="11788" max="11788" width="7.81640625" style="573" customWidth="1"/>
    <col min="11789" max="11789" width="8.26953125" style="573" customWidth="1"/>
    <col min="11790" max="11790" width="9.1796875" style="573"/>
    <col min="11791" max="11791" width="8" style="573" customWidth="1"/>
    <col min="11792" max="11792" width="9.26953125" style="573" customWidth="1"/>
    <col min="11793" max="11794" width="9.453125" style="573" customWidth="1"/>
    <col min="11795" max="11795" width="10.453125" style="573" customWidth="1"/>
    <col min="11796" max="11796" width="9.81640625" style="573" customWidth="1"/>
    <col min="11797" max="11797" width="8.7265625" style="573" customWidth="1"/>
    <col min="11798" max="11798" width="0" style="573" hidden="1" customWidth="1"/>
    <col min="11799" max="11799" width="30.81640625" style="573" customWidth="1"/>
    <col min="11800" max="12032" width="9.1796875" style="573"/>
    <col min="12033" max="12033" width="10.1796875" style="573" customWidth="1"/>
    <col min="12034" max="12034" width="11" style="573" customWidth="1"/>
    <col min="12035" max="12035" width="20.453125" style="573" customWidth="1"/>
    <col min="12036" max="12036" width="9.1796875" style="573" customWidth="1"/>
    <col min="12037" max="12037" width="9.26953125" style="573" customWidth="1"/>
    <col min="12038" max="12038" width="8.7265625" style="573" customWidth="1"/>
    <col min="12039" max="12040" width="8.453125" style="573" customWidth="1"/>
    <col min="12041" max="12041" width="8.54296875" style="573" customWidth="1"/>
    <col min="12042" max="12042" width="9.26953125" style="573" customWidth="1"/>
    <col min="12043" max="12043" width="8.7265625" style="573" customWidth="1"/>
    <col min="12044" max="12044" width="7.81640625" style="573" customWidth="1"/>
    <col min="12045" max="12045" width="8.26953125" style="573" customWidth="1"/>
    <col min="12046" max="12046" width="9.1796875" style="573"/>
    <col min="12047" max="12047" width="8" style="573" customWidth="1"/>
    <col min="12048" max="12048" width="9.26953125" style="573" customWidth="1"/>
    <col min="12049" max="12050" width="9.453125" style="573" customWidth="1"/>
    <col min="12051" max="12051" width="10.453125" style="573" customWidth="1"/>
    <col min="12052" max="12052" width="9.81640625" style="573" customWidth="1"/>
    <col min="12053" max="12053" width="8.7265625" style="573" customWidth="1"/>
    <col min="12054" max="12054" width="0" style="573" hidden="1" customWidth="1"/>
    <col min="12055" max="12055" width="30.81640625" style="573" customWidth="1"/>
    <col min="12056" max="12288" width="9.1796875" style="573"/>
    <col min="12289" max="12289" width="10.1796875" style="573" customWidth="1"/>
    <col min="12290" max="12290" width="11" style="573" customWidth="1"/>
    <col min="12291" max="12291" width="20.453125" style="573" customWidth="1"/>
    <col min="12292" max="12292" width="9.1796875" style="573" customWidth="1"/>
    <col min="12293" max="12293" width="9.26953125" style="573" customWidth="1"/>
    <col min="12294" max="12294" width="8.7265625" style="573" customWidth="1"/>
    <col min="12295" max="12296" width="8.453125" style="573" customWidth="1"/>
    <col min="12297" max="12297" width="8.54296875" style="573" customWidth="1"/>
    <col min="12298" max="12298" width="9.26953125" style="573" customWidth="1"/>
    <col min="12299" max="12299" width="8.7265625" style="573" customWidth="1"/>
    <col min="12300" max="12300" width="7.81640625" style="573" customWidth="1"/>
    <col min="12301" max="12301" width="8.26953125" style="573" customWidth="1"/>
    <col min="12302" max="12302" width="9.1796875" style="573"/>
    <col min="12303" max="12303" width="8" style="573" customWidth="1"/>
    <col min="12304" max="12304" width="9.26953125" style="573" customWidth="1"/>
    <col min="12305" max="12306" width="9.453125" style="573" customWidth="1"/>
    <col min="12307" max="12307" width="10.453125" style="573" customWidth="1"/>
    <col min="12308" max="12308" width="9.81640625" style="573" customWidth="1"/>
    <col min="12309" max="12309" width="8.7265625" style="573" customWidth="1"/>
    <col min="12310" max="12310" width="0" style="573" hidden="1" customWidth="1"/>
    <col min="12311" max="12311" width="30.81640625" style="573" customWidth="1"/>
    <col min="12312" max="12544" width="9.1796875" style="573"/>
    <col min="12545" max="12545" width="10.1796875" style="573" customWidth="1"/>
    <col min="12546" max="12546" width="11" style="573" customWidth="1"/>
    <col min="12547" max="12547" width="20.453125" style="573" customWidth="1"/>
    <col min="12548" max="12548" width="9.1796875" style="573" customWidth="1"/>
    <col min="12549" max="12549" width="9.26953125" style="573" customWidth="1"/>
    <col min="12550" max="12550" width="8.7265625" style="573" customWidth="1"/>
    <col min="12551" max="12552" width="8.453125" style="573" customWidth="1"/>
    <col min="12553" max="12553" width="8.54296875" style="573" customWidth="1"/>
    <col min="12554" max="12554" width="9.26953125" style="573" customWidth="1"/>
    <col min="12555" max="12555" width="8.7265625" style="573" customWidth="1"/>
    <col min="12556" max="12556" width="7.81640625" style="573" customWidth="1"/>
    <col min="12557" max="12557" width="8.26953125" style="573" customWidth="1"/>
    <col min="12558" max="12558" width="9.1796875" style="573"/>
    <col min="12559" max="12559" width="8" style="573" customWidth="1"/>
    <col min="12560" max="12560" width="9.26953125" style="573" customWidth="1"/>
    <col min="12561" max="12562" width="9.453125" style="573" customWidth="1"/>
    <col min="12563" max="12563" width="10.453125" style="573" customWidth="1"/>
    <col min="12564" max="12564" width="9.81640625" style="573" customWidth="1"/>
    <col min="12565" max="12565" width="8.7265625" style="573" customWidth="1"/>
    <col min="12566" max="12566" width="0" style="573" hidden="1" customWidth="1"/>
    <col min="12567" max="12567" width="30.81640625" style="573" customWidth="1"/>
    <col min="12568" max="12800" width="9.1796875" style="573"/>
    <col min="12801" max="12801" width="10.1796875" style="573" customWidth="1"/>
    <col min="12802" max="12802" width="11" style="573" customWidth="1"/>
    <col min="12803" max="12803" width="20.453125" style="573" customWidth="1"/>
    <col min="12804" max="12804" width="9.1796875" style="573" customWidth="1"/>
    <col min="12805" max="12805" width="9.26953125" style="573" customWidth="1"/>
    <col min="12806" max="12806" width="8.7265625" style="573" customWidth="1"/>
    <col min="12807" max="12808" width="8.453125" style="573" customWidth="1"/>
    <col min="12809" max="12809" width="8.54296875" style="573" customWidth="1"/>
    <col min="12810" max="12810" width="9.26953125" style="573" customWidth="1"/>
    <col min="12811" max="12811" width="8.7265625" style="573" customWidth="1"/>
    <col min="12812" max="12812" width="7.81640625" style="573" customWidth="1"/>
    <col min="12813" max="12813" width="8.26953125" style="573" customWidth="1"/>
    <col min="12814" max="12814" width="9.1796875" style="573"/>
    <col min="12815" max="12815" width="8" style="573" customWidth="1"/>
    <col min="12816" max="12816" width="9.26953125" style="573" customWidth="1"/>
    <col min="12817" max="12818" width="9.453125" style="573" customWidth="1"/>
    <col min="12819" max="12819" width="10.453125" style="573" customWidth="1"/>
    <col min="12820" max="12820" width="9.81640625" style="573" customWidth="1"/>
    <col min="12821" max="12821" width="8.7265625" style="573" customWidth="1"/>
    <col min="12822" max="12822" width="0" style="573" hidden="1" customWidth="1"/>
    <col min="12823" max="12823" width="30.81640625" style="573" customWidth="1"/>
    <col min="12824" max="13056" width="9.1796875" style="573"/>
    <col min="13057" max="13057" width="10.1796875" style="573" customWidth="1"/>
    <col min="13058" max="13058" width="11" style="573" customWidth="1"/>
    <col min="13059" max="13059" width="20.453125" style="573" customWidth="1"/>
    <col min="13060" max="13060" width="9.1796875" style="573" customWidth="1"/>
    <col min="13061" max="13061" width="9.26953125" style="573" customWidth="1"/>
    <col min="13062" max="13062" width="8.7265625" style="573" customWidth="1"/>
    <col min="13063" max="13064" width="8.453125" style="573" customWidth="1"/>
    <col min="13065" max="13065" width="8.54296875" style="573" customWidth="1"/>
    <col min="13066" max="13066" width="9.26953125" style="573" customWidth="1"/>
    <col min="13067" max="13067" width="8.7265625" style="573" customWidth="1"/>
    <col min="13068" max="13068" width="7.81640625" style="573" customWidth="1"/>
    <col min="13069" max="13069" width="8.26953125" style="573" customWidth="1"/>
    <col min="13070" max="13070" width="9.1796875" style="573"/>
    <col min="13071" max="13071" width="8" style="573" customWidth="1"/>
    <col min="13072" max="13072" width="9.26953125" style="573" customWidth="1"/>
    <col min="13073" max="13074" width="9.453125" style="573" customWidth="1"/>
    <col min="13075" max="13075" width="10.453125" style="573" customWidth="1"/>
    <col min="13076" max="13076" width="9.81640625" style="573" customWidth="1"/>
    <col min="13077" max="13077" width="8.7265625" style="573" customWidth="1"/>
    <col min="13078" max="13078" width="0" style="573" hidden="1" customWidth="1"/>
    <col min="13079" max="13079" width="30.81640625" style="573" customWidth="1"/>
    <col min="13080" max="13312" width="9.1796875" style="573"/>
    <col min="13313" max="13313" width="10.1796875" style="573" customWidth="1"/>
    <col min="13314" max="13314" width="11" style="573" customWidth="1"/>
    <col min="13315" max="13315" width="20.453125" style="573" customWidth="1"/>
    <col min="13316" max="13316" width="9.1796875" style="573" customWidth="1"/>
    <col min="13317" max="13317" width="9.26953125" style="573" customWidth="1"/>
    <col min="13318" max="13318" width="8.7265625" style="573" customWidth="1"/>
    <col min="13319" max="13320" width="8.453125" style="573" customWidth="1"/>
    <col min="13321" max="13321" width="8.54296875" style="573" customWidth="1"/>
    <col min="13322" max="13322" width="9.26953125" style="573" customWidth="1"/>
    <col min="13323" max="13323" width="8.7265625" style="573" customWidth="1"/>
    <col min="13324" max="13324" width="7.81640625" style="573" customWidth="1"/>
    <col min="13325" max="13325" width="8.26953125" style="573" customWidth="1"/>
    <col min="13326" max="13326" width="9.1796875" style="573"/>
    <col min="13327" max="13327" width="8" style="573" customWidth="1"/>
    <col min="13328" max="13328" width="9.26953125" style="573" customWidth="1"/>
    <col min="13329" max="13330" width="9.453125" style="573" customWidth="1"/>
    <col min="13331" max="13331" width="10.453125" style="573" customWidth="1"/>
    <col min="13332" max="13332" width="9.81640625" style="573" customWidth="1"/>
    <col min="13333" max="13333" width="8.7265625" style="573" customWidth="1"/>
    <col min="13334" max="13334" width="0" style="573" hidden="1" customWidth="1"/>
    <col min="13335" max="13335" width="30.81640625" style="573" customWidth="1"/>
    <col min="13336" max="13568" width="9.1796875" style="573"/>
    <col min="13569" max="13569" width="10.1796875" style="573" customWidth="1"/>
    <col min="13570" max="13570" width="11" style="573" customWidth="1"/>
    <col min="13571" max="13571" width="20.453125" style="573" customWidth="1"/>
    <col min="13572" max="13572" width="9.1796875" style="573" customWidth="1"/>
    <col min="13573" max="13573" width="9.26953125" style="573" customWidth="1"/>
    <col min="13574" max="13574" width="8.7265625" style="573" customWidth="1"/>
    <col min="13575" max="13576" width="8.453125" style="573" customWidth="1"/>
    <col min="13577" max="13577" width="8.54296875" style="573" customWidth="1"/>
    <col min="13578" max="13578" width="9.26953125" style="573" customWidth="1"/>
    <col min="13579" max="13579" width="8.7265625" style="573" customWidth="1"/>
    <col min="13580" max="13580" width="7.81640625" style="573" customWidth="1"/>
    <col min="13581" max="13581" width="8.26953125" style="573" customWidth="1"/>
    <col min="13582" max="13582" width="9.1796875" style="573"/>
    <col min="13583" max="13583" width="8" style="573" customWidth="1"/>
    <col min="13584" max="13584" width="9.26953125" style="573" customWidth="1"/>
    <col min="13585" max="13586" width="9.453125" style="573" customWidth="1"/>
    <col min="13587" max="13587" width="10.453125" style="573" customWidth="1"/>
    <col min="13588" max="13588" width="9.81640625" style="573" customWidth="1"/>
    <col min="13589" max="13589" width="8.7265625" style="573" customWidth="1"/>
    <col min="13590" max="13590" width="0" style="573" hidden="1" customWidth="1"/>
    <col min="13591" max="13591" width="30.81640625" style="573" customWidth="1"/>
    <col min="13592" max="13824" width="9.1796875" style="573"/>
    <col min="13825" max="13825" width="10.1796875" style="573" customWidth="1"/>
    <col min="13826" max="13826" width="11" style="573" customWidth="1"/>
    <col min="13827" max="13827" width="20.453125" style="573" customWidth="1"/>
    <col min="13828" max="13828" width="9.1796875" style="573" customWidth="1"/>
    <col min="13829" max="13829" width="9.26953125" style="573" customWidth="1"/>
    <col min="13830" max="13830" width="8.7265625" style="573" customWidth="1"/>
    <col min="13831" max="13832" width="8.453125" style="573" customWidth="1"/>
    <col min="13833" max="13833" width="8.54296875" style="573" customWidth="1"/>
    <col min="13834" max="13834" width="9.26953125" style="573" customWidth="1"/>
    <col min="13835" max="13835" width="8.7265625" style="573" customWidth="1"/>
    <col min="13836" max="13836" width="7.81640625" style="573" customWidth="1"/>
    <col min="13837" max="13837" width="8.26953125" style="573" customWidth="1"/>
    <col min="13838" max="13838" width="9.1796875" style="573"/>
    <col min="13839" max="13839" width="8" style="573" customWidth="1"/>
    <col min="13840" max="13840" width="9.26953125" style="573" customWidth="1"/>
    <col min="13841" max="13842" width="9.453125" style="573" customWidth="1"/>
    <col min="13843" max="13843" width="10.453125" style="573" customWidth="1"/>
    <col min="13844" max="13844" width="9.81640625" style="573" customWidth="1"/>
    <col min="13845" max="13845" width="8.7265625" style="573" customWidth="1"/>
    <col min="13846" max="13846" width="0" style="573" hidden="1" customWidth="1"/>
    <col min="13847" max="13847" width="30.81640625" style="573" customWidth="1"/>
    <col min="13848" max="14080" width="9.1796875" style="573"/>
    <col min="14081" max="14081" width="10.1796875" style="573" customWidth="1"/>
    <col min="14082" max="14082" width="11" style="573" customWidth="1"/>
    <col min="14083" max="14083" width="20.453125" style="573" customWidth="1"/>
    <col min="14084" max="14084" width="9.1796875" style="573" customWidth="1"/>
    <col min="14085" max="14085" width="9.26953125" style="573" customWidth="1"/>
    <col min="14086" max="14086" width="8.7265625" style="573" customWidth="1"/>
    <col min="14087" max="14088" width="8.453125" style="573" customWidth="1"/>
    <col min="14089" max="14089" width="8.54296875" style="573" customWidth="1"/>
    <col min="14090" max="14090" width="9.26953125" style="573" customWidth="1"/>
    <col min="14091" max="14091" width="8.7265625" style="573" customWidth="1"/>
    <col min="14092" max="14092" width="7.81640625" style="573" customWidth="1"/>
    <col min="14093" max="14093" width="8.26953125" style="573" customWidth="1"/>
    <col min="14094" max="14094" width="9.1796875" style="573"/>
    <col min="14095" max="14095" width="8" style="573" customWidth="1"/>
    <col min="14096" max="14096" width="9.26953125" style="573" customWidth="1"/>
    <col min="14097" max="14098" width="9.453125" style="573" customWidth="1"/>
    <col min="14099" max="14099" width="10.453125" style="573" customWidth="1"/>
    <col min="14100" max="14100" width="9.81640625" style="573" customWidth="1"/>
    <col min="14101" max="14101" width="8.7265625" style="573" customWidth="1"/>
    <col min="14102" max="14102" width="0" style="573" hidden="1" customWidth="1"/>
    <col min="14103" max="14103" width="30.81640625" style="573" customWidth="1"/>
    <col min="14104" max="14336" width="9.1796875" style="573"/>
    <col min="14337" max="14337" width="10.1796875" style="573" customWidth="1"/>
    <col min="14338" max="14338" width="11" style="573" customWidth="1"/>
    <col min="14339" max="14339" width="20.453125" style="573" customWidth="1"/>
    <col min="14340" max="14340" width="9.1796875" style="573" customWidth="1"/>
    <col min="14341" max="14341" width="9.26953125" style="573" customWidth="1"/>
    <col min="14342" max="14342" width="8.7265625" style="573" customWidth="1"/>
    <col min="14343" max="14344" width="8.453125" style="573" customWidth="1"/>
    <col min="14345" max="14345" width="8.54296875" style="573" customWidth="1"/>
    <col min="14346" max="14346" width="9.26953125" style="573" customWidth="1"/>
    <col min="14347" max="14347" width="8.7265625" style="573" customWidth="1"/>
    <col min="14348" max="14348" width="7.81640625" style="573" customWidth="1"/>
    <col min="14349" max="14349" width="8.26953125" style="573" customWidth="1"/>
    <col min="14350" max="14350" width="9.1796875" style="573"/>
    <col min="14351" max="14351" width="8" style="573" customWidth="1"/>
    <col min="14352" max="14352" width="9.26953125" style="573" customWidth="1"/>
    <col min="14353" max="14354" width="9.453125" style="573" customWidth="1"/>
    <col min="14355" max="14355" width="10.453125" style="573" customWidth="1"/>
    <col min="14356" max="14356" width="9.81640625" style="573" customWidth="1"/>
    <col min="14357" max="14357" width="8.7265625" style="573" customWidth="1"/>
    <col min="14358" max="14358" width="0" style="573" hidden="1" customWidth="1"/>
    <col min="14359" max="14359" width="30.81640625" style="573" customWidth="1"/>
    <col min="14360" max="14592" width="9.1796875" style="573"/>
    <col min="14593" max="14593" width="10.1796875" style="573" customWidth="1"/>
    <col min="14594" max="14594" width="11" style="573" customWidth="1"/>
    <col min="14595" max="14595" width="20.453125" style="573" customWidth="1"/>
    <col min="14596" max="14596" width="9.1796875" style="573" customWidth="1"/>
    <col min="14597" max="14597" width="9.26953125" style="573" customWidth="1"/>
    <col min="14598" max="14598" width="8.7265625" style="573" customWidth="1"/>
    <col min="14599" max="14600" width="8.453125" style="573" customWidth="1"/>
    <col min="14601" max="14601" width="8.54296875" style="573" customWidth="1"/>
    <col min="14602" max="14602" width="9.26953125" style="573" customWidth="1"/>
    <col min="14603" max="14603" width="8.7265625" style="573" customWidth="1"/>
    <col min="14604" max="14604" width="7.81640625" style="573" customWidth="1"/>
    <col min="14605" max="14605" width="8.26953125" style="573" customWidth="1"/>
    <col min="14606" max="14606" width="9.1796875" style="573"/>
    <col min="14607" max="14607" width="8" style="573" customWidth="1"/>
    <col min="14608" max="14608" width="9.26953125" style="573" customWidth="1"/>
    <col min="14609" max="14610" width="9.453125" style="573" customWidth="1"/>
    <col min="14611" max="14611" width="10.453125" style="573" customWidth="1"/>
    <col min="14612" max="14612" width="9.81640625" style="573" customWidth="1"/>
    <col min="14613" max="14613" width="8.7265625" style="573" customWidth="1"/>
    <col min="14614" max="14614" width="0" style="573" hidden="1" customWidth="1"/>
    <col min="14615" max="14615" width="30.81640625" style="573" customWidth="1"/>
    <col min="14616" max="14848" width="9.1796875" style="573"/>
    <col min="14849" max="14849" width="10.1796875" style="573" customWidth="1"/>
    <col min="14850" max="14850" width="11" style="573" customWidth="1"/>
    <col min="14851" max="14851" width="20.453125" style="573" customWidth="1"/>
    <col min="14852" max="14852" width="9.1796875" style="573" customWidth="1"/>
    <col min="14853" max="14853" width="9.26953125" style="573" customWidth="1"/>
    <col min="14854" max="14854" width="8.7265625" style="573" customWidth="1"/>
    <col min="14855" max="14856" width="8.453125" style="573" customWidth="1"/>
    <col min="14857" max="14857" width="8.54296875" style="573" customWidth="1"/>
    <col min="14858" max="14858" width="9.26953125" style="573" customWidth="1"/>
    <col min="14859" max="14859" width="8.7265625" style="573" customWidth="1"/>
    <col min="14860" max="14860" width="7.81640625" style="573" customWidth="1"/>
    <col min="14861" max="14861" width="8.26953125" style="573" customWidth="1"/>
    <col min="14862" max="14862" width="9.1796875" style="573"/>
    <col min="14863" max="14863" width="8" style="573" customWidth="1"/>
    <col min="14864" max="14864" width="9.26953125" style="573" customWidth="1"/>
    <col min="14865" max="14866" width="9.453125" style="573" customWidth="1"/>
    <col min="14867" max="14867" width="10.453125" style="573" customWidth="1"/>
    <col min="14868" max="14868" width="9.81640625" style="573" customWidth="1"/>
    <col min="14869" max="14869" width="8.7265625" style="573" customWidth="1"/>
    <col min="14870" max="14870" width="0" style="573" hidden="1" customWidth="1"/>
    <col min="14871" max="14871" width="30.81640625" style="573" customWidth="1"/>
    <col min="14872" max="15104" width="9.1796875" style="573"/>
    <col min="15105" max="15105" width="10.1796875" style="573" customWidth="1"/>
    <col min="15106" max="15106" width="11" style="573" customWidth="1"/>
    <col min="15107" max="15107" width="20.453125" style="573" customWidth="1"/>
    <col min="15108" max="15108" width="9.1796875" style="573" customWidth="1"/>
    <col min="15109" max="15109" width="9.26953125" style="573" customWidth="1"/>
    <col min="15110" max="15110" width="8.7265625" style="573" customWidth="1"/>
    <col min="15111" max="15112" width="8.453125" style="573" customWidth="1"/>
    <col min="15113" max="15113" width="8.54296875" style="573" customWidth="1"/>
    <col min="15114" max="15114" width="9.26953125" style="573" customWidth="1"/>
    <col min="15115" max="15115" width="8.7265625" style="573" customWidth="1"/>
    <col min="15116" max="15116" width="7.81640625" style="573" customWidth="1"/>
    <col min="15117" max="15117" width="8.26953125" style="573" customWidth="1"/>
    <col min="15118" max="15118" width="9.1796875" style="573"/>
    <col min="15119" max="15119" width="8" style="573" customWidth="1"/>
    <col min="15120" max="15120" width="9.26953125" style="573" customWidth="1"/>
    <col min="15121" max="15122" width="9.453125" style="573" customWidth="1"/>
    <col min="15123" max="15123" width="10.453125" style="573" customWidth="1"/>
    <col min="15124" max="15124" width="9.81640625" style="573" customWidth="1"/>
    <col min="15125" max="15125" width="8.7265625" style="573" customWidth="1"/>
    <col min="15126" max="15126" width="0" style="573" hidden="1" customWidth="1"/>
    <col min="15127" max="15127" width="30.81640625" style="573" customWidth="1"/>
    <col min="15128" max="15360" width="9.1796875" style="573"/>
    <col min="15361" max="15361" width="10.1796875" style="573" customWidth="1"/>
    <col min="15362" max="15362" width="11" style="573" customWidth="1"/>
    <col min="15363" max="15363" width="20.453125" style="573" customWidth="1"/>
    <col min="15364" max="15364" width="9.1796875" style="573" customWidth="1"/>
    <col min="15365" max="15365" width="9.26953125" style="573" customWidth="1"/>
    <col min="15366" max="15366" width="8.7265625" style="573" customWidth="1"/>
    <col min="15367" max="15368" width="8.453125" style="573" customWidth="1"/>
    <col min="15369" max="15369" width="8.54296875" style="573" customWidth="1"/>
    <col min="15370" max="15370" width="9.26953125" style="573" customWidth="1"/>
    <col min="15371" max="15371" width="8.7265625" style="573" customWidth="1"/>
    <col min="15372" max="15372" width="7.81640625" style="573" customWidth="1"/>
    <col min="15373" max="15373" width="8.26953125" style="573" customWidth="1"/>
    <col min="15374" max="15374" width="9.1796875" style="573"/>
    <col min="15375" max="15375" width="8" style="573" customWidth="1"/>
    <col min="15376" max="15376" width="9.26953125" style="573" customWidth="1"/>
    <col min="15377" max="15378" width="9.453125" style="573" customWidth="1"/>
    <col min="15379" max="15379" width="10.453125" style="573" customWidth="1"/>
    <col min="15380" max="15380" width="9.81640625" style="573" customWidth="1"/>
    <col min="15381" max="15381" width="8.7265625" style="573" customWidth="1"/>
    <col min="15382" max="15382" width="0" style="573" hidden="1" customWidth="1"/>
    <col min="15383" max="15383" width="30.81640625" style="573" customWidth="1"/>
    <col min="15384" max="15616" width="9.1796875" style="573"/>
    <col min="15617" max="15617" width="10.1796875" style="573" customWidth="1"/>
    <col min="15618" max="15618" width="11" style="573" customWidth="1"/>
    <col min="15619" max="15619" width="20.453125" style="573" customWidth="1"/>
    <col min="15620" max="15620" width="9.1796875" style="573" customWidth="1"/>
    <col min="15621" max="15621" width="9.26953125" style="573" customWidth="1"/>
    <col min="15622" max="15622" width="8.7265625" style="573" customWidth="1"/>
    <col min="15623" max="15624" width="8.453125" style="573" customWidth="1"/>
    <col min="15625" max="15625" width="8.54296875" style="573" customWidth="1"/>
    <col min="15626" max="15626" width="9.26953125" style="573" customWidth="1"/>
    <col min="15627" max="15627" width="8.7265625" style="573" customWidth="1"/>
    <col min="15628" max="15628" width="7.81640625" style="573" customWidth="1"/>
    <col min="15629" max="15629" width="8.26953125" style="573" customWidth="1"/>
    <col min="15630" max="15630" width="9.1796875" style="573"/>
    <col min="15631" max="15631" width="8" style="573" customWidth="1"/>
    <col min="15632" max="15632" width="9.26953125" style="573" customWidth="1"/>
    <col min="15633" max="15634" width="9.453125" style="573" customWidth="1"/>
    <col min="15635" max="15635" width="10.453125" style="573" customWidth="1"/>
    <col min="15636" max="15636" width="9.81640625" style="573" customWidth="1"/>
    <col min="15637" max="15637" width="8.7265625" style="573" customWidth="1"/>
    <col min="15638" max="15638" width="0" style="573" hidden="1" customWidth="1"/>
    <col min="15639" max="15639" width="30.81640625" style="573" customWidth="1"/>
    <col min="15640" max="15872" width="9.1796875" style="573"/>
    <col min="15873" max="15873" width="10.1796875" style="573" customWidth="1"/>
    <col min="15874" max="15874" width="11" style="573" customWidth="1"/>
    <col min="15875" max="15875" width="20.453125" style="573" customWidth="1"/>
    <col min="15876" max="15876" width="9.1796875" style="573" customWidth="1"/>
    <col min="15877" max="15877" width="9.26953125" style="573" customWidth="1"/>
    <col min="15878" max="15878" width="8.7265625" style="573" customWidth="1"/>
    <col min="15879" max="15880" width="8.453125" style="573" customWidth="1"/>
    <col min="15881" max="15881" width="8.54296875" style="573" customWidth="1"/>
    <col min="15882" max="15882" width="9.26953125" style="573" customWidth="1"/>
    <col min="15883" max="15883" width="8.7265625" style="573" customWidth="1"/>
    <col min="15884" max="15884" width="7.81640625" style="573" customWidth="1"/>
    <col min="15885" max="15885" width="8.26953125" style="573" customWidth="1"/>
    <col min="15886" max="15886" width="9.1796875" style="573"/>
    <col min="15887" max="15887" width="8" style="573" customWidth="1"/>
    <col min="15888" max="15888" width="9.26953125" style="573" customWidth="1"/>
    <col min="15889" max="15890" width="9.453125" style="573" customWidth="1"/>
    <col min="15891" max="15891" width="10.453125" style="573" customWidth="1"/>
    <col min="15892" max="15892" width="9.81640625" style="573" customWidth="1"/>
    <col min="15893" max="15893" width="8.7265625" style="573" customWidth="1"/>
    <col min="15894" max="15894" width="0" style="573" hidden="1" customWidth="1"/>
    <col min="15895" max="15895" width="30.81640625" style="573" customWidth="1"/>
    <col min="15896" max="16128" width="9.1796875" style="573"/>
    <col min="16129" max="16129" width="10.1796875" style="573" customWidth="1"/>
    <col min="16130" max="16130" width="11" style="573" customWidth="1"/>
    <col min="16131" max="16131" width="20.453125" style="573" customWidth="1"/>
    <col min="16132" max="16132" width="9.1796875" style="573" customWidth="1"/>
    <col min="16133" max="16133" width="9.26953125" style="573" customWidth="1"/>
    <col min="16134" max="16134" width="8.7265625" style="573" customWidth="1"/>
    <col min="16135" max="16136" width="8.453125" style="573" customWidth="1"/>
    <col min="16137" max="16137" width="8.54296875" style="573" customWidth="1"/>
    <col min="16138" max="16138" width="9.26953125" style="573" customWidth="1"/>
    <col min="16139" max="16139" width="8.7265625" style="573" customWidth="1"/>
    <col min="16140" max="16140" width="7.81640625" style="573" customWidth="1"/>
    <col min="16141" max="16141" width="8.26953125" style="573" customWidth="1"/>
    <col min="16142" max="16142" width="9.1796875" style="573"/>
    <col min="16143" max="16143" width="8" style="573" customWidth="1"/>
    <col min="16144" max="16144" width="9.26953125" style="573" customWidth="1"/>
    <col min="16145" max="16146" width="9.453125" style="573" customWidth="1"/>
    <col min="16147" max="16147" width="10.453125" style="573" customWidth="1"/>
    <col min="16148" max="16148" width="9.81640625" style="573" customWidth="1"/>
    <col min="16149" max="16149" width="8.7265625" style="573" customWidth="1"/>
    <col min="16150" max="16150" width="0" style="573" hidden="1" customWidth="1"/>
    <col min="16151" max="16151" width="30.81640625" style="573" customWidth="1"/>
    <col min="16152" max="16384" width="9.1796875" style="573"/>
  </cols>
  <sheetData>
    <row r="1" spans="1:55" ht="19" thickBot="1" x14ac:dyDescent="0.4">
      <c r="A1" s="1354" t="s">
        <v>407</v>
      </c>
      <c r="B1" s="1355"/>
      <c r="C1" s="1355"/>
      <c r="D1" s="1355"/>
      <c r="E1" s="1355"/>
      <c r="F1" s="1355"/>
      <c r="G1" s="1355"/>
      <c r="H1" s="1355"/>
      <c r="I1" s="1355"/>
      <c r="J1" s="1355"/>
      <c r="K1" s="1355"/>
      <c r="L1" s="1355"/>
      <c r="M1" s="1355"/>
      <c r="N1" s="1355"/>
      <c r="O1" s="1355"/>
      <c r="P1" s="569"/>
      <c r="Q1" s="569"/>
      <c r="R1" s="569"/>
      <c r="S1" s="712"/>
      <c r="T1" s="712"/>
      <c r="U1" s="570"/>
      <c r="V1" s="571"/>
      <c r="W1" s="572"/>
    </row>
    <row r="2" spans="1:55" ht="15" customHeight="1" thickBot="1" x14ac:dyDescent="0.4">
      <c r="A2" s="1410" t="s">
        <v>242</v>
      </c>
      <c r="B2" s="1411"/>
      <c r="C2" s="1358" t="s">
        <v>409</v>
      </c>
      <c r="D2" s="1358"/>
      <c r="E2" s="1358"/>
      <c r="F2" s="1358"/>
      <c r="G2" s="1358"/>
      <c r="H2" s="1358"/>
      <c r="I2" s="1358"/>
      <c r="J2" s="1358"/>
      <c r="K2" s="1358"/>
      <c r="L2" s="1358"/>
      <c r="M2" s="1358"/>
      <c r="N2" s="1358"/>
      <c r="O2" s="1359"/>
      <c r="P2" s="785"/>
      <c r="Q2" s="785"/>
      <c r="R2" s="785"/>
      <c r="S2" s="791"/>
      <c r="T2" s="791"/>
      <c r="U2" s="579"/>
      <c r="V2" s="580"/>
      <c r="W2" s="581"/>
    </row>
    <row r="3" spans="1:55" ht="14.5" x14ac:dyDescent="0.35">
      <c r="A3" s="1412" t="s">
        <v>363</v>
      </c>
      <c r="B3" s="1413"/>
      <c r="C3" s="582"/>
      <c r="D3" s="1361" t="s">
        <v>246</v>
      </c>
      <c r="E3" s="1362"/>
      <c r="F3" s="713"/>
      <c r="G3" s="713"/>
      <c r="H3" s="713"/>
      <c r="I3" s="714"/>
      <c r="J3" s="1363" t="s">
        <v>364</v>
      </c>
      <c r="K3" s="1364"/>
      <c r="L3" s="1365"/>
      <c r="M3" s="1365"/>
      <c r="N3" s="1365"/>
      <c r="O3" s="1365"/>
      <c r="P3" s="785"/>
      <c r="Q3" s="785"/>
      <c r="R3" s="785"/>
      <c r="S3" s="791"/>
      <c r="T3" s="791"/>
      <c r="U3" s="579"/>
      <c r="V3" s="580"/>
      <c r="W3" s="581"/>
    </row>
    <row r="4" spans="1:55" ht="14.5" x14ac:dyDescent="0.35">
      <c r="A4" s="1412" t="s">
        <v>309</v>
      </c>
      <c r="B4" s="1413"/>
      <c r="C4" s="585"/>
      <c r="D4" s="1342" t="s">
        <v>243</v>
      </c>
      <c r="E4" s="1343"/>
      <c r="F4" s="715" t="s">
        <v>410</v>
      </c>
      <c r="G4" s="715"/>
      <c r="H4" s="715"/>
      <c r="I4" s="716"/>
      <c r="J4" s="1344" t="s">
        <v>247</v>
      </c>
      <c r="K4" s="1345"/>
      <c r="L4" s="1340"/>
      <c r="M4" s="1340"/>
      <c r="N4" s="1340"/>
      <c r="O4" s="1340"/>
      <c r="P4" s="785"/>
      <c r="Q4" s="785"/>
      <c r="R4" s="785"/>
      <c r="S4" s="791"/>
      <c r="T4" s="791"/>
      <c r="U4" s="579"/>
      <c r="V4" s="580"/>
      <c r="W4" s="581"/>
    </row>
    <row r="5" spans="1:55" ht="15" customHeight="1" thickBot="1" x14ac:dyDescent="0.4">
      <c r="A5" s="1414" t="s">
        <v>248</v>
      </c>
      <c r="B5" s="1415"/>
      <c r="C5" s="589" t="s">
        <v>280</v>
      </c>
      <c r="D5" s="1349"/>
      <c r="E5" s="1350"/>
      <c r="F5" s="717"/>
      <c r="G5" s="717"/>
      <c r="H5" s="717"/>
      <c r="I5" s="718"/>
      <c r="J5" s="1351" t="s">
        <v>249</v>
      </c>
      <c r="K5" s="1352"/>
      <c r="L5" s="1353"/>
      <c r="M5" s="1353"/>
      <c r="N5" s="1353"/>
      <c r="O5" s="1353"/>
      <c r="P5" s="785"/>
      <c r="Q5" s="785"/>
      <c r="R5" s="785"/>
      <c r="S5" s="791"/>
      <c r="T5" s="791"/>
      <c r="U5" s="579"/>
      <c r="V5" s="580"/>
      <c r="W5" s="581"/>
    </row>
    <row r="6" spans="1:55" ht="20.25" customHeight="1" thickBot="1" x14ac:dyDescent="0.4">
      <c r="A6" s="783"/>
      <c r="B6" s="784"/>
      <c r="C6" s="784"/>
      <c r="D6" s="785"/>
      <c r="E6" s="785"/>
      <c r="F6" s="785"/>
      <c r="G6" s="785"/>
      <c r="H6" s="785"/>
      <c r="I6" s="785"/>
      <c r="J6" s="785"/>
      <c r="K6" s="785"/>
      <c r="L6" s="785"/>
      <c r="M6" s="789"/>
      <c r="N6" s="790"/>
      <c r="O6" s="790"/>
      <c r="P6" s="785"/>
      <c r="Q6" s="785"/>
      <c r="R6" s="785"/>
      <c r="S6" s="791"/>
      <c r="T6" s="791"/>
      <c r="U6" s="579"/>
      <c r="V6" s="580"/>
      <c r="W6" s="581"/>
    </row>
    <row r="7" spans="1:55" ht="25.5" customHeight="1" x14ac:dyDescent="0.25">
      <c r="A7" s="1384"/>
      <c r="B7" s="1366"/>
      <c r="C7" s="1385"/>
      <c r="D7" s="1384" t="s">
        <v>408</v>
      </c>
      <c r="E7" s="1366"/>
      <c r="F7" s="1366"/>
      <c r="G7" s="1346" t="s">
        <v>422</v>
      </c>
      <c r="H7" s="1347"/>
      <c r="I7" s="1388"/>
      <c r="J7" s="1346" t="s">
        <v>423</v>
      </c>
      <c r="K7" s="1347"/>
      <c r="L7" s="1347"/>
      <c r="M7" s="1346" t="s">
        <v>424</v>
      </c>
      <c r="N7" s="1347"/>
      <c r="O7" s="1347"/>
      <c r="P7" s="1372" t="s">
        <v>370</v>
      </c>
      <c r="Q7" s="1374" t="s">
        <v>371</v>
      </c>
      <c r="R7" s="1376" t="s">
        <v>372</v>
      </c>
      <c r="S7" s="1378" t="s">
        <v>373</v>
      </c>
      <c r="T7" s="1380" t="s">
        <v>374</v>
      </c>
      <c r="U7" s="1382" t="s">
        <v>375</v>
      </c>
      <c r="V7" s="1366" t="s">
        <v>376</v>
      </c>
      <c r="W7" s="1368" t="s">
        <v>377</v>
      </c>
    </row>
    <row r="8" spans="1:55" ht="29.25" customHeight="1" thickBot="1" x14ac:dyDescent="0.3">
      <c r="A8" s="1386"/>
      <c r="B8" s="1421"/>
      <c r="C8" s="1387"/>
      <c r="D8" s="786" t="s">
        <v>381</v>
      </c>
      <c r="E8" s="787" t="s">
        <v>382</v>
      </c>
      <c r="F8" s="788" t="s">
        <v>383</v>
      </c>
      <c r="G8" s="719" t="s">
        <v>381</v>
      </c>
      <c r="H8" s="720" t="s">
        <v>382</v>
      </c>
      <c r="I8" s="721" t="s">
        <v>383</v>
      </c>
      <c r="J8" s="602" t="s">
        <v>381</v>
      </c>
      <c r="K8" s="603" t="s">
        <v>382</v>
      </c>
      <c r="L8" s="604" t="s">
        <v>383</v>
      </c>
      <c r="M8" s="602" t="s">
        <v>381</v>
      </c>
      <c r="N8" s="603" t="s">
        <v>382</v>
      </c>
      <c r="O8" s="604" t="s">
        <v>383</v>
      </c>
      <c r="P8" s="1373"/>
      <c r="Q8" s="1375"/>
      <c r="R8" s="1377"/>
      <c r="S8" s="1379"/>
      <c r="T8" s="1381"/>
      <c r="U8" s="1383"/>
      <c r="V8" s="1367"/>
      <c r="W8" s="1369"/>
    </row>
    <row r="9" spans="1:55" s="610" customFormat="1" ht="26.25" customHeight="1" thickBot="1" x14ac:dyDescent="0.4">
      <c r="A9" s="722" t="str">
        <f>'Baseline Table'!A13:D13</f>
        <v xml:space="preserve">OUTPUT 1.1: Targeted Refugees and their host communities have access to communty extension services </v>
      </c>
      <c r="B9" s="723"/>
      <c r="C9" s="723"/>
      <c r="D9" s="724"/>
      <c r="E9" s="724"/>
      <c r="F9" s="725"/>
      <c r="G9" s="724"/>
      <c r="H9" s="724"/>
      <c r="I9" s="725"/>
      <c r="J9" s="724"/>
      <c r="K9" s="724"/>
      <c r="L9" s="725"/>
      <c r="M9" s="724"/>
      <c r="N9" s="724"/>
      <c r="O9" s="725"/>
      <c r="P9" s="724"/>
      <c r="Q9" s="724"/>
      <c r="R9" s="725"/>
      <c r="S9" s="724"/>
      <c r="T9" s="723"/>
      <c r="U9" s="726"/>
      <c r="V9" s="727"/>
      <c r="W9" s="728"/>
      <c r="X9" s="782"/>
      <c r="Y9" s="782"/>
      <c r="Z9" s="782"/>
      <c r="AA9" s="782"/>
      <c r="AB9" s="782"/>
      <c r="AC9" s="782"/>
      <c r="AD9" s="782"/>
      <c r="AE9" s="782"/>
      <c r="AF9" s="782"/>
      <c r="AG9" s="782"/>
      <c r="AH9" s="782"/>
      <c r="AI9" s="782"/>
      <c r="AJ9" s="782"/>
      <c r="AK9" s="782"/>
      <c r="AL9" s="782"/>
      <c r="AM9" s="782"/>
      <c r="AN9" s="782"/>
      <c r="AO9" s="782"/>
      <c r="AP9" s="782"/>
      <c r="AQ9" s="782"/>
      <c r="AR9" s="782"/>
      <c r="AS9" s="782"/>
      <c r="AT9" s="782"/>
      <c r="AU9" s="782"/>
      <c r="AV9" s="782"/>
      <c r="AW9" s="782"/>
      <c r="AX9" s="782"/>
      <c r="AY9" s="782"/>
      <c r="AZ9" s="782"/>
      <c r="BA9" s="782"/>
      <c r="BB9" s="782"/>
      <c r="BC9" s="782"/>
    </row>
    <row r="10" spans="1:55" s="610" customFormat="1" ht="24.75" customHeight="1" x14ac:dyDescent="0.35">
      <c r="A10" s="1416" t="str">
        <f>Workplan!C6</f>
        <v xml:space="preserve">Conduct ToTs for Lead/Model Farmers in agronomy and postharvest handling. </v>
      </c>
      <c r="B10" s="1417"/>
      <c r="C10" s="1418"/>
      <c r="D10" s="729">
        <v>0</v>
      </c>
      <c r="E10" s="730"/>
      <c r="F10" s="731" t="str">
        <f>IF(D10=0,"NA",E10/D10)</f>
        <v>NA</v>
      </c>
      <c r="G10" s="732">
        <v>5</v>
      </c>
      <c r="H10" s="733"/>
      <c r="I10" s="731">
        <f>IF(G10=0,"NA",H10/G10)</f>
        <v>0</v>
      </c>
      <c r="J10" s="729">
        <v>0</v>
      </c>
      <c r="K10" s="734"/>
      <c r="L10" s="731" t="str">
        <f>IF(J10=0,"NA",K10/J10)</f>
        <v>NA</v>
      </c>
      <c r="M10" s="732">
        <v>5</v>
      </c>
      <c r="N10" s="733"/>
      <c r="O10" s="731">
        <f>IF(M10=0,"NA",N10/M10)</f>
        <v>0</v>
      </c>
      <c r="P10" s="735">
        <f>G10+J10+M10</f>
        <v>10</v>
      </c>
      <c r="Q10" s="735"/>
      <c r="R10" s="736">
        <f>IF(P10=0,"NA",Q10/P10)</f>
        <v>0</v>
      </c>
      <c r="S10" s="653">
        <f>P10</f>
        <v>10</v>
      </c>
      <c r="T10" s="653"/>
      <c r="U10" s="737">
        <f>IF(S10=0,"NA",T10/S10)</f>
        <v>0</v>
      </c>
      <c r="V10" s="727"/>
      <c r="W10" s="728" t="s">
        <v>452</v>
      </c>
      <c r="X10" s="782"/>
      <c r="Y10" s="782"/>
      <c r="Z10" s="782"/>
      <c r="AA10" s="782"/>
      <c r="AB10" s="782"/>
      <c r="AC10" s="782"/>
      <c r="AD10" s="782"/>
      <c r="AE10" s="782"/>
      <c r="AF10" s="782"/>
      <c r="AG10" s="782"/>
      <c r="AH10" s="782"/>
      <c r="AI10" s="782"/>
      <c r="AJ10" s="782"/>
      <c r="AK10" s="782"/>
      <c r="AL10" s="782"/>
      <c r="AM10" s="782"/>
      <c r="AN10" s="782"/>
      <c r="AO10" s="782"/>
      <c r="AP10" s="782"/>
      <c r="AQ10" s="782"/>
      <c r="AR10" s="782"/>
      <c r="AS10" s="782"/>
      <c r="AT10" s="782"/>
      <c r="AU10" s="782"/>
      <c r="AV10" s="782"/>
      <c r="AW10" s="782"/>
      <c r="AX10" s="782"/>
      <c r="AY10" s="782"/>
      <c r="AZ10" s="782"/>
      <c r="BA10" s="782"/>
      <c r="BB10" s="782"/>
      <c r="BC10" s="782"/>
    </row>
    <row r="11" spans="1:55" s="610" customFormat="1" ht="24.75" customHeight="1" x14ac:dyDescent="0.35">
      <c r="A11" s="1416" t="str">
        <f>Workplan!C7</f>
        <v xml:space="preserve">Support Lead/Model Farmers conduct group trainings in agronomy and postharvest handling for selected crop enterprises. </v>
      </c>
      <c r="B11" s="1417"/>
      <c r="C11" s="1418"/>
      <c r="D11" s="738">
        <v>0</v>
      </c>
      <c r="E11" s="739"/>
      <c r="F11" s="740" t="str">
        <f>IF(D11=0,"NA",E11/D11)</f>
        <v>NA</v>
      </c>
      <c r="G11" s="741">
        <v>0</v>
      </c>
      <c r="H11" s="742"/>
      <c r="I11" s="740" t="str">
        <f>IF(G11=0,"NA",H11/G11)</f>
        <v>NA</v>
      </c>
      <c r="J11" s="738">
        <v>1200</v>
      </c>
      <c r="K11" s="743"/>
      <c r="L11" s="740">
        <f>IF(J11=0,"NA",K11/J11)</f>
        <v>0</v>
      </c>
      <c r="M11" s="741">
        <v>400</v>
      </c>
      <c r="N11" s="742"/>
      <c r="O11" s="740">
        <f>IF(M11=0,"NA",N11/M11)</f>
        <v>0</v>
      </c>
      <c r="P11" s="735">
        <f>G11+J11+M11</f>
        <v>1600</v>
      </c>
      <c r="Q11" s="735"/>
      <c r="R11" s="744">
        <f>IF(P11=0,"NA",Q11/P11)</f>
        <v>0</v>
      </c>
      <c r="S11" s="653">
        <f>P11</f>
        <v>1600</v>
      </c>
      <c r="T11" s="653"/>
      <c r="U11" s="745">
        <f>IF(S11=0,"NA",T11/S11)</f>
        <v>0</v>
      </c>
      <c r="V11" s="727"/>
      <c r="W11" s="728"/>
      <c r="X11" s="782"/>
      <c r="Y11" s="782"/>
      <c r="Z11" s="782"/>
      <c r="AA11" s="782"/>
      <c r="AB11" s="782"/>
      <c r="AC11" s="782"/>
      <c r="AD11" s="782"/>
      <c r="AE11" s="782"/>
      <c r="AF11" s="782"/>
      <c r="AG11" s="782"/>
      <c r="AH11" s="782"/>
      <c r="AI11" s="782"/>
      <c r="AJ11" s="782"/>
      <c r="AK11" s="782"/>
      <c r="AL11" s="782"/>
      <c r="AM11" s="782"/>
      <c r="AN11" s="782"/>
      <c r="AO11" s="782"/>
      <c r="AP11" s="782"/>
      <c r="AQ11" s="782"/>
      <c r="AR11" s="782"/>
      <c r="AS11" s="782"/>
      <c r="AT11" s="782"/>
      <c r="AU11" s="782"/>
      <c r="AV11" s="782"/>
      <c r="AW11" s="782"/>
      <c r="AX11" s="782"/>
      <c r="AY11" s="782"/>
      <c r="AZ11" s="782"/>
      <c r="BA11" s="782"/>
      <c r="BB11" s="782"/>
      <c r="BC11" s="782"/>
    </row>
    <row r="12" spans="1:55" s="610" customFormat="1" ht="28.5" customHeight="1" thickBot="1" x14ac:dyDescent="0.4">
      <c r="A12" s="1419" t="str">
        <f>Workplan!C8</f>
        <v>Conduct regular field visits to host community farmers and Refugees HHs</v>
      </c>
      <c r="B12" s="1417"/>
      <c r="C12" s="1420"/>
      <c r="D12" s="746">
        <v>200</v>
      </c>
      <c r="E12" s="747"/>
      <c r="F12" s="740">
        <f>IF(D12=0,"NA",E12/D12)</f>
        <v>0</v>
      </c>
      <c r="G12" s="748">
        <v>400</v>
      </c>
      <c r="H12" s="749"/>
      <c r="I12" s="740">
        <f>IF(G12=0,"NA",H12/G12)</f>
        <v>0</v>
      </c>
      <c r="J12" s="750">
        <v>600</v>
      </c>
      <c r="K12" s="751"/>
      <c r="L12" s="740">
        <f>IF(J12=0,"NA",K12/J12)</f>
        <v>0</v>
      </c>
      <c r="M12" s="748">
        <v>400</v>
      </c>
      <c r="N12" s="749"/>
      <c r="O12" s="740">
        <f>IF(M12=0,"NA",N12/M12)</f>
        <v>0</v>
      </c>
      <c r="P12" s="735">
        <f>D12+G12+J12+M12</f>
        <v>1600</v>
      </c>
      <c r="Q12" s="735"/>
      <c r="R12" s="744">
        <f>IF(P12=0,"NA",Q12/P12)</f>
        <v>0</v>
      </c>
      <c r="S12" s="653">
        <f>P12</f>
        <v>1600</v>
      </c>
      <c r="T12" s="653"/>
      <c r="U12" s="745">
        <f>IF(S12=0,"NA",T12/S12)</f>
        <v>0</v>
      </c>
      <c r="V12" s="727"/>
      <c r="W12" s="728"/>
      <c r="X12" s="782"/>
      <c r="Y12" s="782"/>
      <c r="Z12" s="782"/>
      <c r="AA12" s="782"/>
      <c r="AB12" s="782"/>
      <c r="AC12" s="782"/>
      <c r="AD12" s="782"/>
      <c r="AE12" s="782"/>
      <c r="AF12" s="782"/>
      <c r="AG12" s="782"/>
      <c r="AH12" s="782"/>
      <c r="AI12" s="782"/>
      <c r="AJ12" s="782"/>
      <c r="AK12" s="782"/>
      <c r="AL12" s="782"/>
      <c r="AM12" s="782"/>
      <c r="AN12" s="782"/>
      <c r="AO12" s="782"/>
      <c r="AP12" s="782"/>
      <c r="AQ12" s="782"/>
      <c r="AR12" s="782"/>
      <c r="AS12" s="782"/>
      <c r="AT12" s="782"/>
      <c r="AU12" s="782"/>
      <c r="AV12" s="782"/>
      <c r="AW12" s="782"/>
      <c r="AX12" s="782"/>
      <c r="AY12" s="782"/>
      <c r="AZ12" s="782"/>
      <c r="BA12" s="782"/>
      <c r="BB12" s="782"/>
      <c r="BC12" s="782"/>
    </row>
    <row r="13" spans="1:55" s="610" customFormat="1" ht="24.75" customHeight="1" thickBot="1" x14ac:dyDescent="0.4">
      <c r="A13" s="722" t="str">
        <f>'Baseline Table'!A16:D16</f>
        <v xml:space="preserve">OUTPUT 1.2: Targeted refugees and host community members have access to improved high yielding seeds. </v>
      </c>
      <c r="B13" s="723"/>
      <c r="C13" s="723"/>
      <c r="D13" s="752"/>
      <c r="E13" s="752"/>
      <c r="F13" s="753"/>
      <c r="G13" s="752"/>
      <c r="H13" s="752"/>
      <c r="I13" s="753"/>
      <c r="J13" s="752"/>
      <c r="K13" s="752"/>
      <c r="L13" s="753"/>
      <c r="M13" s="752"/>
      <c r="N13" s="752"/>
      <c r="O13" s="753"/>
      <c r="P13" s="752"/>
      <c r="Q13" s="752"/>
      <c r="R13" s="753"/>
      <c r="S13" s="752"/>
      <c r="T13" s="752"/>
      <c r="U13" s="754"/>
      <c r="V13" s="727"/>
      <c r="W13" s="728"/>
      <c r="X13" s="782"/>
      <c r="Y13" s="782"/>
      <c r="Z13" s="782"/>
      <c r="AA13" s="782"/>
      <c r="AB13" s="782"/>
      <c r="AC13" s="782"/>
      <c r="AD13" s="782"/>
      <c r="AE13" s="782"/>
      <c r="AF13" s="782"/>
      <c r="AG13" s="782"/>
      <c r="AH13" s="782"/>
      <c r="AI13" s="782"/>
      <c r="AJ13" s="782"/>
      <c r="AK13" s="782"/>
      <c r="AL13" s="782"/>
      <c r="AM13" s="782"/>
      <c r="AN13" s="782"/>
      <c r="AO13" s="782"/>
      <c r="AP13" s="782"/>
      <c r="AQ13" s="782"/>
      <c r="AR13" s="782"/>
      <c r="AS13" s="782"/>
      <c r="AT13" s="782"/>
      <c r="AU13" s="782"/>
      <c r="AV13" s="782"/>
      <c r="AW13" s="782"/>
      <c r="AX13" s="782"/>
      <c r="AY13" s="782"/>
      <c r="AZ13" s="782"/>
      <c r="BA13" s="782"/>
      <c r="BB13" s="782"/>
      <c r="BC13" s="782"/>
    </row>
    <row r="14" spans="1:55" s="610" customFormat="1" ht="24.75" customHeight="1" thickBot="1" x14ac:dyDescent="0.4">
      <c r="A14" s="759" t="s">
        <v>117</v>
      </c>
      <c r="B14" s="760"/>
      <c r="C14" s="760"/>
      <c r="D14" s="729">
        <v>0</v>
      </c>
      <c r="E14" s="734">
        <v>0</v>
      </c>
      <c r="F14" s="731" t="str">
        <f>IF(D14=0,"NA",E14/D14)</f>
        <v>NA</v>
      </c>
      <c r="G14" s="732">
        <v>0</v>
      </c>
      <c r="H14" s="755"/>
      <c r="I14" s="731" t="str">
        <f>IF(G14=0,"NA",H14/G14)</f>
        <v>NA</v>
      </c>
      <c r="J14" s="756">
        <v>1000</v>
      </c>
      <c r="K14" s="757"/>
      <c r="L14" s="731">
        <f>IF(J14=0,"NA",K14/J14)</f>
        <v>0</v>
      </c>
      <c r="M14" s="758">
        <v>200</v>
      </c>
      <c r="N14" s="733"/>
      <c r="O14" s="731">
        <f>IF(M14=0,"NA",N14/M14)</f>
        <v>0</v>
      </c>
      <c r="P14" s="735">
        <f>G14+J14+M14</f>
        <v>1200</v>
      </c>
      <c r="Q14" s="735"/>
      <c r="R14" s="736">
        <f>IF(P14=0,"NA",Q14/P14)</f>
        <v>0</v>
      </c>
      <c r="S14" s="653">
        <f>P14</f>
        <v>1200</v>
      </c>
      <c r="T14" s="653"/>
      <c r="U14" s="745">
        <f>IF(S14=0,"NA",T14/S14)</f>
        <v>0</v>
      </c>
      <c r="V14" s="727"/>
      <c r="W14" s="728"/>
      <c r="X14" s="782"/>
      <c r="Y14" s="782"/>
      <c r="Z14" s="782"/>
      <c r="AA14" s="782"/>
      <c r="AB14" s="782"/>
      <c r="AC14" s="782"/>
      <c r="AD14" s="782"/>
      <c r="AE14" s="782"/>
      <c r="AF14" s="782"/>
      <c r="AG14" s="782"/>
      <c r="AH14" s="782"/>
      <c r="AI14" s="782"/>
      <c r="AJ14" s="782"/>
      <c r="AK14" s="782"/>
      <c r="AL14" s="782"/>
      <c r="AM14" s="782"/>
      <c r="AN14" s="782"/>
      <c r="AO14" s="782"/>
      <c r="AP14" s="782"/>
      <c r="AQ14" s="782"/>
      <c r="AR14" s="782"/>
      <c r="AS14" s="782"/>
      <c r="AT14" s="782"/>
      <c r="AU14" s="782"/>
      <c r="AV14" s="782"/>
      <c r="AW14" s="782"/>
      <c r="AX14" s="782"/>
      <c r="AY14" s="782"/>
      <c r="AZ14" s="782"/>
      <c r="BA14" s="782"/>
      <c r="BB14" s="782"/>
      <c r="BC14" s="782"/>
    </row>
    <row r="15" spans="1:55" s="631" customFormat="1" ht="24.75" customHeight="1" thickBot="1" x14ac:dyDescent="0.4">
      <c r="A15" s="722" t="str">
        <f>'Baseline Table'!A18</f>
        <v>OUTPUT 1.3: Targeted refugees engage in off-farm income generating activities.</v>
      </c>
      <c r="B15" s="723"/>
      <c r="C15" s="723"/>
      <c r="D15" s="752"/>
      <c r="E15" s="752"/>
      <c r="F15" s="753"/>
      <c r="G15" s="752"/>
      <c r="H15" s="752"/>
      <c r="I15" s="753"/>
      <c r="J15" s="752"/>
      <c r="K15" s="752"/>
      <c r="L15" s="753"/>
      <c r="M15" s="752"/>
      <c r="N15" s="752"/>
      <c r="O15" s="753"/>
      <c r="P15" s="752"/>
      <c r="Q15" s="752"/>
      <c r="R15" s="753"/>
      <c r="S15" s="752"/>
      <c r="T15" s="752"/>
      <c r="U15" s="754"/>
      <c r="V15" s="765"/>
      <c r="W15" s="728"/>
      <c r="X15" s="782"/>
      <c r="Y15" s="782"/>
      <c r="Z15" s="782"/>
      <c r="AA15" s="782"/>
      <c r="AB15" s="782"/>
      <c r="AC15" s="782"/>
      <c r="AD15" s="782"/>
      <c r="AE15" s="782"/>
      <c r="AF15" s="782"/>
      <c r="AG15" s="782"/>
      <c r="AH15" s="782"/>
      <c r="AI15" s="782"/>
      <c r="AJ15" s="782"/>
      <c r="AK15" s="782"/>
      <c r="AL15" s="782"/>
      <c r="AM15" s="782"/>
      <c r="AN15" s="782"/>
      <c r="AO15" s="782"/>
      <c r="AP15" s="782"/>
      <c r="AQ15" s="782"/>
      <c r="AR15" s="782"/>
      <c r="AS15" s="782"/>
      <c r="AT15" s="782"/>
      <c r="AU15" s="782"/>
      <c r="AV15" s="782"/>
      <c r="AW15" s="782"/>
      <c r="AX15" s="782"/>
      <c r="AY15" s="782"/>
      <c r="AZ15" s="782"/>
      <c r="BA15" s="782"/>
      <c r="BB15" s="782"/>
      <c r="BC15" s="782"/>
    </row>
    <row r="16" spans="1:55" s="610" customFormat="1" ht="24.75" customHeight="1" x14ac:dyDescent="0.35">
      <c r="A16" s="1197" t="s">
        <v>449</v>
      </c>
      <c r="B16" s="1198"/>
      <c r="C16" s="1199"/>
      <c r="D16" s="729">
        <v>50</v>
      </c>
      <c r="E16" s="734"/>
      <c r="F16" s="731">
        <f>IF(D16=0,"NA",E16/D16)</f>
        <v>0</v>
      </c>
      <c r="G16" s="732">
        <v>50</v>
      </c>
      <c r="H16" s="755"/>
      <c r="I16" s="731">
        <f>IF(G16=0,"NA",H16/G16)</f>
        <v>0</v>
      </c>
      <c r="J16" s="756">
        <v>50</v>
      </c>
      <c r="K16" s="860"/>
      <c r="L16" s="731">
        <f>IF(J16=0,"NA",K16/J16)</f>
        <v>0</v>
      </c>
      <c r="M16" s="758">
        <v>50</v>
      </c>
      <c r="N16" s="733"/>
      <c r="O16" s="731">
        <f>IF(M16=0,"NA",N16/M16)</f>
        <v>0</v>
      </c>
      <c r="P16" s="735">
        <f>D16+G16+J16+M16</f>
        <v>200</v>
      </c>
      <c r="Q16" s="735"/>
      <c r="R16" s="736">
        <f>IF(P16=0,"NA",Q16/P16)</f>
        <v>0</v>
      </c>
      <c r="S16" s="653">
        <f>P16</f>
        <v>200</v>
      </c>
      <c r="T16" s="653"/>
      <c r="U16" s="737">
        <f>IF(S16=0,"NA",T16/S16)</f>
        <v>0</v>
      </c>
      <c r="V16" s="766"/>
      <c r="W16" s="728"/>
      <c r="X16" s="782"/>
      <c r="Y16" s="782"/>
      <c r="Z16" s="782"/>
      <c r="AA16" s="782"/>
      <c r="AB16" s="782"/>
      <c r="AC16" s="782"/>
      <c r="AD16" s="782"/>
      <c r="AE16" s="782"/>
      <c r="AF16" s="782"/>
      <c r="AG16" s="782"/>
      <c r="AH16" s="782"/>
      <c r="AI16" s="782"/>
      <c r="AJ16" s="782"/>
      <c r="AK16" s="782"/>
      <c r="AL16" s="782"/>
      <c r="AM16" s="782"/>
      <c r="AN16" s="782"/>
      <c r="AO16" s="782"/>
      <c r="AP16" s="782"/>
      <c r="AQ16" s="782"/>
      <c r="AR16" s="782"/>
      <c r="AS16" s="782"/>
      <c r="AT16" s="782"/>
      <c r="AU16" s="782"/>
      <c r="AV16" s="782"/>
      <c r="AW16" s="782"/>
      <c r="AX16" s="782"/>
      <c r="AY16" s="782"/>
      <c r="AZ16" s="782"/>
      <c r="BA16" s="782"/>
      <c r="BB16" s="782"/>
      <c r="BC16" s="782"/>
    </row>
    <row r="17" spans="1:55" s="610" customFormat="1" ht="24.75" customHeight="1" x14ac:dyDescent="0.35">
      <c r="A17" s="1197" t="s">
        <v>450</v>
      </c>
      <c r="B17" s="1198"/>
      <c r="C17" s="1199"/>
      <c r="D17" s="738">
        <v>50</v>
      </c>
      <c r="E17" s="743">
        <v>0</v>
      </c>
      <c r="F17" s="740">
        <f>IF(D17=0,"NA",E17/D17)</f>
        <v>0</v>
      </c>
      <c r="G17" s="741">
        <v>50</v>
      </c>
      <c r="H17" s="761"/>
      <c r="I17" s="740">
        <f>IF(G17=0,"NA",H17/G17)</f>
        <v>0</v>
      </c>
      <c r="J17" s="762">
        <v>50</v>
      </c>
      <c r="K17" s="861"/>
      <c r="L17" s="740">
        <f>IF(J17=0,"NA",K17/J17)</f>
        <v>0</v>
      </c>
      <c r="M17" s="758">
        <v>50</v>
      </c>
      <c r="N17" s="733"/>
      <c r="O17" s="740">
        <f>IF(M17=0,"NA",N17/M17)</f>
        <v>0</v>
      </c>
      <c r="P17" s="735">
        <f>D17+G17+J17+M17</f>
        <v>200</v>
      </c>
      <c r="Q17" s="735"/>
      <c r="R17" s="744">
        <f>IF(P17=0,"NA",Q17/P17)</f>
        <v>0</v>
      </c>
      <c r="S17" s="653">
        <f>P17</f>
        <v>200</v>
      </c>
      <c r="T17" s="653"/>
      <c r="U17" s="745">
        <f>IF(S17=0,"NA",T17/S17)</f>
        <v>0</v>
      </c>
      <c r="V17" s="767"/>
      <c r="W17" s="728"/>
      <c r="X17" s="782"/>
      <c r="Y17" s="782"/>
      <c r="Z17" s="782"/>
      <c r="AA17" s="782"/>
      <c r="AB17" s="782"/>
      <c r="AC17" s="782"/>
      <c r="AD17" s="782"/>
      <c r="AE17" s="782"/>
      <c r="AF17" s="782"/>
      <c r="AG17" s="782"/>
      <c r="AH17" s="782"/>
      <c r="AI17" s="782"/>
      <c r="AJ17" s="782"/>
      <c r="AK17" s="782"/>
      <c r="AL17" s="782"/>
      <c r="AM17" s="782"/>
      <c r="AN17" s="782"/>
      <c r="AO17" s="782"/>
      <c r="AP17" s="782"/>
      <c r="AQ17" s="782"/>
      <c r="AR17" s="782"/>
      <c r="AS17" s="782"/>
      <c r="AT17" s="782"/>
      <c r="AU17" s="782"/>
      <c r="AV17" s="782"/>
      <c r="AW17" s="782"/>
      <c r="AX17" s="782"/>
      <c r="AY17" s="782"/>
      <c r="AZ17" s="782"/>
      <c r="BA17" s="782"/>
      <c r="BB17" s="782"/>
      <c r="BC17" s="782"/>
    </row>
    <row r="18" spans="1:55" s="610" customFormat="1" ht="31.5" customHeight="1" thickBot="1" x14ac:dyDescent="0.4">
      <c r="A18" s="1197" t="s">
        <v>551</v>
      </c>
      <c r="B18" s="1198"/>
      <c r="C18" s="1199"/>
      <c r="D18" s="743">
        <v>10</v>
      </c>
      <c r="E18" s="743"/>
      <c r="F18" s="1080"/>
      <c r="G18" s="742">
        <v>10</v>
      </c>
      <c r="H18" s="761"/>
      <c r="I18" s="1080"/>
      <c r="J18" s="841">
        <v>15</v>
      </c>
      <c r="K18" s="861"/>
      <c r="L18" s="1080"/>
      <c r="M18" s="842">
        <v>15</v>
      </c>
      <c r="N18" s="742"/>
      <c r="O18" s="740">
        <f>IF(M18=0,"NA",N18/M18)</f>
        <v>0</v>
      </c>
      <c r="P18" s="735">
        <f>D18+G18+J18+M18</f>
        <v>50</v>
      </c>
      <c r="Q18" s="735"/>
      <c r="R18" s="744">
        <f>IF(P18=0,"NA",Q18/P18)</f>
        <v>0</v>
      </c>
      <c r="S18" s="653">
        <f>P18</f>
        <v>50</v>
      </c>
      <c r="T18" s="653"/>
      <c r="U18" s="745">
        <f>IF(S18=0,"NA",T18/S18)</f>
        <v>0</v>
      </c>
      <c r="V18" s="767"/>
      <c r="W18" s="728"/>
      <c r="X18" s="782"/>
      <c r="Y18" s="782"/>
      <c r="Z18" s="782"/>
      <c r="AA18" s="782"/>
      <c r="AB18" s="782"/>
      <c r="AC18" s="782"/>
      <c r="AD18" s="782"/>
      <c r="AE18" s="782"/>
      <c r="AF18" s="782"/>
      <c r="AG18" s="782"/>
      <c r="AH18" s="782"/>
      <c r="AI18" s="782"/>
      <c r="AJ18" s="782"/>
      <c r="AK18" s="782"/>
      <c r="AL18" s="782"/>
      <c r="AM18" s="782"/>
      <c r="AN18" s="782"/>
      <c r="AO18" s="782"/>
      <c r="AP18" s="782"/>
      <c r="AQ18" s="782"/>
      <c r="AR18" s="782"/>
      <c r="AS18" s="782"/>
      <c r="AT18" s="782"/>
      <c r="AU18" s="782"/>
      <c r="AV18" s="782"/>
      <c r="AW18" s="782"/>
      <c r="AX18" s="782"/>
      <c r="AY18" s="782"/>
      <c r="AZ18" s="782"/>
      <c r="BA18" s="782"/>
      <c r="BB18" s="782"/>
      <c r="BC18" s="782"/>
    </row>
    <row r="19" spans="1:55" s="631" customFormat="1" ht="24.75" customHeight="1" thickBot="1" x14ac:dyDescent="0.4">
      <c r="A19" s="722" t="str">
        <f>'Baseline Table'!A21:H21</f>
        <v>OUTPUT 1.4: Targeted refugees and host community members in engage in VSLA.</v>
      </c>
      <c r="B19" s="723"/>
      <c r="C19" s="723"/>
      <c r="D19" s="752"/>
      <c r="E19" s="752"/>
      <c r="F19" s="753"/>
      <c r="G19" s="752"/>
      <c r="H19" s="752"/>
      <c r="I19" s="753"/>
      <c r="J19" s="752"/>
      <c r="K19" s="752"/>
      <c r="L19" s="753"/>
      <c r="M19" s="752"/>
      <c r="N19" s="752"/>
      <c r="O19" s="753"/>
      <c r="P19" s="752"/>
      <c r="Q19" s="752"/>
      <c r="R19" s="753"/>
      <c r="S19" s="752"/>
      <c r="T19" s="752"/>
      <c r="U19" s="754"/>
      <c r="V19" s="765"/>
      <c r="W19" s="728"/>
      <c r="X19" s="782"/>
      <c r="Y19" s="782"/>
      <c r="Z19" s="782"/>
      <c r="AA19" s="782"/>
      <c r="AB19" s="782"/>
      <c r="AC19" s="782"/>
      <c r="AD19" s="782"/>
      <c r="AE19" s="782"/>
      <c r="AF19" s="782"/>
      <c r="AG19" s="782"/>
      <c r="AH19" s="782"/>
      <c r="AI19" s="782"/>
      <c r="AJ19" s="782"/>
      <c r="AK19" s="782"/>
      <c r="AL19" s="782"/>
      <c r="AM19" s="782"/>
      <c r="AN19" s="782"/>
      <c r="AO19" s="782"/>
      <c r="AP19" s="782"/>
      <c r="AQ19" s="782"/>
      <c r="AR19" s="782"/>
      <c r="AS19" s="782"/>
      <c r="AT19" s="782"/>
      <c r="AU19" s="782"/>
      <c r="AV19" s="782"/>
      <c r="AW19" s="782"/>
      <c r="AX19" s="782"/>
      <c r="AY19" s="782"/>
      <c r="AZ19" s="782"/>
      <c r="BA19" s="782"/>
      <c r="BB19" s="782"/>
      <c r="BC19" s="782"/>
    </row>
    <row r="20" spans="1:55" s="610" customFormat="1" ht="27" customHeight="1" x14ac:dyDescent="0.35">
      <c r="A20" s="1194" t="str">
        <f>Workplan!C16</f>
        <v>Train refugee and host community farmers in VSLA</v>
      </c>
      <c r="B20" s="1195"/>
      <c r="C20" s="1196"/>
      <c r="D20" s="729">
        <v>300</v>
      </c>
      <c r="E20" s="734">
        <v>0</v>
      </c>
      <c r="F20" s="731">
        <f>IF(D20=0,"NA",E20/D20)</f>
        <v>0</v>
      </c>
      <c r="G20" s="732">
        <v>0</v>
      </c>
      <c r="H20" s="755"/>
      <c r="I20" s="731" t="str">
        <f>IF(G20=0,"NA",H20/G20)</f>
        <v>NA</v>
      </c>
      <c r="J20" s="732">
        <v>0</v>
      </c>
      <c r="K20" s="755"/>
      <c r="L20" s="731" t="str">
        <f>IF(J20=0,"NA",K20/J20)</f>
        <v>NA</v>
      </c>
      <c r="M20" s="758">
        <v>300</v>
      </c>
      <c r="N20" s="733"/>
      <c r="O20" s="731">
        <f>IF(M20=0,"NA",N20/M20)</f>
        <v>0</v>
      </c>
      <c r="P20" s="735">
        <f>G20+J20+M20</f>
        <v>300</v>
      </c>
      <c r="Q20" s="735"/>
      <c r="R20" s="736">
        <f>IF(P20=0,"NA",Q20/P20)</f>
        <v>0</v>
      </c>
      <c r="S20" s="653">
        <f>P20</f>
        <v>300</v>
      </c>
      <c r="T20" s="653"/>
      <c r="U20" s="737">
        <f>IF(S20=0,"NA",T20/S20)</f>
        <v>0</v>
      </c>
      <c r="V20" s="766"/>
      <c r="W20" s="728"/>
      <c r="X20" s="782"/>
      <c r="Y20" s="782"/>
      <c r="Z20" s="782"/>
      <c r="AA20" s="782"/>
      <c r="AB20" s="782"/>
      <c r="AC20" s="782"/>
      <c r="AD20" s="782"/>
      <c r="AE20" s="782"/>
      <c r="AF20" s="782"/>
      <c r="AG20" s="782"/>
      <c r="AH20" s="782"/>
      <c r="AI20" s="782"/>
      <c r="AJ20" s="782"/>
      <c r="AK20" s="782"/>
      <c r="AL20" s="782"/>
      <c r="AM20" s="782"/>
      <c r="AN20" s="782"/>
      <c r="AO20" s="782"/>
      <c r="AP20" s="782"/>
      <c r="AQ20" s="782"/>
      <c r="AR20" s="782"/>
      <c r="AS20" s="782"/>
      <c r="AT20" s="782"/>
      <c r="AU20" s="782"/>
      <c r="AV20" s="782"/>
      <c r="AW20" s="782"/>
      <c r="AX20" s="782"/>
      <c r="AY20" s="782"/>
      <c r="AZ20" s="782"/>
      <c r="BA20" s="782"/>
      <c r="BB20" s="782"/>
      <c r="BC20" s="782"/>
    </row>
    <row r="21" spans="1:55" s="610" customFormat="1" ht="29.25" customHeight="1" thickBot="1" x14ac:dyDescent="0.4">
      <c r="A21" s="1194" t="str">
        <f>Workplan!C17</f>
        <v>Provide refugee and host community farmer groups with VSLA kits</v>
      </c>
      <c r="B21" s="1195"/>
      <c r="C21" s="1196"/>
      <c r="D21" s="738">
        <v>10</v>
      </c>
      <c r="E21" s="743">
        <v>0</v>
      </c>
      <c r="F21" s="740">
        <f>IF(D21=0,"NA",E21/D21)</f>
        <v>0</v>
      </c>
      <c r="G21" s="741">
        <v>0</v>
      </c>
      <c r="H21" s="761"/>
      <c r="I21" s="740" t="str">
        <f>IF(G21=0,"NA",H21/G21)</f>
        <v>NA</v>
      </c>
      <c r="J21" s="756">
        <v>0</v>
      </c>
      <c r="K21" s="860"/>
      <c r="L21" s="740" t="str">
        <f>IF(J21=0,"NA",K21/J21)</f>
        <v>NA</v>
      </c>
      <c r="M21" s="758">
        <v>0</v>
      </c>
      <c r="N21" s="733"/>
      <c r="O21" s="740" t="str">
        <f>IF(M21=0,"NA",N21/M21)</f>
        <v>NA</v>
      </c>
      <c r="P21" s="735">
        <f>G21+J21+M21</f>
        <v>0</v>
      </c>
      <c r="Q21" s="735"/>
      <c r="R21" s="744" t="str">
        <f>IF(P21=0,"NA",Q21/P21)</f>
        <v>NA</v>
      </c>
      <c r="S21" s="653">
        <f>P21</f>
        <v>0</v>
      </c>
      <c r="T21" s="653"/>
      <c r="U21" s="745" t="str">
        <f>IF(S21=0,"NA",T21/S21)</f>
        <v>NA</v>
      </c>
      <c r="V21" s="767"/>
      <c r="W21" s="728"/>
      <c r="X21" s="782"/>
      <c r="Y21" s="782"/>
      <c r="Z21" s="782"/>
      <c r="AA21" s="782"/>
      <c r="AB21" s="782"/>
      <c r="AC21" s="782"/>
      <c r="AD21" s="782"/>
      <c r="AE21" s="782"/>
      <c r="AF21" s="782"/>
      <c r="AG21" s="782"/>
      <c r="AH21" s="782"/>
      <c r="AI21" s="782"/>
      <c r="AJ21" s="782"/>
      <c r="AK21" s="782"/>
      <c r="AL21" s="782"/>
      <c r="AM21" s="782"/>
      <c r="AN21" s="782"/>
      <c r="AO21" s="782"/>
      <c r="AP21" s="782"/>
      <c r="AQ21" s="782"/>
      <c r="AR21" s="782"/>
      <c r="AS21" s="782"/>
      <c r="AT21" s="782"/>
      <c r="AU21" s="782"/>
      <c r="AV21" s="782"/>
      <c r="AW21" s="782"/>
      <c r="AX21" s="782"/>
      <c r="AY21" s="782"/>
      <c r="AZ21" s="782"/>
      <c r="BA21" s="782"/>
      <c r="BB21" s="782"/>
      <c r="BC21" s="782"/>
    </row>
    <row r="22" spans="1:55" s="631" customFormat="1" ht="24.75" customHeight="1" thickBot="1" x14ac:dyDescent="0.4">
      <c r="A22" s="722" t="str">
        <f>'Baseline Table'!A24:H24</f>
        <v>Output 1.5: Targeted refugees and host community members engage in eco-system activities that enhance agriculture productivity.</v>
      </c>
      <c r="B22" s="723"/>
      <c r="C22" s="723"/>
      <c r="D22" s="752"/>
      <c r="E22" s="752"/>
      <c r="F22" s="753"/>
      <c r="G22" s="752"/>
      <c r="H22" s="752"/>
      <c r="I22" s="753"/>
      <c r="J22" s="752"/>
      <c r="K22" s="752"/>
      <c r="L22" s="753"/>
      <c r="M22" s="752"/>
      <c r="N22" s="752"/>
      <c r="O22" s="753"/>
      <c r="P22" s="752"/>
      <c r="Q22" s="752"/>
      <c r="R22" s="753"/>
      <c r="S22" s="752"/>
      <c r="T22" s="752"/>
      <c r="U22" s="754"/>
      <c r="V22" s="765"/>
      <c r="W22" s="728"/>
      <c r="X22" s="782"/>
      <c r="Y22" s="782"/>
      <c r="Z22" s="782"/>
      <c r="AA22" s="782"/>
      <c r="AB22" s="782"/>
      <c r="AC22" s="782"/>
      <c r="AD22" s="782"/>
      <c r="AE22" s="782"/>
      <c r="AF22" s="782"/>
      <c r="AG22" s="782"/>
      <c r="AH22" s="782"/>
      <c r="AI22" s="782"/>
      <c r="AJ22" s="782"/>
      <c r="AK22" s="782"/>
      <c r="AL22" s="782"/>
      <c r="AM22" s="782"/>
      <c r="AN22" s="782"/>
      <c r="AO22" s="782"/>
      <c r="AP22" s="782"/>
      <c r="AQ22" s="782"/>
      <c r="AR22" s="782"/>
      <c r="AS22" s="782"/>
      <c r="AT22" s="782"/>
      <c r="AU22" s="782"/>
      <c r="AV22" s="782"/>
      <c r="AW22" s="782"/>
      <c r="AX22" s="782"/>
      <c r="AY22" s="782"/>
      <c r="AZ22" s="782"/>
      <c r="BA22" s="782"/>
      <c r="BB22" s="782"/>
      <c r="BC22" s="782"/>
    </row>
    <row r="23" spans="1:55" s="610" customFormat="1" ht="30" customHeight="1" x14ac:dyDescent="0.35">
      <c r="A23" s="1194" t="str">
        <f>Workplan!C19</f>
        <v xml:space="preserve">Distribute tree seedlings to communities for establishment of woodlots. </v>
      </c>
      <c r="B23" s="1195"/>
      <c r="C23" s="1196"/>
      <c r="D23" s="738">
        <v>0</v>
      </c>
      <c r="E23" s="743"/>
      <c r="F23" s="740" t="str">
        <f>IF(D23=0,"NA",E23/D23)</f>
        <v>NA</v>
      </c>
      <c r="G23" s="741">
        <v>0</v>
      </c>
      <c r="H23" s="761"/>
      <c r="I23" s="740" t="str">
        <f>IF(G23=0,"NA",H23/G23)</f>
        <v>NA</v>
      </c>
      <c r="J23" s="762">
        <v>1000</v>
      </c>
      <c r="K23" s="795"/>
      <c r="L23" s="740">
        <f>IF(J23=0,"NA",K23/J23)</f>
        <v>0</v>
      </c>
      <c r="M23" s="764">
        <v>0</v>
      </c>
      <c r="N23" s="742"/>
      <c r="O23" s="740" t="str">
        <f>IF(M23=0,"NA",N23/M23)</f>
        <v>NA</v>
      </c>
      <c r="P23" s="735">
        <f>G23+J23+M23</f>
        <v>1000</v>
      </c>
      <c r="Q23" s="735"/>
      <c r="R23" s="744">
        <f>IF(P23=0,"NA",Q23/P23)</f>
        <v>0</v>
      </c>
      <c r="S23" s="653">
        <f>P23</f>
        <v>1000</v>
      </c>
      <c r="T23" s="653"/>
      <c r="U23" s="745">
        <f>IF(S23=0,"NA",T23/S23)</f>
        <v>0</v>
      </c>
      <c r="V23" s="767"/>
      <c r="W23" s="728"/>
      <c r="X23" s="782"/>
      <c r="Y23" s="782"/>
      <c r="Z23" s="782"/>
      <c r="AA23" s="782"/>
      <c r="AB23" s="782"/>
      <c r="AC23" s="782"/>
      <c r="AD23" s="782"/>
      <c r="AE23" s="782"/>
      <c r="AF23" s="782"/>
      <c r="AG23" s="782"/>
      <c r="AH23" s="782"/>
      <c r="AI23" s="782"/>
      <c r="AJ23" s="782"/>
      <c r="AK23" s="782"/>
      <c r="AL23" s="782"/>
      <c r="AM23" s="782"/>
      <c r="AN23" s="782"/>
      <c r="AO23" s="782"/>
      <c r="AP23" s="782"/>
      <c r="AQ23" s="782"/>
      <c r="AR23" s="782"/>
      <c r="AS23" s="782"/>
      <c r="AT23" s="782"/>
      <c r="AU23" s="782"/>
      <c r="AV23" s="782"/>
      <c r="AW23" s="782"/>
      <c r="AX23" s="782"/>
      <c r="AY23" s="782"/>
      <c r="AZ23" s="782"/>
      <c r="BA23" s="782"/>
      <c r="BB23" s="782"/>
      <c r="BC23" s="782"/>
    </row>
    <row r="24" spans="1:55" s="610" customFormat="1" ht="30" customHeight="1" thickBot="1" x14ac:dyDescent="0.4">
      <c r="A24" s="1194" t="str">
        <f>Workplan!C20</f>
        <v xml:space="preserve">Train refugee and host community farmers on preparation and application of organic manure and pesticides. </v>
      </c>
      <c r="B24" s="1195"/>
      <c r="C24" s="1196"/>
      <c r="D24" s="743">
        <v>200</v>
      </c>
      <c r="E24" s="743"/>
      <c r="F24" s="740">
        <f>IF(D24=0,"NA",E24/D24)</f>
        <v>0</v>
      </c>
      <c r="G24" s="742">
        <v>200</v>
      </c>
      <c r="H24" s="761"/>
      <c r="I24" s="740">
        <f>IF(G24=0,"NA",H24/G24)</f>
        <v>0</v>
      </c>
      <c r="J24" s="841">
        <v>300</v>
      </c>
      <c r="K24" s="795"/>
      <c r="L24" s="740">
        <f>IF(J24=0,"NA",K24/J24)</f>
        <v>0</v>
      </c>
      <c r="M24" s="842">
        <v>300</v>
      </c>
      <c r="N24" s="742"/>
      <c r="O24" s="740">
        <f>IF(M24=0,"NA",N24/M24)</f>
        <v>0</v>
      </c>
      <c r="P24" s="735">
        <f>D24+G24+J24+M24</f>
        <v>1000</v>
      </c>
      <c r="Q24" s="811"/>
      <c r="R24" s="744">
        <f>IF(P24=0,"NA",Q24/P24)</f>
        <v>0</v>
      </c>
      <c r="S24" s="653">
        <f>P24</f>
        <v>1000</v>
      </c>
      <c r="T24" s="813"/>
      <c r="U24" s="745">
        <f>IF(S24=0,"NA",T24/S24)</f>
        <v>0</v>
      </c>
      <c r="V24" s="767"/>
      <c r="W24" s="728"/>
      <c r="X24" s="782"/>
      <c r="Y24" s="782"/>
      <c r="Z24" s="782"/>
      <c r="AA24" s="782"/>
      <c r="AB24" s="782"/>
      <c r="AC24" s="782"/>
      <c r="AD24" s="782"/>
      <c r="AE24" s="782"/>
      <c r="AF24" s="782"/>
      <c r="AG24" s="782"/>
      <c r="AH24" s="782"/>
      <c r="AI24" s="782"/>
      <c r="AJ24" s="782"/>
      <c r="AK24" s="782"/>
      <c r="AL24" s="782"/>
      <c r="AM24" s="782"/>
      <c r="AN24" s="782"/>
      <c r="AO24" s="782"/>
      <c r="AP24" s="782"/>
      <c r="AQ24" s="782"/>
      <c r="AR24" s="782"/>
      <c r="AS24" s="782"/>
      <c r="AT24" s="782"/>
      <c r="AU24" s="782"/>
      <c r="AV24" s="782"/>
      <c r="AW24" s="782"/>
      <c r="AX24" s="782"/>
      <c r="AY24" s="782"/>
      <c r="AZ24" s="782"/>
      <c r="BA24" s="782"/>
      <c r="BB24" s="782"/>
      <c r="BC24" s="782"/>
    </row>
    <row r="25" spans="1:55" s="631" customFormat="1" ht="24.75" customHeight="1" thickBot="1" x14ac:dyDescent="0.4">
      <c r="A25" s="722" t="str">
        <f>'Baseline Table'!A30:H30</f>
        <v>OUTPUT 2.1: Protection of all refugees are strengthened through meaningful engagement with communities, with particular attention to at-risk group</v>
      </c>
      <c r="B25" s="723"/>
      <c r="C25" s="723"/>
      <c r="D25" s="1140"/>
      <c r="E25" s="1140"/>
      <c r="F25" s="1141"/>
      <c r="G25" s="1140"/>
      <c r="H25" s="1140"/>
      <c r="I25" s="1141"/>
      <c r="J25" s="1140"/>
      <c r="K25" s="1140"/>
      <c r="L25" s="1141"/>
      <c r="M25" s="1140"/>
      <c r="N25" s="1140"/>
      <c r="O25" s="1141"/>
      <c r="P25" s="1140"/>
      <c r="Q25" s="1140"/>
      <c r="R25" s="1141"/>
      <c r="S25" s="1140"/>
      <c r="T25" s="1142"/>
      <c r="U25" s="1143"/>
      <c r="V25" s="654"/>
      <c r="W25" s="728"/>
    </row>
    <row r="26" spans="1:55" s="631" customFormat="1" ht="24.75" customHeight="1" x14ac:dyDescent="0.35">
      <c r="A26" s="1197" t="str">
        <f>Workplan!C23</f>
        <v>Provide training to refugee women groups on gender and leadership empowerment for women led social change</v>
      </c>
      <c r="B26" s="1198"/>
      <c r="C26" s="1199"/>
      <c r="D26" s="729">
        <v>3</v>
      </c>
      <c r="E26" s="734"/>
      <c r="F26" s="731">
        <f t="shared" ref="F26:F31" si="0">IF(D26=0,"NA",E26/D26)</f>
        <v>0</v>
      </c>
      <c r="G26" s="768">
        <v>3</v>
      </c>
      <c r="H26" s="733"/>
      <c r="I26" s="731">
        <f t="shared" ref="I26:I31" si="1">IF(G26=0,"NA",H26/G26)</f>
        <v>0</v>
      </c>
      <c r="J26" s="729">
        <v>2</v>
      </c>
      <c r="K26" s="734"/>
      <c r="L26" s="731">
        <f t="shared" ref="L26:L31" si="2">IF(J26=0,"NA",K26/J26)</f>
        <v>0</v>
      </c>
      <c r="M26" s="768">
        <v>2</v>
      </c>
      <c r="N26" s="733"/>
      <c r="O26" s="731">
        <f t="shared" ref="O26:O31" si="3">IF(M26=0,"NA",N26/M26)</f>
        <v>0</v>
      </c>
      <c r="P26" s="735">
        <f>D26+G26+J26+M26</f>
        <v>10</v>
      </c>
      <c r="Q26" s="735"/>
      <c r="R26" s="736">
        <f>IF(P26=0,"NA",Q26/P26)</f>
        <v>0</v>
      </c>
      <c r="S26" s="769">
        <f>P26</f>
        <v>10</v>
      </c>
      <c r="T26" s="769"/>
      <c r="U26" s="737">
        <f>IF(S26=0,"NA",T26/S26)</f>
        <v>0</v>
      </c>
      <c r="V26" s="654"/>
      <c r="W26" s="728"/>
    </row>
    <row r="27" spans="1:55" s="631" customFormat="1" ht="24.75" customHeight="1" x14ac:dyDescent="0.35">
      <c r="A27" s="1197" t="str">
        <f>Workplan!C24</f>
        <v>Establish a complaints, feedback and referral desks</v>
      </c>
      <c r="B27" s="1198"/>
      <c r="C27" s="1199"/>
      <c r="D27" s="729">
        <v>4</v>
      </c>
      <c r="E27" s="734"/>
      <c r="F27" s="731">
        <f t="shared" si="0"/>
        <v>0</v>
      </c>
      <c r="G27" s="768">
        <v>0</v>
      </c>
      <c r="H27" s="733"/>
      <c r="I27" s="731" t="str">
        <f t="shared" si="1"/>
        <v>NA</v>
      </c>
      <c r="J27" s="729">
        <v>0</v>
      </c>
      <c r="K27" s="734"/>
      <c r="L27" s="731" t="str">
        <f t="shared" si="2"/>
        <v>NA</v>
      </c>
      <c r="M27" s="768">
        <v>0</v>
      </c>
      <c r="N27" s="733"/>
      <c r="O27" s="731" t="str">
        <f t="shared" si="3"/>
        <v>NA</v>
      </c>
      <c r="P27" s="735">
        <f>G27+J27+M27</f>
        <v>0</v>
      </c>
      <c r="Q27" s="735"/>
      <c r="R27" s="736" t="str">
        <f>IF(P27=0,"NA",Q27/P27)</f>
        <v>NA</v>
      </c>
      <c r="S27" s="769">
        <f>P27</f>
        <v>0</v>
      </c>
      <c r="T27" s="769"/>
      <c r="U27" s="737" t="str">
        <f>IF(S27=0,"NA",T27/S27)</f>
        <v>NA</v>
      </c>
      <c r="V27" s="654"/>
      <c r="W27" s="728"/>
    </row>
    <row r="28" spans="1:55" s="631" customFormat="1" ht="24.75" customHeight="1" x14ac:dyDescent="0.35">
      <c r="A28" s="1197" t="str">
        <f>Workplan!C25</f>
        <v xml:space="preserve">Train and provide materials for making hand crafts as a social enterprise for promoting recovery and empowerment of women vulnerable to SGBV.  </v>
      </c>
      <c r="B28" s="1198"/>
      <c r="C28" s="1199"/>
      <c r="D28" s="743">
        <v>2</v>
      </c>
      <c r="E28" s="743"/>
      <c r="F28" s="731">
        <f t="shared" si="0"/>
        <v>0</v>
      </c>
      <c r="G28" s="742">
        <v>2</v>
      </c>
      <c r="H28" s="742"/>
      <c r="I28" s="731">
        <f t="shared" si="1"/>
        <v>0</v>
      </c>
      <c r="J28" s="743">
        <v>2</v>
      </c>
      <c r="K28" s="743"/>
      <c r="L28" s="731">
        <f t="shared" si="2"/>
        <v>0</v>
      </c>
      <c r="M28" s="742">
        <v>2</v>
      </c>
      <c r="N28" s="742"/>
      <c r="O28" s="731">
        <f t="shared" si="3"/>
        <v>0</v>
      </c>
      <c r="P28" s="735">
        <f>G28+J28+M28</f>
        <v>6</v>
      </c>
      <c r="Q28" s="735"/>
      <c r="R28" s="736">
        <f>IF(P28=0,"NA",Q28/P28)</f>
        <v>0</v>
      </c>
      <c r="S28" s="769">
        <f>P28</f>
        <v>6</v>
      </c>
      <c r="T28" s="813"/>
      <c r="U28" s="737">
        <f>IF(S28=0,"NA",T28/S28)</f>
        <v>0</v>
      </c>
      <c r="V28" s="1147"/>
      <c r="W28" s="1148"/>
    </row>
    <row r="29" spans="1:55" s="631" customFormat="1" ht="24.75" customHeight="1" x14ac:dyDescent="0.35">
      <c r="A29" s="1197" t="str">
        <f>Workplan!C26</f>
        <v>Train and support women groups to make Re-Usable Menstrual Pads (RUMPs)</v>
      </c>
      <c r="B29" s="1198"/>
      <c r="C29" s="1199"/>
      <c r="D29" s="743">
        <v>2</v>
      </c>
      <c r="E29" s="743"/>
      <c r="F29" s="731">
        <f t="shared" si="0"/>
        <v>0</v>
      </c>
      <c r="G29" s="742">
        <v>2</v>
      </c>
      <c r="H29" s="742"/>
      <c r="I29" s="731">
        <f t="shared" si="1"/>
        <v>0</v>
      </c>
      <c r="J29" s="743">
        <v>2</v>
      </c>
      <c r="K29" s="743"/>
      <c r="L29" s="731">
        <f t="shared" si="2"/>
        <v>0</v>
      </c>
      <c r="M29" s="742">
        <v>2</v>
      </c>
      <c r="N29" s="742"/>
      <c r="O29" s="731">
        <f t="shared" si="3"/>
        <v>0</v>
      </c>
      <c r="P29" s="735">
        <f>G29+J29+M29</f>
        <v>6</v>
      </c>
      <c r="Q29" s="735"/>
      <c r="R29" s="736">
        <f>IF(P29=0,"NA",Q29/P29)</f>
        <v>0</v>
      </c>
      <c r="S29" s="769">
        <f>P29</f>
        <v>6</v>
      </c>
      <c r="T29" s="813"/>
      <c r="U29" s="737">
        <f>IF(S29=0,"NA",T29/S29)</f>
        <v>0</v>
      </c>
      <c r="V29" s="1147"/>
      <c r="W29" s="1148"/>
    </row>
    <row r="30" spans="1:55" s="631" customFormat="1" ht="24.75" customHeight="1" x14ac:dyDescent="0.35">
      <c r="A30" s="1197" t="str">
        <f>Workplan!C27</f>
        <v>Distribution of Quilts and personal care kits to women</v>
      </c>
      <c r="B30" s="1198"/>
      <c r="C30" s="1199"/>
      <c r="D30" s="743">
        <v>0</v>
      </c>
      <c r="E30" s="743"/>
      <c r="F30" s="1080" t="str">
        <f t="shared" si="0"/>
        <v>NA</v>
      </c>
      <c r="G30" s="742">
        <v>3750</v>
      </c>
      <c r="H30" s="742"/>
      <c r="I30" s="1080">
        <f t="shared" si="1"/>
        <v>0</v>
      </c>
      <c r="J30" s="743">
        <v>3000</v>
      </c>
      <c r="K30" s="743"/>
      <c r="L30" s="1080">
        <f t="shared" si="2"/>
        <v>0</v>
      </c>
      <c r="M30" s="742">
        <v>3000</v>
      </c>
      <c r="N30" s="742"/>
      <c r="O30" s="1080">
        <f t="shared" si="3"/>
        <v>0</v>
      </c>
      <c r="P30" s="735">
        <f t="shared" ref="P30:P31" si="4">G30+J30+M30</f>
        <v>9750</v>
      </c>
      <c r="Q30" s="811"/>
      <c r="R30" s="736">
        <f t="shared" ref="R30:R31" si="5">IF(P30=0,"NA",Q30/P30)</f>
        <v>0</v>
      </c>
      <c r="S30" s="769">
        <f t="shared" ref="S30:S31" si="6">P30</f>
        <v>9750</v>
      </c>
      <c r="T30" s="813"/>
      <c r="U30" s="737">
        <f t="shared" ref="U30:U31" si="7">IF(S30=0,"NA",T30/S30)</f>
        <v>0</v>
      </c>
      <c r="V30" s="1147"/>
      <c r="W30" s="1148"/>
    </row>
    <row r="31" spans="1:55" s="631" customFormat="1" ht="24.75" customHeight="1" x14ac:dyDescent="0.35">
      <c r="A31" s="1197" t="str">
        <f>Workplan!C28</f>
        <v>Distribution of education kits to school children.</v>
      </c>
      <c r="B31" s="1198"/>
      <c r="C31" s="1199"/>
      <c r="D31" s="743">
        <v>0</v>
      </c>
      <c r="E31" s="743"/>
      <c r="F31" s="1080" t="str">
        <f t="shared" si="0"/>
        <v>NA</v>
      </c>
      <c r="G31" s="742">
        <v>1750</v>
      </c>
      <c r="H31" s="742"/>
      <c r="I31" s="1080">
        <f t="shared" si="1"/>
        <v>0</v>
      </c>
      <c r="J31" s="743">
        <v>1000</v>
      </c>
      <c r="K31" s="743"/>
      <c r="L31" s="1080">
        <f t="shared" si="2"/>
        <v>0</v>
      </c>
      <c r="M31" s="742">
        <v>1000</v>
      </c>
      <c r="N31" s="742"/>
      <c r="O31" s="1080">
        <f t="shared" si="3"/>
        <v>0</v>
      </c>
      <c r="P31" s="735">
        <f t="shared" si="4"/>
        <v>3750</v>
      </c>
      <c r="Q31" s="811"/>
      <c r="R31" s="736">
        <f t="shared" si="5"/>
        <v>0</v>
      </c>
      <c r="S31" s="769">
        <f t="shared" si="6"/>
        <v>3750</v>
      </c>
      <c r="T31" s="813"/>
      <c r="U31" s="737">
        <f t="shared" si="7"/>
        <v>0</v>
      </c>
      <c r="V31" s="654"/>
      <c r="W31" s="1148"/>
    </row>
    <row r="32" spans="1:55" s="631" customFormat="1" ht="24.75" customHeight="1" thickBot="1" x14ac:dyDescent="0.4">
      <c r="A32" s="1144" t="str">
        <f>'Baseline Table'!A34:H34</f>
        <v xml:space="preserve">OUTPUT 2.2: Social cohesion and Peaceful co-existence among refugees and host communities strengthened </v>
      </c>
      <c r="B32" s="1142"/>
      <c r="C32" s="1142"/>
      <c r="D32" s="1140"/>
      <c r="E32" s="1140"/>
      <c r="F32" s="1141"/>
      <c r="G32" s="1140"/>
      <c r="H32" s="1140"/>
      <c r="I32" s="1141"/>
      <c r="J32" s="1140"/>
      <c r="K32" s="1140"/>
      <c r="L32" s="1141"/>
      <c r="M32" s="1140"/>
      <c r="N32" s="1140"/>
      <c r="O32" s="1141"/>
      <c r="P32" s="1140"/>
      <c r="Q32" s="1140"/>
      <c r="R32" s="1141"/>
      <c r="S32" s="1140"/>
      <c r="T32" s="1140"/>
      <c r="U32" s="1145"/>
      <c r="V32" s="654"/>
      <c r="W32" s="1146"/>
    </row>
    <row r="33" spans="1:23" s="692" customFormat="1" ht="28.5" customHeight="1" x14ac:dyDescent="0.35">
      <c r="A33" s="1197" t="str">
        <f>Workplan!C30</f>
        <v xml:space="preserve">Provision of MDD and sports kits for social cohesion and awareness creation </v>
      </c>
      <c r="B33" s="1198"/>
      <c r="C33" s="1199"/>
      <c r="D33" s="729">
        <v>2</v>
      </c>
      <c r="E33" s="734"/>
      <c r="F33" s="731">
        <f>IF(D33=0,"NA",E33/D33)</f>
        <v>0</v>
      </c>
      <c r="G33" s="768">
        <v>3750</v>
      </c>
      <c r="H33" s="755"/>
      <c r="I33" s="731">
        <f>IF(G33=0,"NA",H33/G33)</f>
        <v>0</v>
      </c>
      <c r="J33" s="756">
        <v>0</v>
      </c>
      <c r="K33" s="757"/>
      <c r="L33" s="731" t="str">
        <f>IF(J33=0,"NA",K33/J33)</f>
        <v>NA</v>
      </c>
      <c r="M33" s="770">
        <v>0</v>
      </c>
      <c r="N33" s="733"/>
      <c r="O33" s="731" t="str">
        <f>IF(M33=0,"NA",N33/M33)</f>
        <v>NA</v>
      </c>
      <c r="P33" s="735">
        <f>G33+J33+M33</f>
        <v>3750</v>
      </c>
      <c r="Q33" s="735"/>
      <c r="R33" s="736">
        <f>IF(P33=0,"NA",Q33/P33)</f>
        <v>0</v>
      </c>
      <c r="S33" s="769">
        <f>P33</f>
        <v>3750</v>
      </c>
      <c r="T33" s="769"/>
      <c r="U33" s="737">
        <f>IF(S33=0,"NA",T33/S33)</f>
        <v>0</v>
      </c>
      <c r="V33" s="691"/>
      <c r="W33" s="771"/>
    </row>
    <row r="34" spans="1:23" s="692" customFormat="1" ht="23.25" customHeight="1" x14ac:dyDescent="0.35">
      <c r="A34" s="1197" t="str">
        <f>Workplan!C31</f>
        <v>Organize MDD and Sports galas to promote social cohesion</v>
      </c>
      <c r="B34" s="1198"/>
      <c r="C34" s="1199"/>
      <c r="D34" s="729">
        <v>1</v>
      </c>
      <c r="E34" s="734"/>
      <c r="F34" s="731">
        <f t="shared" ref="F34:F36" si="8">IF(D34=0,"NA",E34/D34)</f>
        <v>0</v>
      </c>
      <c r="G34" s="768">
        <v>750</v>
      </c>
      <c r="H34" s="755"/>
      <c r="I34" s="731">
        <f t="shared" ref="I34:I36" si="9">IF(G34=0,"NA",H34/G34)</f>
        <v>0</v>
      </c>
      <c r="J34" s="756">
        <v>1500</v>
      </c>
      <c r="K34" s="757"/>
      <c r="L34" s="731">
        <f t="shared" ref="L34:L36" si="10">IF(J34=0,"NA",K34/J34)</f>
        <v>0</v>
      </c>
      <c r="M34" s="770">
        <v>1500</v>
      </c>
      <c r="N34" s="733"/>
      <c r="O34" s="731">
        <f>IF(M34=0,"NA",N34/M34)</f>
        <v>0</v>
      </c>
      <c r="P34" s="735">
        <f>G34+J34+M34</f>
        <v>3750</v>
      </c>
      <c r="Q34" s="735"/>
      <c r="R34" s="736">
        <f>IF(P34=0,"NA",Q34/P34)</f>
        <v>0</v>
      </c>
      <c r="S34" s="769">
        <f>P34</f>
        <v>3750</v>
      </c>
      <c r="T34" s="769"/>
      <c r="U34" s="737">
        <f>IF(S34=0,"NA",T34/S34)</f>
        <v>0</v>
      </c>
      <c r="V34" s="691"/>
      <c r="W34" s="772"/>
    </row>
    <row r="35" spans="1:23" s="692" customFormat="1" ht="26.5" customHeight="1" x14ac:dyDescent="0.35">
      <c r="A35" s="1197" t="str">
        <f>Workplan!C32</f>
        <v xml:space="preserve">Monitor and document emerging conflicts among refugees and host communities. </v>
      </c>
      <c r="B35" s="1198"/>
      <c r="C35" s="1199"/>
      <c r="D35" s="743">
        <v>10</v>
      </c>
      <c r="E35" s="743"/>
      <c r="F35" s="731">
        <f t="shared" si="8"/>
        <v>0</v>
      </c>
      <c r="G35" s="742">
        <v>10</v>
      </c>
      <c r="H35" s="761"/>
      <c r="I35" s="731">
        <f t="shared" si="9"/>
        <v>0</v>
      </c>
      <c r="J35" s="841">
        <v>10</v>
      </c>
      <c r="K35" s="763"/>
      <c r="L35" s="731">
        <f t="shared" si="10"/>
        <v>0</v>
      </c>
      <c r="M35" s="842">
        <v>10</v>
      </c>
      <c r="N35" s="742"/>
      <c r="O35" s="731">
        <f t="shared" ref="O35:O36" si="11">IF(M35=0,"NA",N35/M35)</f>
        <v>0</v>
      </c>
      <c r="P35" s="735">
        <f t="shared" ref="P35:P36" si="12">G35+J35+M35</f>
        <v>30</v>
      </c>
      <c r="Q35" s="811"/>
      <c r="R35" s="736">
        <f t="shared" ref="R35:R36" si="13">IF(P35=0,"NA",Q35/P35)</f>
        <v>0</v>
      </c>
      <c r="S35" s="769">
        <f t="shared" ref="S35:S36" si="14">P35</f>
        <v>30</v>
      </c>
      <c r="T35" s="813"/>
      <c r="U35" s="737">
        <f t="shared" ref="U35:U36" si="15">IF(S35=0,"NA",T35/S35)</f>
        <v>0</v>
      </c>
      <c r="V35" s="691"/>
      <c r="W35" s="772"/>
    </row>
    <row r="36" spans="1:23" s="692" customFormat="1" ht="30.5" customHeight="1" x14ac:dyDescent="0.35">
      <c r="A36" s="1197" t="str">
        <f>Workplan!C33</f>
        <v xml:space="preserve">Facilitate community dialogues to resolve emerging conflicts and peaceful coexistence among refugees and host communities. </v>
      </c>
      <c r="B36" s="1198"/>
      <c r="C36" s="1199"/>
      <c r="D36" s="743">
        <v>6</v>
      </c>
      <c r="E36" s="743"/>
      <c r="F36" s="731">
        <f t="shared" si="8"/>
        <v>0</v>
      </c>
      <c r="G36" s="742">
        <v>6</v>
      </c>
      <c r="H36" s="761"/>
      <c r="I36" s="731">
        <f t="shared" si="9"/>
        <v>0</v>
      </c>
      <c r="J36" s="841">
        <v>6</v>
      </c>
      <c r="K36" s="763"/>
      <c r="L36" s="731">
        <f t="shared" si="10"/>
        <v>0</v>
      </c>
      <c r="M36" s="842">
        <v>6</v>
      </c>
      <c r="N36" s="742"/>
      <c r="O36" s="731">
        <f t="shared" si="11"/>
        <v>0</v>
      </c>
      <c r="P36" s="735">
        <f t="shared" si="12"/>
        <v>18</v>
      </c>
      <c r="Q36" s="811"/>
      <c r="R36" s="736">
        <f t="shared" si="13"/>
        <v>0</v>
      </c>
      <c r="S36" s="769">
        <f t="shared" si="14"/>
        <v>18</v>
      </c>
      <c r="T36" s="813"/>
      <c r="U36" s="737">
        <f t="shared" si="15"/>
        <v>0</v>
      </c>
      <c r="V36" s="691"/>
      <c r="W36" s="772"/>
    </row>
    <row r="37" spans="1:23" s="631" customFormat="1" ht="24.75" customHeight="1" thickBot="1" x14ac:dyDescent="0.4">
      <c r="A37" s="1149" t="str">
        <f>'Baseline Table'!A38:H38</f>
        <v xml:space="preserve">OUTPUT 2.3: Protection systems and mechanisms SGBV prevention and response strengthened </v>
      </c>
      <c r="B37" s="1142"/>
      <c r="C37" s="1142"/>
      <c r="D37" s="1140"/>
      <c r="E37" s="1140"/>
      <c r="F37" s="1141"/>
      <c r="G37" s="1140"/>
      <c r="H37" s="1140"/>
      <c r="I37" s="1141"/>
      <c r="J37" s="1140"/>
      <c r="K37" s="1140"/>
      <c r="L37" s="1141"/>
      <c r="M37" s="1140"/>
      <c r="N37" s="1140"/>
      <c r="O37" s="1141"/>
      <c r="P37" s="1140"/>
      <c r="Q37" s="1140"/>
      <c r="R37" s="1141"/>
      <c r="S37" s="1140"/>
      <c r="T37" s="1142"/>
      <c r="U37" s="1143"/>
      <c r="V37" s="654"/>
      <c r="W37" s="728"/>
    </row>
    <row r="38" spans="1:23" s="631" customFormat="1" ht="40.5" customHeight="1" x14ac:dyDescent="0.35">
      <c r="A38" s="1197" t="str">
        <f>Workplan!C35</f>
        <v>Conduct awareness meetings on SGBV, child protection and general protection of all persons of concern.</v>
      </c>
      <c r="B38" s="1198"/>
      <c r="C38" s="1199"/>
      <c r="D38" s="729">
        <v>3</v>
      </c>
      <c r="E38" s="734"/>
      <c r="F38" s="731">
        <f t="shared" ref="F38:F42" si="16">IF(D38=0,"NA",E38/D38)</f>
        <v>0</v>
      </c>
      <c r="G38" s="768">
        <v>3</v>
      </c>
      <c r="H38" s="733"/>
      <c r="I38" s="731">
        <f t="shared" ref="I38:I42" si="17">IF(G38=0,"NA",H38/G38)</f>
        <v>0</v>
      </c>
      <c r="J38" s="768">
        <v>3</v>
      </c>
      <c r="K38" s="733"/>
      <c r="L38" s="731">
        <f t="shared" ref="L38:L42" si="18">IF(J38=0,"NA",K38/J38)</f>
        <v>0</v>
      </c>
      <c r="M38" s="768">
        <v>3</v>
      </c>
      <c r="N38" s="733"/>
      <c r="O38" s="731">
        <f t="shared" ref="O38:O42" si="19">IF(M38=0,"NA",N38/M38)</f>
        <v>0</v>
      </c>
      <c r="P38" s="735">
        <f>D38+G38+J38+M38</f>
        <v>12</v>
      </c>
      <c r="Q38" s="735">
        <f t="shared" ref="Q38:Q40" si="20">H38+K38+N38</f>
        <v>0</v>
      </c>
      <c r="R38" s="736">
        <f t="shared" ref="R38:R42" si="21">IF(P38=0,"NA",Q38/P38)</f>
        <v>0</v>
      </c>
      <c r="S38" s="769">
        <f t="shared" ref="S38:T40" si="22">P38</f>
        <v>12</v>
      </c>
      <c r="T38" s="769">
        <f t="shared" si="22"/>
        <v>0</v>
      </c>
      <c r="U38" s="737">
        <f t="shared" ref="U38:U42" si="23">IF(S38=0,"NA",T38/S38)</f>
        <v>0</v>
      </c>
      <c r="V38" s="654"/>
      <c r="W38" s="728"/>
    </row>
    <row r="39" spans="1:23" s="631" customFormat="1" ht="30" customHeight="1" x14ac:dyDescent="0.35">
      <c r="A39" s="1197" t="str">
        <f>Workplan!C36</f>
        <v>Produce IEC materials (message bill boards) on SGBV among refugees and host communities.</v>
      </c>
      <c r="B39" s="1198"/>
      <c r="C39" s="1199"/>
      <c r="D39" s="729">
        <v>6</v>
      </c>
      <c r="E39" s="734"/>
      <c r="F39" s="731">
        <f t="shared" si="16"/>
        <v>0</v>
      </c>
      <c r="G39" s="768">
        <v>0</v>
      </c>
      <c r="H39" s="733"/>
      <c r="I39" s="731" t="str">
        <f t="shared" si="17"/>
        <v>NA</v>
      </c>
      <c r="J39" s="729">
        <v>0</v>
      </c>
      <c r="K39" s="734"/>
      <c r="L39" s="731" t="str">
        <f t="shared" si="18"/>
        <v>NA</v>
      </c>
      <c r="M39" s="768">
        <v>0</v>
      </c>
      <c r="N39" s="733"/>
      <c r="O39" s="731" t="str">
        <f t="shared" si="19"/>
        <v>NA</v>
      </c>
      <c r="P39" s="735">
        <f t="shared" ref="P39:P42" si="24">D39+G39+J39+M39</f>
        <v>6</v>
      </c>
      <c r="Q39" s="735">
        <f t="shared" si="20"/>
        <v>0</v>
      </c>
      <c r="R39" s="736">
        <f t="shared" si="21"/>
        <v>0</v>
      </c>
      <c r="S39" s="769">
        <f t="shared" si="22"/>
        <v>6</v>
      </c>
      <c r="T39" s="769">
        <f t="shared" si="22"/>
        <v>0</v>
      </c>
      <c r="U39" s="737">
        <f t="shared" si="23"/>
        <v>0</v>
      </c>
      <c r="V39" s="654"/>
      <c r="W39" s="728"/>
    </row>
    <row r="40" spans="1:23" s="631" customFormat="1" ht="27.75" customHeight="1" x14ac:dyDescent="0.35">
      <c r="A40" s="1197" t="str">
        <f>Workplan!C37</f>
        <v>Provide visibility wear for community protection committees and visibility materials</v>
      </c>
      <c r="B40" s="1198"/>
      <c r="C40" s="1199"/>
      <c r="D40" s="729">
        <v>150</v>
      </c>
      <c r="E40" s="734"/>
      <c r="F40" s="731">
        <f t="shared" si="16"/>
        <v>0</v>
      </c>
      <c r="G40" s="768">
        <v>0</v>
      </c>
      <c r="H40" s="733"/>
      <c r="I40" s="731" t="str">
        <f t="shared" si="17"/>
        <v>NA</v>
      </c>
      <c r="J40" s="729">
        <v>0</v>
      </c>
      <c r="K40" s="734"/>
      <c r="L40" s="731" t="str">
        <f t="shared" si="18"/>
        <v>NA</v>
      </c>
      <c r="M40" s="729">
        <v>0</v>
      </c>
      <c r="N40" s="734"/>
      <c r="O40" s="731" t="str">
        <f t="shared" si="19"/>
        <v>NA</v>
      </c>
      <c r="P40" s="735">
        <f t="shared" si="24"/>
        <v>150</v>
      </c>
      <c r="Q40" s="735">
        <f t="shared" si="20"/>
        <v>0</v>
      </c>
      <c r="R40" s="736">
        <f t="shared" si="21"/>
        <v>0</v>
      </c>
      <c r="S40" s="769">
        <f t="shared" si="22"/>
        <v>150</v>
      </c>
      <c r="T40" s="769">
        <f t="shared" si="22"/>
        <v>0</v>
      </c>
      <c r="U40" s="737">
        <f t="shared" si="23"/>
        <v>0</v>
      </c>
      <c r="V40" s="654"/>
      <c r="W40" s="728"/>
    </row>
    <row r="41" spans="1:23" s="631" customFormat="1" ht="24.75" customHeight="1" x14ac:dyDescent="0.35">
      <c r="A41" s="1197" t="str">
        <f>Workplan!C38</f>
        <v xml:space="preserve">Train the established protection committees to empower them deliver efficient and effective community protection services to all Persons of Concern (POCs) </v>
      </c>
      <c r="B41" s="1198"/>
      <c r="C41" s="1199"/>
      <c r="D41" s="729">
        <v>2</v>
      </c>
      <c r="E41" s="734"/>
      <c r="F41" s="731">
        <f t="shared" si="16"/>
        <v>0</v>
      </c>
      <c r="G41" s="729">
        <v>2</v>
      </c>
      <c r="H41" s="734"/>
      <c r="I41" s="731">
        <f t="shared" si="17"/>
        <v>0</v>
      </c>
      <c r="J41" s="729">
        <v>2</v>
      </c>
      <c r="K41" s="734"/>
      <c r="L41" s="731">
        <f t="shared" si="18"/>
        <v>0</v>
      </c>
      <c r="M41" s="768">
        <v>2</v>
      </c>
      <c r="N41" s="733"/>
      <c r="O41" s="731">
        <f t="shared" si="19"/>
        <v>0</v>
      </c>
      <c r="P41" s="735">
        <f t="shared" si="24"/>
        <v>8</v>
      </c>
      <c r="Q41" s="735">
        <f t="shared" ref="Q41:Q42" si="25">H41+K41+N41</f>
        <v>0</v>
      </c>
      <c r="R41" s="736">
        <f t="shared" si="21"/>
        <v>0</v>
      </c>
      <c r="S41" s="769">
        <f t="shared" ref="S41:T42" si="26">P41</f>
        <v>8</v>
      </c>
      <c r="T41" s="769">
        <f t="shared" si="26"/>
        <v>0</v>
      </c>
      <c r="U41" s="737">
        <f t="shared" si="23"/>
        <v>0</v>
      </c>
      <c r="V41" s="654"/>
      <c r="W41" s="728"/>
    </row>
    <row r="42" spans="1:23" s="631" customFormat="1" ht="24.75" customHeight="1" x14ac:dyDescent="0.35">
      <c r="A42" s="1197" t="str">
        <f>Workplan!C39</f>
        <v xml:space="preserve">Identify SGBV cases and refer them for redress, management and psychosocial support. </v>
      </c>
      <c r="B42" s="1198"/>
      <c r="C42" s="1199"/>
      <c r="D42" s="729">
        <v>50</v>
      </c>
      <c r="E42" s="734"/>
      <c r="F42" s="731">
        <f t="shared" si="16"/>
        <v>0</v>
      </c>
      <c r="G42" s="729">
        <v>50</v>
      </c>
      <c r="H42" s="734"/>
      <c r="I42" s="731">
        <f t="shared" si="17"/>
        <v>0</v>
      </c>
      <c r="J42" s="729">
        <v>50</v>
      </c>
      <c r="K42" s="734"/>
      <c r="L42" s="731">
        <f t="shared" si="18"/>
        <v>0</v>
      </c>
      <c r="M42" s="729">
        <v>50</v>
      </c>
      <c r="N42" s="734"/>
      <c r="O42" s="731">
        <f t="shared" si="19"/>
        <v>0</v>
      </c>
      <c r="P42" s="735">
        <f t="shared" si="24"/>
        <v>200</v>
      </c>
      <c r="Q42" s="735">
        <f t="shared" si="25"/>
        <v>0</v>
      </c>
      <c r="R42" s="736">
        <f t="shared" si="21"/>
        <v>0</v>
      </c>
      <c r="S42" s="769">
        <f t="shared" si="26"/>
        <v>200</v>
      </c>
      <c r="T42" s="769">
        <f t="shared" si="26"/>
        <v>0</v>
      </c>
      <c r="U42" s="737">
        <f t="shared" si="23"/>
        <v>0</v>
      </c>
      <c r="V42" s="654"/>
      <c r="W42" s="728"/>
    </row>
  </sheetData>
  <mergeCells count="53">
    <mergeCell ref="A36:C36"/>
    <mergeCell ref="A27:C27"/>
    <mergeCell ref="A33:C33"/>
    <mergeCell ref="A34:C34"/>
    <mergeCell ref="A28:C28"/>
    <mergeCell ref="A29:C29"/>
    <mergeCell ref="A30:C30"/>
    <mergeCell ref="A31:C31"/>
    <mergeCell ref="A35:C35"/>
    <mergeCell ref="A26:C26"/>
    <mergeCell ref="A16:C16"/>
    <mergeCell ref="A17:C17"/>
    <mergeCell ref="W7:W8"/>
    <mergeCell ref="A10:C10"/>
    <mergeCell ref="A11:C11"/>
    <mergeCell ref="A12:C12"/>
    <mergeCell ref="U7:U8"/>
    <mergeCell ref="V7:V8"/>
    <mergeCell ref="Q7:Q8"/>
    <mergeCell ref="R7:R8"/>
    <mergeCell ref="S7:S8"/>
    <mergeCell ref="T7:T8"/>
    <mergeCell ref="A7:C8"/>
    <mergeCell ref="D7:F7"/>
    <mergeCell ref="G7:I7"/>
    <mergeCell ref="J7:L7"/>
    <mergeCell ref="M7:O7"/>
    <mergeCell ref="P7:P8"/>
    <mergeCell ref="A4:B4"/>
    <mergeCell ref="D4:E4"/>
    <mergeCell ref="J4:K4"/>
    <mergeCell ref="L4:O4"/>
    <mergeCell ref="A5:B5"/>
    <mergeCell ref="D5:E5"/>
    <mergeCell ref="J5:K5"/>
    <mergeCell ref="L5:O5"/>
    <mergeCell ref="A1:O1"/>
    <mergeCell ref="A2:B2"/>
    <mergeCell ref="C2:O2"/>
    <mergeCell ref="A3:B3"/>
    <mergeCell ref="D3:E3"/>
    <mergeCell ref="J3:K3"/>
    <mergeCell ref="L3:O3"/>
    <mergeCell ref="A20:C20"/>
    <mergeCell ref="A21:C21"/>
    <mergeCell ref="A23:C23"/>
    <mergeCell ref="A18:C18"/>
    <mergeCell ref="A24:C24"/>
    <mergeCell ref="A42:C42"/>
    <mergeCell ref="A38:C38"/>
    <mergeCell ref="A39:C39"/>
    <mergeCell ref="A40:C40"/>
    <mergeCell ref="A41:C41"/>
  </mergeCells>
  <conditionalFormatting sqref="F10:F12 I10:I12 L10:L12 O10:O12 R10:R12 U10:U12 F14 I14 L14 O14 R14 U14 F16:F18 I16:I18 L16:L18 O16:O18 R16:R18 U16:U18 F26:F31 I26:I31 L26:L31 O26:O31 R26:R31 U26:U31 F33:F36 I33:I36 L33:L36 O33:O36 R33:R36 U33:U36">
    <cfRule type="cellIs" dxfId="15" priority="37" operator="equal">
      <formula>"NA"</formula>
    </cfRule>
    <cfRule type="cellIs" dxfId="14" priority="38" operator="between">
      <formula>0.76</formula>
      <formula>1.24</formula>
    </cfRule>
    <cfRule type="cellIs" dxfId="13" priority="39" operator="lessThan">
      <formula>0.75</formula>
    </cfRule>
    <cfRule type="cellIs" dxfId="12" priority="40" operator="greaterThan">
      <formula>1.25</formula>
    </cfRule>
  </conditionalFormatting>
  <conditionalFormatting sqref="F20:F21 I20:I21 L20:L21 O20:O21 R20:R21 U20:U21">
    <cfRule type="cellIs" dxfId="11" priority="29" operator="equal">
      <formula>"NA"</formula>
    </cfRule>
    <cfRule type="cellIs" dxfId="10" priority="30" operator="between">
      <formula>0.76</formula>
      <formula>1.24</formula>
    </cfRule>
    <cfRule type="cellIs" dxfId="9" priority="31" operator="lessThan">
      <formula>0.75</formula>
    </cfRule>
    <cfRule type="cellIs" dxfId="8" priority="32" operator="greaterThan">
      <formula>1.25</formula>
    </cfRule>
  </conditionalFormatting>
  <conditionalFormatting sqref="F23:F24 I23:I24 L23:L24 O23:O24 R23:R24 U23:U24">
    <cfRule type="cellIs" dxfId="7" priority="25" operator="equal">
      <formula>"NA"</formula>
    </cfRule>
    <cfRule type="cellIs" dxfId="6" priority="26" operator="between">
      <formula>0.76</formula>
      <formula>1.24</formula>
    </cfRule>
    <cfRule type="cellIs" dxfId="5" priority="27" operator="lessThan">
      <formula>0.75</formula>
    </cfRule>
    <cfRule type="cellIs" dxfId="4" priority="28" operator="greaterThan">
      <formula>1.25</formula>
    </cfRule>
  </conditionalFormatting>
  <conditionalFormatting sqref="F38:F42 I38:I42 L38:L42 O38:O42 R38:R42 U38:U42">
    <cfRule type="cellIs" dxfId="3" priority="13" operator="equal">
      <formula>"NA"</formula>
    </cfRule>
    <cfRule type="cellIs" dxfId="2" priority="14" operator="between">
      <formula>0.76</formula>
      <formula>1.24</formula>
    </cfRule>
    <cfRule type="cellIs" dxfId="1" priority="15" operator="lessThan">
      <formula>0.75</formula>
    </cfRule>
    <cfRule type="cellIs" dxfId="0" priority="16" operator="greaterThan">
      <formula>1.25</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5</vt:i4>
      </vt:variant>
    </vt:vector>
  </HeadingPairs>
  <TitlesOfParts>
    <vt:vector size="22" baseType="lpstr">
      <vt:lpstr>a. Problem Tree Documentation.</vt:lpstr>
      <vt:lpstr>b. Problems to Objectives</vt:lpstr>
      <vt:lpstr>c. Results Framework</vt:lpstr>
      <vt:lpstr>d. LogFrame</vt:lpstr>
      <vt:lpstr>Detail M&amp;E Plan Instructions</vt:lpstr>
      <vt:lpstr>M&amp;E Matrix Description</vt:lpstr>
      <vt:lpstr>M&amp;E Matrix Cheat Sheet</vt:lpstr>
      <vt:lpstr>M&amp;E Matrix Example </vt:lpstr>
      <vt:lpstr>M&amp;E Matrix</vt:lpstr>
      <vt:lpstr>Baseline Table Description</vt:lpstr>
      <vt:lpstr>Baseline Table Cheat Sheet</vt:lpstr>
      <vt:lpstr>Baseline Table</vt:lpstr>
      <vt:lpstr>ITT Description</vt:lpstr>
      <vt:lpstr>ITT"RESULTS Livelihoods" Year 1</vt:lpstr>
      <vt:lpstr>Workplan</vt:lpstr>
      <vt:lpstr>ATT Description</vt:lpstr>
      <vt:lpstr>ATT "RESULTS Livelihoods"Year 1</vt:lpstr>
      <vt:lpstr>'a. Problem Tree Documentation.'!Print_Area</vt:lpstr>
      <vt:lpstr>'b. Problems to Objectives'!Print_Area</vt:lpstr>
      <vt:lpstr>'c. Results Framework'!Print_Area</vt:lpstr>
      <vt:lpstr>'d. LogFrame'!Print_Area</vt:lpstr>
      <vt:lpstr>Workplan!Print_Area</vt:lpstr>
    </vt:vector>
  </TitlesOfParts>
  <Company>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Wesley Laytham</dc:creator>
  <cp:lastModifiedBy>Steven Wamono Bwayo</cp:lastModifiedBy>
  <cp:lastPrinted>2013-06-26T15:00:02Z</cp:lastPrinted>
  <dcterms:created xsi:type="dcterms:W3CDTF">2010-10-02T11:45:26Z</dcterms:created>
  <dcterms:modified xsi:type="dcterms:W3CDTF">2025-12-08T08:31:56Z</dcterms:modified>
</cp:coreProperties>
</file>