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200" windowHeight="6930" firstSheet="1" activeTab="1"/>
  </bookViews>
  <sheets>
    <sheet name="Summary Dashboard" sheetId="6" r:id="rId1"/>
    <sheet name="Activity Tracking Table" sheetId="5" r:id="rId2"/>
    <sheet name="Sheet3" sheetId="11" r:id="rId3"/>
    <sheet name="GBV Referrals " sheetId="8" r:id="rId4"/>
    <sheet name="Sheet2" sheetId="9" r:id="rId5"/>
    <sheet name="Results Based Framework" sheetId="4" r:id="rId6"/>
    <sheet name="Sheet1" sheetId="7" r:id="rId7"/>
    <sheet name="Sheet4" sheetId="12" r:id="rId8"/>
    <sheet name="Sheet 3" sheetId="2" r:id="rId9"/>
    <sheet name="Sheet 2" sheetId="1" r:id="rId10"/>
    <sheet name="Form1" sheetId="10" r:id="rId1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K35" i="5" l="1"/>
  <c r="KB34" i="5"/>
  <c r="KK34" i="5"/>
  <c r="KA30" i="5"/>
  <c r="KB30" i="5"/>
  <c r="KC30" i="5"/>
  <c r="KD30" i="5"/>
  <c r="KE30" i="5"/>
  <c r="KF30" i="5"/>
  <c r="KA31" i="5"/>
  <c r="KB31" i="5"/>
  <c r="KC31" i="5"/>
  <c r="KD31" i="5"/>
  <c r="KE31" i="5"/>
  <c r="KF31" i="5"/>
  <c r="KA32" i="5"/>
  <c r="KB32" i="5"/>
  <c r="KC32" i="5"/>
  <c r="KD32" i="5"/>
  <c r="KE32" i="5"/>
  <c r="KF32" i="5"/>
  <c r="KA33" i="5"/>
  <c r="KB33" i="5"/>
  <c r="KC33" i="5"/>
  <c r="KD33" i="5"/>
  <c r="KE33" i="5"/>
  <c r="KF33" i="5"/>
  <c r="KA34" i="5"/>
  <c r="KC34" i="5"/>
  <c r="KD34" i="5"/>
  <c r="KE34" i="5"/>
  <c r="KF34" i="5"/>
  <c r="KA35" i="5"/>
  <c r="KB35" i="5"/>
  <c r="KC35" i="5"/>
  <c r="KD35" i="5"/>
  <c r="KE35" i="5"/>
  <c r="KF35" i="5"/>
  <c r="KA36" i="5"/>
  <c r="KB36" i="5"/>
  <c r="KC36" i="5"/>
  <c r="KD36" i="5"/>
  <c r="KE36" i="5"/>
  <c r="KF36" i="5"/>
  <c r="KA37" i="5"/>
  <c r="KB37" i="5"/>
  <c r="KC37" i="5"/>
  <c r="KD37" i="5"/>
  <c r="KE37" i="5"/>
  <c r="KF37" i="5"/>
  <c r="KK63" i="5"/>
  <c r="GM43" i="5"/>
  <c r="GJ43" i="5"/>
  <c r="HZ44" i="5"/>
  <c r="HW44" i="5"/>
  <c r="HZ33" i="5"/>
  <c r="HZ34" i="5"/>
  <c r="HZ35" i="5"/>
  <c r="HZ36" i="5"/>
  <c r="HZ37" i="5"/>
  <c r="HZ38" i="5"/>
  <c r="HZ39" i="5"/>
  <c r="HZ40" i="5"/>
  <c r="HZ41" i="5"/>
  <c r="HZ42" i="5"/>
  <c r="HZ43" i="5"/>
  <c r="HZ45" i="5"/>
  <c r="HZ46" i="5"/>
  <c r="HZ47" i="5"/>
  <c r="HZ48" i="5"/>
  <c r="HZ49" i="5"/>
  <c r="HZ50" i="5"/>
  <c r="HZ51" i="5"/>
  <c r="HZ52" i="5"/>
  <c r="HZ53" i="5"/>
  <c r="HZ54" i="5"/>
  <c r="HZ55" i="5"/>
  <c r="HZ56" i="5"/>
  <c r="HZ57" i="5"/>
  <c r="HZ58" i="5"/>
  <c r="HZ59" i="5"/>
  <c r="HZ60" i="5"/>
  <c r="HZ61" i="5"/>
  <c r="HZ62" i="5"/>
  <c r="HZ63" i="5"/>
  <c r="HZ64" i="5"/>
  <c r="HZ65" i="5"/>
  <c r="HZ66" i="5"/>
  <c r="HZ67" i="5"/>
  <c r="HZ68" i="5"/>
  <c r="HZ69" i="5"/>
  <c r="HZ70" i="5"/>
  <c r="HZ71" i="5"/>
  <c r="HZ72" i="5"/>
  <c r="HZ73" i="5"/>
  <c r="HZ74" i="5"/>
  <c r="HZ75" i="5"/>
  <c r="HZ76" i="5"/>
  <c r="HZ77" i="5"/>
  <c r="HZ78" i="5"/>
  <c r="HZ79" i="5"/>
  <c r="HW33" i="5"/>
  <c r="HW34" i="5"/>
  <c r="HW35" i="5"/>
  <c r="HW36" i="5"/>
  <c r="HW37" i="5"/>
  <c r="HW38" i="5"/>
  <c r="HW39" i="5"/>
  <c r="HW40" i="5"/>
  <c r="HW41" i="5"/>
  <c r="HW42" i="5"/>
  <c r="HW43" i="5"/>
  <c r="HW45" i="5"/>
  <c r="HW46" i="5"/>
  <c r="HW47" i="5"/>
  <c r="HW48" i="5"/>
  <c r="HW49" i="5"/>
  <c r="HW50" i="5"/>
  <c r="HW51" i="5"/>
  <c r="HW52" i="5"/>
  <c r="HW53" i="5"/>
  <c r="HW54" i="5"/>
  <c r="HW55" i="5"/>
  <c r="HW56" i="5"/>
  <c r="HW57" i="5"/>
  <c r="HW58" i="5"/>
  <c r="HW59" i="5"/>
  <c r="HW60" i="5"/>
  <c r="HW61" i="5"/>
  <c r="HW62" i="5"/>
  <c r="HW63" i="5"/>
  <c r="HW64" i="5"/>
  <c r="HW65" i="5"/>
  <c r="HW66" i="5"/>
  <c r="HW67" i="5"/>
  <c r="HW68" i="5"/>
  <c r="HW69" i="5"/>
  <c r="HW70" i="5"/>
  <c r="HW71" i="5"/>
  <c r="HW72" i="5"/>
  <c r="HW73" i="5"/>
  <c r="HW74" i="5"/>
  <c r="HW75" i="5"/>
  <c r="HW76" i="5"/>
  <c r="HW77" i="5"/>
  <c r="HW78" i="5"/>
  <c r="HW79" i="5"/>
  <c r="IA5" i="5"/>
  <c r="IB5" i="5"/>
  <c r="IC5" i="5"/>
  <c r="IA6" i="5"/>
  <c r="IB6" i="5"/>
  <c r="IC6" i="5"/>
  <c r="IA7" i="5"/>
  <c r="IB7" i="5"/>
  <c r="IC7" i="5"/>
  <c r="IA8" i="5"/>
  <c r="IB8" i="5"/>
  <c r="IC8" i="5"/>
  <c r="IA9" i="5"/>
  <c r="IB9" i="5"/>
  <c r="IC9" i="5"/>
  <c r="IA10" i="5"/>
  <c r="IB10" i="5"/>
  <c r="IC10" i="5"/>
  <c r="IA11" i="5"/>
  <c r="IB11" i="5"/>
  <c r="IC11" i="5"/>
  <c r="IA12" i="5"/>
  <c r="IB12" i="5"/>
  <c r="IC12" i="5"/>
  <c r="IA13" i="5"/>
  <c r="IB13" i="5"/>
  <c r="IC13" i="5"/>
  <c r="IA14" i="5"/>
  <c r="IB14" i="5"/>
  <c r="IC14" i="5"/>
  <c r="IA15" i="5"/>
  <c r="IB15" i="5"/>
  <c r="IC15" i="5"/>
  <c r="IA16" i="5"/>
  <c r="IB16" i="5"/>
  <c r="IC16" i="5"/>
  <c r="IA17" i="5"/>
  <c r="IB17" i="5"/>
  <c r="IC17" i="5"/>
  <c r="IA18" i="5"/>
  <c r="IB18" i="5"/>
  <c r="IC18" i="5"/>
  <c r="IA19" i="5"/>
  <c r="IB19" i="5"/>
  <c r="IC19" i="5"/>
  <c r="IA20" i="5"/>
  <c r="IB20" i="5"/>
  <c r="IC20" i="5"/>
  <c r="IA21" i="5"/>
  <c r="IB21" i="5"/>
  <c r="IC21" i="5"/>
  <c r="IA22" i="5"/>
  <c r="IB22" i="5"/>
  <c r="IC22" i="5"/>
  <c r="IA23" i="5"/>
  <c r="IB23" i="5"/>
  <c r="IC23" i="5"/>
  <c r="IA24" i="5"/>
  <c r="IB24" i="5"/>
  <c r="IC24" i="5"/>
  <c r="IA25" i="5"/>
  <c r="IB25" i="5"/>
  <c r="IC25" i="5"/>
  <c r="IA26" i="5"/>
  <c r="IB26" i="5"/>
  <c r="IC26" i="5"/>
  <c r="IA27" i="5"/>
  <c r="IB27" i="5"/>
  <c r="IC27" i="5"/>
  <c r="IA28" i="5"/>
  <c r="IB28" i="5"/>
  <c r="IC28" i="5"/>
  <c r="IA29" i="5"/>
  <c r="IB29" i="5"/>
  <c r="IC29" i="5"/>
  <c r="IA30" i="5"/>
  <c r="IB30" i="5"/>
  <c r="IC30" i="5"/>
  <c r="IA31" i="5"/>
  <c r="IB31" i="5"/>
  <c r="IC31" i="5"/>
  <c r="IA32" i="5"/>
  <c r="IB32" i="5"/>
  <c r="IC32" i="5"/>
  <c r="IA33" i="5"/>
  <c r="IB33" i="5"/>
  <c r="IC33" i="5"/>
  <c r="IA34" i="5"/>
  <c r="IB34" i="5"/>
  <c r="IC34" i="5"/>
  <c r="IA35" i="5"/>
  <c r="IB35" i="5"/>
  <c r="IC35" i="5"/>
  <c r="IA36" i="5"/>
  <c r="IB36" i="5"/>
  <c r="IC36" i="5"/>
  <c r="IA37" i="5"/>
  <c r="IB37" i="5"/>
  <c r="IC37" i="5"/>
  <c r="IA38" i="5"/>
  <c r="IB38" i="5"/>
  <c r="IC38" i="5"/>
  <c r="IA39" i="5"/>
  <c r="IB39" i="5"/>
  <c r="IC39" i="5"/>
  <c r="IA40" i="5"/>
  <c r="IB40" i="5"/>
  <c r="IC40" i="5"/>
  <c r="IA41" i="5"/>
  <c r="IB41" i="5"/>
  <c r="IC41" i="5"/>
  <c r="IA42" i="5"/>
  <c r="IB42" i="5"/>
  <c r="IC42" i="5"/>
  <c r="IA43" i="5"/>
  <c r="IB43" i="5"/>
  <c r="IC43" i="5"/>
  <c r="IA45" i="5"/>
  <c r="IB45" i="5"/>
  <c r="IC45" i="5"/>
  <c r="IA46" i="5"/>
  <c r="IB46" i="5"/>
  <c r="IC46" i="5"/>
  <c r="IA47" i="5"/>
  <c r="IB47" i="5"/>
  <c r="IC47" i="5"/>
  <c r="IA48" i="5"/>
  <c r="IB48" i="5"/>
  <c r="IC48" i="5"/>
  <c r="IA49" i="5"/>
  <c r="IB49" i="5"/>
  <c r="IC49" i="5"/>
  <c r="IA50" i="5"/>
  <c r="IB50" i="5"/>
  <c r="IC50" i="5"/>
  <c r="IA51" i="5"/>
  <c r="IB51" i="5"/>
  <c r="IC51" i="5"/>
  <c r="IA52" i="5"/>
  <c r="IB52" i="5"/>
  <c r="IC52" i="5"/>
  <c r="IA53" i="5"/>
  <c r="IB53" i="5"/>
  <c r="IC53" i="5"/>
  <c r="IA54" i="5"/>
  <c r="IB54" i="5"/>
  <c r="IC54" i="5"/>
  <c r="IA55" i="5"/>
  <c r="IB55" i="5"/>
  <c r="IC55" i="5"/>
  <c r="IA56" i="5"/>
  <c r="IB56" i="5"/>
  <c r="IC56" i="5"/>
  <c r="IA57" i="5"/>
  <c r="IB57" i="5"/>
  <c r="IC57" i="5"/>
  <c r="IA58" i="5"/>
  <c r="IB58" i="5"/>
  <c r="IC58" i="5"/>
  <c r="IA59" i="5"/>
  <c r="IB59" i="5"/>
  <c r="IC59" i="5"/>
  <c r="IA60" i="5"/>
  <c r="IB60" i="5"/>
  <c r="IC60" i="5"/>
  <c r="IA61" i="5"/>
  <c r="IB61" i="5"/>
  <c r="IC61" i="5"/>
  <c r="IA62" i="5"/>
  <c r="IB62" i="5"/>
  <c r="IC62" i="5"/>
  <c r="IA63" i="5"/>
  <c r="IB63" i="5"/>
  <c r="IC63" i="5"/>
  <c r="IA64" i="5"/>
  <c r="IB64" i="5"/>
  <c r="IC64" i="5"/>
  <c r="IA65" i="5"/>
  <c r="IB65" i="5"/>
  <c r="IC65" i="5"/>
  <c r="IA66" i="5"/>
  <c r="IB66" i="5"/>
  <c r="IC66" i="5"/>
  <c r="IA67" i="5"/>
  <c r="IB67" i="5"/>
  <c r="IC67" i="5"/>
  <c r="IA68" i="5"/>
  <c r="IB68" i="5"/>
  <c r="IC68" i="5"/>
  <c r="IA69" i="5"/>
  <c r="IB69" i="5"/>
  <c r="IC69" i="5"/>
  <c r="IA70" i="5"/>
  <c r="IB70" i="5"/>
  <c r="IC70" i="5"/>
  <c r="IA71" i="5"/>
  <c r="IB71" i="5"/>
  <c r="IC71" i="5"/>
  <c r="IA72" i="5"/>
  <c r="IB72" i="5"/>
  <c r="IC72" i="5"/>
  <c r="IA73" i="5"/>
  <c r="IB73" i="5"/>
  <c r="IC73" i="5"/>
  <c r="IA74" i="5"/>
  <c r="IB74" i="5"/>
  <c r="IC74" i="5"/>
  <c r="IA75" i="5"/>
  <c r="IB75" i="5"/>
  <c r="IC75" i="5"/>
  <c r="IA76" i="5"/>
  <c r="IB76" i="5"/>
  <c r="IC76" i="5"/>
  <c r="IA77" i="5"/>
  <c r="IB77" i="5"/>
  <c r="IC77" i="5"/>
  <c r="IA78" i="5"/>
  <c r="IB78" i="5"/>
  <c r="IC78" i="5"/>
  <c r="IA79" i="5"/>
  <c r="IB79" i="5"/>
  <c r="IC79" i="5"/>
  <c r="HZ5" i="5"/>
  <c r="HZ6" i="5"/>
  <c r="HZ7" i="5"/>
  <c r="HZ8" i="5"/>
  <c r="HZ9" i="5"/>
  <c r="HZ10" i="5"/>
  <c r="HZ11" i="5"/>
  <c r="HZ12" i="5"/>
  <c r="HZ13" i="5"/>
  <c r="HZ14" i="5"/>
  <c r="HZ15" i="5"/>
  <c r="HZ16" i="5"/>
  <c r="HZ17" i="5"/>
  <c r="HZ18" i="5"/>
  <c r="HZ19" i="5"/>
  <c r="HZ20" i="5"/>
  <c r="HZ21" i="5"/>
  <c r="HZ22" i="5"/>
  <c r="HZ23" i="5"/>
  <c r="HZ24" i="5"/>
  <c r="HZ25" i="5"/>
  <c r="HZ26" i="5"/>
  <c r="HZ27" i="5"/>
  <c r="HZ28" i="5"/>
  <c r="HZ29" i="5"/>
  <c r="HZ30" i="5"/>
  <c r="HZ31" i="5"/>
  <c r="HZ32" i="5"/>
  <c r="HW5" i="5"/>
  <c r="HW6" i="5"/>
  <c r="HW7" i="5"/>
  <c r="HW8" i="5"/>
  <c r="HW9" i="5"/>
  <c r="HW10" i="5"/>
  <c r="HW11" i="5"/>
  <c r="HW12" i="5"/>
  <c r="HW13" i="5"/>
  <c r="HW14" i="5"/>
  <c r="HW15" i="5"/>
  <c r="HW16" i="5"/>
  <c r="HW17" i="5"/>
  <c r="HW18" i="5"/>
  <c r="HW19" i="5"/>
  <c r="HW20" i="5"/>
  <c r="HW21" i="5"/>
  <c r="HW22" i="5"/>
  <c r="HW23" i="5"/>
  <c r="HW24" i="5"/>
  <c r="HW25" i="5"/>
  <c r="HW26" i="5"/>
  <c r="HW27" i="5"/>
  <c r="HW28" i="5"/>
  <c r="HW29" i="5"/>
  <c r="HW30" i="5"/>
  <c r="HW31" i="5"/>
  <c r="HW32" i="5"/>
  <c r="IB4" i="5"/>
  <c r="IA4" i="5"/>
  <c r="IC4" i="5" s="1"/>
  <c r="HZ4" i="5"/>
  <c r="HW4" i="5"/>
  <c r="T25" i="8"/>
  <c r="U25" i="8"/>
  <c r="HD5" i="5"/>
  <c r="HE5" i="5"/>
  <c r="HF5" i="5"/>
  <c r="HD6" i="5"/>
  <c r="HE6" i="5"/>
  <c r="HF6" i="5"/>
  <c r="HD7" i="5"/>
  <c r="HE7" i="5"/>
  <c r="HF7" i="5"/>
  <c r="HD8" i="5"/>
  <c r="HE8" i="5"/>
  <c r="HF8" i="5"/>
  <c r="HD9" i="5"/>
  <c r="HE9" i="5"/>
  <c r="HF9" i="5"/>
  <c r="HD10" i="5"/>
  <c r="HE10" i="5"/>
  <c r="HF10" i="5"/>
  <c r="HD11" i="5"/>
  <c r="HE11" i="5"/>
  <c r="HF11" i="5"/>
  <c r="HD12" i="5"/>
  <c r="HE12" i="5"/>
  <c r="HF12" i="5"/>
  <c r="HD13" i="5"/>
  <c r="HE13" i="5"/>
  <c r="HF13" i="5"/>
  <c r="HD14" i="5"/>
  <c r="HE14" i="5"/>
  <c r="HF14" i="5"/>
  <c r="HD15" i="5"/>
  <c r="HE15" i="5"/>
  <c r="HF15" i="5"/>
  <c r="HD16" i="5"/>
  <c r="HE16" i="5"/>
  <c r="HF16" i="5"/>
  <c r="HD17" i="5"/>
  <c r="HE17" i="5"/>
  <c r="HF17" i="5"/>
  <c r="HD18" i="5"/>
  <c r="HE18" i="5"/>
  <c r="HF18" i="5"/>
  <c r="HD19" i="5"/>
  <c r="HE19" i="5"/>
  <c r="HF19" i="5"/>
  <c r="HD20" i="5"/>
  <c r="HE20" i="5"/>
  <c r="HF20" i="5"/>
  <c r="HD21" i="5"/>
  <c r="HE21" i="5"/>
  <c r="HF21" i="5"/>
  <c r="HD22" i="5"/>
  <c r="HE22" i="5"/>
  <c r="HF22" i="5"/>
  <c r="HD23" i="5"/>
  <c r="HE23" i="5"/>
  <c r="HF23" i="5"/>
  <c r="HD24" i="5"/>
  <c r="HE24" i="5"/>
  <c r="HF24" i="5"/>
  <c r="HD25" i="5"/>
  <c r="HE25" i="5"/>
  <c r="HF25" i="5"/>
  <c r="HD26" i="5"/>
  <c r="HE26" i="5"/>
  <c r="HF26" i="5"/>
  <c r="HD27" i="5"/>
  <c r="HE27" i="5"/>
  <c r="HF27" i="5"/>
  <c r="HD28" i="5"/>
  <c r="HE28" i="5"/>
  <c r="HF28" i="5"/>
  <c r="HD29" i="5"/>
  <c r="HE29" i="5"/>
  <c r="HF29" i="5"/>
  <c r="HD30" i="5"/>
  <c r="HE30" i="5"/>
  <c r="HF30" i="5"/>
  <c r="HD31" i="5"/>
  <c r="HE31" i="5"/>
  <c r="HF31" i="5"/>
  <c r="HD32" i="5"/>
  <c r="HE32" i="5"/>
  <c r="HF32" i="5"/>
  <c r="HD34" i="5"/>
  <c r="HE34" i="5"/>
  <c r="HF34" i="5"/>
  <c r="HD35" i="5"/>
  <c r="HE35" i="5"/>
  <c r="HF35" i="5"/>
  <c r="HD36" i="5"/>
  <c r="HE36" i="5"/>
  <c r="HF36" i="5"/>
  <c r="HD37" i="5"/>
  <c r="HE37" i="5"/>
  <c r="HF37" i="5"/>
  <c r="HD38" i="5"/>
  <c r="HE38" i="5"/>
  <c r="HF38" i="5"/>
  <c r="HD39" i="5"/>
  <c r="HE39" i="5"/>
  <c r="HF39" i="5"/>
  <c r="HD40" i="5"/>
  <c r="HE40" i="5"/>
  <c r="HF40" i="5"/>
  <c r="HD41" i="5"/>
  <c r="HE41" i="5"/>
  <c r="HF41" i="5"/>
  <c r="HD42" i="5"/>
  <c r="HE42" i="5"/>
  <c r="HF42" i="5"/>
  <c r="HD43" i="5"/>
  <c r="HE43" i="5"/>
  <c r="HF43" i="5"/>
  <c r="HD45" i="5"/>
  <c r="HE45" i="5"/>
  <c r="HF45" i="5"/>
  <c r="HD46" i="5"/>
  <c r="HE46" i="5"/>
  <c r="HF46" i="5"/>
  <c r="HD47" i="5"/>
  <c r="HE47" i="5"/>
  <c r="HF47" i="5"/>
  <c r="HD48" i="5"/>
  <c r="HE48" i="5"/>
  <c r="HF48" i="5"/>
  <c r="HD49" i="5"/>
  <c r="HE49" i="5"/>
  <c r="HF49" i="5"/>
  <c r="HD50" i="5"/>
  <c r="HE50" i="5"/>
  <c r="HF50" i="5"/>
  <c r="HD51" i="5"/>
  <c r="HE51" i="5"/>
  <c r="HF51" i="5"/>
  <c r="HD52" i="5"/>
  <c r="HE52" i="5"/>
  <c r="HF52" i="5"/>
  <c r="HD54" i="5"/>
  <c r="HE54" i="5"/>
  <c r="HF54" i="5"/>
  <c r="HD55" i="5"/>
  <c r="HE55" i="5"/>
  <c r="HF55" i="5"/>
  <c r="HD56" i="5"/>
  <c r="HE56" i="5"/>
  <c r="HF56" i="5"/>
  <c r="HD57" i="5"/>
  <c r="HE57" i="5"/>
  <c r="HF57" i="5"/>
  <c r="HD58" i="5"/>
  <c r="HE58" i="5"/>
  <c r="HF58" i="5"/>
  <c r="HD59" i="5"/>
  <c r="HE59" i="5"/>
  <c r="HF59" i="5"/>
  <c r="HD60" i="5"/>
  <c r="HE60" i="5"/>
  <c r="HF60" i="5"/>
  <c r="HD61" i="5"/>
  <c r="HE61" i="5"/>
  <c r="HF61" i="5"/>
  <c r="HD62" i="5"/>
  <c r="HE62" i="5"/>
  <c r="HF62" i="5"/>
  <c r="HD63" i="5"/>
  <c r="HE63" i="5"/>
  <c r="HF63" i="5"/>
  <c r="HD64" i="5"/>
  <c r="HE64" i="5"/>
  <c r="HF64" i="5"/>
  <c r="HD65" i="5"/>
  <c r="HE65" i="5"/>
  <c r="HF65" i="5"/>
  <c r="HD66" i="5"/>
  <c r="HE66" i="5"/>
  <c r="HF66" i="5"/>
  <c r="HD67" i="5"/>
  <c r="HE67" i="5"/>
  <c r="HF67" i="5"/>
  <c r="HD68" i="5"/>
  <c r="HE68" i="5"/>
  <c r="HF68" i="5"/>
  <c r="HD69" i="5"/>
  <c r="HE69" i="5"/>
  <c r="HF69" i="5"/>
  <c r="HD70" i="5"/>
  <c r="HE70" i="5"/>
  <c r="HF70" i="5"/>
  <c r="HD71" i="5"/>
  <c r="HE71" i="5"/>
  <c r="HF71" i="5"/>
  <c r="HD72" i="5"/>
  <c r="HE72" i="5"/>
  <c r="HF72" i="5"/>
  <c r="HD73" i="5"/>
  <c r="HE73" i="5"/>
  <c r="HF73" i="5"/>
  <c r="HD74" i="5"/>
  <c r="HE74" i="5"/>
  <c r="HF74" i="5"/>
  <c r="HD75" i="5"/>
  <c r="HE75" i="5"/>
  <c r="HF75" i="5"/>
  <c r="HD76" i="5"/>
  <c r="HE76" i="5"/>
  <c r="HF76" i="5"/>
  <c r="HD78" i="5"/>
  <c r="HE78" i="5"/>
  <c r="HF78" i="5"/>
  <c r="HD79" i="5"/>
  <c r="HE79" i="5"/>
  <c r="HF79" i="5"/>
  <c r="HE4" i="5"/>
  <c r="HD4" i="5"/>
  <c r="HF4" i="5" s="1"/>
  <c r="HC5" i="5"/>
  <c r="HC6" i="5"/>
  <c r="HC7" i="5"/>
  <c r="HC8" i="5"/>
  <c r="HC9" i="5"/>
  <c r="HC10" i="5"/>
  <c r="HC11" i="5"/>
  <c r="HC12" i="5"/>
  <c r="HC13" i="5"/>
  <c r="HC14" i="5"/>
  <c r="HC15" i="5"/>
  <c r="HC16" i="5"/>
  <c r="HC17" i="5"/>
  <c r="HC18" i="5"/>
  <c r="HC19" i="5"/>
  <c r="HC20" i="5"/>
  <c r="HC21" i="5"/>
  <c r="HC22" i="5"/>
  <c r="HC23" i="5"/>
  <c r="HC24" i="5"/>
  <c r="HC25" i="5"/>
  <c r="HC26" i="5"/>
  <c r="HC27" i="5"/>
  <c r="HC28" i="5"/>
  <c r="HC29" i="5"/>
  <c r="HC30" i="5"/>
  <c r="HC31" i="5"/>
  <c r="HC32" i="5"/>
  <c r="HC34" i="5"/>
  <c r="HC35" i="5"/>
  <c r="HC36" i="5"/>
  <c r="HC37" i="5"/>
  <c r="HC38" i="5"/>
  <c r="HC39" i="5"/>
  <c r="HC40" i="5"/>
  <c r="HC41" i="5"/>
  <c r="HC42" i="5"/>
  <c r="HC43" i="5"/>
  <c r="HC45" i="5"/>
  <c r="HC46" i="5"/>
  <c r="HC47" i="5"/>
  <c r="HC48" i="5"/>
  <c r="HC49" i="5"/>
  <c r="HC50" i="5"/>
  <c r="HC51" i="5"/>
  <c r="HC52" i="5"/>
  <c r="HC54" i="5"/>
  <c r="HC55" i="5"/>
  <c r="HC56" i="5"/>
  <c r="HC57" i="5"/>
  <c r="HC58" i="5"/>
  <c r="HC59" i="5"/>
  <c r="HC60" i="5"/>
  <c r="HC61" i="5"/>
  <c r="HC62" i="5"/>
  <c r="HC63" i="5"/>
  <c r="HC64" i="5"/>
  <c r="HC65" i="5"/>
  <c r="HC66" i="5"/>
  <c r="HC67" i="5"/>
  <c r="HC68" i="5"/>
  <c r="HC69" i="5"/>
  <c r="HC70" i="5"/>
  <c r="HC71" i="5"/>
  <c r="HC72" i="5"/>
  <c r="HC73" i="5"/>
  <c r="HC74" i="5"/>
  <c r="HC75" i="5"/>
  <c r="HC76" i="5"/>
  <c r="HC78" i="5"/>
  <c r="HC79" i="5"/>
  <c r="GZ5" i="5"/>
  <c r="GZ6" i="5"/>
  <c r="GZ7" i="5"/>
  <c r="GZ8" i="5"/>
  <c r="GZ9" i="5"/>
  <c r="GZ10" i="5"/>
  <c r="GZ11" i="5"/>
  <c r="GZ12" i="5"/>
  <c r="GZ13" i="5"/>
  <c r="GZ14" i="5"/>
  <c r="GZ15" i="5"/>
  <c r="GZ16" i="5"/>
  <c r="GZ17" i="5"/>
  <c r="GZ18" i="5"/>
  <c r="GZ19" i="5"/>
  <c r="GZ20" i="5"/>
  <c r="GZ21" i="5"/>
  <c r="GZ22" i="5"/>
  <c r="GZ23" i="5"/>
  <c r="GZ24" i="5"/>
  <c r="GZ25" i="5"/>
  <c r="GZ26" i="5"/>
  <c r="GZ27" i="5"/>
  <c r="GZ28" i="5"/>
  <c r="GZ29" i="5"/>
  <c r="GZ30" i="5"/>
  <c r="GZ31" i="5"/>
  <c r="GZ32" i="5"/>
  <c r="GZ34" i="5"/>
  <c r="GZ35" i="5"/>
  <c r="GZ36" i="5"/>
  <c r="GZ37" i="5"/>
  <c r="GZ38" i="5"/>
  <c r="GZ39" i="5"/>
  <c r="GZ40" i="5"/>
  <c r="GZ41" i="5"/>
  <c r="GZ42" i="5"/>
  <c r="GZ43" i="5"/>
  <c r="GZ45" i="5"/>
  <c r="GZ46" i="5"/>
  <c r="GZ47" i="5"/>
  <c r="GZ48" i="5"/>
  <c r="GZ49" i="5"/>
  <c r="GZ50" i="5"/>
  <c r="GZ51" i="5"/>
  <c r="GZ52" i="5"/>
  <c r="GZ54" i="5"/>
  <c r="GZ55" i="5"/>
  <c r="GZ56" i="5"/>
  <c r="GZ57" i="5"/>
  <c r="GZ58" i="5"/>
  <c r="GZ59" i="5"/>
  <c r="GZ60" i="5"/>
  <c r="GZ61" i="5"/>
  <c r="GZ62" i="5"/>
  <c r="GZ63" i="5"/>
  <c r="GZ64" i="5"/>
  <c r="GZ65" i="5"/>
  <c r="GZ66" i="5"/>
  <c r="GZ67" i="5"/>
  <c r="GZ68" i="5"/>
  <c r="GZ69" i="5"/>
  <c r="GZ70" i="5"/>
  <c r="GZ71" i="5"/>
  <c r="GZ72" i="5"/>
  <c r="GZ73" i="5"/>
  <c r="GZ74" i="5"/>
  <c r="GZ75" i="5"/>
  <c r="GZ76" i="5"/>
  <c r="GZ78" i="5"/>
  <c r="GZ79" i="5"/>
  <c r="HC4" i="5"/>
  <c r="GZ4" i="5"/>
  <c r="HN30" i="5"/>
  <c r="DA30" i="5"/>
  <c r="AW30" i="5"/>
  <c r="AW31" i="5"/>
  <c r="AX31" i="5"/>
  <c r="AY31" i="5"/>
  <c r="KF28" i="5"/>
  <c r="KE28" i="5"/>
  <c r="KD28" i="5"/>
  <c r="KC28" i="5"/>
  <c r="JN28" i="5"/>
  <c r="HT28" i="5"/>
  <c r="HS28" i="5"/>
  <c r="HR28" i="5"/>
  <c r="HQ28" i="5"/>
  <c r="HM28" i="5"/>
  <c r="HL28" i="5"/>
  <c r="HK28" i="5"/>
  <c r="HJ28" i="5"/>
  <c r="GW28" i="5"/>
  <c r="GV28" i="5"/>
  <c r="GU28" i="5"/>
  <c r="GT28" i="5"/>
  <c r="GO28" i="5"/>
  <c r="GN28" i="5"/>
  <c r="GM28" i="5"/>
  <c r="GJ28" i="5"/>
  <c r="GE28" i="5"/>
  <c r="GD28" i="5"/>
  <c r="GF28" i="5" s="1"/>
  <c r="GC28" i="5"/>
  <c r="FZ28" i="5"/>
  <c r="FU28" i="5"/>
  <c r="FT28" i="5"/>
  <c r="FV28" i="5" s="1"/>
  <c r="FS28" i="5"/>
  <c r="FP28" i="5"/>
  <c r="FG28" i="5"/>
  <c r="FF28" i="5"/>
  <c r="FE28" i="5"/>
  <c r="FI28" i="5" s="1"/>
  <c r="FD28" i="5"/>
  <c r="FH28" i="5" s="1"/>
  <c r="FJ28" i="5" s="1"/>
  <c r="DZ28" i="5"/>
  <c r="DY28" i="5"/>
  <c r="DX28" i="5"/>
  <c r="DU28" i="5"/>
  <c r="DP28" i="5"/>
  <c r="DO28" i="5"/>
  <c r="DN28" i="5"/>
  <c r="DK28" i="5"/>
  <c r="DG28" i="5"/>
  <c r="DF28" i="5"/>
  <c r="DE28" i="5"/>
  <c r="DD28" i="5"/>
  <c r="CT28" i="5"/>
  <c r="CS28" i="5"/>
  <c r="CW28" i="5" s="1"/>
  <c r="CR28" i="5"/>
  <c r="CZ28" i="5" s="1"/>
  <c r="CO28" i="5"/>
  <c r="CA28" i="5"/>
  <c r="BZ28" i="5"/>
  <c r="BY28" i="5"/>
  <c r="BX28" i="5"/>
  <c r="CB28" i="5" s="1"/>
  <c r="BC28" i="5"/>
  <c r="BB28" i="5"/>
  <c r="BA28" i="5"/>
  <c r="AZ28" i="5"/>
  <c r="AX28" i="5"/>
  <c r="AV28" i="5"/>
  <c r="AU28" i="5"/>
  <c r="AT28" i="5"/>
  <c r="AS28" i="5"/>
  <c r="HN18" i="5"/>
  <c r="FA18" i="5"/>
  <c r="DA18" i="5"/>
  <c r="AW18" i="5"/>
  <c r="AT31" i="5"/>
  <c r="AU31" i="5"/>
  <c r="AV31" i="5"/>
  <c r="AS31" i="5"/>
  <c r="KF29" i="5"/>
  <c r="KE29" i="5"/>
  <c r="KD29" i="5"/>
  <c r="KC29" i="5"/>
  <c r="JN29" i="5"/>
  <c r="HT29" i="5"/>
  <c r="HS29" i="5"/>
  <c r="HR29" i="5"/>
  <c r="HQ29" i="5"/>
  <c r="HM29" i="5"/>
  <c r="HL29" i="5"/>
  <c r="HK29" i="5"/>
  <c r="HJ29" i="5"/>
  <c r="GW29" i="5"/>
  <c r="GV29" i="5"/>
  <c r="GU29" i="5"/>
  <c r="GT29" i="5"/>
  <c r="GO29" i="5"/>
  <c r="GN29" i="5"/>
  <c r="GM29" i="5"/>
  <c r="GJ29" i="5"/>
  <c r="GE29" i="5"/>
  <c r="GD29" i="5"/>
  <c r="GF29" i="5" s="1"/>
  <c r="GC29" i="5"/>
  <c r="FZ29" i="5"/>
  <c r="FU29" i="5"/>
  <c r="FT29" i="5"/>
  <c r="FV29" i="5" s="1"/>
  <c r="FS29" i="5"/>
  <c r="FP29" i="5"/>
  <c r="FG29" i="5"/>
  <c r="FF29" i="5"/>
  <c r="FE29" i="5"/>
  <c r="FI29" i="5" s="1"/>
  <c r="FD29" i="5"/>
  <c r="FH29" i="5" s="1"/>
  <c r="FJ29" i="5" s="1"/>
  <c r="ET29" i="5"/>
  <c r="ES29" i="5"/>
  <c r="ER29" i="5"/>
  <c r="EO29" i="5"/>
  <c r="EJ29" i="5"/>
  <c r="EI29" i="5"/>
  <c r="EK29" i="5" s="1"/>
  <c r="EH29" i="5"/>
  <c r="EE29" i="5"/>
  <c r="DZ29" i="5"/>
  <c r="DY29" i="5"/>
  <c r="EA29" i="5" s="1"/>
  <c r="DX29" i="5"/>
  <c r="DU29" i="5"/>
  <c r="DP29" i="5"/>
  <c r="DO29" i="5"/>
  <c r="DQ29" i="5" s="1"/>
  <c r="DN29" i="5"/>
  <c r="DK29" i="5"/>
  <c r="DG29" i="5"/>
  <c r="DF29" i="5"/>
  <c r="DE29" i="5"/>
  <c r="DD29" i="5"/>
  <c r="CT29" i="5"/>
  <c r="CX29" i="5" s="1"/>
  <c r="CS29" i="5"/>
  <c r="CR29" i="5"/>
  <c r="CZ29" i="5" s="1"/>
  <c r="CO29" i="5"/>
  <c r="CA29" i="5"/>
  <c r="BZ29" i="5"/>
  <c r="BY29" i="5"/>
  <c r="BX29" i="5"/>
  <c r="CB29" i="5" s="1"/>
  <c r="BC29" i="5"/>
  <c r="BB29" i="5"/>
  <c r="BA29" i="5"/>
  <c r="AZ29" i="5"/>
  <c r="AX29" i="5"/>
  <c r="AV29" i="5"/>
  <c r="AU29" i="5"/>
  <c r="AT29" i="5"/>
  <c r="AS29" i="5"/>
  <c r="KF27" i="5"/>
  <c r="KE27" i="5"/>
  <c r="KD27" i="5"/>
  <c r="KC27" i="5"/>
  <c r="JN27" i="5"/>
  <c r="HT27" i="5"/>
  <c r="HS27" i="5"/>
  <c r="HR27" i="5"/>
  <c r="HQ27" i="5"/>
  <c r="HM27" i="5"/>
  <c r="HL27" i="5"/>
  <c r="HK27" i="5"/>
  <c r="HJ27" i="5"/>
  <c r="GW27" i="5"/>
  <c r="GV27" i="5"/>
  <c r="GU27" i="5"/>
  <c r="GT27" i="5"/>
  <c r="GO27" i="5"/>
  <c r="GN27" i="5"/>
  <c r="GE27" i="5"/>
  <c r="GD27" i="5"/>
  <c r="GF27" i="5" s="1"/>
  <c r="FU27" i="5"/>
  <c r="FT27" i="5"/>
  <c r="FV27" i="5" s="1"/>
  <c r="FS27" i="5"/>
  <c r="FP27" i="5"/>
  <c r="FG27" i="5"/>
  <c r="FF27" i="5"/>
  <c r="FE27" i="5"/>
  <c r="FI27" i="5" s="1"/>
  <c r="FD27" i="5"/>
  <c r="FH27" i="5" s="1"/>
  <c r="FJ27" i="5" s="1"/>
  <c r="EJ27" i="5"/>
  <c r="EI27" i="5"/>
  <c r="DZ27" i="5"/>
  <c r="DY27" i="5"/>
  <c r="EA27" i="5" s="1"/>
  <c r="DX27" i="5"/>
  <c r="EZ27" i="5" s="1"/>
  <c r="DU27" i="5"/>
  <c r="EY27" i="5" s="1"/>
  <c r="DG27" i="5"/>
  <c r="DF27" i="5"/>
  <c r="DE27" i="5"/>
  <c r="DD27" i="5"/>
  <c r="CZ27" i="5"/>
  <c r="CY27" i="5"/>
  <c r="CX27" i="5"/>
  <c r="CW27" i="5"/>
  <c r="DB27" i="5" s="1"/>
  <c r="CA27" i="5"/>
  <c r="BZ27" i="5"/>
  <c r="BY27" i="5"/>
  <c r="BX27" i="5"/>
  <c r="CB27" i="5" s="1"/>
  <c r="BC27" i="5"/>
  <c r="BB27" i="5"/>
  <c r="BA27" i="5"/>
  <c r="AZ27" i="5"/>
  <c r="AX27" i="5"/>
  <c r="AY27" i="5" s="1"/>
  <c r="AV27" i="5"/>
  <c r="AU27" i="5"/>
  <c r="AT27" i="5"/>
  <c r="AS27" i="5"/>
  <c r="KF26" i="5"/>
  <c r="KE26" i="5"/>
  <c r="KD26" i="5"/>
  <c r="KC26" i="5"/>
  <c r="JN26" i="5"/>
  <c r="HT26" i="5"/>
  <c r="HS26" i="5"/>
  <c r="HR26" i="5"/>
  <c r="HQ26" i="5"/>
  <c r="HM26" i="5"/>
  <c r="HL26" i="5"/>
  <c r="HK26" i="5"/>
  <c r="HJ26" i="5"/>
  <c r="GW26" i="5"/>
  <c r="GV26" i="5"/>
  <c r="GU26" i="5"/>
  <c r="GT26" i="5"/>
  <c r="GO26" i="5"/>
  <c r="GN26" i="5"/>
  <c r="GM26" i="5"/>
  <c r="GJ26" i="5"/>
  <c r="GE26" i="5"/>
  <c r="GD26" i="5"/>
  <c r="GF26" i="5" s="1"/>
  <c r="GC26" i="5"/>
  <c r="FZ26" i="5"/>
  <c r="FU26" i="5"/>
  <c r="FT26" i="5"/>
  <c r="FV26" i="5" s="1"/>
  <c r="FS26" i="5"/>
  <c r="FP26" i="5"/>
  <c r="FL26" i="5"/>
  <c r="FK26" i="5"/>
  <c r="FM26" i="5" s="1"/>
  <c r="FG26" i="5"/>
  <c r="FF26" i="5"/>
  <c r="FE26" i="5"/>
  <c r="FI26" i="5" s="1"/>
  <c r="FD26" i="5"/>
  <c r="FH26" i="5" s="1"/>
  <c r="FJ26" i="5" s="1"/>
  <c r="EJ26" i="5"/>
  <c r="EI26" i="5"/>
  <c r="EK26" i="5" s="1"/>
  <c r="DH26" i="5"/>
  <c r="CA26" i="5"/>
  <c r="BZ26" i="5"/>
  <c r="BY26" i="5"/>
  <c r="BX26" i="5"/>
  <c r="CB26" i="5" s="1"/>
  <c r="KF25" i="5"/>
  <c r="KE25" i="5"/>
  <c r="KD25" i="5"/>
  <c r="KC25" i="5"/>
  <c r="JN25" i="5"/>
  <c r="HT25" i="5"/>
  <c r="HS25" i="5"/>
  <c r="HR25" i="5"/>
  <c r="HQ25" i="5"/>
  <c r="HM25" i="5"/>
  <c r="HL25" i="5"/>
  <c r="HK25" i="5"/>
  <c r="HJ25" i="5"/>
  <c r="GW25" i="5"/>
  <c r="GV25" i="5"/>
  <c r="GU25" i="5"/>
  <c r="GT25" i="5"/>
  <c r="GO25" i="5"/>
  <c r="GN25" i="5"/>
  <c r="GM25" i="5"/>
  <c r="GJ25" i="5"/>
  <c r="GE25" i="5"/>
  <c r="GF25" i="5" s="1"/>
  <c r="GC25" i="5"/>
  <c r="FZ25" i="5"/>
  <c r="FU25" i="5"/>
  <c r="FT25" i="5"/>
  <c r="FV25" i="5" s="1"/>
  <c r="FS25" i="5"/>
  <c r="FP25" i="5"/>
  <c r="FG25" i="5"/>
  <c r="FF25" i="5"/>
  <c r="FE25" i="5"/>
  <c r="FI25" i="5" s="1"/>
  <c r="FD25" i="5"/>
  <c r="FH25" i="5" s="1"/>
  <c r="FJ25" i="5" s="1"/>
  <c r="FA25" i="5"/>
  <c r="FA30" i="5" s="1"/>
  <c r="ET25" i="5"/>
  <c r="ES25" i="5"/>
  <c r="ER25" i="5"/>
  <c r="EO25" i="5"/>
  <c r="EJ25" i="5"/>
  <c r="EI25" i="5"/>
  <c r="EK25" i="5" s="1"/>
  <c r="EH25" i="5"/>
  <c r="EE25" i="5"/>
  <c r="DZ25" i="5"/>
  <c r="DY25" i="5"/>
  <c r="EA25" i="5" s="1"/>
  <c r="DX25" i="5"/>
  <c r="DU25" i="5"/>
  <c r="DP25" i="5"/>
  <c r="DO25" i="5"/>
  <c r="DN25" i="5"/>
  <c r="DR25" i="5" s="1"/>
  <c r="DK25" i="5"/>
  <c r="DQ25" i="5" s="1"/>
  <c r="DG25" i="5"/>
  <c r="DF25" i="5"/>
  <c r="DE25" i="5"/>
  <c r="DD25" i="5"/>
  <c r="CT25" i="5"/>
  <c r="CS25" i="5"/>
  <c r="CR25" i="5"/>
  <c r="CO25" i="5"/>
  <c r="CJ25" i="5"/>
  <c r="CI25" i="5"/>
  <c r="CK25" i="5" s="1"/>
  <c r="CE25" i="5"/>
  <c r="CA25" i="5"/>
  <c r="BZ25" i="5"/>
  <c r="BY25" i="5"/>
  <c r="BX25" i="5"/>
  <c r="CB25" i="5" s="1"/>
  <c r="BU25" i="5"/>
  <c r="BT25" i="5"/>
  <c r="BV25" i="5" s="1"/>
  <c r="BS25" i="5"/>
  <c r="BP25" i="5"/>
  <c r="BK25" i="5"/>
  <c r="BJ25" i="5"/>
  <c r="BL25" i="5" s="1"/>
  <c r="BI25" i="5"/>
  <c r="BF25" i="5"/>
  <c r="BC25" i="5"/>
  <c r="BB25" i="5"/>
  <c r="BA25" i="5"/>
  <c r="AZ25" i="5"/>
  <c r="AP25" i="5"/>
  <c r="AO25" i="5"/>
  <c r="AN25" i="5"/>
  <c r="AV25" i="5" s="1"/>
  <c r="AK25" i="5"/>
  <c r="AF25" i="5"/>
  <c r="AE25" i="5"/>
  <c r="AG25" i="5" s="1"/>
  <c r="AD25" i="5"/>
  <c r="AA25" i="5"/>
  <c r="V25" i="5"/>
  <c r="U25" i="5"/>
  <c r="W25" i="5" s="1"/>
  <c r="T25" i="5"/>
  <c r="Q25" i="5"/>
  <c r="JN21" i="5"/>
  <c r="HM21" i="5"/>
  <c r="HL21" i="5"/>
  <c r="HK21" i="5"/>
  <c r="HJ21" i="5"/>
  <c r="GW21" i="5"/>
  <c r="GV21" i="5"/>
  <c r="GU21" i="5"/>
  <c r="GT21" i="5"/>
  <c r="GO21" i="5"/>
  <c r="GN21" i="5"/>
  <c r="GE21" i="5"/>
  <c r="GD21" i="5"/>
  <c r="GF21" i="5" s="1"/>
  <c r="FL21" i="5"/>
  <c r="FK21" i="5"/>
  <c r="FM21" i="5" s="1"/>
  <c r="FG21" i="5"/>
  <c r="FF21" i="5"/>
  <c r="FE21" i="5"/>
  <c r="FI21" i="5" s="1"/>
  <c r="FD21" i="5"/>
  <c r="FH21" i="5" s="1"/>
  <c r="FJ21" i="5" s="1"/>
  <c r="DH21" i="5"/>
  <c r="CA21" i="5"/>
  <c r="BZ21" i="5"/>
  <c r="BY21" i="5"/>
  <c r="BX21" i="5"/>
  <c r="CB21" i="5" s="1"/>
  <c r="KF20" i="5"/>
  <c r="KE20" i="5"/>
  <c r="KD20" i="5"/>
  <c r="KC20" i="5"/>
  <c r="JN20" i="5"/>
  <c r="HT20" i="5"/>
  <c r="HS20" i="5"/>
  <c r="HR20" i="5"/>
  <c r="HQ20" i="5"/>
  <c r="HM20" i="5"/>
  <c r="HL20" i="5"/>
  <c r="HK20" i="5"/>
  <c r="HJ20" i="5"/>
  <c r="GW20" i="5"/>
  <c r="GV20" i="5"/>
  <c r="GU20" i="5"/>
  <c r="GT20" i="5"/>
  <c r="GO20" i="5"/>
  <c r="GN20" i="5"/>
  <c r="GM20" i="5"/>
  <c r="GJ20" i="5"/>
  <c r="GE20" i="5"/>
  <c r="GD20" i="5"/>
  <c r="GF20" i="5" s="1"/>
  <c r="GC20" i="5"/>
  <c r="FZ20" i="5"/>
  <c r="FU20" i="5"/>
  <c r="FT20" i="5"/>
  <c r="FV20" i="5" s="1"/>
  <c r="FS20" i="5"/>
  <c r="FP20" i="5"/>
  <c r="FG20" i="5"/>
  <c r="FF20" i="5"/>
  <c r="FE20" i="5"/>
  <c r="FI20" i="5" s="1"/>
  <c r="FD20" i="5"/>
  <c r="FH20" i="5" s="1"/>
  <c r="FJ20" i="5" s="1"/>
  <c r="EW20" i="5"/>
  <c r="ET20" i="5"/>
  <c r="ES20" i="5"/>
  <c r="EU20" i="5" s="1"/>
  <c r="ER20" i="5"/>
  <c r="EO20" i="5"/>
  <c r="EJ20" i="5"/>
  <c r="EI20" i="5"/>
  <c r="EH20" i="5"/>
  <c r="EE20" i="5"/>
  <c r="DZ20" i="5"/>
  <c r="DY20" i="5"/>
  <c r="EA20" i="5" s="1"/>
  <c r="DX20" i="5"/>
  <c r="DU20" i="5"/>
  <c r="DP20" i="5"/>
  <c r="DO20" i="5"/>
  <c r="DQ20" i="5" s="1"/>
  <c r="DN20" i="5"/>
  <c r="DK20" i="5"/>
  <c r="DG20" i="5"/>
  <c r="DF20" i="5"/>
  <c r="DE20" i="5"/>
  <c r="DD20" i="5"/>
  <c r="CT20" i="5"/>
  <c r="CX20" i="5" s="1"/>
  <c r="CS20" i="5"/>
  <c r="CR20" i="5"/>
  <c r="CZ20" i="5" s="1"/>
  <c r="CO20" i="5"/>
  <c r="CA20" i="5"/>
  <c r="BZ20" i="5"/>
  <c r="BY20" i="5"/>
  <c r="BX20" i="5"/>
  <c r="CB20" i="5" s="1"/>
  <c r="BC20" i="5"/>
  <c r="BB20" i="5"/>
  <c r="BA20" i="5"/>
  <c r="AZ20" i="5"/>
  <c r="AX20" i="5"/>
  <c r="AV20" i="5"/>
  <c r="AU20" i="5"/>
  <c r="AT20" i="5"/>
  <c r="AS20" i="5"/>
  <c r="KF19" i="5"/>
  <c r="KE19" i="5"/>
  <c r="KD19" i="5"/>
  <c r="KC19" i="5"/>
  <c r="JN19" i="5"/>
  <c r="HT19" i="5"/>
  <c r="HS19" i="5"/>
  <c r="HR19" i="5"/>
  <c r="HQ19" i="5"/>
  <c r="HM19" i="5"/>
  <c r="HL19" i="5"/>
  <c r="HK19" i="5"/>
  <c r="HJ19" i="5"/>
  <c r="GW19" i="5"/>
  <c r="GV19" i="5"/>
  <c r="GU19" i="5"/>
  <c r="GT19" i="5"/>
  <c r="GO19" i="5"/>
  <c r="GN19" i="5"/>
  <c r="GM19" i="5"/>
  <c r="GJ19" i="5"/>
  <c r="GE19" i="5"/>
  <c r="GD19" i="5"/>
  <c r="GF19" i="5" s="1"/>
  <c r="GC19" i="5"/>
  <c r="FZ19" i="5"/>
  <c r="FU19" i="5"/>
  <c r="FT19" i="5"/>
  <c r="FV19" i="5" s="1"/>
  <c r="FS19" i="5"/>
  <c r="FP19" i="5"/>
  <c r="FG19" i="5"/>
  <c r="FF19" i="5"/>
  <c r="FE19" i="5"/>
  <c r="FI19" i="5" s="1"/>
  <c r="FD19" i="5"/>
  <c r="FH19" i="5" s="1"/>
  <c r="FJ19" i="5" s="1"/>
  <c r="EW19" i="5"/>
  <c r="ET19" i="5"/>
  <c r="ES19" i="5"/>
  <c r="EU19" i="5" s="1"/>
  <c r="ER19" i="5"/>
  <c r="EO19" i="5"/>
  <c r="EJ19" i="5"/>
  <c r="EI19" i="5"/>
  <c r="EH19" i="5"/>
  <c r="EE19" i="5"/>
  <c r="DZ19" i="5"/>
  <c r="DY19" i="5"/>
  <c r="EA19" i="5" s="1"/>
  <c r="DX19" i="5"/>
  <c r="DU19" i="5"/>
  <c r="DP19" i="5"/>
  <c r="DO19" i="5"/>
  <c r="DQ19" i="5" s="1"/>
  <c r="DN19" i="5"/>
  <c r="DK19" i="5"/>
  <c r="DG19" i="5"/>
  <c r="DF19" i="5"/>
  <c r="DE19" i="5"/>
  <c r="DD19" i="5"/>
  <c r="CT19" i="5"/>
  <c r="CR19" i="5"/>
  <c r="CO19" i="5"/>
  <c r="CJ19" i="5"/>
  <c r="CI19" i="5"/>
  <c r="CH19" i="5"/>
  <c r="CE19" i="5"/>
  <c r="CA19" i="5"/>
  <c r="BZ19" i="5"/>
  <c r="BY19" i="5"/>
  <c r="BX19" i="5"/>
  <c r="CB19" i="5" s="1"/>
  <c r="BU19" i="5"/>
  <c r="BT19" i="5"/>
  <c r="BV19" i="5" s="1"/>
  <c r="BS19" i="5"/>
  <c r="BP19" i="5"/>
  <c r="BK19" i="5"/>
  <c r="BJ19" i="5"/>
  <c r="BL19" i="5" s="1"/>
  <c r="BI19" i="5"/>
  <c r="BF19" i="5"/>
  <c r="BC19" i="5"/>
  <c r="BC21" i="5" s="1"/>
  <c r="BB19" i="5"/>
  <c r="BB21" i="5" s="1"/>
  <c r="BA19" i="5"/>
  <c r="BA21" i="5" s="1"/>
  <c r="AZ19" i="5"/>
  <c r="AZ21" i="5" s="1"/>
  <c r="AP19" i="5"/>
  <c r="AO19" i="5"/>
  <c r="AN19" i="5"/>
  <c r="AV19" i="5" s="1"/>
  <c r="AK19" i="5"/>
  <c r="AF19" i="5"/>
  <c r="AE19" i="5"/>
  <c r="AG19" i="5" s="1"/>
  <c r="AD19" i="5"/>
  <c r="AA19" i="5"/>
  <c r="V19" i="5"/>
  <c r="U19" i="5"/>
  <c r="W19" i="5" s="1"/>
  <c r="T19" i="5"/>
  <c r="Q19" i="5"/>
  <c r="HJ60" i="5"/>
  <c r="HK60" i="5"/>
  <c r="HL60" i="5"/>
  <c r="HM60" i="5"/>
  <c r="GJ60" i="5"/>
  <c r="FZ5" i="5"/>
  <c r="EY24" i="5"/>
  <c r="GC49" i="5"/>
  <c r="GC48" i="5"/>
  <c r="GC47" i="5"/>
  <c r="FZ48" i="5"/>
  <c r="FZ49" i="5"/>
  <c r="FZ47" i="5"/>
  <c r="FS48" i="5"/>
  <c r="FP48" i="5"/>
  <c r="FT38" i="5"/>
  <c r="FU38" i="5"/>
  <c r="FV38" i="5"/>
  <c r="FT39" i="5"/>
  <c r="FU39" i="5"/>
  <c r="FV39" i="5"/>
  <c r="FT40" i="5"/>
  <c r="FU40" i="5"/>
  <c r="FV40" i="5"/>
  <c r="FT41" i="5"/>
  <c r="FU41" i="5"/>
  <c r="FV41" i="5"/>
  <c r="FT42" i="5"/>
  <c r="FU42" i="5"/>
  <c r="FV42" i="5"/>
  <c r="FT43" i="5"/>
  <c r="FU43" i="5"/>
  <c r="FV43" i="5"/>
  <c r="FT45" i="5"/>
  <c r="FU45" i="5"/>
  <c r="FV45" i="5"/>
  <c r="FT46" i="5"/>
  <c r="FU46" i="5"/>
  <c r="FV46" i="5"/>
  <c r="FT47" i="5"/>
  <c r="FU47" i="5"/>
  <c r="FV47" i="5"/>
  <c r="FT48" i="5"/>
  <c r="FU48" i="5"/>
  <c r="FV48" i="5"/>
  <c r="FT49" i="5"/>
  <c r="FU49" i="5"/>
  <c r="FV49" i="5"/>
  <c r="FT50" i="5"/>
  <c r="FU50" i="5"/>
  <c r="FV50" i="5"/>
  <c r="FT51" i="5"/>
  <c r="FU51" i="5"/>
  <c r="FV51" i="5"/>
  <c r="FT52" i="5"/>
  <c r="FU52" i="5"/>
  <c r="FV52" i="5"/>
  <c r="FS47" i="5"/>
  <c r="FP47" i="5"/>
  <c r="GM24" i="5"/>
  <c r="GJ24" i="5"/>
  <c r="GC24" i="5"/>
  <c r="FZ24" i="5"/>
  <c r="HJ5" i="5"/>
  <c r="HK5" i="5"/>
  <c r="HL5" i="5"/>
  <c r="HM5" i="5"/>
  <c r="HJ6" i="5"/>
  <c r="HK6" i="5"/>
  <c r="HL6" i="5"/>
  <c r="HM6" i="5"/>
  <c r="HJ7" i="5"/>
  <c r="HK7" i="5"/>
  <c r="HL7" i="5"/>
  <c r="HM7" i="5"/>
  <c r="HJ8" i="5"/>
  <c r="HK8" i="5"/>
  <c r="HL8" i="5"/>
  <c r="HM8" i="5"/>
  <c r="HJ9" i="5"/>
  <c r="HK9" i="5"/>
  <c r="HL9" i="5"/>
  <c r="HM9" i="5"/>
  <c r="HJ10" i="5"/>
  <c r="HK10" i="5"/>
  <c r="HL10" i="5"/>
  <c r="HM10" i="5"/>
  <c r="HJ11" i="5"/>
  <c r="HK11" i="5"/>
  <c r="HL11" i="5"/>
  <c r="HM11" i="5"/>
  <c r="HJ22" i="5"/>
  <c r="HK22" i="5"/>
  <c r="HL22" i="5"/>
  <c r="HM22" i="5"/>
  <c r="HJ23" i="5"/>
  <c r="HK23" i="5"/>
  <c r="HL23" i="5"/>
  <c r="HM23" i="5"/>
  <c r="HJ24" i="5"/>
  <c r="HK24" i="5"/>
  <c r="HL24" i="5"/>
  <c r="HM24" i="5"/>
  <c r="HJ12" i="5"/>
  <c r="HK12" i="5"/>
  <c r="HL12" i="5"/>
  <c r="HM12" i="5"/>
  <c r="HJ13" i="5"/>
  <c r="HK13" i="5"/>
  <c r="HL13" i="5"/>
  <c r="HM13" i="5"/>
  <c r="HJ14" i="5"/>
  <c r="HK14" i="5"/>
  <c r="HL14" i="5"/>
  <c r="HM14" i="5"/>
  <c r="HJ15" i="5"/>
  <c r="HK15" i="5"/>
  <c r="HL15" i="5"/>
  <c r="HM15" i="5"/>
  <c r="HJ16" i="5"/>
  <c r="HK16" i="5"/>
  <c r="HL16" i="5"/>
  <c r="HM16" i="5"/>
  <c r="HJ17" i="5"/>
  <c r="HK17" i="5"/>
  <c r="HL17" i="5"/>
  <c r="HM17" i="5"/>
  <c r="HJ32" i="5"/>
  <c r="HK32" i="5"/>
  <c r="HL32" i="5"/>
  <c r="HM32" i="5"/>
  <c r="HJ33" i="5"/>
  <c r="HK33" i="5"/>
  <c r="HL33" i="5"/>
  <c r="HM33" i="5"/>
  <c r="HJ34" i="5"/>
  <c r="HK34" i="5"/>
  <c r="HL34" i="5"/>
  <c r="HM34" i="5"/>
  <c r="HJ35" i="5"/>
  <c r="HK35" i="5"/>
  <c r="HL35" i="5"/>
  <c r="HM35" i="5"/>
  <c r="HJ36" i="5"/>
  <c r="HK36" i="5"/>
  <c r="HL36" i="5"/>
  <c r="HM36" i="5"/>
  <c r="HJ37" i="5"/>
  <c r="HK37" i="5"/>
  <c r="HL37" i="5"/>
  <c r="HM37" i="5"/>
  <c r="HJ38" i="5"/>
  <c r="HK38" i="5"/>
  <c r="HL38" i="5"/>
  <c r="HM38" i="5"/>
  <c r="HJ39" i="5"/>
  <c r="HK39" i="5"/>
  <c r="HL39" i="5"/>
  <c r="HM39" i="5"/>
  <c r="HJ40" i="5"/>
  <c r="HK40" i="5"/>
  <c r="HL40" i="5"/>
  <c r="HM40" i="5"/>
  <c r="HJ41" i="5"/>
  <c r="HK41" i="5"/>
  <c r="HL41" i="5"/>
  <c r="HM41" i="5"/>
  <c r="HJ42" i="5"/>
  <c r="HK42" i="5"/>
  <c r="HL42" i="5"/>
  <c r="HM42" i="5"/>
  <c r="HJ43" i="5"/>
  <c r="HK43" i="5"/>
  <c r="HL43" i="5"/>
  <c r="HM43" i="5"/>
  <c r="HJ45" i="5"/>
  <c r="HK45" i="5"/>
  <c r="HL45" i="5"/>
  <c r="HM45" i="5"/>
  <c r="HJ46" i="5"/>
  <c r="HK46" i="5"/>
  <c r="HL46" i="5"/>
  <c r="HM46" i="5"/>
  <c r="HJ47" i="5"/>
  <c r="HK47" i="5"/>
  <c r="HL47" i="5"/>
  <c r="HM47" i="5"/>
  <c r="HJ48" i="5"/>
  <c r="HK48" i="5"/>
  <c r="HL48" i="5"/>
  <c r="HM48" i="5"/>
  <c r="HJ49" i="5"/>
  <c r="HK49" i="5"/>
  <c r="HL49" i="5"/>
  <c r="HM49" i="5"/>
  <c r="HJ50" i="5"/>
  <c r="HK50" i="5"/>
  <c r="HL50" i="5"/>
  <c r="HM50" i="5"/>
  <c r="HJ51" i="5"/>
  <c r="HK51" i="5"/>
  <c r="HL51" i="5"/>
  <c r="HM51" i="5"/>
  <c r="HJ52" i="5"/>
  <c r="HK52" i="5"/>
  <c r="HL52" i="5"/>
  <c r="HM52" i="5"/>
  <c r="HJ53" i="5"/>
  <c r="HK53" i="5"/>
  <c r="HL53" i="5"/>
  <c r="HM53" i="5"/>
  <c r="HJ54" i="5"/>
  <c r="HK54" i="5"/>
  <c r="HL54" i="5"/>
  <c r="HM54" i="5"/>
  <c r="HJ55" i="5"/>
  <c r="HK55" i="5"/>
  <c r="HL55" i="5"/>
  <c r="HM55" i="5"/>
  <c r="HJ56" i="5"/>
  <c r="HK56" i="5"/>
  <c r="HL56" i="5"/>
  <c r="HM56" i="5"/>
  <c r="HJ57" i="5"/>
  <c r="HK57" i="5"/>
  <c r="HL57" i="5"/>
  <c r="HM57" i="5"/>
  <c r="HJ58" i="5"/>
  <c r="HK58" i="5"/>
  <c r="HL58" i="5"/>
  <c r="HM58" i="5"/>
  <c r="HJ59" i="5"/>
  <c r="HK59" i="5"/>
  <c r="HL59" i="5"/>
  <c r="HM59" i="5"/>
  <c r="HJ61" i="5"/>
  <c r="HK61" i="5"/>
  <c r="HL61" i="5"/>
  <c r="HM61" i="5"/>
  <c r="HJ62" i="5"/>
  <c r="HK62" i="5"/>
  <c r="HL62" i="5"/>
  <c r="HM62" i="5"/>
  <c r="HJ63" i="5"/>
  <c r="HK63" i="5"/>
  <c r="HL63" i="5"/>
  <c r="HM63" i="5"/>
  <c r="HH64" i="5"/>
  <c r="HI64" i="5"/>
  <c r="HJ64" i="5"/>
  <c r="HK64" i="5"/>
  <c r="HL64" i="5"/>
  <c r="HM64" i="5"/>
  <c r="HK65" i="5"/>
  <c r="HL65" i="5"/>
  <c r="HM65" i="5"/>
  <c r="HJ66" i="5"/>
  <c r="HK66" i="5"/>
  <c r="HL66" i="5"/>
  <c r="HM66" i="5"/>
  <c r="HJ67" i="5"/>
  <c r="HK67" i="5"/>
  <c r="HL67" i="5"/>
  <c r="HM67" i="5"/>
  <c r="HJ68" i="5"/>
  <c r="HK68" i="5"/>
  <c r="HL68" i="5"/>
  <c r="HM68" i="5"/>
  <c r="HJ69" i="5"/>
  <c r="HK69" i="5"/>
  <c r="HL69" i="5"/>
  <c r="HM69" i="5"/>
  <c r="HJ70" i="5"/>
  <c r="HK70" i="5"/>
  <c r="HL70" i="5"/>
  <c r="HM70" i="5"/>
  <c r="HJ71" i="5"/>
  <c r="HK71" i="5"/>
  <c r="HL71" i="5"/>
  <c r="HM71" i="5"/>
  <c r="HJ72" i="5"/>
  <c r="HK72" i="5"/>
  <c r="HL72" i="5"/>
  <c r="HM72" i="5"/>
  <c r="HJ73" i="5"/>
  <c r="HK73" i="5"/>
  <c r="HL73" i="5"/>
  <c r="HM73" i="5"/>
  <c r="HJ74" i="5"/>
  <c r="HK74" i="5"/>
  <c r="HL74" i="5"/>
  <c r="HM74" i="5"/>
  <c r="HJ75" i="5"/>
  <c r="HK75" i="5"/>
  <c r="HL75" i="5"/>
  <c r="HM75" i="5"/>
  <c r="HJ76" i="5"/>
  <c r="HK76" i="5"/>
  <c r="HL76" i="5"/>
  <c r="HM76" i="5"/>
  <c r="HJ77" i="5"/>
  <c r="HK77" i="5"/>
  <c r="HL77" i="5"/>
  <c r="HM77" i="5"/>
  <c r="HJ78" i="5"/>
  <c r="HK78" i="5"/>
  <c r="HL78" i="5"/>
  <c r="HM78" i="5"/>
  <c r="HJ79" i="5"/>
  <c r="HK79" i="5"/>
  <c r="HL79" i="5"/>
  <c r="HM79" i="5"/>
  <c r="HM4" i="5"/>
  <c r="HL4" i="5"/>
  <c r="HK4" i="5"/>
  <c r="HJ4" i="5"/>
  <c r="S4" i="8"/>
  <c r="S5" i="8"/>
  <c r="S6" i="8"/>
  <c r="S7" i="8"/>
  <c r="S8" i="8"/>
  <c r="S9" i="8"/>
  <c r="S10" i="8"/>
  <c r="S11" i="8"/>
  <c r="S12" i="8"/>
  <c r="S13" i="8"/>
  <c r="S14" i="8"/>
  <c r="S15" i="8"/>
  <c r="S16" i="8"/>
  <c r="S17" i="8"/>
  <c r="S18" i="8"/>
  <c r="S19" i="8"/>
  <c r="S20" i="8"/>
  <c r="S21" i="8"/>
  <c r="S22" i="8"/>
  <c r="S23" i="8"/>
  <c r="S3" i="8"/>
  <c r="G4" i="8"/>
  <c r="G5" i="8"/>
  <c r="G6" i="8"/>
  <c r="G7" i="8"/>
  <c r="G8" i="8"/>
  <c r="G9" i="8"/>
  <c r="G10" i="8"/>
  <c r="G11" i="8"/>
  <c r="G12" i="8"/>
  <c r="G13" i="8"/>
  <c r="G14" i="8"/>
  <c r="G15" i="8"/>
  <c r="G16" i="8"/>
  <c r="G17" i="8"/>
  <c r="G18" i="8"/>
  <c r="G19" i="8"/>
  <c r="G20" i="8"/>
  <c r="G21" i="8"/>
  <c r="G22" i="8"/>
  <c r="G23" i="8"/>
  <c r="G3" i="8"/>
  <c r="AB4" i="8"/>
  <c r="AB5" i="8"/>
  <c r="AB6" i="8"/>
  <c r="AB7" i="8"/>
  <c r="AB8" i="8"/>
  <c r="AB9" i="8"/>
  <c r="AB10" i="8"/>
  <c r="AB11" i="8"/>
  <c r="AB12" i="8"/>
  <c r="AB13" i="8"/>
  <c r="AB14" i="8"/>
  <c r="AB15" i="8"/>
  <c r="AB16" i="8"/>
  <c r="AB17" i="8"/>
  <c r="AB18" i="8"/>
  <c r="AB19" i="8"/>
  <c r="AB20" i="8"/>
  <c r="AB21" i="8"/>
  <c r="AB22" i="8"/>
  <c r="AB23" i="8"/>
  <c r="AB3" i="8"/>
  <c r="GT5" i="5"/>
  <c r="GU5" i="5"/>
  <c r="GV5" i="5"/>
  <c r="GW5" i="5"/>
  <c r="GT6" i="5"/>
  <c r="GU6" i="5"/>
  <c r="GV6" i="5"/>
  <c r="GW6" i="5"/>
  <c r="GT7" i="5"/>
  <c r="GU7" i="5"/>
  <c r="GV7" i="5"/>
  <c r="GW7" i="5"/>
  <c r="GT8" i="5"/>
  <c r="GU8" i="5"/>
  <c r="GV8" i="5"/>
  <c r="GW8" i="5"/>
  <c r="GT9" i="5"/>
  <c r="GU9" i="5"/>
  <c r="GV9" i="5"/>
  <c r="GW9" i="5"/>
  <c r="GT10" i="5"/>
  <c r="GU10" i="5"/>
  <c r="GV10" i="5"/>
  <c r="GW10" i="5"/>
  <c r="GT11" i="5"/>
  <c r="GU11" i="5"/>
  <c r="GV11" i="5"/>
  <c r="GW11" i="5"/>
  <c r="GT22" i="5"/>
  <c r="GU22" i="5"/>
  <c r="GV22" i="5"/>
  <c r="GW22" i="5"/>
  <c r="GT23" i="5"/>
  <c r="GU23" i="5"/>
  <c r="GV23" i="5"/>
  <c r="GW23" i="5"/>
  <c r="GT24" i="5"/>
  <c r="GU24" i="5"/>
  <c r="GV24" i="5"/>
  <c r="GW24" i="5"/>
  <c r="GT12" i="5"/>
  <c r="GU12" i="5"/>
  <c r="GV12" i="5"/>
  <c r="GW12" i="5"/>
  <c r="GT13" i="5"/>
  <c r="GU13" i="5"/>
  <c r="GV13" i="5"/>
  <c r="GW13" i="5"/>
  <c r="GT14" i="5"/>
  <c r="GU14" i="5"/>
  <c r="GV14" i="5"/>
  <c r="GW14" i="5"/>
  <c r="GT15" i="5"/>
  <c r="GU15" i="5"/>
  <c r="GV15" i="5"/>
  <c r="GW15" i="5"/>
  <c r="GT16" i="5"/>
  <c r="GU16" i="5"/>
  <c r="GV16" i="5"/>
  <c r="GW16" i="5"/>
  <c r="GT17" i="5"/>
  <c r="GU17" i="5"/>
  <c r="GV17" i="5"/>
  <c r="GW17" i="5"/>
  <c r="GT32" i="5"/>
  <c r="GU32" i="5"/>
  <c r="GV32" i="5"/>
  <c r="GW32" i="5"/>
  <c r="GT33" i="5"/>
  <c r="GU33" i="5"/>
  <c r="GV33" i="5"/>
  <c r="GW33" i="5"/>
  <c r="GT34" i="5"/>
  <c r="GU34" i="5"/>
  <c r="GV34" i="5"/>
  <c r="GW34" i="5"/>
  <c r="GT35" i="5"/>
  <c r="GU35" i="5"/>
  <c r="GV35" i="5"/>
  <c r="GW35" i="5"/>
  <c r="GT36" i="5"/>
  <c r="GU36" i="5"/>
  <c r="GV36" i="5"/>
  <c r="GW36" i="5"/>
  <c r="GU37" i="5"/>
  <c r="GV37" i="5"/>
  <c r="GW37" i="5"/>
  <c r="GT38" i="5"/>
  <c r="GU38" i="5"/>
  <c r="GV38" i="5"/>
  <c r="GW38" i="5"/>
  <c r="GT39" i="5"/>
  <c r="GU39" i="5"/>
  <c r="GV39" i="5"/>
  <c r="GW39" i="5"/>
  <c r="GT40" i="5"/>
  <c r="GU40" i="5"/>
  <c r="GV40" i="5"/>
  <c r="GW40" i="5"/>
  <c r="GT41" i="5"/>
  <c r="GU41" i="5"/>
  <c r="GV41" i="5"/>
  <c r="GW41" i="5"/>
  <c r="GT42" i="5"/>
  <c r="GU42" i="5"/>
  <c r="GV42" i="5"/>
  <c r="GW42" i="5"/>
  <c r="GT43" i="5"/>
  <c r="GU43" i="5"/>
  <c r="GV43" i="5"/>
  <c r="GW43" i="5"/>
  <c r="GT45" i="5"/>
  <c r="GU45" i="5"/>
  <c r="GV45" i="5"/>
  <c r="GW45" i="5"/>
  <c r="GT46" i="5"/>
  <c r="GU46" i="5"/>
  <c r="GV46" i="5"/>
  <c r="GW46" i="5"/>
  <c r="GT47" i="5"/>
  <c r="GU47" i="5"/>
  <c r="GV47" i="5"/>
  <c r="GW47" i="5"/>
  <c r="GT48" i="5"/>
  <c r="GU48" i="5"/>
  <c r="GV48" i="5"/>
  <c r="GW48" i="5"/>
  <c r="GT49" i="5"/>
  <c r="GU49" i="5"/>
  <c r="GV49" i="5"/>
  <c r="GW49" i="5"/>
  <c r="GT50" i="5"/>
  <c r="GU50" i="5"/>
  <c r="GV50" i="5"/>
  <c r="GW50" i="5"/>
  <c r="GT51" i="5"/>
  <c r="GU51" i="5"/>
  <c r="GV51" i="5"/>
  <c r="GW51" i="5"/>
  <c r="GT52" i="5"/>
  <c r="GU52" i="5"/>
  <c r="GV52" i="5"/>
  <c r="GW52" i="5"/>
  <c r="GT53" i="5"/>
  <c r="GU53" i="5"/>
  <c r="GV53" i="5"/>
  <c r="GW53" i="5"/>
  <c r="GT54" i="5"/>
  <c r="GU54" i="5"/>
  <c r="GV54" i="5"/>
  <c r="GW54" i="5"/>
  <c r="GT55" i="5"/>
  <c r="GU55" i="5"/>
  <c r="GV55" i="5"/>
  <c r="GW55" i="5"/>
  <c r="GT56" i="5"/>
  <c r="GU56" i="5"/>
  <c r="GV56" i="5"/>
  <c r="GW56" i="5"/>
  <c r="GT57" i="5"/>
  <c r="GU57" i="5"/>
  <c r="GV57" i="5"/>
  <c r="GW57" i="5"/>
  <c r="GT58" i="5"/>
  <c r="GU58" i="5"/>
  <c r="GV58" i="5"/>
  <c r="GW58" i="5"/>
  <c r="GT59" i="5"/>
  <c r="GU59" i="5"/>
  <c r="GV59" i="5"/>
  <c r="GW59" i="5"/>
  <c r="GT60" i="5"/>
  <c r="GU60" i="5"/>
  <c r="GV60" i="5"/>
  <c r="GW60" i="5"/>
  <c r="GT61" i="5"/>
  <c r="GU61" i="5"/>
  <c r="GV61" i="5"/>
  <c r="GW61" i="5"/>
  <c r="GT62" i="5"/>
  <c r="GU62" i="5"/>
  <c r="GV62" i="5"/>
  <c r="GW62" i="5"/>
  <c r="GT63" i="5"/>
  <c r="GU63" i="5"/>
  <c r="GV63" i="5"/>
  <c r="GV64" i="5" s="1"/>
  <c r="GW63" i="5"/>
  <c r="GW64" i="5" s="1"/>
  <c r="GU65" i="5"/>
  <c r="GV65" i="5"/>
  <c r="GW65" i="5"/>
  <c r="GT66" i="5"/>
  <c r="GU66" i="5"/>
  <c r="GV66" i="5"/>
  <c r="GW66" i="5"/>
  <c r="GT67" i="5"/>
  <c r="GU67" i="5"/>
  <c r="GV67" i="5"/>
  <c r="GW67" i="5"/>
  <c r="GT68" i="5"/>
  <c r="GU68" i="5"/>
  <c r="GV68" i="5"/>
  <c r="GW68" i="5"/>
  <c r="GT69" i="5"/>
  <c r="GU69" i="5"/>
  <c r="GV69" i="5"/>
  <c r="GW69" i="5"/>
  <c r="GT70" i="5"/>
  <c r="GU70" i="5"/>
  <c r="GV70" i="5"/>
  <c r="GW70" i="5"/>
  <c r="GT71" i="5"/>
  <c r="GU71" i="5"/>
  <c r="GV71" i="5"/>
  <c r="GW71" i="5"/>
  <c r="GT72" i="5"/>
  <c r="GU72" i="5"/>
  <c r="GV72" i="5"/>
  <c r="GW72" i="5"/>
  <c r="GT73" i="5"/>
  <c r="GU73" i="5"/>
  <c r="GV73" i="5"/>
  <c r="GW73" i="5"/>
  <c r="GT74" i="5"/>
  <c r="GU74" i="5"/>
  <c r="GV74" i="5"/>
  <c r="GW74" i="5"/>
  <c r="GT75" i="5"/>
  <c r="GU75" i="5"/>
  <c r="GV75" i="5"/>
  <c r="GW75" i="5"/>
  <c r="GT76" i="5"/>
  <c r="GU76" i="5"/>
  <c r="GV76" i="5"/>
  <c r="GW76" i="5"/>
  <c r="GT77" i="5"/>
  <c r="GU77" i="5"/>
  <c r="GV77" i="5"/>
  <c r="GW77" i="5"/>
  <c r="GT78" i="5"/>
  <c r="GU78" i="5"/>
  <c r="GV78" i="5"/>
  <c r="GW78" i="5"/>
  <c r="GT79" i="5"/>
  <c r="GU79" i="5"/>
  <c r="GV79" i="5"/>
  <c r="GW79" i="5"/>
  <c r="GW4" i="5"/>
  <c r="GV4" i="5"/>
  <c r="GU4" i="5"/>
  <c r="GT4" i="5"/>
  <c r="AS56" i="5"/>
  <c r="AT56" i="5"/>
  <c r="AU56" i="5"/>
  <c r="AV56" i="5"/>
  <c r="AX56" i="5"/>
  <c r="AZ56" i="5"/>
  <c r="BA56" i="5"/>
  <c r="BB56" i="5"/>
  <c r="BC56" i="5"/>
  <c r="BX56" i="5"/>
  <c r="BY56" i="5"/>
  <c r="BZ56" i="5"/>
  <c r="CA56" i="5"/>
  <c r="CB56" i="5"/>
  <c r="CW56" i="5"/>
  <c r="CX56" i="5"/>
  <c r="CY56" i="5"/>
  <c r="CZ56" i="5"/>
  <c r="DB56" i="5"/>
  <c r="DD56" i="5"/>
  <c r="DE56" i="5"/>
  <c r="DF56" i="5"/>
  <c r="DG56" i="5"/>
  <c r="DH56" i="5"/>
  <c r="DU56" i="5"/>
  <c r="DX56" i="5"/>
  <c r="DY56" i="5"/>
  <c r="DZ56" i="5"/>
  <c r="EA56" i="5"/>
  <c r="EW56" i="5"/>
  <c r="EX56" i="5"/>
  <c r="EY56" i="5"/>
  <c r="EZ56" i="5"/>
  <c r="FB56" i="5"/>
  <c r="FD56" i="5"/>
  <c r="FE56" i="5"/>
  <c r="FF56" i="5"/>
  <c r="FG56" i="5"/>
  <c r="FH56" i="5"/>
  <c r="FI56" i="5"/>
  <c r="FJ56" i="5"/>
  <c r="FK56" i="5"/>
  <c r="FL56" i="5"/>
  <c r="FM56" i="5"/>
  <c r="GD56" i="5"/>
  <c r="GE56" i="5"/>
  <c r="GF56" i="5"/>
  <c r="GN56" i="5"/>
  <c r="GO56" i="5"/>
  <c r="GP56" i="5"/>
  <c r="HO56" i="5"/>
  <c r="HQ56" i="5"/>
  <c r="HR56" i="5"/>
  <c r="HS56" i="5"/>
  <c r="HT56" i="5"/>
  <c r="JN56" i="5"/>
  <c r="JZ56" i="5"/>
  <c r="KA56" i="5"/>
  <c r="KB56" i="5"/>
  <c r="KC56" i="5"/>
  <c r="KD56" i="5"/>
  <c r="KE56" i="5"/>
  <c r="KF56" i="5"/>
  <c r="KG56" i="5"/>
  <c r="KI56" i="5"/>
  <c r="KJ56" i="5"/>
  <c r="KK56" i="5"/>
  <c r="FT37" i="5"/>
  <c r="FU37" i="5"/>
  <c r="FV37" i="5"/>
  <c r="FS37" i="5"/>
  <c r="FP37" i="5"/>
  <c r="FT36" i="5"/>
  <c r="FU36" i="5"/>
  <c r="FV36" i="5"/>
  <c r="FS36" i="5"/>
  <c r="FP36" i="5"/>
  <c r="FZ37" i="5"/>
  <c r="GC36" i="5"/>
  <c r="GC37" i="5"/>
  <c r="GC35" i="5"/>
  <c r="FZ36" i="5"/>
  <c r="GM36" i="5"/>
  <c r="GM37" i="5"/>
  <c r="GJ36" i="5"/>
  <c r="GJ37" i="5"/>
  <c r="GM47" i="5"/>
  <c r="GJ47" i="5"/>
  <c r="GM75" i="5"/>
  <c r="GJ75" i="5"/>
  <c r="GM23" i="5"/>
  <c r="GJ23" i="5"/>
  <c r="HQ60" i="5"/>
  <c r="HR60" i="5"/>
  <c r="HS60" i="5"/>
  <c r="HT60" i="5"/>
  <c r="JN60" i="5"/>
  <c r="KC60" i="5"/>
  <c r="KD60" i="5"/>
  <c r="KE60" i="5"/>
  <c r="KF60" i="5"/>
  <c r="HQ61" i="5"/>
  <c r="HR61" i="5"/>
  <c r="HS61" i="5"/>
  <c r="HT61" i="5"/>
  <c r="JN61" i="5"/>
  <c r="KC61" i="5"/>
  <c r="KD61" i="5"/>
  <c r="KE61" i="5"/>
  <c r="KF61" i="5"/>
  <c r="GC61" i="5"/>
  <c r="FZ61" i="5"/>
  <c r="GN53" i="5"/>
  <c r="GO53" i="5"/>
  <c r="GP53" i="5"/>
  <c r="GN54" i="5"/>
  <c r="GO54" i="5"/>
  <c r="GP54" i="5"/>
  <c r="GN55" i="5"/>
  <c r="GO55" i="5"/>
  <c r="GP55" i="5"/>
  <c r="GN57" i="5"/>
  <c r="GO57" i="5"/>
  <c r="GP57" i="5"/>
  <c r="GN58" i="5"/>
  <c r="GO58" i="5"/>
  <c r="GP58" i="5"/>
  <c r="GN59" i="5"/>
  <c r="GO59" i="5"/>
  <c r="GP59" i="5"/>
  <c r="GN60" i="5"/>
  <c r="GO60" i="5"/>
  <c r="GP60" i="5"/>
  <c r="GN61" i="5"/>
  <c r="GO61" i="5"/>
  <c r="GP61" i="5"/>
  <c r="GM61" i="5"/>
  <c r="GJ61" i="5"/>
  <c r="GN36" i="5"/>
  <c r="GO36" i="5"/>
  <c r="GP36" i="5"/>
  <c r="GN37" i="5"/>
  <c r="GO37" i="5"/>
  <c r="GP37" i="5"/>
  <c r="GN38" i="5"/>
  <c r="GO38" i="5"/>
  <c r="GP38" i="5"/>
  <c r="GN39" i="5"/>
  <c r="GO39" i="5"/>
  <c r="GP39" i="5"/>
  <c r="GN40" i="5"/>
  <c r="GO40" i="5"/>
  <c r="GP40" i="5"/>
  <c r="GN41" i="5"/>
  <c r="GO41" i="5"/>
  <c r="GP41" i="5"/>
  <c r="GN42" i="5"/>
  <c r="GO42" i="5"/>
  <c r="GP42" i="5"/>
  <c r="GN43" i="5"/>
  <c r="GO43" i="5"/>
  <c r="GP43" i="5"/>
  <c r="GN45" i="5"/>
  <c r="GO45" i="5"/>
  <c r="GP45" i="5"/>
  <c r="GN46" i="5"/>
  <c r="GO46" i="5"/>
  <c r="GP46" i="5"/>
  <c r="GN47" i="5"/>
  <c r="GO47" i="5"/>
  <c r="GP47" i="5"/>
  <c r="GN48" i="5"/>
  <c r="GO48" i="5"/>
  <c r="GP48" i="5"/>
  <c r="GN49" i="5"/>
  <c r="GO49" i="5"/>
  <c r="GP49" i="5"/>
  <c r="GN50" i="5"/>
  <c r="GO50" i="5"/>
  <c r="GP50" i="5"/>
  <c r="GN51" i="5"/>
  <c r="GO51" i="5"/>
  <c r="GP51" i="5"/>
  <c r="GN52" i="5"/>
  <c r="GO52" i="5"/>
  <c r="GP52" i="5"/>
  <c r="GM50" i="5"/>
  <c r="GJ50" i="5"/>
  <c r="GN33" i="5"/>
  <c r="GO33" i="5"/>
  <c r="GP33" i="5"/>
  <c r="GN34" i="5"/>
  <c r="GO34" i="5"/>
  <c r="GP34" i="5"/>
  <c r="GN35" i="5"/>
  <c r="GO35" i="5"/>
  <c r="GP35" i="5"/>
  <c r="GJ35" i="5"/>
  <c r="GM35" i="5"/>
  <c r="GC15" i="5"/>
  <c r="FZ15" i="5"/>
  <c r="HQ15" i="5"/>
  <c r="HR15" i="5"/>
  <c r="HS15" i="5"/>
  <c r="HT15" i="5"/>
  <c r="IJ15" i="5"/>
  <c r="IK15" i="5"/>
  <c r="IL15" i="5"/>
  <c r="IM15" i="5"/>
  <c r="IT15" i="5"/>
  <c r="IU15" i="5"/>
  <c r="IV15" i="5"/>
  <c r="IW15" i="5"/>
  <c r="JD15" i="5"/>
  <c r="JE15" i="5"/>
  <c r="JF15" i="5"/>
  <c r="JG15" i="5"/>
  <c r="JN15" i="5"/>
  <c r="JO15" i="5"/>
  <c r="JU15" i="5"/>
  <c r="JV15" i="5"/>
  <c r="JW15" i="5"/>
  <c r="JX15" i="5"/>
  <c r="KC15" i="5"/>
  <c r="KD15" i="5"/>
  <c r="KE15" i="5"/>
  <c r="KF15" i="5"/>
  <c r="GM15" i="5"/>
  <c r="GJ15" i="5"/>
  <c r="GJ5" i="5"/>
  <c r="GM5" i="5"/>
  <c r="GN74" i="5"/>
  <c r="GO74" i="5"/>
  <c r="GP74" i="5"/>
  <c r="GN63" i="5"/>
  <c r="GO63" i="5"/>
  <c r="GP63" i="5"/>
  <c r="GN65" i="5"/>
  <c r="GO65" i="5"/>
  <c r="GP65" i="5"/>
  <c r="GN66" i="5"/>
  <c r="GO66" i="5"/>
  <c r="GP66" i="5"/>
  <c r="GN67" i="5"/>
  <c r="GO67" i="5"/>
  <c r="GP67" i="5"/>
  <c r="GN68" i="5"/>
  <c r="GO68" i="5"/>
  <c r="GP68" i="5"/>
  <c r="GN69" i="5"/>
  <c r="GO69" i="5"/>
  <c r="GP69" i="5"/>
  <c r="GN70" i="5"/>
  <c r="GO70" i="5"/>
  <c r="GP70" i="5"/>
  <c r="GN71" i="5"/>
  <c r="GO71" i="5"/>
  <c r="GP71" i="5"/>
  <c r="GN72" i="5"/>
  <c r="GO72" i="5"/>
  <c r="GP72" i="5"/>
  <c r="GN73" i="5"/>
  <c r="GO73" i="5"/>
  <c r="GP73" i="5"/>
  <c r="GN75" i="5"/>
  <c r="GO75" i="5"/>
  <c r="GP75" i="5"/>
  <c r="GN76" i="5"/>
  <c r="GO76" i="5"/>
  <c r="GP76" i="5"/>
  <c r="GM74" i="5"/>
  <c r="GJ74" i="5"/>
  <c r="GO62" i="5"/>
  <c r="GN62" i="5"/>
  <c r="GM62" i="5"/>
  <c r="GJ62" i="5"/>
  <c r="GM34" i="5"/>
  <c r="GJ34" i="5"/>
  <c r="GN9" i="5"/>
  <c r="GO9" i="5"/>
  <c r="GP9" i="5"/>
  <c r="GN10" i="5"/>
  <c r="GO10" i="5"/>
  <c r="GP10" i="5"/>
  <c r="GN11" i="5"/>
  <c r="GO11" i="5"/>
  <c r="GP11" i="5"/>
  <c r="GN22" i="5"/>
  <c r="GO22" i="5"/>
  <c r="GP22" i="5"/>
  <c r="GN23" i="5"/>
  <c r="GO23" i="5"/>
  <c r="GP23" i="5"/>
  <c r="GN24" i="5"/>
  <c r="GO24" i="5"/>
  <c r="GP24" i="5"/>
  <c r="GN12" i="5"/>
  <c r="GO12" i="5"/>
  <c r="GP12" i="5"/>
  <c r="GN13" i="5"/>
  <c r="GO13" i="5"/>
  <c r="GP13" i="5"/>
  <c r="GN14" i="5"/>
  <c r="GO14" i="5"/>
  <c r="GP14" i="5"/>
  <c r="GN15" i="5"/>
  <c r="GO15" i="5"/>
  <c r="GP15" i="5"/>
  <c r="GN16" i="5"/>
  <c r="GO16" i="5"/>
  <c r="GP16" i="5"/>
  <c r="GN17" i="5"/>
  <c r="GO17" i="5"/>
  <c r="GP17" i="5"/>
  <c r="GN32" i="5"/>
  <c r="GO32" i="5"/>
  <c r="GP32" i="5"/>
  <c r="GN8" i="5"/>
  <c r="GN5" i="5"/>
  <c r="GO5" i="5"/>
  <c r="GP5" i="5"/>
  <c r="GN6" i="5"/>
  <c r="GO6" i="5"/>
  <c r="GP6" i="5"/>
  <c r="GN7" i="5"/>
  <c r="GO7" i="5"/>
  <c r="GP7" i="5"/>
  <c r="GO8" i="5"/>
  <c r="GP8" i="5"/>
  <c r="GO4" i="5"/>
  <c r="GN4" i="5"/>
  <c r="GM4" i="5"/>
  <c r="GJ4" i="5"/>
  <c r="FK15" i="5"/>
  <c r="FL15" i="5"/>
  <c r="FM15" i="5"/>
  <c r="FK32" i="5"/>
  <c r="FL32" i="5"/>
  <c r="FM32" i="5"/>
  <c r="FK45" i="5"/>
  <c r="FL45" i="5"/>
  <c r="FM45" i="5"/>
  <c r="FK46" i="5"/>
  <c r="FL46" i="5"/>
  <c r="FM46" i="5"/>
  <c r="FK52" i="5"/>
  <c r="FL52" i="5"/>
  <c r="FM52" i="5"/>
  <c r="FK58" i="5"/>
  <c r="FL58" i="5"/>
  <c r="FM58" i="5"/>
  <c r="FK61" i="5"/>
  <c r="FL61" i="5"/>
  <c r="FM61" i="5"/>
  <c r="FK66" i="5"/>
  <c r="FL66" i="5"/>
  <c r="FM66" i="5"/>
  <c r="FK67" i="5"/>
  <c r="FL67" i="5"/>
  <c r="FM67" i="5"/>
  <c r="FD5" i="5"/>
  <c r="FE5" i="5"/>
  <c r="FF5" i="5"/>
  <c r="FG5" i="5"/>
  <c r="FD6" i="5"/>
  <c r="FE6" i="5"/>
  <c r="FF6" i="5"/>
  <c r="FG6" i="5"/>
  <c r="FD7" i="5"/>
  <c r="FE7" i="5"/>
  <c r="FF7" i="5"/>
  <c r="FG7" i="5"/>
  <c r="FD8" i="5"/>
  <c r="FE8" i="5"/>
  <c r="FF8" i="5"/>
  <c r="FG8" i="5"/>
  <c r="FD9" i="5"/>
  <c r="FE9" i="5"/>
  <c r="FF9" i="5"/>
  <c r="FG9" i="5"/>
  <c r="FD10" i="5"/>
  <c r="FE10" i="5"/>
  <c r="FF10" i="5"/>
  <c r="FG10" i="5"/>
  <c r="FD11" i="5"/>
  <c r="FE11" i="5"/>
  <c r="FF11" i="5"/>
  <c r="FG11" i="5"/>
  <c r="FD22" i="5"/>
  <c r="FD30" i="5" s="1"/>
  <c r="FE22" i="5"/>
  <c r="FE30" i="5" s="1"/>
  <c r="FF22" i="5"/>
  <c r="FF30" i="5" s="1"/>
  <c r="FG22" i="5"/>
  <c r="FG30" i="5" s="1"/>
  <c r="FD23" i="5"/>
  <c r="FE23" i="5"/>
  <c r="FF23" i="5"/>
  <c r="FG23" i="5"/>
  <c r="FD24" i="5"/>
  <c r="FE24" i="5"/>
  <c r="FF24" i="5"/>
  <c r="FG24" i="5"/>
  <c r="FD12" i="5"/>
  <c r="FE12" i="5"/>
  <c r="FF12" i="5"/>
  <c r="FG12" i="5"/>
  <c r="FD13" i="5"/>
  <c r="FE13" i="5"/>
  <c r="FF13" i="5"/>
  <c r="FG13" i="5"/>
  <c r="FD14" i="5"/>
  <c r="FE14" i="5"/>
  <c r="FF14" i="5"/>
  <c r="FG14" i="5"/>
  <c r="FD15" i="5"/>
  <c r="FE15" i="5"/>
  <c r="FF15" i="5"/>
  <c r="FG15" i="5"/>
  <c r="FD16" i="5"/>
  <c r="FE16" i="5"/>
  <c r="FF16" i="5"/>
  <c r="FG16" i="5"/>
  <c r="FD17" i="5"/>
  <c r="FE17" i="5"/>
  <c r="FF17" i="5"/>
  <c r="FG17" i="5"/>
  <c r="FD32" i="5"/>
  <c r="FE32" i="5"/>
  <c r="FF32" i="5"/>
  <c r="FG32" i="5"/>
  <c r="FD34" i="5"/>
  <c r="FE34" i="5"/>
  <c r="FF34" i="5"/>
  <c r="FG34" i="5"/>
  <c r="FD35" i="5"/>
  <c r="FE35" i="5"/>
  <c r="FF35" i="5"/>
  <c r="FG35" i="5"/>
  <c r="FD36" i="5"/>
  <c r="FE36" i="5"/>
  <c r="FF36" i="5"/>
  <c r="FG36" i="5"/>
  <c r="FE37" i="5"/>
  <c r="FF37" i="5"/>
  <c r="FG37" i="5"/>
  <c r="FD38" i="5"/>
  <c r="FE38" i="5"/>
  <c r="FF38" i="5"/>
  <c r="FG38" i="5"/>
  <c r="FD39" i="5"/>
  <c r="FE39" i="5"/>
  <c r="FF39" i="5"/>
  <c r="FG39" i="5"/>
  <c r="FD40" i="5"/>
  <c r="FE40" i="5"/>
  <c r="FF40" i="5"/>
  <c r="FG40" i="5"/>
  <c r="FD41" i="5"/>
  <c r="FE41" i="5"/>
  <c r="FF41" i="5"/>
  <c r="FG41" i="5"/>
  <c r="FD42" i="5"/>
  <c r="FE42" i="5"/>
  <c r="FF42" i="5"/>
  <c r="FG42" i="5"/>
  <c r="FD43" i="5"/>
  <c r="FE43" i="5"/>
  <c r="FF43" i="5"/>
  <c r="FG43" i="5"/>
  <c r="FD45" i="5"/>
  <c r="FE45" i="5"/>
  <c r="FF45" i="5"/>
  <c r="FG45" i="5"/>
  <c r="FD46" i="5"/>
  <c r="FE46" i="5"/>
  <c r="FF46" i="5"/>
  <c r="FG46" i="5"/>
  <c r="FD47" i="5"/>
  <c r="FE47" i="5"/>
  <c r="FF47" i="5"/>
  <c r="FG47" i="5"/>
  <c r="FD48" i="5"/>
  <c r="FE48" i="5"/>
  <c r="FF48" i="5"/>
  <c r="FG48" i="5"/>
  <c r="FD49" i="5"/>
  <c r="FE49" i="5"/>
  <c r="FF49" i="5"/>
  <c r="FG49" i="5"/>
  <c r="FD50" i="5"/>
  <c r="FE50" i="5"/>
  <c r="FF50" i="5"/>
  <c r="FG50" i="5"/>
  <c r="FD51" i="5"/>
  <c r="FE51" i="5"/>
  <c r="FF51" i="5"/>
  <c r="FG51" i="5"/>
  <c r="FD52" i="5"/>
  <c r="FE52" i="5"/>
  <c r="FF52" i="5"/>
  <c r="FG52" i="5"/>
  <c r="FD54" i="5"/>
  <c r="FE54" i="5"/>
  <c r="FF54" i="5"/>
  <c r="FG54" i="5"/>
  <c r="FD55" i="5"/>
  <c r="FE55" i="5"/>
  <c r="FF55" i="5"/>
  <c r="FG55" i="5"/>
  <c r="FD57" i="5"/>
  <c r="FE57" i="5"/>
  <c r="FF57" i="5"/>
  <c r="FG57" i="5"/>
  <c r="FD58" i="5"/>
  <c r="FE58" i="5"/>
  <c r="FF58" i="5"/>
  <c r="FG58" i="5"/>
  <c r="FD59" i="5"/>
  <c r="FE59" i="5"/>
  <c r="FF59" i="5"/>
  <c r="FG59" i="5"/>
  <c r="FD60" i="5"/>
  <c r="FE60" i="5"/>
  <c r="FF60" i="5"/>
  <c r="FG60" i="5"/>
  <c r="FD61" i="5"/>
  <c r="FE61" i="5"/>
  <c r="FF61" i="5"/>
  <c r="FG61" i="5"/>
  <c r="FD62" i="5"/>
  <c r="FE62" i="5"/>
  <c r="FF62" i="5"/>
  <c r="FG62" i="5"/>
  <c r="FD63" i="5"/>
  <c r="FE63" i="5"/>
  <c r="FF63" i="5"/>
  <c r="FG63" i="5"/>
  <c r="FD65" i="5"/>
  <c r="FE65" i="5"/>
  <c r="FF65" i="5"/>
  <c r="FG65" i="5"/>
  <c r="FD66" i="5"/>
  <c r="FE66" i="5"/>
  <c r="FF66" i="5"/>
  <c r="FG66" i="5"/>
  <c r="FD67" i="5"/>
  <c r="FE67" i="5"/>
  <c r="FF67" i="5"/>
  <c r="FG67" i="5"/>
  <c r="FD68" i="5"/>
  <c r="FE68" i="5"/>
  <c r="FF68" i="5"/>
  <c r="FG68" i="5"/>
  <c r="FD69" i="5"/>
  <c r="FE69" i="5"/>
  <c r="FF69" i="5"/>
  <c r="FG69" i="5"/>
  <c r="FD70" i="5"/>
  <c r="FE70" i="5"/>
  <c r="FF70" i="5"/>
  <c r="FG70" i="5"/>
  <c r="FD71" i="5"/>
  <c r="FE71" i="5"/>
  <c r="FF71" i="5"/>
  <c r="FG71" i="5"/>
  <c r="FD72" i="5"/>
  <c r="FE72" i="5"/>
  <c r="FF72" i="5"/>
  <c r="FG72" i="5"/>
  <c r="FD73" i="5"/>
  <c r="FE73" i="5"/>
  <c r="FF73" i="5"/>
  <c r="FG73" i="5"/>
  <c r="FD74" i="5"/>
  <c r="FE74" i="5"/>
  <c r="FF74" i="5"/>
  <c r="FG74" i="5"/>
  <c r="FD75" i="5"/>
  <c r="FE75" i="5"/>
  <c r="FF75" i="5"/>
  <c r="FG75" i="5"/>
  <c r="FD76" i="5"/>
  <c r="FE76" i="5"/>
  <c r="FF76" i="5"/>
  <c r="FG76" i="5"/>
  <c r="FD78" i="5"/>
  <c r="FE78" i="5"/>
  <c r="FF78" i="5"/>
  <c r="FG78" i="5"/>
  <c r="FD79" i="5"/>
  <c r="FE79" i="5"/>
  <c r="FF79" i="5"/>
  <c r="FG79" i="5"/>
  <c r="FG4" i="5"/>
  <c r="FF4" i="5"/>
  <c r="FE4" i="5"/>
  <c r="FI4" i="5" s="1"/>
  <c r="FD4" i="5"/>
  <c r="FH4" i="5" s="1"/>
  <c r="P4" i="8"/>
  <c r="P5" i="8"/>
  <c r="P6" i="8"/>
  <c r="P7" i="8"/>
  <c r="P8" i="8"/>
  <c r="P9" i="8"/>
  <c r="P10" i="8"/>
  <c r="P11" i="8"/>
  <c r="P12" i="8"/>
  <c r="P13" i="8"/>
  <c r="P14" i="8"/>
  <c r="P15" i="8"/>
  <c r="P16" i="8"/>
  <c r="P17" i="8"/>
  <c r="P18" i="8"/>
  <c r="P19" i="8"/>
  <c r="P20" i="8"/>
  <c r="P3" i="8"/>
  <c r="P25" i="8" s="1"/>
  <c r="BX5" i="5"/>
  <c r="BY5" i="5"/>
  <c r="BZ5" i="5"/>
  <c r="CA5" i="5"/>
  <c r="CB5" i="5"/>
  <c r="BX6" i="5"/>
  <c r="BY6" i="5"/>
  <c r="BZ6" i="5"/>
  <c r="CA6" i="5"/>
  <c r="CB6" i="5"/>
  <c r="BX7" i="5"/>
  <c r="BY7" i="5"/>
  <c r="BZ7" i="5"/>
  <c r="CA7" i="5"/>
  <c r="CB7" i="5"/>
  <c r="BX8" i="5"/>
  <c r="BY8" i="5"/>
  <c r="BZ8" i="5"/>
  <c r="CA8" i="5"/>
  <c r="CB8" i="5"/>
  <c r="BX9" i="5"/>
  <c r="BY9" i="5"/>
  <c r="BZ9" i="5"/>
  <c r="CA9" i="5"/>
  <c r="CB9" i="5"/>
  <c r="BX10" i="5"/>
  <c r="BY10" i="5"/>
  <c r="BZ10" i="5"/>
  <c r="CA10" i="5"/>
  <c r="CB10" i="5"/>
  <c r="BX11" i="5"/>
  <c r="BY11" i="5"/>
  <c r="BZ11" i="5"/>
  <c r="CA11" i="5"/>
  <c r="CB11" i="5"/>
  <c r="BX22" i="5"/>
  <c r="BY22" i="5"/>
  <c r="BZ22" i="5"/>
  <c r="CA22" i="5"/>
  <c r="CB22" i="5"/>
  <c r="BX23" i="5"/>
  <c r="BY23" i="5"/>
  <c r="BZ23" i="5"/>
  <c r="CA23" i="5"/>
  <c r="CB23" i="5"/>
  <c r="BX24" i="5"/>
  <c r="BY24" i="5"/>
  <c r="BZ24" i="5"/>
  <c r="CA24" i="5"/>
  <c r="CB24" i="5"/>
  <c r="BX12" i="5"/>
  <c r="BY12" i="5"/>
  <c r="BZ12" i="5"/>
  <c r="CA12" i="5"/>
  <c r="CB12" i="5"/>
  <c r="BX13" i="5"/>
  <c r="BY13" i="5"/>
  <c r="BZ13" i="5"/>
  <c r="CA13" i="5"/>
  <c r="CB13" i="5"/>
  <c r="BX14" i="5"/>
  <c r="BY14" i="5"/>
  <c r="BZ14" i="5"/>
  <c r="CA14" i="5"/>
  <c r="CB14" i="5"/>
  <c r="BX15" i="5"/>
  <c r="BY15" i="5"/>
  <c r="BZ15" i="5"/>
  <c r="CA15" i="5"/>
  <c r="CB15" i="5"/>
  <c r="BX16" i="5"/>
  <c r="BY16" i="5"/>
  <c r="BZ16" i="5"/>
  <c r="CA16" i="5"/>
  <c r="CB16" i="5"/>
  <c r="BX17" i="5"/>
  <c r="BY17" i="5"/>
  <c r="BZ17" i="5"/>
  <c r="CA17" i="5"/>
  <c r="CB17" i="5"/>
  <c r="BX32" i="5"/>
  <c r="BY32" i="5"/>
  <c r="BZ32" i="5"/>
  <c r="CA32" i="5"/>
  <c r="CB32" i="5"/>
  <c r="BX34" i="5"/>
  <c r="BY34" i="5"/>
  <c r="BZ34" i="5"/>
  <c r="CA34" i="5"/>
  <c r="CB34" i="5"/>
  <c r="BX35" i="5"/>
  <c r="BY35" i="5"/>
  <c r="BZ35" i="5"/>
  <c r="CA35" i="5"/>
  <c r="CB35" i="5"/>
  <c r="BX36" i="5"/>
  <c r="BY36" i="5"/>
  <c r="BZ36" i="5"/>
  <c r="CA36" i="5"/>
  <c r="CB36" i="5"/>
  <c r="BX37" i="5"/>
  <c r="BY37" i="5"/>
  <c r="BZ37" i="5"/>
  <c r="CA37" i="5"/>
  <c r="CB37" i="5"/>
  <c r="BX38" i="5"/>
  <c r="BY38" i="5"/>
  <c r="BZ38" i="5"/>
  <c r="CA38" i="5"/>
  <c r="CB38" i="5"/>
  <c r="BX39" i="5"/>
  <c r="BY39" i="5"/>
  <c r="BZ39" i="5"/>
  <c r="CA39" i="5"/>
  <c r="CB39" i="5"/>
  <c r="BX40" i="5"/>
  <c r="BY40" i="5"/>
  <c r="BZ40" i="5"/>
  <c r="CA40" i="5"/>
  <c r="CB40" i="5"/>
  <c r="BX41" i="5"/>
  <c r="BY41" i="5"/>
  <c r="BZ41" i="5"/>
  <c r="CA41" i="5"/>
  <c r="CB41" i="5"/>
  <c r="BX42" i="5"/>
  <c r="BY42" i="5"/>
  <c r="BZ42" i="5"/>
  <c r="CA42" i="5"/>
  <c r="CB42" i="5"/>
  <c r="BX43" i="5"/>
  <c r="BY43" i="5"/>
  <c r="BZ43" i="5"/>
  <c r="CA43" i="5"/>
  <c r="CB43" i="5"/>
  <c r="BX45" i="5"/>
  <c r="BY45" i="5"/>
  <c r="BZ45" i="5"/>
  <c r="CA45" i="5"/>
  <c r="CB45" i="5"/>
  <c r="BX46" i="5"/>
  <c r="BY46" i="5"/>
  <c r="BZ46" i="5"/>
  <c r="CA46" i="5"/>
  <c r="CB46" i="5"/>
  <c r="BX47" i="5"/>
  <c r="BY47" i="5"/>
  <c r="BZ47" i="5"/>
  <c r="CA47" i="5"/>
  <c r="CB47" i="5"/>
  <c r="BX48" i="5"/>
  <c r="BY48" i="5"/>
  <c r="BZ48" i="5"/>
  <c r="CA48" i="5"/>
  <c r="CB48" i="5"/>
  <c r="BX49" i="5"/>
  <c r="BY49" i="5"/>
  <c r="BZ49" i="5"/>
  <c r="CA49" i="5"/>
  <c r="CB49" i="5"/>
  <c r="BX50" i="5"/>
  <c r="BY50" i="5"/>
  <c r="BZ50" i="5"/>
  <c r="CA50" i="5"/>
  <c r="CB50" i="5"/>
  <c r="BX51" i="5"/>
  <c r="BY51" i="5"/>
  <c r="BZ51" i="5"/>
  <c r="CA51" i="5"/>
  <c r="CB51" i="5"/>
  <c r="BX52" i="5"/>
  <c r="BY52" i="5"/>
  <c r="BZ52" i="5"/>
  <c r="CA52" i="5"/>
  <c r="CB52" i="5"/>
  <c r="BX54" i="5"/>
  <c r="BY54" i="5"/>
  <c r="BZ54" i="5"/>
  <c r="CA54" i="5"/>
  <c r="CB54" i="5"/>
  <c r="BX55" i="5"/>
  <c r="BY55" i="5"/>
  <c r="BZ55" i="5"/>
  <c r="CA55" i="5"/>
  <c r="CB55" i="5"/>
  <c r="BX57" i="5"/>
  <c r="BY57" i="5"/>
  <c r="BZ57" i="5"/>
  <c r="CA57" i="5"/>
  <c r="CB57" i="5"/>
  <c r="BX58" i="5"/>
  <c r="BY58" i="5"/>
  <c r="BZ58" i="5"/>
  <c r="CA58" i="5"/>
  <c r="CB58" i="5"/>
  <c r="BX59" i="5"/>
  <c r="BY59" i="5"/>
  <c r="BZ59" i="5"/>
  <c r="CA59" i="5"/>
  <c r="CB59" i="5"/>
  <c r="BX60" i="5"/>
  <c r="BY60" i="5"/>
  <c r="BZ60" i="5"/>
  <c r="CA60" i="5"/>
  <c r="CB60" i="5"/>
  <c r="BX61" i="5"/>
  <c r="BY61" i="5"/>
  <c r="BZ61" i="5"/>
  <c r="CA61" i="5"/>
  <c r="CB61" i="5"/>
  <c r="BX62" i="5"/>
  <c r="BY62" i="5"/>
  <c r="BZ62" i="5"/>
  <c r="CA62" i="5"/>
  <c r="CB62" i="5"/>
  <c r="BX63" i="5"/>
  <c r="BY63" i="5"/>
  <c r="BZ63" i="5"/>
  <c r="CA63" i="5"/>
  <c r="CB63" i="5"/>
  <c r="BX65" i="5"/>
  <c r="BY65" i="5"/>
  <c r="BZ65" i="5"/>
  <c r="CA65" i="5"/>
  <c r="CB65" i="5"/>
  <c r="BX66" i="5"/>
  <c r="BY66" i="5"/>
  <c r="BZ66" i="5"/>
  <c r="CA66" i="5"/>
  <c r="CB66" i="5"/>
  <c r="BX67" i="5"/>
  <c r="BY67" i="5"/>
  <c r="BZ67" i="5"/>
  <c r="CA67" i="5"/>
  <c r="CB67" i="5"/>
  <c r="BX68" i="5"/>
  <c r="BY68" i="5"/>
  <c r="BZ68" i="5"/>
  <c r="CA68" i="5"/>
  <c r="CB68" i="5"/>
  <c r="BX69" i="5"/>
  <c r="BY69" i="5"/>
  <c r="BZ69" i="5"/>
  <c r="CA69" i="5"/>
  <c r="CB69" i="5"/>
  <c r="BX70" i="5"/>
  <c r="BY70" i="5"/>
  <c r="BZ70" i="5"/>
  <c r="CA70" i="5"/>
  <c r="CB70" i="5"/>
  <c r="BX71" i="5"/>
  <c r="BY71" i="5"/>
  <c r="BZ71" i="5"/>
  <c r="CA71" i="5"/>
  <c r="CB71" i="5"/>
  <c r="BX72" i="5"/>
  <c r="BY72" i="5"/>
  <c r="BZ72" i="5"/>
  <c r="CA72" i="5"/>
  <c r="CB72" i="5"/>
  <c r="BX73" i="5"/>
  <c r="BY73" i="5"/>
  <c r="BZ73" i="5"/>
  <c r="CA73" i="5"/>
  <c r="CB73" i="5"/>
  <c r="BX74" i="5"/>
  <c r="BY74" i="5"/>
  <c r="BZ74" i="5"/>
  <c r="CA74" i="5"/>
  <c r="CB74" i="5"/>
  <c r="BX75" i="5"/>
  <c r="BY75" i="5"/>
  <c r="BZ75" i="5"/>
  <c r="CA75" i="5"/>
  <c r="CB75" i="5"/>
  <c r="BX76" i="5"/>
  <c r="BY76" i="5"/>
  <c r="BZ76" i="5"/>
  <c r="CA76" i="5"/>
  <c r="CB76" i="5"/>
  <c r="BX78" i="5"/>
  <c r="BY78" i="5"/>
  <c r="BZ78" i="5"/>
  <c r="CA78" i="5"/>
  <c r="CB78" i="5"/>
  <c r="BX79" i="5"/>
  <c r="BY79" i="5"/>
  <c r="BZ79" i="5"/>
  <c r="CA79" i="5"/>
  <c r="CB79" i="5"/>
  <c r="CA4" i="5"/>
  <c r="BZ4" i="5"/>
  <c r="BY4" i="5"/>
  <c r="BX4" i="5"/>
  <c r="CB4" i="5" s="1"/>
  <c r="GC10" i="5"/>
  <c r="FZ10" i="5"/>
  <c r="GC23" i="5"/>
  <c r="FZ23" i="5"/>
  <c r="GC74" i="5"/>
  <c r="FZ74" i="5"/>
  <c r="EE41" i="5"/>
  <c r="GC50" i="5"/>
  <c r="FZ50" i="5"/>
  <c r="FS50" i="5"/>
  <c r="FP50" i="5"/>
  <c r="GC34" i="5"/>
  <c r="FZ35" i="5"/>
  <c r="FZ34" i="5"/>
  <c r="KK5" i="5"/>
  <c r="GD5" i="5"/>
  <c r="GE5" i="5"/>
  <c r="GF5" i="5"/>
  <c r="GD6" i="5"/>
  <c r="GE6" i="5"/>
  <c r="GF6" i="5"/>
  <c r="GD7" i="5"/>
  <c r="GE7" i="5"/>
  <c r="GF7" i="5"/>
  <c r="GD8" i="5"/>
  <c r="GE8" i="5"/>
  <c r="GF8" i="5"/>
  <c r="GD9" i="5"/>
  <c r="GE9" i="5"/>
  <c r="GF9" i="5"/>
  <c r="GD10" i="5"/>
  <c r="GE10" i="5"/>
  <c r="GF10" i="5"/>
  <c r="GD11" i="5"/>
  <c r="GE11" i="5"/>
  <c r="GF11" i="5"/>
  <c r="GD22" i="5"/>
  <c r="GE22" i="5"/>
  <c r="GF22" i="5"/>
  <c r="GD23" i="5"/>
  <c r="GE23" i="5"/>
  <c r="GF23" i="5"/>
  <c r="GD24" i="5"/>
  <c r="GE24" i="5"/>
  <c r="GF24" i="5"/>
  <c r="GD12" i="5"/>
  <c r="GE12" i="5"/>
  <c r="GF12" i="5"/>
  <c r="GD13" i="5"/>
  <c r="GE13" i="5"/>
  <c r="GF13" i="5"/>
  <c r="GD14" i="5"/>
  <c r="GE14" i="5"/>
  <c r="GF14" i="5"/>
  <c r="GD15" i="5"/>
  <c r="KA15" i="5" s="1"/>
  <c r="GE15" i="5"/>
  <c r="KB15" i="5" s="1"/>
  <c r="GF15" i="5"/>
  <c r="GD16" i="5"/>
  <c r="GE16" i="5"/>
  <c r="GF16" i="5"/>
  <c r="GD17" i="5"/>
  <c r="GE17" i="5"/>
  <c r="GF17" i="5"/>
  <c r="GD32" i="5"/>
  <c r="GE32" i="5"/>
  <c r="GF32" i="5"/>
  <c r="GD33" i="5"/>
  <c r="GE33" i="5"/>
  <c r="GF33" i="5"/>
  <c r="GD34" i="5"/>
  <c r="GE34" i="5"/>
  <c r="GF34" i="5"/>
  <c r="GD35" i="5"/>
  <c r="GE35" i="5"/>
  <c r="GF35" i="5"/>
  <c r="GD36" i="5"/>
  <c r="GE36" i="5"/>
  <c r="GF36" i="5"/>
  <c r="GD37" i="5"/>
  <c r="GE37" i="5"/>
  <c r="GF37" i="5"/>
  <c r="GD38" i="5"/>
  <c r="GE38" i="5"/>
  <c r="GF38" i="5"/>
  <c r="GD39" i="5"/>
  <c r="GE39" i="5"/>
  <c r="GF39" i="5"/>
  <c r="GD40" i="5"/>
  <c r="GE40" i="5"/>
  <c r="GF40" i="5"/>
  <c r="GD41" i="5"/>
  <c r="GE41" i="5"/>
  <c r="GF41" i="5"/>
  <c r="GD42" i="5"/>
  <c r="GE42" i="5"/>
  <c r="GF42" i="5"/>
  <c r="GD43" i="5"/>
  <c r="GE43" i="5"/>
  <c r="GF43" i="5"/>
  <c r="GD45" i="5"/>
  <c r="GE45" i="5"/>
  <c r="GF45" i="5"/>
  <c r="GD46" i="5"/>
  <c r="GE46" i="5"/>
  <c r="GF46" i="5"/>
  <c r="GD47" i="5"/>
  <c r="HH47" i="5" s="1"/>
  <c r="GE47" i="5"/>
  <c r="HI47" i="5" s="1"/>
  <c r="GF47" i="5"/>
  <c r="GD48" i="5"/>
  <c r="HH48" i="5" s="1"/>
  <c r="GE48" i="5"/>
  <c r="HI48" i="5" s="1"/>
  <c r="GF48" i="5"/>
  <c r="GD49" i="5"/>
  <c r="GE49" i="5"/>
  <c r="GF49" i="5"/>
  <c r="GD50" i="5"/>
  <c r="GE50" i="5"/>
  <c r="GF50" i="5"/>
  <c r="GD51" i="5"/>
  <c r="GE51" i="5"/>
  <c r="GF51" i="5"/>
  <c r="GD52" i="5"/>
  <c r="GE52" i="5"/>
  <c r="GF52" i="5"/>
  <c r="GD53" i="5"/>
  <c r="GE53" i="5"/>
  <c r="GF53" i="5"/>
  <c r="GD54" i="5"/>
  <c r="GE54" i="5"/>
  <c r="GF54" i="5"/>
  <c r="GD55" i="5"/>
  <c r="GE55" i="5"/>
  <c r="GF55" i="5"/>
  <c r="GD57" i="5"/>
  <c r="GE57" i="5"/>
  <c r="GF57" i="5"/>
  <c r="GD58" i="5"/>
  <c r="GE58" i="5"/>
  <c r="GF58" i="5"/>
  <c r="GD59" i="5"/>
  <c r="GE59" i="5"/>
  <c r="GF59" i="5"/>
  <c r="GD60" i="5"/>
  <c r="GE60" i="5"/>
  <c r="GF60" i="5"/>
  <c r="GD61" i="5"/>
  <c r="GE61" i="5"/>
  <c r="GF61" i="5"/>
  <c r="GD62" i="5"/>
  <c r="GE62" i="5"/>
  <c r="GF62" i="5"/>
  <c r="GD63" i="5"/>
  <c r="GE63" i="5"/>
  <c r="GF63" i="5"/>
  <c r="GD65" i="5"/>
  <c r="GE65" i="5"/>
  <c r="GF65" i="5"/>
  <c r="GD66" i="5"/>
  <c r="GE66" i="5"/>
  <c r="GF66" i="5"/>
  <c r="GD67" i="5"/>
  <c r="GE67" i="5"/>
  <c r="GF67" i="5"/>
  <c r="GD68" i="5"/>
  <c r="GE68" i="5"/>
  <c r="GF68" i="5"/>
  <c r="GD69" i="5"/>
  <c r="GE69" i="5"/>
  <c r="GF69" i="5"/>
  <c r="GD70" i="5"/>
  <c r="GE70" i="5"/>
  <c r="GF70" i="5"/>
  <c r="GD71" i="5"/>
  <c r="GE71" i="5"/>
  <c r="GF71" i="5"/>
  <c r="GD72" i="5"/>
  <c r="GE72" i="5"/>
  <c r="GF72" i="5"/>
  <c r="GD73" i="5"/>
  <c r="GE73" i="5"/>
  <c r="GF73" i="5"/>
  <c r="GD74" i="5"/>
  <c r="GE74" i="5"/>
  <c r="GF74" i="5"/>
  <c r="GD75" i="5"/>
  <c r="GE75" i="5"/>
  <c r="GF75" i="5"/>
  <c r="GD76" i="5"/>
  <c r="GE76" i="5"/>
  <c r="GF76" i="5"/>
  <c r="GD77" i="5"/>
  <c r="GE77" i="5"/>
  <c r="GF77" i="5"/>
  <c r="GD78" i="5"/>
  <c r="HH78" i="5" s="1"/>
  <c r="GE78" i="5"/>
  <c r="HI78" i="5" s="1"/>
  <c r="GF78" i="5"/>
  <c r="GD79" i="5"/>
  <c r="HH79" i="5" s="1"/>
  <c r="GE79" i="5"/>
  <c r="HI79" i="5" s="1"/>
  <c r="GF79" i="5"/>
  <c r="GE4" i="5"/>
  <c r="GD4" i="5"/>
  <c r="GF4" i="5" s="1"/>
  <c r="GC4" i="5"/>
  <c r="FZ4" i="5"/>
  <c r="DP60" i="5"/>
  <c r="DO60" i="5"/>
  <c r="DN60" i="5"/>
  <c r="EZ60" i="5" s="1"/>
  <c r="DK60" i="5"/>
  <c r="EY60" i="5" s="1"/>
  <c r="EI16" i="5"/>
  <c r="EJ16" i="5"/>
  <c r="EK16" i="5"/>
  <c r="AA4" i="8"/>
  <c r="AA5" i="8"/>
  <c r="AA6" i="8"/>
  <c r="AA8" i="8"/>
  <c r="AA9" i="8"/>
  <c r="AA10" i="8"/>
  <c r="AA11" i="8"/>
  <c r="AA12" i="8"/>
  <c r="AA13" i="8"/>
  <c r="AA14" i="8"/>
  <c r="AA15" i="8"/>
  <c r="AA16" i="8"/>
  <c r="AA17" i="8"/>
  <c r="AA18" i="8"/>
  <c r="AA23" i="8"/>
  <c r="AA3" i="8"/>
  <c r="JN5" i="5"/>
  <c r="JN6" i="5"/>
  <c r="JN7" i="5"/>
  <c r="JN8" i="5"/>
  <c r="JN10" i="5"/>
  <c r="JN11" i="5"/>
  <c r="JN23" i="5"/>
  <c r="JN24" i="5"/>
  <c r="JN13" i="5"/>
  <c r="JN16" i="5"/>
  <c r="JN17" i="5"/>
  <c r="JN32" i="5"/>
  <c r="JN33" i="5"/>
  <c r="JN34" i="5"/>
  <c r="JN35" i="5"/>
  <c r="JN36" i="5"/>
  <c r="JN37" i="5"/>
  <c r="JN38" i="5"/>
  <c r="JN39" i="5"/>
  <c r="JN40" i="5"/>
  <c r="JN41" i="5"/>
  <c r="JN42" i="5"/>
  <c r="JN43" i="5"/>
  <c r="JN45" i="5"/>
  <c r="JN46" i="5"/>
  <c r="JN47" i="5"/>
  <c r="JN48" i="5"/>
  <c r="JN49" i="5"/>
  <c r="JN50" i="5"/>
  <c r="JN51" i="5"/>
  <c r="JN52" i="5"/>
  <c r="JN53" i="5"/>
  <c r="JN54" i="5"/>
  <c r="JN55" i="5"/>
  <c r="JN57" i="5"/>
  <c r="JN58" i="5"/>
  <c r="JN59" i="5"/>
  <c r="JN62" i="5"/>
  <c r="JN63" i="5"/>
  <c r="JN65" i="5"/>
  <c r="JN66" i="5"/>
  <c r="JN67" i="5"/>
  <c r="JN68" i="5"/>
  <c r="JN69" i="5"/>
  <c r="JN70" i="5"/>
  <c r="JN71" i="5"/>
  <c r="JN72" i="5"/>
  <c r="JN73" i="5"/>
  <c r="JN74" i="5"/>
  <c r="JN75" i="5"/>
  <c r="JN76" i="5"/>
  <c r="JN77" i="5"/>
  <c r="JN78" i="5"/>
  <c r="JN79" i="5"/>
  <c r="JN4" i="5"/>
  <c r="HO13" i="5"/>
  <c r="HO15" i="5"/>
  <c r="JZ15" i="5" s="1"/>
  <c r="HO17" i="5"/>
  <c r="HO32" i="5"/>
  <c r="HO33" i="5"/>
  <c r="HO36" i="5"/>
  <c r="HO37" i="5"/>
  <c r="HO38" i="5"/>
  <c r="HO39" i="5"/>
  <c r="HO40" i="5"/>
  <c r="HO41" i="5"/>
  <c r="HO42" i="5"/>
  <c r="HO43" i="5"/>
  <c r="HO45" i="5"/>
  <c r="HO46" i="5"/>
  <c r="HO47" i="5"/>
  <c r="HO48" i="5"/>
  <c r="HO49" i="5"/>
  <c r="HO50" i="5"/>
  <c r="HO51" i="5"/>
  <c r="HO52" i="5"/>
  <c r="HO53" i="5"/>
  <c r="HO54" i="5"/>
  <c r="HO55" i="5"/>
  <c r="HO57" i="5"/>
  <c r="HO58" i="5"/>
  <c r="HO59" i="5"/>
  <c r="HO61" i="5"/>
  <c r="JZ61" i="5" s="1"/>
  <c r="HO63" i="5"/>
  <c r="HO65" i="5"/>
  <c r="HO66" i="5"/>
  <c r="HO67" i="5"/>
  <c r="HO68" i="5"/>
  <c r="HO69" i="5"/>
  <c r="HO70" i="5"/>
  <c r="HO71" i="5"/>
  <c r="HO72" i="5"/>
  <c r="HO73" i="5"/>
  <c r="HO74" i="5"/>
  <c r="HO75" i="5"/>
  <c r="HO76" i="5"/>
  <c r="HO77" i="5"/>
  <c r="HO78" i="5"/>
  <c r="HO79" i="5"/>
  <c r="DH7" i="5"/>
  <c r="DH15" i="5"/>
  <c r="DH32" i="5"/>
  <c r="DH45" i="5"/>
  <c r="DH46" i="5"/>
  <c r="DH49" i="5"/>
  <c r="DH50" i="5"/>
  <c r="DH52" i="5"/>
  <c r="DH58" i="5"/>
  <c r="DH61" i="5"/>
  <c r="DH66" i="5"/>
  <c r="DH67" i="5"/>
  <c r="KC24" i="5"/>
  <c r="KD24" i="5"/>
  <c r="KE24" i="5"/>
  <c r="KF24" i="5"/>
  <c r="CS23" i="5"/>
  <c r="CT23" i="5"/>
  <c r="CU23" i="5"/>
  <c r="CR23" i="5"/>
  <c r="CO23" i="5"/>
  <c r="BK8" i="5"/>
  <c r="BJ8" i="5"/>
  <c r="BL8" i="5" s="1"/>
  <c r="BI8" i="5"/>
  <c r="BF8" i="5"/>
  <c r="AP8" i="5"/>
  <c r="AO8" i="5"/>
  <c r="AQ8" i="5" s="1"/>
  <c r="AN8" i="5"/>
  <c r="AK8" i="5"/>
  <c r="AB25" i="8"/>
  <c r="D25" i="8"/>
  <c r="E25" i="8"/>
  <c r="F25" i="8"/>
  <c r="H25" i="8"/>
  <c r="I25" i="8"/>
  <c r="J25" i="8"/>
  <c r="K25" i="8"/>
  <c r="L25" i="8"/>
  <c r="M25" i="8"/>
  <c r="N25" i="8"/>
  <c r="O25" i="8"/>
  <c r="Q25" i="8"/>
  <c r="R25" i="8"/>
  <c r="V25" i="8"/>
  <c r="W25" i="8"/>
  <c r="X25" i="8"/>
  <c r="Y25" i="8"/>
  <c r="Z25" i="8"/>
  <c r="C25" i="8"/>
  <c r="EJ34" i="5"/>
  <c r="EW35" i="5"/>
  <c r="EX35" i="5"/>
  <c r="EX34" i="5"/>
  <c r="EW34" i="5"/>
  <c r="DO34" i="5"/>
  <c r="DP34" i="5"/>
  <c r="DQ34" i="5" s="1"/>
  <c r="FU62" i="5"/>
  <c r="FT62" i="5"/>
  <c r="FV62" i="5" s="1"/>
  <c r="FS62" i="5"/>
  <c r="FP62" i="5"/>
  <c r="AT34" i="5"/>
  <c r="AS34" i="5"/>
  <c r="CX35" i="5"/>
  <c r="CX34" i="5"/>
  <c r="CW35" i="5"/>
  <c r="CW34" i="5"/>
  <c r="FU34" i="5"/>
  <c r="FT34" i="5"/>
  <c r="FV34" i="5" s="1"/>
  <c r="HO34" i="5" s="1"/>
  <c r="FS34" i="5"/>
  <c r="FP34" i="5"/>
  <c r="FU35" i="5"/>
  <c r="FT35" i="5"/>
  <c r="FV35" i="5" s="1"/>
  <c r="HO35" i="5" s="1"/>
  <c r="FS35" i="5"/>
  <c r="FP35" i="5"/>
  <c r="FP24" i="5"/>
  <c r="FS24" i="5"/>
  <c r="FT24" i="5"/>
  <c r="FU24" i="5"/>
  <c r="FV24" i="5"/>
  <c r="HO24" i="5" s="1"/>
  <c r="FP6" i="5"/>
  <c r="FS6" i="5"/>
  <c r="FT6" i="5"/>
  <c r="FU6" i="5"/>
  <c r="FV6" i="5"/>
  <c r="HO6" i="5" s="1"/>
  <c r="FP7" i="5"/>
  <c r="FS7" i="5"/>
  <c r="FT7" i="5"/>
  <c r="FU7" i="5"/>
  <c r="FV7" i="5"/>
  <c r="HO7" i="5" s="1"/>
  <c r="FP8" i="5"/>
  <c r="FS8" i="5"/>
  <c r="FT8" i="5"/>
  <c r="FU8" i="5"/>
  <c r="FV8" i="5"/>
  <c r="HO8" i="5" s="1"/>
  <c r="FP9" i="5"/>
  <c r="FS9" i="5"/>
  <c r="FT9" i="5"/>
  <c r="FU9" i="5"/>
  <c r="FV9" i="5"/>
  <c r="FP10" i="5"/>
  <c r="FS10" i="5"/>
  <c r="FT10" i="5"/>
  <c r="FU10" i="5"/>
  <c r="FV10" i="5"/>
  <c r="HO10" i="5" s="1"/>
  <c r="FP11" i="5"/>
  <c r="FS11" i="5"/>
  <c r="FT11" i="5"/>
  <c r="FU11" i="5"/>
  <c r="FV11" i="5"/>
  <c r="HO11" i="5" s="1"/>
  <c r="FT23" i="5"/>
  <c r="FU23" i="5"/>
  <c r="FV23" i="5"/>
  <c r="HO23" i="5" s="1"/>
  <c r="FS23" i="5"/>
  <c r="FP23" i="5"/>
  <c r="FP16" i="5"/>
  <c r="FS16" i="5"/>
  <c r="FT16" i="5"/>
  <c r="FU16" i="5"/>
  <c r="FV16" i="5"/>
  <c r="HO16" i="5" s="1"/>
  <c r="FT5" i="5"/>
  <c r="FU5" i="5"/>
  <c r="FV5" i="5"/>
  <c r="HO5" i="5" s="1"/>
  <c r="FU4" i="5"/>
  <c r="FT4" i="5"/>
  <c r="FV4" i="5" s="1"/>
  <c r="FS5" i="5"/>
  <c r="FS4" i="5"/>
  <c r="FP5" i="5"/>
  <c r="FP4" i="5"/>
  <c r="HT79" i="5"/>
  <c r="HS79" i="5"/>
  <c r="HR79" i="5"/>
  <c r="HQ79" i="5"/>
  <c r="HT78" i="5"/>
  <c r="HS78" i="5"/>
  <c r="HR78" i="5"/>
  <c r="HQ78" i="5"/>
  <c r="HT77" i="5"/>
  <c r="HS77" i="5"/>
  <c r="HR77" i="5"/>
  <c r="HQ77" i="5"/>
  <c r="HT76" i="5"/>
  <c r="HS76" i="5"/>
  <c r="HR76" i="5"/>
  <c r="HQ76" i="5"/>
  <c r="HT75" i="5"/>
  <c r="HS75" i="5"/>
  <c r="HR75" i="5"/>
  <c r="HQ75" i="5"/>
  <c r="HT74" i="5"/>
  <c r="HS74" i="5"/>
  <c r="HR74" i="5"/>
  <c r="HQ74" i="5"/>
  <c r="HT73" i="5"/>
  <c r="HS73" i="5"/>
  <c r="HR73" i="5"/>
  <c r="HQ73" i="5"/>
  <c r="HT72" i="5"/>
  <c r="HS72" i="5"/>
  <c r="HR72" i="5"/>
  <c r="HQ72" i="5"/>
  <c r="HT71" i="5"/>
  <c r="HS71" i="5"/>
  <c r="HR71" i="5"/>
  <c r="HQ71" i="5"/>
  <c r="HT70" i="5"/>
  <c r="HS70" i="5"/>
  <c r="HR70" i="5"/>
  <c r="HQ70" i="5"/>
  <c r="HT69" i="5"/>
  <c r="HS69" i="5"/>
  <c r="HR69" i="5"/>
  <c r="HQ69" i="5"/>
  <c r="HT68" i="5"/>
  <c r="HS68" i="5"/>
  <c r="HR68" i="5"/>
  <c r="HQ68" i="5"/>
  <c r="HT66" i="5"/>
  <c r="HS66" i="5"/>
  <c r="HR66" i="5"/>
  <c r="HQ66" i="5"/>
  <c r="HT65" i="5"/>
  <c r="HS65" i="5"/>
  <c r="HR65" i="5"/>
  <c r="HT63" i="5"/>
  <c r="HS63" i="5"/>
  <c r="HR63" i="5"/>
  <c r="HQ63" i="5"/>
  <c r="HT62" i="5"/>
  <c r="HS62" i="5"/>
  <c r="HR62" i="5"/>
  <c r="HQ62" i="5"/>
  <c r="HT59" i="5"/>
  <c r="HS59" i="5"/>
  <c r="HR59" i="5"/>
  <c r="HQ59" i="5"/>
  <c r="HT58" i="5"/>
  <c r="HS58" i="5"/>
  <c r="HR58" i="5"/>
  <c r="HQ58" i="5"/>
  <c r="HT57" i="5"/>
  <c r="HS57" i="5"/>
  <c r="HR57" i="5"/>
  <c r="HQ57" i="5"/>
  <c r="HT55" i="5"/>
  <c r="HS55" i="5"/>
  <c r="HR55" i="5"/>
  <c r="HQ55" i="5"/>
  <c r="HT54" i="5"/>
  <c r="HS54" i="5"/>
  <c r="HR54" i="5"/>
  <c r="HQ54" i="5"/>
  <c r="HT53" i="5"/>
  <c r="HS53" i="5"/>
  <c r="HR53" i="5"/>
  <c r="HQ53" i="5"/>
  <c r="HT52" i="5"/>
  <c r="HS52" i="5"/>
  <c r="HR52" i="5"/>
  <c r="HQ52" i="5"/>
  <c r="HT51" i="5"/>
  <c r="HS51" i="5"/>
  <c r="HR51" i="5"/>
  <c r="HQ51" i="5"/>
  <c r="HT50" i="5"/>
  <c r="HS50" i="5"/>
  <c r="HR50" i="5"/>
  <c r="HQ50" i="5"/>
  <c r="HT49" i="5"/>
  <c r="HS49" i="5"/>
  <c r="HR49" i="5"/>
  <c r="HQ49" i="5"/>
  <c r="HT48" i="5"/>
  <c r="HS48" i="5"/>
  <c r="HR48" i="5"/>
  <c r="HQ48" i="5"/>
  <c r="HT47" i="5"/>
  <c r="HS47" i="5"/>
  <c r="HR47" i="5"/>
  <c r="HQ47" i="5"/>
  <c r="HT45" i="5"/>
  <c r="HS45" i="5"/>
  <c r="HR45" i="5"/>
  <c r="HQ45" i="5"/>
  <c r="HT43" i="5"/>
  <c r="HS43" i="5"/>
  <c r="HR43" i="5"/>
  <c r="HQ43" i="5"/>
  <c r="HT42" i="5"/>
  <c r="HS42" i="5"/>
  <c r="HR42" i="5"/>
  <c r="HQ42" i="5"/>
  <c r="HT41" i="5"/>
  <c r="HS41" i="5"/>
  <c r="HR41" i="5"/>
  <c r="HQ41" i="5"/>
  <c r="HT40" i="5"/>
  <c r="HS40" i="5"/>
  <c r="HR40" i="5"/>
  <c r="HQ40" i="5"/>
  <c r="HT39" i="5"/>
  <c r="HS39" i="5"/>
  <c r="HR39" i="5"/>
  <c r="HQ39" i="5"/>
  <c r="HT38" i="5"/>
  <c r="HS38" i="5"/>
  <c r="HR38" i="5"/>
  <c r="HQ38" i="5"/>
  <c r="HT37" i="5"/>
  <c r="HS37" i="5"/>
  <c r="HR37" i="5"/>
  <c r="HQ37" i="5"/>
  <c r="HT36" i="5"/>
  <c r="HS36" i="5"/>
  <c r="HR36" i="5"/>
  <c r="HQ36" i="5"/>
  <c r="HT35" i="5"/>
  <c r="HS35" i="5"/>
  <c r="HR35" i="5"/>
  <c r="HQ35" i="5"/>
  <c r="HT34" i="5"/>
  <c r="HS34" i="5"/>
  <c r="HR34" i="5"/>
  <c r="HQ34" i="5"/>
  <c r="HT33" i="5"/>
  <c r="HS33" i="5"/>
  <c r="HR33" i="5"/>
  <c r="HQ33" i="5"/>
  <c r="HT17" i="5"/>
  <c r="HS17" i="5"/>
  <c r="HR17" i="5"/>
  <c r="HQ17" i="5"/>
  <c r="HT16" i="5"/>
  <c r="HS16" i="5"/>
  <c r="HR16" i="5"/>
  <c r="HQ16" i="5"/>
  <c r="HT14" i="5"/>
  <c r="HS14" i="5"/>
  <c r="HR14" i="5"/>
  <c r="HQ14" i="5"/>
  <c r="HT13" i="5"/>
  <c r="HS13" i="5"/>
  <c r="HR13" i="5"/>
  <c r="HQ13" i="5"/>
  <c r="HT12" i="5"/>
  <c r="HS12" i="5"/>
  <c r="HR12" i="5"/>
  <c r="HQ12" i="5"/>
  <c r="HT24" i="5"/>
  <c r="HS24" i="5"/>
  <c r="HR24" i="5"/>
  <c r="HQ24" i="5"/>
  <c r="HT23" i="5"/>
  <c r="HT31" i="5" s="1"/>
  <c r="HS23" i="5"/>
  <c r="HS31" i="5" s="1"/>
  <c r="HR23" i="5"/>
  <c r="HR31" i="5" s="1"/>
  <c r="HQ23" i="5"/>
  <c r="HQ31" i="5" s="1"/>
  <c r="HT22" i="5"/>
  <c r="HS22" i="5"/>
  <c r="HR22" i="5"/>
  <c r="HQ22" i="5"/>
  <c r="HT11" i="5"/>
  <c r="HS11" i="5"/>
  <c r="HR11" i="5"/>
  <c r="HQ11" i="5"/>
  <c r="HT10" i="5"/>
  <c r="HT18" i="5" s="1"/>
  <c r="HS10" i="5"/>
  <c r="HS18" i="5" s="1"/>
  <c r="HR10" i="5"/>
  <c r="HR18" i="5" s="1"/>
  <c r="HQ10" i="5"/>
  <c r="HQ18" i="5" s="1"/>
  <c r="HT9" i="5"/>
  <c r="HS9" i="5"/>
  <c r="HR9" i="5"/>
  <c r="HQ9" i="5"/>
  <c r="HT8" i="5"/>
  <c r="HS8" i="5"/>
  <c r="HR8" i="5"/>
  <c r="HQ8" i="5"/>
  <c r="HT7" i="5"/>
  <c r="HS7" i="5"/>
  <c r="HR7" i="5"/>
  <c r="HQ7" i="5"/>
  <c r="HT6" i="5"/>
  <c r="HS6" i="5"/>
  <c r="HR6" i="5"/>
  <c r="HQ6" i="5"/>
  <c r="HT5" i="5"/>
  <c r="HS5" i="5"/>
  <c r="HR5" i="5"/>
  <c r="HQ5" i="5"/>
  <c r="HT4" i="5"/>
  <c r="HS4" i="5"/>
  <c r="HR4" i="5"/>
  <c r="HQ4" i="5"/>
  <c r="JO4" i="5"/>
  <c r="KC4" i="5"/>
  <c r="KD4" i="5"/>
  <c r="KE4" i="5"/>
  <c r="KF4" i="5"/>
  <c r="KF55" i="5"/>
  <c r="KE55" i="5"/>
  <c r="KD55" i="5"/>
  <c r="KC55" i="5"/>
  <c r="DZ55" i="5"/>
  <c r="DY55" i="5"/>
  <c r="DX55" i="5"/>
  <c r="EZ55" i="5" s="1"/>
  <c r="DU55" i="5"/>
  <c r="EY55" i="5" s="1"/>
  <c r="DG55" i="5"/>
  <c r="DF55" i="5"/>
  <c r="DE55" i="5"/>
  <c r="DD55" i="5"/>
  <c r="BK55" i="5"/>
  <c r="CX55" i="5" s="1"/>
  <c r="BJ55" i="5"/>
  <c r="BI55" i="5"/>
  <c r="CZ55" i="5" s="1"/>
  <c r="BF55" i="5"/>
  <c r="BC55" i="5"/>
  <c r="BB55" i="5"/>
  <c r="BA55" i="5"/>
  <c r="AZ55" i="5"/>
  <c r="AX55" i="5"/>
  <c r="AY55" i="5" s="1"/>
  <c r="AV55" i="5"/>
  <c r="AU55" i="5"/>
  <c r="AT55" i="5"/>
  <c r="AS55" i="5"/>
  <c r="DD5" i="5"/>
  <c r="DE5" i="5"/>
  <c r="DF5" i="5"/>
  <c r="DG5" i="5"/>
  <c r="DD6" i="5"/>
  <c r="DE6" i="5"/>
  <c r="DF6" i="5"/>
  <c r="DG6" i="5"/>
  <c r="DD7" i="5"/>
  <c r="DE7" i="5"/>
  <c r="DF7" i="5"/>
  <c r="DG7" i="5"/>
  <c r="DD8" i="5"/>
  <c r="DE8" i="5"/>
  <c r="DF8" i="5"/>
  <c r="DG8" i="5"/>
  <c r="DD9" i="5"/>
  <c r="DE9" i="5"/>
  <c r="DF9" i="5"/>
  <c r="DG9" i="5"/>
  <c r="DD10" i="5"/>
  <c r="DE10" i="5"/>
  <c r="DF10" i="5"/>
  <c r="DG10" i="5"/>
  <c r="DD11" i="5"/>
  <c r="DE11" i="5"/>
  <c r="DF11" i="5"/>
  <c r="DG11" i="5"/>
  <c r="DD22" i="5"/>
  <c r="DD30" i="5" s="1"/>
  <c r="DE22" i="5"/>
  <c r="DE30" i="5" s="1"/>
  <c r="DF22" i="5"/>
  <c r="DF30" i="5" s="1"/>
  <c r="DG22" i="5"/>
  <c r="DG30" i="5" s="1"/>
  <c r="DD23" i="5"/>
  <c r="DE23" i="5"/>
  <c r="DF23" i="5"/>
  <c r="DG23" i="5"/>
  <c r="DD24" i="5"/>
  <c r="DE24" i="5"/>
  <c r="DF24" i="5"/>
  <c r="DG24" i="5"/>
  <c r="DD12" i="5"/>
  <c r="DE12" i="5"/>
  <c r="DF12" i="5"/>
  <c r="DG12" i="5"/>
  <c r="DD13" i="5"/>
  <c r="DE13" i="5"/>
  <c r="DF13" i="5"/>
  <c r="DG13" i="5"/>
  <c r="DD14" i="5"/>
  <c r="DE14" i="5"/>
  <c r="DF14" i="5"/>
  <c r="DG14" i="5"/>
  <c r="DD16" i="5"/>
  <c r="DE16" i="5"/>
  <c r="DF16" i="5"/>
  <c r="DG16" i="5"/>
  <c r="DD17" i="5"/>
  <c r="DE17" i="5"/>
  <c r="DF17" i="5"/>
  <c r="DG17" i="5"/>
  <c r="DD33" i="5"/>
  <c r="DE33" i="5"/>
  <c r="DF33" i="5"/>
  <c r="DG33" i="5"/>
  <c r="DD34" i="5"/>
  <c r="DE34" i="5"/>
  <c r="DF34" i="5"/>
  <c r="DG34" i="5"/>
  <c r="DD35" i="5"/>
  <c r="DE35" i="5"/>
  <c r="DF35" i="5"/>
  <c r="DG35" i="5"/>
  <c r="DD36" i="5"/>
  <c r="DE36" i="5"/>
  <c r="DF36" i="5"/>
  <c r="DG36" i="5"/>
  <c r="DE37" i="5"/>
  <c r="DF37" i="5"/>
  <c r="DG37" i="5"/>
  <c r="DD38" i="5"/>
  <c r="DE38" i="5"/>
  <c r="DF38" i="5"/>
  <c r="DG38" i="5"/>
  <c r="DD39" i="5"/>
  <c r="DE39" i="5"/>
  <c r="DF39" i="5"/>
  <c r="DG39" i="5"/>
  <c r="DD40" i="5"/>
  <c r="DE40" i="5"/>
  <c r="DF40" i="5"/>
  <c r="DG40" i="5"/>
  <c r="DD41" i="5"/>
  <c r="DE41" i="5"/>
  <c r="DF41" i="5"/>
  <c r="DG41" i="5"/>
  <c r="DD42" i="5"/>
  <c r="DE42" i="5"/>
  <c r="DF42" i="5"/>
  <c r="DG42" i="5"/>
  <c r="DD43" i="5"/>
  <c r="DE43" i="5"/>
  <c r="DF43" i="5"/>
  <c r="DG43" i="5"/>
  <c r="DD45" i="5"/>
  <c r="DE45" i="5"/>
  <c r="DF45" i="5"/>
  <c r="DG45" i="5"/>
  <c r="DD47" i="5"/>
  <c r="DE47" i="5"/>
  <c r="DF47" i="5"/>
  <c r="DG47" i="5"/>
  <c r="DD48" i="5"/>
  <c r="DE48" i="5"/>
  <c r="DF48" i="5"/>
  <c r="DG48" i="5"/>
  <c r="DD49" i="5"/>
  <c r="DE49" i="5"/>
  <c r="DF49" i="5"/>
  <c r="DG49" i="5"/>
  <c r="DD50" i="5"/>
  <c r="DE50" i="5"/>
  <c r="DF50" i="5"/>
  <c r="DG50" i="5"/>
  <c r="DD51" i="5"/>
  <c r="DE51" i="5"/>
  <c r="DF51" i="5"/>
  <c r="DG51" i="5"/>
  <c r="DD52" i="5"/>
  <c r="DE52" i="5"/>
  <c r="DF52" i="5"/>
  <c r="DG52" i="5"/>
  <c r="DD53" i="5"/>
  <c r="DE53" i="5"/>
  <c r="DF53" i="5"/>
  <c r="DG53" i="5"/>
  <c r="DD54" i="5"/>
  <c r="DE54" i="5"/>
  <c r="DF54" i="5"/>
  <c r="DG54" i="5"/>
  <c r="DD57" i="5"/>
  <c r="DE57" i="5"/>
  <c r="DF57" i="5"/>
  <c r="DG57" i="5"/>
  <c r="DD58" i="5"/>
  <c r="DE58" i="5"/>
  <c r="DF58" i="5"/>
  <c r="DG58" i="5"/>
  <c r="DD59" i="5"/>
  <c r="DD61" i="5" s="1"/>
  <c r="DE59" i="5"/>
  <c r="DE61" i="5" s="1"/>
  <c r="DF59" i="5"/>
  <c r="DF61" i="5" s="1"/>
  <c r="DG59" i="5"/>
  <c r="DG61" i="5" s="1"/>
  <c r="DD62" i="5"/>
  <c r="DE62" i="5"/>
  <c r="DF62" i="5"/>
  <c r="DG62" i="5"/>
  <c r="DD63" i="5"/>
  <c r="DE63" i="5"/>
  <c r="DF63" i="5"/>
  <c r="DG63" i="5"/>
  <c r="DD65" i="5"/>
  <c r="DE65" i="5"/>
  <c r="DF65" i="5"/>
  <c r="DG65" i="5"/>
  <c r="DD66" i="5"/>
  <c r="DE66" i="5"/>
  <c r="DF66" i="5"/>
  <c r="DG66" i="5"/>
  <c r="DD68" i="5"/>
  <c r="DE68" i="5"/>
  <c r="DF68" i="5"/>
  <c r="DG68" i="5"/>
  <c r="DD69" i="5"/>
  <c r="DE69" i="5"/>
  <c r="DF69" i="5"/>
  <c r="DG69" i="5"/>
  <c r="DD70" i="5"/>
  <c r="DF70" i="5"/>
  <c r="DG70" i="5"/>
  <c r="DD71" i="5"/>
  <c r="DE71" i="5"/>
  <c r="DF71" i="5"/>
  <c r="DG71" i="5"/>
  <c r="DD72" i="5"/>
  <c r="DE72" i="5"/>
  <c r="DF72" i="5"/>
  <c r="DG72" i="5"/>
  <c r="DD73" i="5"/>
  <c r="DE73" i="5"/>
  <c r="DF73" i="5"/>
  <c r="DG73" i="5"/>
  <c r="DD74" i="5"/>
  <c r="DE74" i="5"/>
  <c r="DF74" i="5"/>
  <c r="DG74" i="5"/>
  <c r="DD75" i="5"/>
  <c r="DE75" i="5"/>
  <c r="DF75" i="5"/>
  <c r="DG75" i="5"/>
  <c r="DD76" i="5"/>
  <c r="DE76" i="5"/>
  <c r="DF76" i="5"/>
  <c r="DG76" i="5"/>
  <c r="DD77" i="5"/>
  <c r="DE77" i="5"/>
  <c r="DF77" i="5"/>
  <c r="DG77" i="5"/>
  <c r="DD78" i="5"/>
  <c r="DE78" i="5"/>
  <c r="DF78" i="5"/>
  <c r="DG78" i="5"/>
  <c r="DD79" i="5"/>
  <c r="DE79" i="5"/>
  <c r="DF79" i="5"/>
  <c r="DG79" i="5"/>
  <c r="DG4" i="5"/>
  <c r="DF4" i="5"/>
  <c r="DE4" i="5"/>
  <c r="DD4" i="5"/>
  <c r="AZ53" i="5"/>
  <c r="BA53" i="5"/>
  <c r="BB53" i="5"/>
  <c r="BC53" i="5"/>
  <c r="AZ54" i="5"/>
  <c r="BA54" i="5"/>
  <c r="BB54" i="5"/>
  <c r="BC54" i="5"/>
  <c r="AZ57" i="5"/>
  <c r="BA57" i="5"/>
  <c r="BB57" i="5"/>
  <c r="BC57" i="5"/>
  <c r="AZ58" i="5"/>
  <c r="BA58" i="5"/>
  <c r="BB58" i="5"/>
  <c r="BC58" i="5"/>
  <c r="AZ59" i="5"/>
  <c r="BA59" i="5"/>
  <c r="BB59" i="5"/>
  <c r="BC59" i="5"/>
  <c r="AZ62" i="5"/>
  <c r="BA62" i="5"/>
  <c r="BB62" i="5"/>
  <c r="BC62" i="5"/>
  <c r="AZ63" i="5"/>
  <c r="BA63" i="5"/>
  <c r="BB63" i="5"/>
  <c r="BC63" i="5"/>
  <c r="AZ65" i="5"/>
  <c r="BA65" i="5"/>
  <c r="BB65" i="5"/>
  <c r="BC65" i="5"/>
  <c r="AZ66" i="5"/>
  <c r="BA66" i="5"/>
  <c r="BB66" i="5"/>
  <c r="BC66" i="5"/>
  <c r="AZ68" i="5"/>
  <c r="BA68" i="5"/>
  <c r="BB68" i="5"/>
  <c r="BC68" i="5"/>
  <c r="AZ69" i="5"/>
  <c r="BA69" i="5"/>
  <c r="BB69" i="5"/>
  <c r="BC69" i="5"/>
  <c r="AZ70" i="5"/>
  <c r="BA70" i="5"/>
  <c r="BB70" i="5"/>
  <c r="BC70" i="5"/>
  <c r="AZ71" i="5"/>
  <c r="BA71" i="5"/>
  <c r="BB71" i="5"/>
  <c r="BC71" i="5"/>
  <c r="AZ72" i="5"/>
  <c r="BA72" i="5"/>
  <c r="BB72" i="5"/>
  <c r="BC72" i="5"/>
  <c r="AZ73" i="5"/>
  <c r="BA73" i="5"/>
  <c r="BB73" i="5"/>
  <c r="BC73" i="5"/>
  <c r="AZ74" i="5"/>
  <c r="BA74" i="5"/>
  <c r="BB74" i="5"/>
  <c r="BC74" i="5"/>
  <c r="AZ75" i="5"/>
  <c r="BA75" i="5"/>
  <c r="BB75" i="5"/>
  <c r="BC75" i="5"/>
  <c r="AZ76" i="5"/>
  <c r="BA76" i="5"/>
  <c r="BB76" i="5"/>
  <c r="BC76" i="5"/>
  <c r="AZ77" i="5"/>
  <c r="BA77" i="5"/>
  <c r="BB77" i="5"/>
  <c r="BC77" i="5"/>
  <c r="AZ78" i="5"/>
  <c r="BA78" i="5"/>
  <c r="BB78" i="5"/>
  <c r="BC78" i="5"/>
  <c r="AZ79" i="5"/>
  <c r="BA79" i="5"/>
  <c r="BB79" i="5"/>
  <c r="BC79" i="5"/>
  <c r="AZ33" i="5"/>
  <c r="BA33" i="5"/>
  <c r="BB33" i="5"/>
  <c r="BC33" i="5"/>
  <c r="AZ34" i="5"/>
  <c r="BA34" i="5"/>
  <c r="BB34" i="5"/>
  <c r="BC34" i="5"/>
  <c r="AZ35" i="5"/>
  <c r="BA35" i="5"/>
  <c r="BB35" i="5"/>
  <c r="BC35" i="5"/>
  <c r="AZ36" i="5"/>
  <c r="BA36" i="5"/>
  <c r="BB36" i="5"/>
  <c r="BC36" i="5"/>
  <c r="AZ37" i="5"/>
  <c r="BA37" i="5"/>
  <c r="BB37" i="5"/>
  <c r="BC37" i="5"/>
  <c r="AZ38" i="5"/>
  <c r="BA38" i="5"/>
  <c r="BB38" i="5"/>
  <c r="BC38" i="5"/>
  <c r="AZ39" i="5"/>
  <c r="AZ46" i="5" s="1"/>
  <c r="BA39" i="5"/>
  <c r="BA46" i="5" s="1"/>
  <c r="BB39" i="5"/>
  <c r="BC39" i="5"/>
  <c r="AZ40" i="5"/>
  <c r="BA40" i="5"/>
  <c r="BB40" i="5"/>
  <c r="BC40" i="5"/>
  <c r="AZ41" i="5"/>
  <c r="BA41" i="5"/>
  <c r="BB41" i="5"/>
  <c r="BC41" i="5"/>
  <c r="AZ42" i="5"/>
  <c r="BA42" i="5"/>
  <c r="BB42" i="5"/>
  <c r="BC42" i="5"/>
  <c r="AZ43" i="5"/>
  <c r="BA43" i="5"/>
  <c r="BB43" i="5"/>
  <c r="BC43" i="5"/>
  <c r="AZ45" i="5"/>
  <c r="BA45" i="5"/>
  <c r="BB45" i="5"/>
  <c r="BC45" i="5"/>
  <c r="AZ47" i="5"/>
  <c r="BA47" i="5"/>
  <c r="BB47" i="5"/>
  <c r="BC47" i="5"/>
  <c r="AZ48" i="5"/>
  <c r="BA48" i="5"/>
  <c r="BB48" i="5"/>
  <c r="BC48" i="5"/>
  <c r="AZ49" i="5"/>
  <c r="BA49" i="5"/>
  <c r="BB49" i="5"/>
  <c r="BC49" i="5"/>
  <c r="AZ50" i="5"/>
  <c r="BA50" i="5"/>
  <c r="BB50" i="5"/>
  <c r="BC50" i="5"/>
  <c r="AZ51" i="5"/>
  <c r="BA51" i="5"/>
  <c r="BB51" i="5"/>
  <c r="BC51" i="5"/>
  <c r="AZ52" i="5"/>
  <c r="BA52" i="5"/>
  <c r="BB52" i="5"/>
  <c r="BC52" i="5"/>
  <c r="AZ5" i="5"/>
  <c r="BA5" i="5"/>
  <c r="BB5" i="5"/>
  <c r="BC5" i="5"/>
  <c r="AZ6" i="5"/>
  <c r="BA6" i="5"/>
  <c r="BB6" i="5"/>
  <c r="BC6" i="5"/>
  <c r="AZ7" i="5"/>
  <c r="BA7" i="5"/>
  <c r="BB7" i="5"/>
  <c r="BC7" i="5"/>
  <c r="AZ8" i="5"/>
  <c r="BA8" i="5"/>
  <c r="BB8" i="5"/>
  <c r="BC8" i="5"/>
  <c r="AZ9" i="5"/>
  <c r="BA9" i="5"/>
  <c r="BB9" i="5"/>
  <c r="BC9" i="5"/>
  <c r="AZ10" i="5"/>
  <c r="BA10" i="5"/>
  <c r="BB10" i="5"/>
  <c r="BC10" i="5"/>
  <c r="AZ11" i="5"/>
  <c r="BA11" i="5"/>
  <c r="BB11" i="5"/>
  <c r="BC11" i="5"/>
  <c r="AZ22" i="5"/>
  <c r="AZ30" i="5" s="1"/>
  <c r="BA22" i="5"/>
  <c r="BA30" i="5" s="1"/>
  <c r="BB22" i="5"/>
  <c r="BB30" i="5" s="1"/>
  <c r="BC22" i="5"/>
  <c r="BC30" i="5" s="1"/>
  <c r="AZ23" i="5"/>
  <c r="BA23" i="5"/>
  <c r="BB23" i="5"/>
  <c r="BC23" i="5"/>
  <c r="AZ24" i="5"/>
  <c r="BA24" i="5"/>
  <c r="BB24" i="5"/>
  <c r="BC24" i="5"/>
  <c r="AZ12" i="5"/>
  <c r="BA12" i="5"/>
  <c r="BB12" i="5"/>
  <c r="BC12" i="5"/>
  <c r="AZ13" i="5"/>
  <c r="BA13" i="5"/>
  <c r="BB13" i="5"/>
  <c r="BC13" i="5"/>
  <c r="AZ14" i="5"/>
  <c r="BA14" i="5"/>
  <c r="BB14" i="5"/>
  <c r="BC14" i="5"/>
  <c r="AZ16" i="5"/>
  <c r="BA16" i="5"/>
  <c r="BB16" i="5"/>
  <c r="BC16" i="5"/>
  <c r="AZ17" i="5"/>
  <c r="BA17" i="5"/>
  <c r="BB17" i="5"/>
  <c r="BC17" i="5"/>
  <c r="BC4" i="5"/>
  <c r="BB4" i="5"/>
  <c r="BA4" i="5"/>
  <c r="AZ4" i="5"/>
  <c r="DP47" i="5"/>
  <c r="DO47" i="5"/>
  <c r="DQ47" i="5" s="1"/>
  <c r="DN47" i="5"/>
  <c r="DK47" i="5"/>
  <c r="KF59" i="5"/>
  <c r="KE59" i="5"/>
  <c r="KD59" i="5"/>
  <c r="KC59" i="5"/>
  <c r="ET59" i="5"/>
  <c r="ES59" i="5"/>
  <c r="ER59" i="5"/>
  <c r="EO59" i="5"/>
  <c r="DN59" i="5"/>
  <c r="DK59" i="5"/>
  <c r="CR59" i="5"/>
  <c r="CO59" i="5"/>
  <c r="AP59" i="5"/>
  <c r="AO59" i="5"/>
  <c r="AN59" i="5"/>
  <c r="AV59" i="5" s="1"/>
  <c r="AK59" i="5"/>
  <c r="V59" i="5"/>
  <c r="U59" i="5"/>
  <c r="T59" i="5"/>
  <c r="Q59" i="5"/>
  <c r="CE23" i="5"/>
  <c r="CH23" i="5"/>
  <c r="CI23" i="5"/>
  <c r="CJ23" i="5"/>
  <c r="CK23" i="5"/>
  <c r="CI24" i="5"/>
  <c r="CJ24" i="5"/>
  <c r="CK24" i="5"/>
  <c r="CY24" i="5" s="1"/>
  <c r="CH24" i="5"/>
  <c r="CZ24" i="5" s="1"/>
  <c r="CE24" i="5"/>
  <c r="KF23" i="5"/>
  <c r="KE23" i="5"/>
  <c r="KD23" i="5"/>
  <c r="KC23" i="5"/>
  <c r="ET23" i="5"/>
  <c r="ES23" i="5"/>
  <c r="ER23" i="5"/>
  <c r="EO23" i="5"/>
  <c r="EJ23" i="5"/>
  <c r="EI23" i="5"/>
  <c r="EK23" i="5" s="1"/>
  <c r="EH23" i="5"/>
  <c r="EE23" i="5"/>
  <c r="DZ23" i="5"/>
  <c r="DY23" i="5"/>
  <c r="EA23" i="5" s="1"/>
  <c r="DX23" i="5"/>
  <c r="DU23" i="5"/>
  <c r="KF22" i="5"/>
  <c r="KE22" i="5"/>
  <c r="KD22" i="5"/>
  <c r="KC22" i="5"/>
  <c r="JW22" i="5"/>
  <c r="JV22" i="5"/>
  <c r="JU22" i="5"/>
  <c r="JR22" i="5"/>
  <c r="JF22" i="5"/>
  <c r="JE22" i="5"/>
  <c r="JG22" i="5" s="1"/>
  <c r="JD22" i="5"/>
  <c r="IV22" i="5"/>
  <c r="IU22" i="5"/>
  <c r="IW22" i="5" s="1"/>
  <c r="IT22" i="5"/>
  <c r="IQ22" i="5"/>
  <c r="IL22" i="5"/>
  <c r="IK22" i="5"/>
  <c r="IM22" i="5" s="1"/>
  <c r="IJ22" i="5"/>
  <c r="IG22" i="5"/>
  <c r="GM22" i="5"/>
  <c r="GJ22" i="5"/>
  <c r="GC22" i="5"/>
  <c r="FZ22" i="5"/>
  <c r="FU22" i="5"/>
  <c r="FT22" i="5"/>
  <c r="FV22" i="5" s="1"/>
  <c r="FS22" i="5"/>
  <c r="FP22" i="5"/>
  <c r="ET22" i="5"/>
  <c r="ES22" i="5"/>
  <c r="ER22" i="5"/>
  <c r="EO22" i="5"/>
  <c r="EJ22" i="5"/>
  <c r="EI22" i="5"/>
  <c r="EK22" i="5" s="1"/>
  <c r="EH22" i="5"/>
  <c r="EE22" i="5"/>
  <c r="DZ22" i="5"/>
  <c r="DY22" i="5"/>
  <c r="EA22" i="5" s="1"/>
  <c r="DX22" i="5"/>
  <c r="DU22" i="5"/>
  <c r="DP22" i="5"/>
  <c r="DO22" i="5"/>
  <c r="DQ22" i="5" s="1"/>
  <c r="DN22" i="5"/>
  <c r="DK22" i="5"/>
  <c r="CT22" i="5"/>
  <c r="CS22" i="5"/>
  <c r="CR22" i="5"/>
  <c r="CO22" i="5"/>
  <c r="CJ22" i="5"/>
  <c r="CI22" i="5"/>
  <c r="CK22" i="5" s="1"/>
  <c r="CH22" i="5"/>
  <c r="CE22" i="5"/>
  <c r="BU22" i="5"/>
  <c r="BT22" i="5"/>
  <c r="BV22" i="5" s="1"/>
  <c r="BP22" i="5"/>
  <c r="BK22" i="5"/>
  <c r="BJ22" i="5"/>
  <c r="BL22" i="5" s="1"/>
  <c r="BI22" i="5"/>
  <c r="BF22" i="5"/>
  <c r="AP22" i="5"/>
  <c r="AO22" i="5"/>
  <c r="AN22" i="5"/>
  <c r="AV22" i="5" s="1"/>
  <c r="AV30" i="5" s="1"/>
  <c r="AK22" i="5"/>
  <c r="AF22" i="5"/>
  <c r="AE22" i="5"/>
  <c r="AG22" i="5" s="1"/>
  <c r="AD22" i="5"/>
  <c r="AA22" i="5"/>
  <c r="V22" i="5"/>
  <c r="U22" i="5"/>
  <c r="W22" i="5" s="1"/>
  <c r="T22" i="5"/>
  <c r="Q22" i="5"/>
  <c r="ET74" i="5"/>
  <c r="ES74" i="5"/>
  <c r="ER74" i="5"/>
  <c r="EO74" i="5"/>
  <c r="EO12" i="5"/>
  <c r="ET58" i="5"/>
  <c r="ES58" i="5"/>
  <c r="ER58" i="5"/>
  <c r="EO58" i="5"/>
  <c r="ET50" i="5"/>
  <c r="ES50" i="5"/>
  <c r="ER50" i="5"/>
  <c r="DZ50" i="5"/>
  <c r="DY50" i="5"/>
  <c r="EA50" i="5" s="1"/>
  <c r="DU50" i="5"/>
  <c r="DX50" i="5"/>
  <c r="EO50" i="5"/>
  <c r="ET47" i="5"/>
  <c r="ES47" i="5"/>
  <c r="EO47" i="5"/>
  <c r="ET37" i="5"/>
  <c r="ES37" i="5"/>
  <c r="ER37" i="5"/>
  <c r="EO37" i="5"/>
  <c r="ET36" i="5"/>
  <c r="ES36" i="5"/>
  <c r="ER36" i="5"/>
  <c r="EO36" i="5"/>
  <c r="ET41" i="5"/>
  <c r="ES41" i="5"/>
  <c r="EO41" i="5"/>
  <c r="ET66" i="5"/>
  <c r="ES66" i="5"/>
  <c r="ER66" i="5"/>
  <c r="EO66" i="5"/>
  <c r="EI49" i="5"/>
  <c r="EJ49" i="5"/>
  <c r="EK49" i="5" s="1"/>
  <c r="EH49" i="5"/>
  <c r="EE49" i="5"/>
  <c r="ET49" i="5"/>
  <c r="ES49" i="5"/>
  <c r="ER49" i="5"/>
  <c r="EO49" i="5"/>
  <c r="ET62" i="5"/>
  <c r="ES62" i="5"/>
  <c r="ER62" i="5"/>
  <c r="EO62" i="5"/>
  <c r="ET42" i="5"/>
  <c r="ES42" i="5"/>
  <c r="ER42" i="5"/>
  <c r="EO42" i="5"/>
  <c r="ET79" i="5"/>
  <c r="ES79" i="5"/>
  <c r="ER79" i="5"/>
  <c r="EO79" i="5"/>
  <c r="DY4" i="5"/>
  <c r="DY5" i="5"/>
  <c r="EI8" i="5"/>
  <c r="EJ8" i="5"/>
  <c r="EK8" i="5"/>
  <c r="KC6" i="5"/>
  <c r="KD6" i="5"/>
  <c r="KE6" i="5"/>
  <c r="KF6" i="5"/>
  <c r="KC7" i="5"/>
  <c r="KD7" i="5"/>
  <c r="KE7" i="5"/>
  <c r="KF7" i="5"/>
  <c r="KC8" i="5"/>
  <c r="KD8" i="5"/>
  <c r="KE8" i="5"/>
  <c r="KF8" i="5"/>
  <c r="ET34" i="5"/>
  <c r="ES34" i="5"/>
  <c r="ER34" i="5"/>
  <c r="EO34" i="5"/>
  <c r="ET35" i="5"/>
  <c r="ES35" i="5"/>
  <c r="ER35" i="5"/>
  <c r="EO35" i="5"/>
  <c r="ET5" i="5"/>
  <c r="ET4" i="5"/>
  <c r="ES5" i="5"/>
  <c r="ES4" i="5"/>
  <c r="ER5" i="5"/>
  <c r="ER4" i="5"/>
  <c r="EO5" i="5"/>
  <c r="EO4" i="5"/>
  <c r="ET8" i="5"/>
  <c r="ES8" i="5"/>
  <c r="ER8" i="5"/>
  <c r="EO8" i="5"/>
  <c r="EJ45" i="5"/>
  <c r="EI45" i="5"/>
  <c r="EH45" i="5"/>
  <c r="EE45" i="5"/>
  <c r="EJ48" i="5"/>
  <c r="EI48" i="5"/>
  <c r="EH48" i="5"/>
  <c r="EE48" i="5"/>
  <c r="KC50" i="5"/>
  <c r="KD50" i="5"/>
  <c r="KE50" i="5"/>
  <c r="KF50" i="5"/>
  <c r="KC49" i="5"/>
  <c r="KD49" i="5"/>
  <c r="KE49" i="5"/>
  <c r="KF49" i="5"/>
  <c r="KC48" i="5"/>
  <c r="EJ41" i="5"/>
  <c r="EI41" i="5"/>
  <c r="EK41" i="5" s="1"/>
  <c r="EH41" i="5"/>
  <c r="KM37" i="5"/>
  <c r="EJ42" i="5"/>
  <c r="EI42" i="5"/>
  <c r="EK42" i="5" s="1"/>
  <c r="EH42" i="5"/>
  <c r="EE42" i="5"/>
  <c r="EJ65" i="5"/>
  <c r="EI65" i="5"/>
  <c r="EJ74" i="5"/>
  <c r="EI74" i="5"/>
  <c r="EK74" i="5" s="1"/>
  <c r="EH74" i="5"/>
  <c r="EE74" i="5"/>
  <c r="EJ47" i="5"/>
  <c r="EI47" i="5"/>
  <c r="EK47" i="5" s="1"/>
  <c r="EH47" i="5"/>
  <c r="EE47" i="5"/>
  <c r="EJ50" i="5"/>
  <c r="EI50" i="5"/>
  <c r="EH50" i="5"/>
  <c r="EZ50" i="5" s="1"/>
  <c r="EE50" i="5"/>
  <c r="EY50" i="5" s="1"/>
  <c r="EJ43" i="5"/>
  <c r="EI43" i="5"/>
  <c r="EH43" i="5"/>
  <c r="EE43" i="5"/>
  <c r="EJ37" i="5"/>
  <c r="EI37" i="5"/>
  <c r="EK37" i="5" s="1"/>
  <c r="EH37" i="5"/>
  <c r="EE37" i="5"/>
  <c r="EI34" i="5"/>
  <c r="EK34" i="5" s="1"/>
  <c r="EJ35" i="5"/>
  <c r="EI35" i="5"/>
  <c r="EK35" i="5" s="1"/>
  <c r="EJ36" i="5"/>
  <c r="EI36" i="5"/>
  <c r="EK36" i="5" s="1"/>
  <c r="EH36" i="5"/>
  <c r="EE36" i="5"/>
  <c r="EH65" i="5"/>
  <c r="EE65" i="5"/>
  <c r="EH34" i="5"/>
  <c r="EE34" i="5"/>
  <c r="EH35" i="5"/>
  <c r="EE35" i="5"/>
  <c r="EJ7" i="5"/>
  <c r="EI7" i="5"/>
  <c r="EH7" i="5"/>
  <c r="EZ7" i="5" s="1"/>
  <c r="EE7" i="5"/>
  <c r="EY7" i="5" s="1"/>
  <c r="EH8" i="5"/>
  <c r="EE8" i="5"/>
  <c r="EJ5" i="5"/>
  <c r="EK5" i="5"/>
  <c r="EH5" i="5"/>
  <c r="EE5" i="5"/>
  <c r="EJ4" i="5"/>
  <c r="EK4" i="5"/>
  <c r="EH4" i="5"/>
  <c r="EE4" i="5"/>
  <c r="KF57" i="5"/>
  <c r="KE57" i="5"/>
  <c r="KD57" i="5"/>
  <c r="KC57" i="5"/>
  <c r="DZ57" i="5"/>
  <c r="DY57" i="5"/>
  <c r="DX57" i="5"/>
  <c r="EZ57" i="5" s="1"/>
  <c r="DU57" i="5"/>
  <c r="EY57" i="5" s="1"/>
  <c r="CZ57" i="5"/>
  <c r="CY57" i="5"/>
  <c r="CX57" i="5"/>
  <c r="CW57" i="5"/>
  <c r="DB57" i="5" s="1"/>
  <c r="AX57" i="5"/>
  <c r="AV57" i="5"/>
  <c r="AU57" i="5"/>
  <c r="AT57" i="5"/>
  <c r="AS57" i="5"/>
  <c r="AW57" i="5" s="1"/>
  <c r="KF54" i="5"/>
  <c r="KE54" i="5"/>
  <c r="KD54" i="5"/>
  <c r="KC54" i="5"/>
  <c r="DZ54" i="5"/>
  <c r="DY54" i="5"/>
  <c r="DX54" i="5"/>
  <c r="EZ54" i="5" s="1"/>
  <c r="DU54" i="5"/>
  <c r="EY54" i="5" s="1"/>
  <c r="CZ54" i="5"/>
  <c r="CY54" i="5"/>
  <c r="CX54" i="5"/>
  <c r="CW54" i="5"/>
  <c r="DB54" i="5" s="1"/>
  <c r="AX54" i="5"/>
  <c r="AV54" i="5"/>
  <c r="AU54" i="5"/>
  <c r="AT54" i="5"/>
  <c r="AS54" i="5"/>
  <c r="KF53" i="5"/>
  <c r="KE53" i="5"/>
  <c r="KD53" i="5"/>
  <c r="KC53" i="5"/>
  <c r="DZ53" i="5"/>
  <c r="DY53" i="5"/>
  <c r="DX53" i="5"/>
  <c r="EZ53" i="5" s="1"/>
  <c r="DU53" i="5"/>
  <c r="EY53" i="5" s="1"/>
  <c r="CZ53" i="5"/>
  <c r="CY53" i="5"/>
  <c r="CX53" i="5"/>
  <c r="CW53" i="5"/>
  <c r="DB53" i="5" s="1"/>
  <c r="AX53" i="5"/>
  <c r="AV53" i="5"/>
  <c r="AU53" i="5"/>
  <c r="AT53" i="5"/>
  <c r="AS53" i="5"/>
  <c r="KK48" i="5"/>
  <c r="KK49" i="5"/>
  <c r="KK68" i="5"/>
  <c r="KK69" i="5"/>
  <c r="KK76" i="5"/>
  <c r="KK77" i="5"/>
  <c r="AS78" i="5"/>
  <c r="KG77" i="5"/>
  <c r="EZ49" i="5"/>
  <c r="EY49" i="5"/>
  <c r="DZ49" i="5"/>
  <c r="DY49" i="5"/>
  <c r="KA49" i="5" s="1"/>
  <c r="DZ35" i="5"/>
  <c r="DY35" i="5"/>
  <c r="DX35" i="5"/>
  <c r="DU35" i="5"/>
  <c r="DP35" i="5"/>
  <c r="DO35" i="5"/>
  <c r="DQ35" i="5" s="1"/>
  <c r="DN35" i="5"/>
  <c r="DK35" i="5"/>
  <c r="CT35" i="5"/>
  <c r="CS35" i="5"/>
  <c r="CR35" i="5"/>
  <c r="CO35" i="5"/>
  <c r="AX35" i="5"/>
  <c r="AV35" i="5"/>
  <c r="AU35" i="5"/>
  <c r="AT35" i="5"/>
  <c r="AS35" i="5"/>
  <c r="DX6" i="5"/>
  <c r="EZ6" i="5" s="1"/>
  <c r="DX8" i="5"/>
  <c r="DX9" i="5"/>
  <c r="DX10" i="5"/>
  <c r="DX11" i="5"/>
  <c r="DX12" i="5"/>
  <c r="DX13" i="5"/>
  <c r="DX14" i="5"/>
  <c r="DX16" i="5"/>
  <c r="DX17" i="5"/>
  <c r="DX34" i="5"/>
  <c r="DX36" i="5"/>
  <c r="DX37" i="5"/>
  <c r="DX38" i="5"/>
  <c r="DX39" i="5"/>
  <c r="DX40" i="5"/>
  <c r="DX41" i="5"/>
  <c r="DX42" i="5"/>
  <c r="DX43" i="5"/>
  <c r="DX47" i="5"/>
  <c r="DX48" i="5"/>
  <c r="DX51" i="5"/>
  <c r="DX62" i="5"/>
  <c r="DX63" i="5"/>
  <c r="DX65" i="5"/>
  <c r="DX68" i="5"/>
  <c r="DX69" i="5"/>
  <c r="DX70" i="5"/>
  <c r="DX71" i="5"/>
  <c r="DX72" i="5"/>
  <c r="DX73" i="5"/>
  <c r="DX74" i="5"/>
  <c r="DX75" i="5"/>
  <c r="DX76" i="5"/>
  <c r="DX78" i="5"/>
  <c r="DX79" i="5"/>
  <c r="DU6" i="5"/>
  <c r="EY6" i="5" s="1"/>
  <c r="DU8" i="5"/>
  <c r="DU9" i="5"/>
  <c r="DU10" i="5"/>
  <c r="DU11" i="5"/>
  <c r="DU12" i="5"/>
  <c r="DU13" i="5"/>
  <c r="DU14" i="5"/>
  <c r="DU16" i="5"/>
  <c r="DU17" i="5"/>
  <c r="DU34" i="5"/>
  <c r="DU36" i="5"/>
  <c r="DU37" i="5"/>
  <c r="DU38" i="5"/>
  <c r="DU39" i="5"/>
  <c r="DU40" i="5"/>
  <c r="DU41" i="5"/>
  <c r="DU42" i="5"/>
  <c r="DU43" i="5"/>
  <c r="DU47" i="5"/>
  <c r="DU48" i="5"/>
  <c r="DU51" i="5"/>
  <c r="DU62" i="5"/>
  <c r="DU63" i="5"/>
  <c r="DU65" i="5"/>
  <c r="DU68" i="5"/>
  <c r="DU69" i="5"/>
  <c r="DU70" i="5"/>
  <c r="DU71" i="5"/>
  <c r="DU72" i="5"/>
  <c r="DU73" i="5"/>
  <c r="DU74" i="5"/>
  <c r="DU75" i="5"/>
  <c r="DU76" i="5"/>
  <c r="DU78" i="5"/>
  <c r="DU79" i="5"/>
  <c r="DZ6" i="5"/>
  <c r="DZ8" i="5"/>
  <c r="DZ9" i="5"/>
  <c r="DZ10" i="5"/>
  <c r="DZ11" i="5"/>
  <c r="DZ12" i="5"/>
  <c r="DZ13" i="5"/>
  <c r="DZ14" i="5"/>
  <c r="DZ16" i="5"/>
  <c r="DZ17" i="5"/>
  <c r="DZ33" i="5"/>
  <c r="DZ34" i="5"/>
  <c r="DZ36" i="5"/>
  <c r="DZ37" i="5"/>
  <c r="DZ39" i="5"/>
  <c r="DZ40" i="5"/>
  <c r="DZ41" i="5"/>
  <c r="DZ42" i="5"/>
  <c r="DZ43" i="5"/>
  <c r="DZ47" i="5"/>
  <c r="DZ48" i="5"/>
  <c r="DZ51" i="5"/>
  <c r="DZ62" i="5"/>
  <c r="DZ63" i="5"/>
  <c r="DZ65" i="5"/>
  <c r="DZ68" i="5"/>
  <c r="DZ69" i="5"/>
  <c r="DZ70" i="5"/>
  <c r="DZ71" i="5"/>
  <c r="DZ72" i="5"/>
  <c r="DZ73" i="5"/>
  <c r="DZ74" i="5"/>
  <c r="DZ75" i="5"/>
  <c r="DZ76" i="5"/>
  <c r="DZ78" i="5"/>
  <c r="DZ79" i="5"/>
  <c r="DY6" i="5"/>
  <c r="DY8" i="5"/>
  <c r="EA8" i="5" s="1"/>
  <c r="DY9" i="5"/>
  <c r="EA9" i="5" s="1"/>
  <c r="DY10" i="5"/>
  <c r="DY11" i="5"/>
  <c r="DY12" i="5"/>
  <c r="EA12" i="5" s="1"/>
  <c r="DY13" i="5"/>
  <c r="DY14" i="5"/>
  <c r="EA14" i="5" s="1"/>
  <c r="DY16" i="5"/>
  <c r="EA16" i="5" s="1"/>
  <c r="DY17" i="5"/>
  <c r="DY33" i="5"/>
  <c r="DY34" i="5"/>
  <c r="EA34" i="5" s="1"/>
  <c r="DY36" i="5"/>
  <c r="EA36" i="5" s="1"/>
  <c r="DY37" i="5"/>
  <c r="EA37" i="5" s="1"/>
  <c r="DY38" i="5"/>
  <c r="DY39" i="5"/>
  <c r="DY40" i="5"/>
  <c r="DY41" i="5"/>
  <c r="EA41" i="5" s="1"/>
  <c r="DY42" i="5"/>
  <c r="EA42" i="5" s="1"/>
  <c r="DY43" i="5"/>
  <c r="EA43" i="5" s="1"/>
  <c r="DY47" i="5"/>
  <c r="EA47" i="5" s="1"/>
  <c r="DY48" i="5"/>
  <c r="EA48" i="5" s="1"/>
  <c r="DY51" i="5"/>
  <c r="DY62" i="5"/>
  <c r="EA62" i="5" s="1"/>
  <c r="DY63" i="5"/>
  <c r="DY65" i="5"/>
  <c r="EA65" i="5" s="1"/>
  <c r="DY68" i="5"/>
  <c r="DY69" i="5"/>
  <c r="DY70" i="5"/>
  <c r="DY71" i="5"/>
  <c r="DY72" i="5"/>
  <c r="DY73" i="5"/>
  <c r="DY74" i="5"/>
  <c r="EA74" i="5" s="1"/>
  <c r="DY75" i="5"/>
  <c r="DY76" i="5"/>
  <c r="DY78" i="5"/>
  <c r="DY79" i="5"/>
  <c r="EA79" i="5" s="1"/>
  <c r="DZ5" i="5"/>
  <c r="EA5" i="5"/>
  <c r="DX5" i="5"/>
  <c r="DU5" i="5"/>
  <c r="DZ4" i="5"/>
  <c r="EA4" i="5"/>
  <c r="DU4" i="5"/>
  <c r="EZ5" i="5"/>
  <c r="EZ10" i="5"/>
  <c r="EZ11" i="5"/>
  <c r="EZ13" i="5"/>
  <c r="EZ16" i="5"/>
  <c r="EZ17" i="5"/>
  <c r="EZ33" i="5"/>
  <c r="EZ38" i="5"/>
  <c r="EZ39" i="5"/>
  <c r="EZ40" i="5"/>
  <c r="EZ41" i="5"/>
  <c r="EZ42" i="5"/>
  <c r="EZ43" i="5"/>
  <c r="EZ47" i="5"/>
  <c r="EZ48" i="5"/>
  <c r="EZ51" i="5"/>
  <c r="EZ62" i="5"/>
  <c r="EZ63" i="5"/>
  <c r="EZ65" i="5"/>
  <c r="EZ68" i="5"/>
  <c r="EZ69" i="5"/>
  <c r="EZ70" i="5"/>
  <c r="EZ71" i="5"/>
  <c r="EZ72" i="5"/>
  <c r="EZ73" i="5"/>
  <c r="EZ74" i="5"/>
  <c r="EZ75" i="5"/>
  <c r="EZ76" i="5"/>
  <c r="EZ77" i="5"/>
  <c r="EZ78" i="5"/>
  <c r="EZ79" i="5"/>
  <c r="EY9" i="5"/>
  <c r="EY10" i="5"/>
  <c r="EY11" i="5"/>
  <c r="EY12" i="5"/>
  <c r="EY13" i="5"/>
  <c r="EY14" i="5"/>
  <c r="EY16" i="5"/>
  <c r="EY17" i="5"/>
  <c r="EY33" i="5"/>
  <c r="EY38" i="5"/>
  <c r="EY39" i="5"/>
  <c r="EY40" i="5"/>
  <c r="EY41" i="5"/>
  <c r="EY42" i="5"/>
  <c r="EY43" i="5"/>
  <c r="EY47" i="5"/>
  <c r="EY51" i="5"/>
  <c r="EY62" i="5"/>
  <c r="EY63" i="5"/>
  <c r="EY65" i="5"/>
  <c r="EY68" i="5"/>
  <c r="EY69" i="5"/>
  <c r="EY70" i="5"/>
  <c r="EY71" i="5"/>
  <c r="EY72" i="5"/>
  <c r="EY73" i="5"/>
  <c r="EY74" i="5"/>
  <c r="EY75" i="5"/>
  <c r="EY76" i="5"/>
  <c r="EY77" i="5"/>
  <c r="EY78" i="5"/>
  <c r="EY79" i="5"/>
  <c r="EX5" i="5"/>
  <c r="EX10" i="5"/>
  <c r="EX11" i="5"/>
  <c r="EX13" i="5"/>
  <c r="EX16" i="5"/>
  <c r="EX17" i="5"/>
  <c r="EX33" i="5"/>
  <c r="EX38" i="5"/>
  <c r="EX39" i="5"/>
  <c r="EX40" i="5"/>
  <c r="EX41" i="5"/>
  <c r="EX42" i="5"/>
  <c r="EX43" i="5"/>
  <c r="EX47" i="5"/>
  <c r="EX51" i="5"/>
  <c r="EX62" i="5"/>
  <c r="EX63" i="5"/>
  <c r="EX65" i="5"/>
  <c r="EX68" i="5"/>
  <c r="EX69" i="5"/>
  <c r="EX70" i="5"/>
  <c r="EX71" i="5"/>
  <c r="EX72" i="5"/>
  <c r="EX73" i="5"/>
  <c r="EX74" i="5"/>
  <c r="EX75" i="5"/>
  <c r="EX76" i="5"/>
  <c r="EX77" i="5"/>
  <c r="EX78" i="5"/>
  <c r="EX79" i="5"/>
  <c r="EW10" i="5"/>
  <c r="EW11" i="5"/>
  <c r="EW13" i="5"/>
  <c r="EW16" i="5"/>
  <c r="EW17" i="5"/>
  <c r="EW33" i="5"/>
  <c r="EW38" i="5"/>
  <c r="EW39" i="5"/>
  <c r="EW40" i="5"/>
  <c r="EW41" i="5"/>
  <c r="EW42" i="5"/>
  <c r="EW43" i="5"/>
  <c r="EW47" i="5"/>
  <c r="EW51" i="5"/>
  <c r="EW62" i="5"/>
  <c r="EW63" i="5"/>
  <c r="EW65" i="5"/>
  <c r="EW68" i="5"/>
  <c r="EW69" i="5"/>
  <c r="EW70" i="5"/>
  <c r="EW71" i="5"/>
  <c r="EW72" i="5"/>
  <c r="EW73" i="5"/>
  <c r="EW74" i="5"/>
  <c r="EW75" i="5"/>
  <c r="EW76" i="5"/>
  <c r="EW77" i="5"/>
  <c r="EW78" i="5"/>
  <c r="EW79" i="5"/>
  <c r="AX5" i="5"/>
  <c r="AX8" i="5"/>
  <c r="AX13" i="5"/>
  <c r="AX14" i="5"/>
  <c r="AX16" i="5"/>
  <c r="AX17" i="5"/>
  <c r="AX33" i="5"/>
  <c r="DH33" i="5" s="1"/>
  <c r="AX37" i="5"/>
  <c r="DH37" i="5" s="1"/>
  <c r="AX38" i="5"/>
  <c r="AX40" i="5"/>
  <c r="AX41" i="5"/>
  <c r="AX42" i="5"/>
  <c r="AX43" i="5"/>
  <c r="AX47" i="5"/>
  <c r="AX48" i="5"/>
  <c r="AX65" i="5"/>
  <c r="AX68" i="5"/>
  <c r="AX69" i="5"/>
  <c r="AX70" i="5"/>
  <c r="DH70" i="5" s="1"/>
  <c r="AX71" i="5"/>
  <c r="AX72" i="5"/>
  <c r="AX73" i="5"/>
  <c r="AX75" i="5"/>
  <c r="DH75" i="5" s="1"/>
  <c r="AX76" i="5"/>
  <c r="DH76" i="5" s="1"/>
  <c r="AX77" i="5"/>
  <c r="DH77" i="5" s="1"/>
  <c r="AX78" i="5"/>
  <c r="AX79" i="5"/>
  <c r="AV5" i="5"/>
  <c r="AV6" i="5"/>
  <c r="AV8" i="5"/>
  <c r="AV9" i="5"/>
  <c r="AV10" i="5"/>
  <c r="AV11" i="5"/>
  <c r="AV13" i="5"/>
  <c r="AV14" i="5"/>
  <c r="AV16" i="5"/>
  <c r="AV17" i="5"/>
  <c r="AV33" i="5"/>
  <c r="AV37" i="5"/>
  <c r="AV38" i="5"/>
  <c r="AV39" i="5"/>
  <c r="AV40" i="5"/>
  <c r="AV41" i="5"/>
  <c r="AV42" i="5"/>
  <c r="AV43" i="5"/>
  <c r="AV47" i="5"/>
  <c r="AV48" i="5"/>
  <c r="AV51" i="5"/>
  <c r="AV63" i="5"/>
  <c r="AV65" i="5"/>
  <c r="AV68" i="5"/>
  <c r="AV69" i="5"/>
  <c r="AV70" i="5"/>
  <c r="AV71" i="5"/>
  <c r="AV72" i="5"/>
  <c r="AV73" i="5"/>
  <c r="AV75" i="5"/>
  <c r="AV76" i="5"/>
  <c r="AV77" i="5"/>
  <c r="AV78" i="5"/>
  <c r="AV79" i="5"/>
  <c r="AU5" i="5"/>
  <c r="AU8" i="5"/>
  <c r="AU9" i="5"/>
  <c r="AU13" i="5"/>
  <c r="AU14" i="5"/>
  <c r="AU16" i="5"/>
  <c r="AU17" i="5"/>
  <c r="AU33" i="5"/>
  <c r="AU37" i="5"/>
  <c r="AU38" i="5"/>
  <c r="AU40" i="5"/>
  <c r="AU41" i="5"/>
  <c r="AU42" i="5"/>
  <c r="AU43" i="5"/>
  <c r="AU47" i="5"/>
  <c r="AU48" i="5"/>
  <c r="AU65" i="5"/>
  <c r="AU68" i="5"/>
  <c r="AU69" i="5"/>
  <c r="AU70" i="5"/>
  <c r="AU71" i="5"/>
  <c r="AU72" i="5"/>
  <c r="AU73" i="5"/>
  <c r="AU76" i="5"/>
  <c r="AU77" i="5"/>
  <c r="AU78" i="5"/>
  <c r="AU79" i="5"/>
  <c r="AT5" i="5"/>
  <c r="AT8" i="5"/>
  <c r="AT13" i="5"/>
  <c r="AT14" i="5"/>
  <c r="AT16" i="5"/>
  <c r="AT17" i="5"/>
  <c r="AT33" i="5"/>
  <c r="AT37" i="5"/>
  <c r="AT38" i="5"/>
  <c r="AT40" i="5"/>
  <c r="AT41" i="5"/>
  <c r="AT42" i="5"/>
  <c r="AT43" i="5"/>
  <c r="AT47" i="5"/>
  <c r="AT48" i="5"/>
  <c r="AT65" i="5"/>
  <c r="AT68" i="5"/>
  <c r="AT69" i="5"/>
  <c r="AT70" i="5"/>
  <c r="AT71" i="5"/>
  <c r="AT72" i="5"/>
  <c r="AT73" i="5"/>
  <c r="AT75" i="5"/>
  <c r="AT76" i="5"/>
  <c r="AT77" i="5"/>
  <c r="AT78" i="5"/>
  <c r="AT79" i="5"/>
  <c r="AS5" i="5"/>
  <c r="AS8" i="5"/>
  <c r="AS13" i="5"/>
  <c r="AS14" i="5"/>
  <c r="AS16" i="5"/>
  <c r="AS17" i="5"/>
  <c r="AS33" i="5"/>
  <c r="AS37" i="5"/>
  <c r="AS38" i="5"/>
  <c r="AS40" i="5"/>
  <c r="AS41" i="5"/>
  <c r="AS42" i="5"/>
  <c r="AS43" i="5"/>
  <c r="AS47" i="5"/>
  <c r="AS48" i="5"/>
  <c r="AS65" i="5"/>
  <c r="AS68" i="5"/>
  <c r="AS69" i="5"/>
  <c r="AS70" i="5"/>
  <c r="AS71" i="5"/>
  <c r="AS72" i="5"/>
  <c r="AS73" i="5"/>
  <c r="AS75" i="5"/>
  <c r="AS76" i="5"/>
  <c r="AS77" i="5"/>
  <c r="AS79" i="5"/>
  <c r="CZ5" i="5"/>
  <c r="CZ11" i="5"/>
  <c r="CZ13" i="5"/>
  <c r="CZ16" i="5"/>
  <c r="CZ17" i="5"/>
  <c r="CZ33" i="5"/>
  <c r="CZ38" i="5"/>
  <c r="CZ40" i="5"/>
  <c r="CZ41" i="5"/>
  <c r="CZ42" i="5"/>
  <c r="CZ43" i="5"/>
  <c r="CZ65" i="5"/>
  <c r="CZ68" i="5"/>
  <c r="CZ69" i="5"/>
  <c r="CZ70" i="5"/>
  <c r="CZ71" i="5"/>
  <c r="CZ72" i="5"/>
  <c r="CZ73" i="5"/>
  <c r="CZ76" i="5"/>
  <c r="CZ77" i="5"/>
  <c r="CZ78" i="5"/>
  <c r="CY11" i="5"/>
  <c r="CY13" i="5"/>
  <c r="CY16" i="5"/>
  <c r="CY17" i="5"/>
  <c r="CY33" i="5"/>
  <c r="CY37" i="5"/>
  <c r="CY38" i="5"/>
  <c r="CY39" i="5"/>
  <c r="CY40" i="5"/>
  <c r="CY41" i="5"/>
  <c r="CY42" i="5"/>
  <c r="CY43" i="5"/>
  <c r="CY65" i="5"/>
  <c r="CY68" i="5"/>
  <c r="CY69" i="5"/>
  <c r="CY70" i="5"/>
  <c r="CY71" i="5"/>
  <c r="CY72" i="5"/>
  <c r="CY73" i="5"/>
  <c r="CY74" i="5"/>
  <c r="CY75" i="5"/>
  <c r="CY76" i="5"/>
  <c r="CY77" i="5"/>
  <c r="CY78" i="5"/>
  <c r="CX11" i="5"/>
  <c r="CX13" i="5"/>
  <c r="CX16" i="5"/>
  <c r="CX17" i="5"/>
  <c r="CX33" i="5"/>
  <c r="CX37" i="5"/>
  <c r="CX38" i="5"/>
  <c r="CX39" i="5"/>
  <c r="CX40" i="5"/>
  <c r="CX41" i="5"/>
  <c r="CX42" i="5"/>
  <c r="CX43" i="5"/>
  <c r="CX65" i="5"/>
  <c r="CX68" i="5"/>
  <c r="CX69" i="5"/>
  <c r="CX70" i="5"/>
  <c r="CX71" i="5"/>
  <c r="CX72" i="5"/>
  <c r="CX73" i="5"/>
  <c r="CX74" i="5"/>
  <c r="CX75" i="5"/>
  <c r="CX76" i="5"/>
  <c r="CX77" i="5"/>
  <c r="CX78" i="5"/>
  <c r="CW5" i="5"/>
  <c r="CW11" i="5"/>
  <c r="CW13" i="5"/>
  <c r="CW16" i="5"/>
  <c r="CW17" i="5"/>
  <c r="CW33" i="5"/>
  <c r="CW37" i="5"/>
  <c r="CW38" i="5"/>
  <c r="CW39" i="5"/>
  <c r="CW40" i="5"/>
  <c r="CW41" i="5"/>
  <c r="CW42" i="5"/>
  <c r="CW43" i="5"/>
  <c r="CW65" i="5"/>
  <c r="CW68" i="5"/>
  <c r="CW69" i="5"/>
  <c r="CW70" i="5"/>
  <c r="CW71" i="5"/>
  <c r="CW72" i="5"/>
  <c r="CW73" i="5"/>
  <c r="CW74" i="5"/>
  <c r="CW76" i="5"/>
  <c r="CW77" i="5"/>
  <c r="CW78" i="5"/>
  <c r="KF5" i="5"/>
  <c r="KF9" i="5"/>
  <c r="KF10" i="5"/>
  <c r="KF11" i="5"/>
  <c r="KF12" i="5"/>
  <c r="KF13" i="5"/>
  <c r="KF14" i="5"/>
  <c r="KF16" i="5"/>
  <c r="KF17" i="5"/>
  <c r="KF38" i="5"/>
  <c r="KF39" i="5"/>
  <c r="KF40" i="5"/>
  <c r="KF41" i="5"/>
  <c r="KF42" i="5"/>
  <c r="KF43" i="5"/>
  <c r="KF47" i="5"/>
  <c r="KF48" i="5"/>
  <c r="KF51" i="5"/>
  <c r="KF62" i="5"/>
  <c r="KF63" i="5"/>
  <c r="KF65" i="5"/>
  <c r="KF68" i="5"/>
  <c r="KF69" i="5"/>
  <c r="KF70" i="5"/>
  <c r="KF71" i="5"/>
  <c r="KF72" i="5"/>
  <c r="KF73" i="5"/>
  <c r="KF74" i="5"/>
  <c r="KF75" i="5"/>
  <c r="KF76" i="5"/>
  <c r="KF78" i="5"/>
  <c r="KF79" i="5"/>
  <c r="KE5" i="5"/>
  <c r="KE10" i="5"/>
  <c r="KE11" i="5"/>
  <c r="KE12" i="5"/>
  <c r="KE13" i="5"/>
  <c r="KE14" i="5"/>
  <c r="KE16" i="5"/>
  <c r="KE17" i="5"/>
  <c r="KE38" i="5"/>
  <c r="KE39" i="5"/>
  <c r="KE40" i="5"/>
  <c r="KE41" i="5"/>
  <c r="KE42" i="5"/>
  <c r="KE43" i="5"/>
  <c r="KE47" i="5"/>
  <c r="KE48" i="5"/>
  <c r="KE51" i="5"/>
  <c r="KE62" i="5"/>
  <c r="KE63" i="5"/>
  <c r="KE65" i="5"/>
  <c r="KE68" i="5"/>
  <c r="KE69" i="5"/>
  <c r="KE70" i="5"/>
  <c r="KE71" i="5"/>
  <c r="KE72" i="5"/>
  <c r="KE73" i="5"/>
  <c r="KE74" i="5"/>
  <c r="KE75" i="5"/>
  <c r="KE76" i="5"/>
  <c r="KE78" i="5"/>
  <c r="KE79" i="5"/>
  <c r="KD5" i="5"/>
  <c r="KD9" i="5"/>
  <c r="KD10" i="5"/>
  <c r="KD11" i="5"/>
  <c r="KD12" i="5"/>
  <c r="KD13" i="5"/>
  <c r="KD14" i="5"/>
  <c r="KD16" i="5"/>
  <c r="KD17" i="5"/>
  <c r="KD38" i="5"/>
  <c r="KD39" i="5"/>
  <c r="KD40" i="5"/>
  <c r="KD41" i="5"/>
  <c r="KD42" i="5"/>
  <c r="KD43" i="5"/>
  <c r="KD47" i="5"/>
  <c r="KD48" i="5"/>
  <c r="KD51" i="5"/>
  <c r="KD62" i="5"/>
  <c r="KD63" i="5"/>
  <c r="KD65" i="5"/>
  <c r="KD68" i="5"/>
  <c r="KD69" i="5"/>
  <c r="KD70" i="5"/>
  <c r="KD71" i="5"/>
  <c r="KD72" i="5"/>
  <c r="KD73" i="5"/>
  <c r="KD74" i="5"/>
  <c r="KD75" i="5"/>
  <c r="KD76" i="5"/>
  <c r="KD78" i="5"/>
  <c r="KD79" i="5"/>
  <c r="KC5" i="5"/>
  <c r="KC9" i="5"/>
  <c r="KC10" i="5"/>
  <c r="KC11" i="5"/>
  <c r="KC12" i="5"/>
  <c r="KC13" i="5"/>
  <c r="KC14" i="5"/>
  <c r="KC16" i="5"/>
  <c r="KC17" i="5"/>
  <c r="KL34" i="5"/>
  <c r="KC38" i="5"/>
  <c r="KC39" i="5"/>
  <c r="KC40" i="5"/>
  <c r="KC41" i="5"/>
  <c r="KC42" i="5"/>
  <c r="KC43" i="5"/>
  <c r="KC47" i="5"/>
  <c r="KC51" i="5"/>
  <c r="KC62" i="5"/>
  <c r="KC63" i="5"/>
  <c r="KC68" i="5"/>
  <c r="KC69" i="5"/>
  <c r="KC70" i="5"/>
  <c r="KC71" i="5"/>
  <c r="KC72" i="5"/>
  <c r="KC73" i="5"/>
  <c r="KC74" i="5"/>
  <c r="KC75" i="5"/>
  <c r="KC76" i="5"/>
  <c r="KC78" i="5"/>
  <c r="KC79" i="5"/>
  <c r="KB13" i="5"/>
  <c r="KB16" i="5"/>
  <c r="KB17" i="5"/>
  <c r="KB38" i="5"/>
  <c r="KB40" i="5"/>
  <c r="KB41" i="5"/>
  <c r="KB42" i="5"/>
  <c r="KB43" i="5"/>
  <c r="KB65" i="5"/>
  <c r="KB68" i="5"/>
  <c r="KB69" i="5"/>
  <c r="KB70" i="5"/>
  <c r="KB71" i="5"/>
  <c r="KB72" i="5"/>
  <c r="KB73" i="5"/>
  <c r="KB75" i="5"/>
  <c r="KB76" i="5"/>
  <c r="KB78" i="5"/>
  <c r="KA13" i="5"/>
  <c r="KG13" i="5" s="1"/>
  <c r="KA16" i="5"/>
  <c r="KG16" i="5" s="1"/>
  <c r="KA17" i="5"/>
  <c r="KG17" i="5" s="1"/>
  <c r="KA38" i="5"/>
  <c r="KA40" i="5"/>
  <c r="KG40" i="5" s="1"/>
  <c r="KA41" i="5"/>
  <c r="KG41" i="5" s="1"/>
  <c r="KA42" i="5"/>
  <c r="KG42" i="5" s="1"/>
  <c r="D30" i="6" s="1"/>
  <c r="KA43" i="5"/>
  <c r="KG43" i="5" s="1"/>
  <c r="KA65" i="5"/>
  <c r="KG65" i="5" s="1"/>
  <c r="KA68" i="5"/>
  <c r="KG68" i="5" s="1"/>
  <c r="KA69" i="5"/>
  <c r="KG69" i="5" s="1"/>
  <c r="KA70" i="5"/>
  <c r="KG70" i="5" s="1"/>
  <c r="KA71" i="5"/>
  <c r="KG71" i="5" s="1"/>
  <c r="KA72" i="5"/>
  <c r="KG72" i="5" s="1"/>
  <c r="KA73" i="5"/>
  <c r="KG73" i="5" s="1"/>
  <c r="KA76" i="5"/>
  <c r="KG76" i="5" s="1"/>
  <c r="KA78" i="5"/>
  <c r="KG78" i="5" s="1"/>
  <c r="DO5" i="5"/>
  <c r="CR37" i="5"/>
  <c r="CO37" i="5"/>
  <c r="DP37" i="5"/>
  <c r="EX37" i="5" s="1"/>
  <c r="FL37" i="5" s="1"/>
  <c r="DO37" i="5"/>
  <c r="DN37" i="5"/>
  <c r="EZ37" i="5" s="1"/>
  <c r="DK37" i="5"/>
  <c r="EY37" i="5" s="1"/>
  <c r="DN36" i="5"/>
  <c r="EZ36" i="5" s="1"/>
  <c r="DR36" i="5"/>
  <c r="DP36" i="5"/>
  <c r="EX36" i="5" s="1"/>
  <c r="DO36" i="5"/>
  <c r="EW36" i="5" s="1"/>
  <c r="DK36" i="5"/>
  <c r="EY36" i="5" s="1"/>
  <c r="DQ5" i="5"/>
  <c r="DK5" i="5"/>
  <c r="EY5" i="5" s="1"/>
  <c r="CT5" i="5"/>
  <c r="CO5" i="5"/>
  <c r="DP48" i="5"/>
  <c r="EX48" i="5" s="1"/>
  <c r="DO48" i="5"/>
  <c r="EW48" i="5" s="1"/>
  <c r="DK48" i="5"/>
  <c r="EY48" i="5" s="1"/>
  <c r="EX4" i="5"/>
  <c r="DO4" i="5"/>
  <c r="DN4" i="5"/>
  <c r="DK4" i="5"/>
  <c r="EY4" i="5" s="1"/>
  <c r="DN34" i="5"/>
  <c r="DK34" i="5"/>
  <c r="CT51" i="5"/>
  <c r="CS51" i="5"/>
  <c r="CR51" i="5"/>
  <c r="CO51" i="5"/>
  <c r="CT48" i="5"/>
  <c r="CS48" i="5"/>
  <c r="CW48" i="5" s="1"/>
  <c r="CR48" i="5"/>
  <c r="CO48" i="5"/>
  <c r="CT36" i="5"/>
  <c r="CS36" i="5"/>
  <c r="CR36" i="5"/>
  <c r="CO36" i="5"/>
  <c r="CT34" i="5"/>
  <c r="CS34" i="5"/>
  <c r="CR34" i="5"/>
  <c r="CO34" i="5"/>
  <c r="CT4" i="5"/>
  <c r="CU4" i="5"/>
  <c r="CR4" i="5"/>
  <c r="CO4" i="5"/>
  <c r="AK75" i="5"/>
  <c r="AU75" i="5" s="1"/>
  <c r="CH75" i="5" a="1"/>
  <c r="CH75" i="5"/>
  <c r="CE75" i="5"/>
  <c r="CJ47" i="5"/>
  <c r="E27" i="6"/>
  <c r="D51" i="6"/>
  <c r="BU4" i="5"/>
  <c r="BT4" i="5"/>
  <c r="BV4" i="5" s="1"/>
  <c r="V62" i="5"/>
  <c r="U62" i="5"/>
  <c r="W62" i="5" s="1"/>
  <c r="Q62" i="5"/>
  <c r="BK63" i="5"/>
  <c r="BJ63" i="5"/>
  <c r="BI63" i="5"/>
  <c r="BF63" i="5"/>
  <c r="AF39" i="5"/>
  <c r="AE39" i="5"/>
  <c r="AS39" i="5" s="1"/>
  <c r="AD39" i="5"/>
  <c r="AA39" i="5"/>
  <c r="AU39" i="5" s="1"/>
  <c r="BK10" i="5"/>
  <c r="BJ10" i="5"/>
  <c r="BI10" i="5"/>
  <c r="BF10" i="5"/>
  <c r="AF36" i="5"/>
  <c r="AF34" i="5"/>
  <c r="CJ36" i="5"/>
  <c r="CI36" i="5"/>
  <c r="CK36" i="5" s="1"/>
  <c r="CH36" i="5"/>
  <c r="CE36" i="5"/>
  <c r="BU36" i="5"/>
  <c r="BU34" i="5"/>
  <c r="BT36" i="5"/>
  <c r="BV36" i="5" s="1"/>
  <c r="BT34" i="5"/>
  <c r="BP36" i="5"/>
  <c r="BP34" i="5"/>
  <c r="BK34" i="5"/>
  <c r="BJ34" i="5"/>
  <c r="BL34" i="5" s="1"/>
  <c r="BI34" i="5"/>
  <c r="BF34" i="5"/>
  <c r="AP34" i="5"/>
  <c r="AP36" i="5"/>
  <c r="AO36" i="5"/>
  <c r="AO34" i="5"/>
  <c r="AN36" i="5"/>
  <c r="AV36" i="5" s="1"/>
  <c r="AK36" i="5"/>
  <c r="AK34" i="5"/>
  <c r="AE36" i="5"/>
  <c r="AG36" i="5" s="1"/>
  <c r="AE34" i="5"/>
  <c r="AG34" i="5" s="1"/>
  <c r="AD36" i="5"/>
  <c r="AD34" i="5"/>
  <c r="AA36" i="5"/>
  <c r="AA34" i="5"/>
  <c r="CJ4" i="5"/>
  <c r="CI4" i="5"/>
  <c r="CH4" i="5"/>
  <c r="CE4" i="5"/>
  <c r="DB40" i="5"/>
  <c r="DH40" i="5" s="1"/>
  <c r="DB39" i="5"/>
  <c r="DB38" i="5"/>
  <c r="DH38" i="5" s="1"/>
  <c r="DB41" i="5"/>
  <c r="DH41" i="5" s="1"/>
  <c r="DB42" i="5"/>
  <c r="DH42" i="5" s="1"/>
  <c r="DB43" i="5"/>
  <c r="DH43" i="5" s="1"/>
  <c r="DB65" i="5"/>
  <c r="DH65" i="5" s="1"/>
  <c r="DB68" i="5"/>
  <c r="DH68" i="5" s="1"/>
  <c r="DB69" i="5"/>
  <c r="DH69" i="5" s="1"/>
  <c r="DB71" i="5"/>
  <c r="DH71" i="5" s="1"/>
  <c r="DB72" i="5"/>
  <c r="DH72" i="5" s="1"/>
  <c r="DB73" i="5"/>
  <c r="DH73" i="5" s="1"/>
  <c r="DB74" i="5"/>
  <c r="DB78" i="5"/>
  <c r="DH78" i="5" s="1"/>
  <c r="DB17" i="5"/>
  <c r="DH17" i="5" s="1"/>
  <c r="DB16" i="5"/>
  <c r="DH16" i="5" s="1"/>
  <c r="DB13" i="5"/>
  <c r="DH13" i="5" s="1"/>
  <c r="DB11" i="5"/>
  <c r="AW78" i="5"/>
  <c r="JO79" i="5"/>
  <c r="JK79" i="5"/>
  <c r="JJ79" i="5"/>
  <c r="JI79" i="5"/>
  <c r="JK12" i="5"/>
  <c r="JO11" i="5"/>
  <c r="JL11" i="5"/>
  <c r="JK11" i="5"/>
  <c r="JJ11" i="5"/>
  <c r="JI11" i="5"/>
  <c r="JK9" i="5"/>
  <c r="JI8" i="5"/>
  <c r="HP79" i="5"/>
  <c r="HP11" i="5"/>
  <c r="HP10" i="5"/>
  <c r="HP18" i="5" s="1"/>
  <c r="HP6" i="5"/>
  <c r="JW14" i="5"/>
  <c r="JV14" i="5"/>
  <c r="JU14" i="5"/>
  <c r="JW12" i="5"/>
  <c r="JV12" i="5"/>
  <c r="JU12" i="5"/>
  <c r="JW9" i="5"/>
  <c r="JV9" i="5"/>
  <c r="JU9" i="5"/>
  <c r="JF14" i="5"/>
  <c r="JE14" i="5"/>
  <c r="JG14" i="5" s="1"/>
  <c r="JD14" i="5"/>
  <c r="JF12" i="5"/>
  <c r="JE12" i="5"/>
  <c r="JG12" i="5" s="1"/>
  <c r="JD12" i="5"/>
  <c r="JF9" i="5"/>
  <c r="JE9" i="5"/>
  <c r="JG9" i="5" s="1"/>
  <c r="JD9" i="5"/>
  <c r="IV14" i="5"/>
  <c r="IU14" i="5"/>
  <c r="IW14" i="5" s="1"/>
  <c r="IT14" i="5"/>
  <c r="IV12" i="5"/>
  <c r="IU12" i="5"/>
  <c r="IW12" i="5" s="1"/>
  <c r="IT12" i="5"/>
  <c r="IV9" i="5"/>
  <c r="IU9" i="5"/>
  <c r="IW9" i="5" s="1"/>
  <c r="IT9" i="5"/>
  <c r="IL14" i="5"/>
  <c r="IK14" i="5"/>
  <c r="IM14" i="5" s="1"/>
  <c r="IJ14" i="5"/>
  <c r="IL12" i="5"/>
  <c r="IK12" i="5"/>
  <c r="IM12" i="5" s="1"/>
  <c r="IJ12" i="5"/>
  <c r="IL9" i="5"/>
  <c r="IK9" i="5"/>
  <c r="IM9" i="5" s="1"/>
  <c r="IJ9" i="5"/>
  <c r="JJ12" i="5"/>
  <c r="JI12" i="5"/>
  <c r="JM12" i="5" s="1"/>
  <c r="JJ9" i="5"/>
  <c r="JL9" i="5"/>
  <c r="GM14" i="5"/>
  <c r="GM12" i="5"/>
  <c r="GM9" i="5"/>
  <c r="GC14" i="5"/>
  <c r="GC12" i="5"/>
  <c r="GC9" i="5"/>
  <c r="FU14" i="5"/>
  <c r="FT14" i="5"/>
  <c r="FV14" i="5" s="1"/>
  <c r="FS14" i="5"/>
  <c r="FU12" i="5"/>
  <c r="FT12" i="5"/>
  <c r="FS12" i="5"/>
  <c r="CI47" i="5"/>
  <c r="CJ62" i="5"/>
  <c r="CI62" i="5"/>
  <c r="CJ34" i="5"/>
  <c r="CI34" i="5"/>
  <c r="CH34" i="5"/>
  <c r="CE34" i="5"/>
  <c r="CJ8" i="5"/>
  <c r="CI8" i="5"/>
  <c r="CH8" i="5"/>
  <c r="CE8" i="5"/>
  <c r="ET14" i="5"/>
  <c r="ES14" i="5"/>
  <c r="ER14" i="5"/>
  <c r="ET12" i="5"/>
  <c r="ES12" i="5"/>
  <c r="ER12" i="5"/>
  <c r="ET9" i="5"/>
  <c r="ES9" i="5"/>
  <c r="ER9" i="5"/>
  <c r="EJ14" i="5"/>
  <c r="EI14" i="5"/>
  <c r="EK14" i="5" s="1"/>
  <c r="EH14" i="5"/>
  <c r="EJ12" i="5"/>
  <c r="EI12" i="5"/>
  <c r="EK12" i="5" s="1"/>
  <c r="EH12" i="5"/>
  <c r="EJ9" i="5"/>
  <c r="EI9" i="5"/>
  <c r="EH9" i="5"/>
  <c r="BU79" i="5"/>
  <c r="BT79" i="5"/>
  <c r="BS79" i="5"/>
  <c r="BP79" i="5"/>
  <c r="AP74" i="5"/>
  <c r="AO74" i="5"/>
  <c r="AN74" i="5"/>
  <c r="AV74" i="5" s="1"/>
  <c r="AK74" i="5"/>
  <c r="AP62" i="5"/>
  <c r="AT62" i="5" s="1"/>
  <c r="AO62" i="5"/>
  <c r="AS62" i="5" s="1"/>
  <c r="AN62" i="5"/>
  <c r="AV62" i="5" s="1"/>
  <c r="AK62" i="5"/>
  <c r="AU62" i="5" s="1"/>
  <c r="AG62" i="5"/>
  <c r="AF63" i="5"/>
  <c r="AE63" i="5"/>
  <c r="AD63" i="5"/>
  <c r="AA63" i="5"/>
  <c r="AF51" i="5"/>
  <c r="AT51" i="5" s="1"/>
  <c r="AE51" i="5"/>
  <c r="AS51" i="5" s="1"/>
  <c r="AD51" i="5"/>
  <c r="AA51" i="5"/>
  <c r="AU51" i="5" s="1"/>
  <c r="V36" i="5"/>
  <c r="U36" i="5"/>
  <c r="T36" i="5"/>
  <c r="Q36" i="5"/>
  <c r="V34" i="5"/>
  <c r="U34" i="5"/>
  <c r="T34" i="5"/>
  <c r="Q34" i="5"/>
  <c r="BK36" i="5"/>
  <c r="BJ36" i="5"/>
  <c r="BI36" i="5"/>
  <c r="BF36" i="5"/>
  <c r="V63" i="5"/>
  <c r="U63" i="5"/>
  <c r="W63" i="5" s="1"/>
  <c r="Q63" i="5"/>
  <c r="T63" i="5"/>
  <c r="V74" i="5"/>
  <c r="U74" i="5"/>
  <c r="W74" i="5" s="1"/>
  <c r="T74" i="5"/>
  <c r="Q74" i="5"/>
  <c r="L74" i="5"/>
  <c r="K74" i="5"/>
  <c r="M74" i="5" s="1"/>
  <c r="J74" i="5"/>
  <c r="G74" i="5"/>
  <c r="AY79" i="5"/>
  <c r="AY77" i="5"/>
  <c r="AY72" i="5"/>
  <c r="AY71" i="5"/>
  <c r="AY70" i="5"/>
  <c r="AY47" i="5"/>
  <c r="AY43" i="5"/>
  <c r="AY42" i="5"/>
  <c r="AY41" i="5"/>
  <c r="AY40" i="5"/>
  <c r="AY38" i="5"/>
  <c r="AY17" i="5"/>
  <c r="AP4" i="5"/>
  <c r="AO4" i="5"/>
  <c r="AN4" i="5"/>
  <c r="AK4" i="5"/>
  <c r="V4" i="5"/>
  <c r="U4" i="5"/>
  <c r="W4" i="5" s="1"/>
  <c r="T4" i="5"/>
  <c r="Q4" i="5"/>
  <c r="AF4" i="5"/>
  <c r="AE4" i="5"/>
  <c r="AD4" i="5"/>
  <c r="AA4" i="5"/>
  <c r="BK14" i="5"/>
  <c r="BJ14" i="5"/>
  <c r="BL14" i="5" s="1"/>
  <c r="BI14" i="5"/>
  <c r="BF14" i="5"/>
  <c r="AF10" i="5"/>
  <c r="AT10" i="5" s="1"/>
  <c r="AE10" i="5"/>
  <c r="AS10" i="5" s="1"/>
  <c r="BK4" i="5"/>
  <c r="BJ4" i="5"/>
  <c r="BI4" i="5"/>
  <c r="BF4" i="5"/>
  <c r="AD10" i="5"/>
  <c r="AA10" i="5"/>
  <c r="AU10" i="5" s="1"/>
  <c r="CH74" i="5"/>
  <c r="CE74" i="5"/>
  <c r="CH62" i="5"/>
  <c r="CE62" i="5"/>
  <c r="CH39" i="5"/>
  <c r="CE39" i="5"/>
  <c r="CH47" i="5"/>
  <c r="CE47" i="5"/>
  <c r="BS4" i="5"/>
  <c r="CZ4" i="5" s="1"/>
  <c r="BP4" i="5"/>
  <c r="DP14" i="5"/>
  <c r="DO14" i="5"/>
  <c r="DQ14" i="5" s="1"/>
  <c r="DN14" i="5"/>
  <c r="DP12" i="5"/>
  <c r="DO12" i="5"/>
  <c r="DN12" i="5"/>
  <c r="DP9" i="5"/>
  <c r="DO9" i="5"/>
  <c r="DN9" i="5"/>
  <c r="CT14" i="5"/>
  <c r="CS14" i="5"/>
  <c r="CR14" i="5"/>
  <c r="CT12" i="5"/>
  <c r="CS12" i="5"/>
  <c r="CR12" i="5"/>
  <c r="CT9" i="5"/>
  <c r="CS9" i="5"/>
  <c r="CR9" i="5"/>
  <c r="CJ14" i="5"/>
  <c r="CI14" i="5"/>
  <c r="CK14" i="5" s="1"/>
  <c r="CH14" i="5"/>
  <c r="CJ12" i="5"/>
  <c r="CI12" i="5"/>
  <c r="CK12" i="5" s="1"/>
  <c r="CH12" i="5"/>
  <c r="DC11" i="5"/>
  <c r="CJ9" i="5"/>
  <c r="CI9" i="5"/>
  <c r="CK9" i="5" s="1"/>
  <c r="CH9" i="5"/>
  <c r="T6" i="5"/>
  <c r="U6" i="5"/>
  <c r="V6" i="5"/>
  <c r="W6" i="5"/>
  <c r="AA6" i="5"/>
  <c r="AU6" i="5" s="1"/>
  <c r="AD6" i="5"/>
  <c r="AE6" i="5"/>
  <c r="AS6" i="5" s="1"/>
  <c r="AF6" i="5"/>
  <c r="AT6" i="5" s="1"/>
  <c r="AG6" i="5"/>
  <c r="AX6" i="5" s="1"/>
  <c r="BF6" i="5"/>
  <c r="BI6" i="5"/>
  <c r="BJ6" i="5"/>
  <c r="BK6" i="5"/>
  <c r="BL6" i="5"/>
  <c r="T9" i="5"/>
  <c r="U9" i="5"/>
  <c r="V9" i="5"/>
  <c r="W9" i="5"/>
  <c r="AO9" i="5"/>
  <c r="AS9" i="5" s="1"/>
  <c r="AP9" i="5"/>
  <c r="AT9" i="5" s="1"/>
  <c r="AQ9" i="5"/>
  <c r="AX9" i="5" s="1"/>
  <c r="BF9" i="5"/>
  <c r="BI9" i="5"/>
  <c r="BJ9" i="5"/>
  <c r="BK9" i="5"/>
  <c r="BS9" i="5"/>
  <c r="BT9" i="5"/>
  <c r="BU9" i="5"/>
  <c r="BV9" i="5"/>
  <c r="T11" i="5"/>
  <c r="U11" i="5"/>
  <c r="V11" i="5"/>
  <c r="W11" i="5"/>
  <c r="AA11" i="5"/>
  <c r="AU11" i="5" s="1"/>
  <c r="AD11" i="5"/>
  <c r="AE11" i="5"/>
  <c r="AS11" i="5" s="1"/>
  <c r="AF11" i="5"/>
  <c r="AG11" i="5"/>
  <c r="AX11" i="5" s="1"/>
  <c r="Q12" i="5"/>
  <c r="T12" i="5"/>
  <c r="U12" i="5"/>
  <c r="V12" i="5"/>
  <c r="W12" i="5"/>
  <c r="AA12" i="5"/>
  <c r="AD12" i="5"/>
  <c r="AE12" i="5"/>
  <c r="AF12" i="5"/>
  <c r="AG12" i="5"/>
  <c r="AK12" i="5"/>
  <c r="AU12" i="5" s="1"/>
  <c r="AN12" i="5"/>
  <c r="AV12" i="5" s="1"/>
  <c r="AO12" i="5"/>
  <c r="AS12" i="5" s="1"/>
  <c r="AP12" i="5"/>
  <c r="AT12" i="5" s="1"/>
  <c r="AQ12" i="5"/>
  <c r="AX12" i="5" s="1"/>
  <c r="BI12" i="5"/>
  <c r="BJ12" i="5"/>
  <c r="BK12" i="5"/>
  <c r="BL12" i="5"/>
  <c r="BS12" i="5"/>
  <c r="BT12" i="5"/>
  <c r="BU12" i="5"/>
  <c r="BV12" i="5"/>
  <c r="AY14" i="5"/>
  <c r="BS14" i="5"/>
  <c r="BT14" i="5"/>
  <c r="BU14" i="5"/>
  <c r="BV14" i="5"/>
  <c r="H10" i="2"/>
  <c r="I10" i="2"/>
  <c r="H26" i="2"/>
  <c r="I26" i="2"/>
  <c r="H27" i="2"/>
  <c r="I27" i="2"/>
  <c r="AE33" i="1"/>
  <c r="AA33" i="1"/>
  <c r="Z33" i="1"/>
  <c r="Z20" i="1"/>
  <c r="N22" i="1"/>
  <c r="M22" i="1"/>
  <c r="O22" i="1" s="1"/>
  <c r="I22" i="1"/>
  <c r="AB22" i="1"/>
  <c r="AD22" i="1" s="1"/>
  <c r="AA37" i="1"/>
  <c r="Z37" i="1"/>
  <c r="AB37" i="1" s="1"/>
  <c r="AD37" i="1" s="1"/>
  <c r="AE37" i="1" s="1"/>
  <c r="Y37" i="1"/>
  <c r="V37" i="1"/>
  <c r="AA28" i="1"/>
  <c r="Z28" i="1"/>
  <c r="AB28" i="1" s="1"/>
  <c r="AD28" i="1" s="1"/>
  <c r="Y28" i="1"/>
  <c r="V28" i="1"/>
  <c r="N28" i="1"/>
  <c r="M28" i="1"/>
  <c r="L28" i="1"/>
  <c r="I28" i="1"/>
  <c r="AE26" i="1"/>
  <c r="AA25" i="1"/>
  <c r="Z25" i="1"/>
  <c r="AA24" i="1"/>
  <c r="Z24" i="1"/>
  <c r="AF42" i="1"/>
  <c r="AF41" i="1"/>
  <c r="AF40" i="1"/>
  <c r="AF39" i="1"/>
  <c r="AF38" i="1"/>
  <c r="AF37" i="1"/>
  <c r="AF35" i="1"/>
  <c r="AF33" i="1"/>
  <c r="AF31" i="1"/>
  <c r="AF29" i="1"/>
  <c r="AF27" i="1"/>
  <c r="AF26" i="1"/>
  <c r="AF19" i="1"/>
  <c r="AF17" i="1"/>
  <c r="AF11" i="1"/>
  <c r="AF9" i="1"/>
  <c r="AD10" i="1"/>
  <c r="AG10" i="1"/>
  <c r="AA18" i="1"/>
  <c r="Z18" i="1"/>
  <c r="AA13" i="1"/>
  <c r="Z13" i="1"/>
  <c r="N21" i="1"/>
  <c r="N29" i="1"/>
  <c r="M29" i="1"/>
  <c r="L29" i="1"/>
  <c r="I29" i="1"/>
  <c r="N37" i="1"/>
  <c r="M37" i="1"/>
  <c r="O37" i="1" s="1"/>
  <c r="Q37" i="1" s="1"/>
  <c r="R37" i="1" s="1"/>
  <c r="L37" i="1"/>
  <c r="I37" i="1"/>
  <c r="P23" i="1"/>
  <c r="P24" i="1"/>
  <c r="L42" i="1"/>
  <c r="M20" i="1"/>
  <c r="I20" i="1"/>
  <c r="M21" i="1"/>
  <c r="L21" i="1"/>
  <c r="I21" i="1"/>
  <c r="O21" i="1"/>
  <c r="E17" i="2" s="1"/>
  <c r="V20" i="1"/>
  <c r="AG37" i="1"/>
  <c r="AG17" i="1"/>
  <c r="AG11" i="1"/>
  <c r="AG9" i="1"/>
  <c r="S29" i="1"/>
  <c r="S19" i="1"/>
  <c r="S18" i="1"/>
  <c r="S17" i="1"/>
  <c r="AA21" i="1"/>
  <c r="Z21" i="1"/>
  <c r="AB21" i="1" s="1"/>
  <c r="Y21" i="1"/>
  <c r="V21" i="1"/>
  <c r="AA20" i="1"/>
  <c r="AE42" i="1"/>
  <c r="AA42" i="1"/>
  <c r="Z42" i="1"/>
  <c r="AA36" i="1"/>
  <c r="Z36" i="1"/>
  <c r="AB36" i="1" s="1"/>
  <c r="AD36" i="1" s="1"/>
  <c r="Y36" i="1"/>
  <c r="V36" i="1"/>
  <c r="AB42" i="1"/>
  <c r="Y42" i="1"/>
  <c r="V42" i="1"/>
  <c r="N42" i="1"/>
  <c r="M42" i="1"/>
  <c r="O42" i="1" s="1"/>
  <c r="Q42" i="1" s="1"/>
  <c r="I42" i="1"/>
  <c r="E38" i="2" s="1"/>
  <c r="H7" i="2"/>
  <c r="I7" i="2"/>
  <c r="AE11" i="1"/>
  <c r="P25" i="1"/>
  <c r="AH9" i="1"/>
  <c r="M16" i="1"/>
  <c r="H5" i="2"/>
  <c r="I5" i="2"/>
  <c r="H19" i="2"/>
  <c r="I19" i="2"/>
  <c r="O33" i="1"/>
  <c r="Q33" i="1" s="1"/>
  <c r="AG33" i="1" s="1"/>
  <c r="O29" i="1"/>
  <c r="O41" i="1"/>
  <c r="Q41" i="1" s="1"/>
  <c r="AG41" i="1" s="1"/>
  <c r="O40" i="1"/>
  <c r="AG40" i="1" s="1"/>
  <c r="O39" i="1"/>
  <c r="Q39" i="1" s="1"/>
  <c r="AG39" i="1" s="1"/>
  <c r="L38" i="1"/>
  <c r="I38" i="1"/>
  <c r="L41" i="1"/>
  <c r="L40" i="1"/>
  <c r="L39" i="1"/>
  <c r="I39" i="1"/>
  <c r="I40" i="1"/>
  <c r="I41" i="1"/>
  <c r="R41" i="1"/>
  <c r="R40" i="1"/>
  <c r="R39" i="1"/>
  <c r="R34" i="1"/>
  <c r="R33" i="1"/>
  <c r="R29" i="1"/>
  <c r="R19" i="1"/>
  <c r="R18" i="1"/>
  <c r="R17" i="1"/>
  <c r="L36" i="1"/>
  <c r="N35" i="1"/>
  <c r="M35" i="1"/>
  <c r="O35" i="1" s="1"/>
  <c r="Q35" i="1" s="1"/>
  <c r="I24" i="1"/>
  <c r="N23" i="1"/>
  <c r="M23" i="1"/>
  <c r="O23" i="1"/>
  <c r="Q23" i="1" s="1"/>
  <c r="S23" i="1" s="1"/>
  <c r="I23" i="1"/>
  <c r="R23" i="1"/>
  <c r="N8" i="1"/>
  <c r="M8" i="1"/>
  <c r="N27" i="1"/>
  <c r="M27" i="1"/>
  <c r="O27" i="1" s="1"/>
  <c r="Q27" i="1" s="1"/>
  <c r="L27" i="1"/>
  <c r="I27" i="1"/>
  <c r="N25" i="1"/>
  <c r="M25" i="1"/>
  <c r="L25" i="1"/>
  <c r="I25" i="1"/>
  <c r="N36" i="1"/>
  <c r="M36" i="1"/>
  <c r="O36" i="1" s="1"/>
  <c r="L35" i="1"/>
  <c r="I35" i="1"/>
  <c r="BC31" i="5" l="1"/>
  <c r="BB31" i="5"/>
  <c r="BA31" i="5"/>
  <c r="AZ31" i="5"/>
  <c r="HJ30" i="5"/>
  <c r="HK30" i="5"/>
  <c r="HL30" i="5"/>
  <c r="HM30" i="5"/>
  <c r="HQ30" i="5"/>
  <c r="HR30" i="5"/>
  <c r="HS30" i="5"/>
  <c r="HT30" i="5"/>
  <c r="CX28" i="5"/>
  <c r="DB28" i="5" s="1"/>
  <c r="DH28" i="5" s="1"/>
  <c r="CU28" i="5"/>
  <c r="CY28" i="5" s="1"/>
  <c r="EY28" i="5"/>
  <c r="EZ28" i="5"/>
  <c r="EW28" i="5"/>
  <c r="EA28" i="5"/>
  <c r="EX28" i="5"/>
  <c r="FL28" i="5" s="1"/>
  <c r="KA28" i="5"/>
  <c r="HH28" i="5"/>
  <c r="GR28" i="5"/>
  <c r="GP28" i="5"/>
  <c r="HO28" i="5" s="1"/>
  <c r="KB28" i="5"/>
  <c r="HI28" i="5"/>
  <c r="GS28" i="5"/>
  <c r="AU18" i="5"/>
  <c r="AV18" i="5"/>
  <c r="EY18" i="5"/>
  <c r="BC18" i="5"/>
  <c r="BB18" i="5"/>
  <c r="BA18" i="5"/>
  <c r="AZ18" i="5"/>
  <c r="DG18" i="5"/>
  <c r="DF18" i="5"/>
  <c r="DE18" i="5"/>
  <c r="DD18" i="5"/>
  <c r="FG18" i="5"/>
  <c r="FF18" i="5"/>
  <c r="FE18" i="5"/>
  <c r="FD18" i="5"/>
  <c r="HM18" i="5"/>
  <c r="HL18" i="5"/>
  <c r="HK18" i="5"/>
  <c r="HJ18" i="5"/>
  <c r="AS18" i="5"/>
  <c r="DG31" i="5"/>
  <c r="DF31" i="5"/>
  <c r="DE31" i="5"/>
  <c r="DD31" i="5"/>
  <c r="FG31" i="5"/>
  <c r="FF31" i="5"/>
  <c r="FE31" i="5"/>
  <c r="FD31" i="5"/>
  <c r="HK31" i="5"/>
  <c r="HJ31" i="5"/>
  <c r="DH27" i="5"/>
  <c r="EW27" i="5"/>
  <c r="EK27" i="5"/>
  <c r="EX27" i="5"/>
  <c r="FL27" i="5" s="1"/>
  <c r="KA27" i="5"/>
  <c r="HH27" i="5"/>
  <c r="GR27" i="5"/>
  <c r="GP27" i="5"/>
  <c r="HO27" i="5" s="1"/>
  <c r="KB27" i="5"/>
  <c r="HI27" i="5"/>
  <c r="GS27" i="5"/>
  <c r="CW29" i="5"/>
  <c r="DB29" i="5" s="1"/>
  <c r="DH29" i="5" s="1"/>
  <c r="CU29" i="5"/>
  <c r="CY29" i="5" s="1"/>
  <c r="EY29" i="5"/>
  <c r="EZ29" i="5"/>
  <c r="EW29" i="5"/>
  <c r="FK29" i="5" s="1"/>
  <c r="EU29" i="5"/>
  <c r="FB29" i="5" s="1"/>
  <c r="FC29" i="5" s="1"/>
  <c r="EX29" i="5"/>
  <c r="FL29" i="5" s="1"/>
  <c r="KA29" i="5"/>
  <c r="HH29" i="5"/>
  <c r="GR29" i="5"/>
  <c r="GP29" i="5"/>
  <c r="HO29" i="5" s="1"/>
  <c r="KB29" i="5"/>
  <c r="HI29" i="5"/>
  <c r="GS29" i="5"/>
  <c r="JZ29" i="5"/>
  <c r="AU25" i="5"/>
  <c r="AS25" i="5"/>
  <c r="AQ25" i="5"/>
  <c r="AX25" i="5" s="1"/>
  <c r="AY25" i="5" s="1"/>
  <c r="AT25" i="5"/>
  <c r="CZ25" i="5"/>
  <c r="CW25" i="5"/>
  <c r="CU25" i="5"/>
  <c r="CY25" i="5" s="1"/>
  <c r="CX25" i="5"/>
  <c r="EY25" i="5"/>
  <c r="EZ25" i="5"/>
  <c r="EW25" i="5"/>
  <c r="EU25" i="5"/>
  <c r="EX25" i="5"/>
  <c r="FL25" i="5" s="1"/>
  <c r="KA25" i="5"/>
  <c r="KG25" i="5" s="1"/>
  <c r="HH25" i="5"/>
  <c r="GR25" i="5"/>
  <c r="GP25" i="5"/>
  <c r="HO25" i="5" s="1"/>
  <c r="KB25" i="5"/>
  <c r="HI25" i="5"/>
  <c r="GS25" i="5"/>
  <c r="KA26" i="5"/>
  <c r="HH26" i="5"/>
  <c r="GR26" i="5"/>
  <c r="GP26" i="5"/>
  <c r="HO26" i="5" s="1"/>
  <c r="KB26" i="5"/>
  <c r="HI26" i="5"/>
  <c r="GS26" i="5"/>
  <c r="JZ26" i="5"/>
  <c r="AU19" i="5"/>
  <c r="AS19" i="5"/>
  <c r="AQ19" i="5"/>
  <c r="AX19" i="5" s="1"/>
  <c r="AY19" i="5" s="1"/>
  <c r="AT19" i="5"/>
  <c r="CW19" i="5"/>
  <c r="CK19" i="5"/>
  <c r="CZ19" i="5"/>
  <c r="CX19" i="5"/>
  <c r="CU19" i="5"/>
  <c r="CY19" i="5" s="1"/>
  <c r="EY19" i="5"/>
  <c r="EZ19" i="5"/>
  <c r="EX19" i="5"/>
  <c r="FL19" i="5" s="1"/>
  <c r="FK19" i="5"/>
  <c r="FM19" i="5" s="1"/>
  <c r="FB19" i="5"/>
  <c r="FC19" i="5" s="1"/>
  <c r="KA19" i="5"/>
  <c r="HH19" i="5"/>
  <c r="GR19" i="5"/>
  <c r="GP19" i="5"/>
  <c r="HO19" i="5" s="1"/>
  <c r="HP19" i="5" s="1"/>
  <c r="KB19" i="5"/>
  <c r="HI19" i="5"/>
  <c r="GS19" i="5"/>
  <c r="JZ19" i="5"/>
  <c r="JO19" i="5"/>
  <c r="CW20" i="5"/>
  <c r="CU20" i="5"/>
  <c r="EY20" i="5"/>
  <c r="EZ20" i="5"/>
  <c r="EX20" i="5"/>
  <c r="FL20" i="5" s="1"/>
  <c r="FK20" i="5"/>
  <c r="FM20" i="5" s="1"/>
  <c r="FB20" i="5"/>
  <c r="KA20" i="5"/>
  <c r="HH20" i="5"/>
  <c r="GR20" i="5"/>
  <c r="GP20" i="5"/>
  <c r="HO20" i="5" s="1"/>
  <c r="KB20" i="5"/>
  <c r="HI20" i="5"/>
  <c r="GS20" i="5"/>
  <c r="JZ20" i="5"/>
  <c r="GR21" i="5"/>
  <c r="GP21" i="5"/>
  <c r="HO21" i="5" s="1"/>
  <c r="HI21" i="5"/>
  <c r="GS21" i="5"/>
  <c r="JZ21" i="5"/>
  <c r="AV4" i="5"/>
  <c r="HH9" i="5"/>
  <c r="HH12" i="5"/>
  <c r="HH14" i="5"/>
  <c r="HH22" i="5"/>
  <c r="HH30" i="5" s="1"/>
  <c r="GS77" i="5"/>
  <c r="HI77" i="5"/>
  <c r="GR77" i="5"/>
  <c r="HH77" i="5"/>
  <c r="HI5" i="5"/>
  <c r="HH5" i="5"/>
  <c r="HI8" i="5"/>
  <c r="HI7" i="5"/>
  <c r="HH7" i="5"/>
  <c r="HI6" i="5"/>
  <c r="HH6" i="5"/>
  <c r="HH8" i="5"/>
  <c r="HI32" i="5"/>
  <c r="HH32" i="5"/>
  <c r="HI17" i="5"/>
  <c r="HH17" i="5"/>
  <c r="HI16" i="5"/>
  <c r="HH16" i="5"/>
  <c r="HI15" i="5"/>
  <c r="HH15" i="5"/>
  <c r="HI14" i="5"/>
  <c r="HI13" i="5"/>
  <c r="HH13" i="5"/>
  <c r="HI12" i="5"/>
  <c r="HI24" i="5"/>
  <c r="HH24" i="5"/>
  <c r="HI23" i="5"/>
  <c r="HI31" i="5" s="1"/>
  <c r="HH23" i="5"/>
  <c r="HH31" i="5" s="1"/>
  <c r="HI22" i="5"/>
  <c r="HI30" i="5" s="1"/>
  <c r="HI11" i="5"/>
  <c r="HH11" i="5"/>
  <c r="HI10" i="5"/>
  <c r="HI18" i="5" s="1"/>
  <c r="HH10" i="5"/>
  <c r="HH18" i="5" s="1"/>
  <c r="HI9" i="5"/>
  <c r="HH62" i="5"/>
  <c r="HI62" i="5"/>
  <c r="HI76" i="5"/>
  <c r="HH76" i="5"/>
  <c r="HI75" i="5"/>
  <c r="HH75" i="5"/>
  <c r="HI73" i="5"/>
  <c r="HH73" i="5"/>
  <c r="HI72" i="5"/>
  <c r="HH72" i="5"/>
  <c r="HI71" i="5"/>
  <c r="HH71" i="5"/>
  <c r="HI70" i="5"/>
  <c r="HH70" i="5"/>
  <c r="HI69" i="5"/>
  <c r="HH69" i="5"/>
  <c r="HI68" i="5"/>
  <c r="HH68" i="5"/>
  <c r="HI67" i="5"/>
  <c r="HH67" i="5"/>
  <c r="HI66" i="5"/>
  <c r="HH66" i="5"/>
  <c r="HI65" i="5"/>
  <c r="HH65" i="5"/>
  <c r="HI63" i="5"/>
  <c r="HH63" i="5"/>
  <c r="HI74" i="5"/>
  <c r="HH74" i="5"/>
  <c r="HI35" i="5"/>
  <c r="HH35" i="5"/>
  <c r="HI34" i="5"/>
  <c r="HH34" i="5"/>
  <c r="HI33" i="5"/>
  <c r="HH33" i="5"/>
  <c r="HI52" i="5"/>
  <c r="HH52" i="5"/>
  <c r="HI51" i="5"/>
  <c r="HH51" i="5"/>
  <c r="HI50" i="5"/>
  <c r="HH50" i="5"/>
  <c r="HI49" i="5"/>
  <c r="HH49" i="5"/>
  <c r="HI46" i="5"/>
  <c r="HH46" i="5"/>
  <c r="HI45" i="5"/>
  <c r="HH45" i="5"/>
  <c r="HI43" i="5"/>
  <c r="HH43" i="5"/>
  <c r="HI42" i="5"/>
  <c r="HH42" i="5"/>
  <c r="HI41" i="5"/>
  <c r="HH41" i="5"/>
  <c r="HI40" i="5"/>
  <c r="HH40" i="5"/>
  <c r="HI39" i="5"/>
  <c r="HH39" i="5"/>
  <c r="HI38" i="5"/>
  <c r="HH38" i="5"/>
  <c r="HI37" i="5"/>
  <c r="HH37" i="5"/>
  <c r="HI36" i="5"/>
  <c r="HH36" i="5"/>
  <c r="HI61" i="5"/>
  <c r="HH61" i="5"/>
  <c r="HO60" i="5"/>
  <c r="HI60" i="5"/>
  <c r="HH60" i="5"/>
  <c r="HI59" i="5"/>
  <c r="HH59" i="5"/>
  <c r="HI58" i="5"/>
  <c r="HH58" i="5"/>
  <c r="HI57" i="5"/>
  <c r="HH57" i="5"/>
  <c r="HI55" i="5"/>
  <c r="HH55" i="5"/>
  <c r="HI54" i="5"/>
  <c r="HH54" i="5"/>
  <c r="HI53" i="5"/>
  <c r="HH53" i="5"/>
  <c r="GS56" i="5"/>
  <c r="HI56" i="5"/>
  <c r="GR56" i="5"/>
  <c r="HH56" i="5"/>
  <c r="BC64" i="5"/>
  <c r="BB64" i="5"/>
  <c r="BA64" i="5"/>
  <c r="AZ64" i="5"/>
  <c r="HH4" i="5"/>
  <c r="HI4" i="5"/>
  <c r="GU64" i="5"/>
  <c r="GT64" i="5"/>
  <c r="GS79" i="5"/>
  <c r="GR79" i="5"/>
  <c r="GS78" i="5"/>
  <c r="GR78" i="5"/>
  <c r="GP4" i="5"/>
  <c r="HO4" i="5" s="1"/>
  <c r="HP4" i="5" s="1"/>
  <c r="GR4" i="5"/>
  <c r="GS4" i="5"/>
  <c r="GS8" i="5"/>
  <c r="GS7" i="5"/>
  <c r="GR7" i="5"/>
  <c r="GS6" i="5"/>
  <c r="GR6" i="5"/>
  <c r="GS5" i="5"/>
  <c r="GR5" i="5"/>
  <c r="GR8" i="5"/>
  <c r="GS32" i="5"/>
  <c r="GR32" i="5"/>
  <c r="GS17" i="5"/>
  <c r="GR17" i="5"/>
  <c r="GS16" i="5"/>
  <c r="GR16" i="5"/>
  <c r="GS15" i="5"/>
  <c r="GR15" i="5"/>
  <c r="GS14" i="5"/>
  <c r="GR14" i="5"/>
  <c r="GS13" i="5"/>
  <c r="GR13" i="5"/>
  <c r="GS12" i="5"/>
  <c r="GR12" i="5"/>
  <c r="GS24" i="5"/>
  <c r="GR24" i="5"/>
  <c r="GS23" i="5"/>
  <c r="GR23" i="5"/>
  <c r="GS22" i="5"/>
  <c r="GR22" i="5"/>
  <c r="GS11" i="5"/>
  <c r="GR11" i="5"/>
  <c r="GS10" i="5"/>
  <c r="GR10" i="5"/>
  <c r="GS9" i="5"/>
  <c r="GR9" i="5"/>
  <c r="GP62" i="5"/>
  <c r="HO62" i="5" s="1"/>
  <c r="GR62" i="5"/>
  <c r="GS62" i="5"/>
  <c r="GS76" i="5"/>
  <c r="GR76" i="5"/>
  <c r="GS75" i="5"/>
  <c r="GR75" i="5"/>
  <c r="GS73" i="5"/>
  <c r="GR73" i="5"/>
  <c r="GS72" i="5"/>
  <c r="GR72" i="5"/>
  <c r="GS71" i="5"/>
  <c r="GR71" i="5"/>
  <c r="GS70" i="5"/>
  <c r="GR70" i="5"/>
  <c r="GS69" i="5"/>
  <c r="GR69" i="5"/>
  <c r="GS68" i="5"/>
  <c r="GR68" i="5"/>
  <c r="GS67" i="5"/>
  <c r="GR67" i="5"/>
  <c r="GS66" i="5"/>
  <c r="GR66" i="5"/>
  <c r="GS65" i="5"/>
  <c r="GR65" i="5"/>
  <c r="GS63" i="5"/>
  <c r="GR63" i="5"/>
  <c r="GS74" i="5"/>
  <c r="GR74" i="5"/>
  <c r="GS35" i="5"/>
  <c r="GR35" i="5"/>
  <c r="GS34" i="5"/>
  <c r="GR34" i="5"/>
  <c r="GS33" i="5"/>
  <c r="GR33" i="5"/>
  <c r="GS52" i="5"/>
  <c r="GR52" i="5"/>
  <c r="GS51" i="5"/>
  <c r="GR51" i="5"/>
  <c r="GS50" i="5"/>
  <c r="GR50" i="5"/>
  <c r="GS49" i="5"/>
  <c r="GR49" i="5"/>
  <c r="GS48" i="5"/>
  <c r="GR48" i="5"/>
  <c r="GS47" i="5"/>
  <c r="GR47" i="5"/>
  <c r="GS46" i="5"/>
  <c r="GR46" i="5"/>
  <c r="GS45" i="5"/>
  <c r="GR45" i="5"/>
  <c r="GS43" i="5"/>
  <c r="GR43" i="5"/>
  <c r="GS42" i="5"/>
  <c r="GR42" i="5"/>
  <c r="GS41" i="5"/>
  <c r="GR41" i="5"/>
  <c r="GS40" i="5"/>
  <c r="GR40" i="5"/>
  <c r="GS39" i="5"/>
  <c r="GR39" i="5"/>
  <c r="GS38" i="5"/>
  <c r="GR38" i="5"/>
  <c r="GS37" i="5"/>
  <c r="GR37" i="5"/>
  <c r="GS36" i="5"/>
  <c r="GR36" i="5"/>
  <c r="GS61" i="5"/>
  <c r="GR61" i="5"/>
  <c r="GS60" i="5"/>
  <c r="GR60" i="5"/>
  <c r="GS59" i="5"/>
  <c r="GR59" i="5"/>
  <c r="GS58" i="5"/>
  <c r="GR58" i="5"/>
  <c r="GS57" i="5"/>
  <c r="GR57" i="5"/>
  <c r="GS55" i="5"/>
  <c r="GR55" i="5"/>
  <c r="GS54" i="5"/>
  <c r="GR54" i="5"/>
  <c r="GS53" i="5"/>
  <c r="GR53" i="5"/>
  <c r="KL65" i="5"/>
  <c r="KM65" i="5"/>
  <c r="KB61" i="5"/>
  <c r="KA61" i="5"/>
  <c r="KG61" i="5" s="1"/>
  <c r="KB60" i="5"/>
  <c r="KA60" i="5"/>
  <c r="KG60" i="5" s="1"/>
  <c r="KG15" i="5"/>
  <c r="KI15" i="5"/>
  <c r="KJ15" i="5"/>
  <c r="FB48" i="5"/>
  <c r="FK48" i="5"/>
  <c r="FB36" i="5"/>
  <c r="FB79" i="5"/>
  <c r="FC79" i="5" s="1"/>
  <c r="FB78" i="5"/>
  <c r="FK78" i="5"/>
  <c r="FB77" i="5"/>
  <c r="FK77" i="5"/>
  <c r="FB76" i="5"/>
  <c r="FK76" i="5"/>
  <c r="FB75" i="5"/>
  <c r="FB74" i="5"/>
  <c r="FB73" i="5"/>
  <c r="FK73" i="5"/>
  <c r="FB72" i="5"/>
  <c r="FK72" i="5"/>
  <c r="FB71" i="5"/>
  <c r="FK71" i="5"/>
  <c r="FB70" i="5"/>
  <c r="FK70" i="5"/>
  <c r="FB69" i="5"/>
  <c r="FK69" i="5"/>
  <c r="FB68" i="5"/>
  <c r="FK68" i="5"/>
  <c r="FB65" i="5"/>
  <c r="FK65" i="5"/>
  <c r="FB63" i="5"/>
  <c r="FB62" i="5"/>
  <c r="FB51" i="5"/>
  <c r="FB47" i="5"/>
  <c r="FB43" i="5"/>
  <c r="FK43" i="5"/>
  <c r="FB42" i="5"/>
  <c r="FK42" i="5"/>
  <c r="FB41" i="5"/>
  <c r="FK41" i="5"/>
  <c r="FB40" i="5"/>
  <c r="FK40" i="5"/>
  <c r="FB39" i="5"/>
  <c r="FK39" i="5"/>
  <c r="FB38" i="5"/>
  <c r="FK38" i="5"/>
  <c r="FB33" i="5"/>
  <c r="FK33" i="5"/>
  <c r="FB17" i="5"/>
  <c r="FK17" i="5"/>
  <c r="FB16" i="5"/>
  <c r="JZ16" i="5" s="1"/>
  <c r="FK16" i="5"/>
  <c r="FB13" i="5"/>
  <c r="FK13" i="5"/>
  <c r="FB11" i="5"/>
  <c r="FC11" i="5" s="1"/>
  <c r="FK11" i="5"/>
  <c r="FB10" i="5"/>
  <c r="FL78" i="5"/>
  <c r="FL77" i="5"/>
  <c r="FL76" i="5"/>
  <c r="FL75" i="5"/>
  <c r="FL73" i="5"/>
  <c r="FL72" i="5"/>
  <c r="FL71" i="5"/>
  <c r="FL70" i="5"/>
  <c r="FL69" i="5"/>
  <c r="FL68" i="5"/>
  <c r="FL65" i="5"/>
  <c r="FL43" i="5"/>
  <c r="FL42" i="5"/>
  <c r="FL41" i="5"/>
  <c r="FL40" i="5"/>
  <c r="FL38" i="5"/>
  <c r="FL33" i="5"/>
  <c r="FL17" i="5"/>
  <c r="FL16" i="5"/>
  <c r="FL13" i="5"/>
  <c r="FK34" i="5"/>
  <c r="FL34" i="5"/>
  <c r="FL35" i="5"/>
  <c r="FK35" i="5"/>
  <c r="FM35" i="5" s="1"/>
  <c r="FI79" i="5"/>
  <c r="FH79" i="5"/>
  <c r="FI78" i="5"/>
  <c r="FH78" i="5"/>
  <c r="FI76" i="5"/>
  <c r="FH76" i="5"/>
  <c r="FI75" i="5"/>
  <c r="FH75" i="5"/>
  <c r="FI74" i="5"/>
  <c r="FH74" i="5"/>
  <c r="FI73" i="5"/>
  <c r="FH73" i="5"/>
  <c r="FI72" i="5"/>
  <c r="FH72" i="5"/>
  <c r="FI71" i="5"/>
  <c r="FH71" i="5"/>
  <c r="FI70" i="5"/>
  <c r="FH70" i="5"/>
  <c r="FI69" i="5"/>
  <c r="FH69" i="5"/>
  <c r="FI68" i="5"/>
  <c r="FH68" i="5"/>
  <c r="FI67" i="5"/>
  <c r="FH67" i="5"/>
  <c r="FJ67" i="5" s="1"/>
  <c r="FI66" i="5"/>
  <c r="FH66" i="5"/>
  <c r="FI65" i="5"/>
  <c r="FH65" i="5"/>
  <c r="FI63" i="5"/>
  <c r="FH63" i="5"/>
  <c r="FI62" i="5"/>
  <c r="FH62" i="5"/>
  <c r="FI61" i="5"/>
  <c r="FH61" i="5"/>
  <c r="FI60" i="5"/>
  <c r="FH60" i="5"/>
  <c r="FI59" i="5"/>
  <c r="FH59" i="5"/>
  <c r="FI58" i="5"/>
  <c r="FH58" i="5"/>
  <c r="FI57" i="5"/>
  <c r="FH57" i="5"/>
  <c r="FJ57" i="5" s="1"/>
  <c r="FI55" i="5"/>
  <c r="FH55" i="5"/>
  <c r="FI54" i="5"/>
  <c r="FH54" i="5"/>
  <c r="FJ54" i="5" s="1"/>
  <c r="FI52" i="5"/>
  <c r="FH52" i="5"/>
  <c r="FJ52" i="5" s="1"/>
  <c r="FI51" i="5"/>
  <c r="FH51" i="5"/>
  <c r="FI50" i="5"/>
  <c r="FH50" i="5"/>
  <c r="FI49" i="5"/>
  <c r="FH49" i="5"/>
  <c r="FI48" i="5"/>
  <c r="FH48" i="5"/>
  <c r="FI47" i="5"/>
  <c r="FH47" i="5"/>
  <c r="FI46" i="5"/>
  <c r="FH46" i="5"/>
  <c r="FJ46" i="5" s="1"/>
  <c r="FI45" i="5"/>
  <c r="FH45" i="5"/>
  <c r="FI43" i="5"/>
  <c r="FH43" i="5"/>
  <c r="FI42" i="5"/>
  <c r="FH42" i="5"/>
  <c r="FI41" i="5"/>
  <c r="FH41" i="5"/>
  <c r="FI40" i="5"/>
  <c r="FH40" i="5"/>
  <c r="FI39" i="5"/>
  <c r="FH39" i="5"/>
  <c r="FI38" i="5"/>
  <c r="FH38" i="5"/>
  <c r="FI37" i="5"/>
  <c r="FI36" i="5"/>
  <c r="FH36" i="5"/>
  <c r="FI35" i="5"/>
  <c r="FH35" i="5"/>
  <c r="FI34" i="5"/>
  <c r="FH34" i="5"/>
  <c r="FI32" i="5"/>
  <c r="FH32" i="5"/>
  <c r="FJ32" i="5" s="1"/>
  <c r="FI17" i="5"/>
  <c r="FH17" i="5"/>
  <c r="FI16" i="5"/>
  <c r="FH16" i="5"/>
  <c r="FI15" i="5"/>
  <c r="FH15" i="5"/>
  <c r="FJ15" i="5" s="1"/>
  <c r="FI14" i="5"/>
  <c r="FH14" i="5"/>
  <c r="FI13" i="5"/>
  <c r="FH13" i="5"/>
  <c r="FI12" i="5"/>
  <c r="FH12" i="5"/>
  <c r="FI24" i="5"/>
  <c r="FH24" i="5"/>
  <c r="FI23" i="5"/>
  <c r="FH23" i="5"/>
  <c r="FI22" i="5"/>
  <c r="FH22" i="5"/>
  <c r="FI11" i="5"/>
  <c r="FH11" i="5"/>
  <c r="FI10" i="5"/>
  <c r="FH10" i="5"/>
  <c r="FI9" i="5"/>
  <c r="FH9" i="5"/>
  <c r="FI8" i="5"/>
  <c r="FH8" i="5"/>
  <c r="FI7" i="5"/>
  <c r="FH7" i="5"/>
  <c r="FJ7" i="5" s="1"/>
  <c r="FI6" i="5"/>
  <c r="FH6" i="5"/>
  <c r="FI5" i="5"/>
  <c r="FH5" i="5"/>
  <c r="EW60" i="5"/>
  <c r="FK60" i="5" s="1"/>
  <c r="DQ60" i="5"/>
  <c r="EX60" i="5"/>
  <c r="FL60" i="5" s="1"/>
  <c r="AA25" i="8"/>
  <c r="EA78" i="5"/>
  <c r="FJ78" i="5"/>
  <c r="EA76" i="5"/>
  <c r="FJ76" i="5"/>
  <c r="EA75" i="5"/>
  <c r="FJ75" i="5"/>
  <c r="EA73" i="5"/>
  <c r="FJ73" i="5"/>
  <c r="EA72" i="5"/>
  <c r="FJ72" i="5"/>
  <c r="EA71" i="5"/>
  <c r="FJ71" i="5"/>
  <c r="EA70" i="5"/>
  <c r="FJ70" i="5"/>
  <c r="EA69" i="5"/>
  <c r="FJ69" i="5"/>
  <c r="EA68" i="5"/>
  <c r="FJ68" i="5"/>
  <c r="EA63" i="5"/>
  <c r="EA51" i="5"/>
  <c r="EA40" i="5"/>
  <c r="FJ40" i="5"/>
  <c r="EA39" i="5"/>
  <c r="EA38" i="5"/>
  <c r="FJ38" i="5"/>
  <c r="EA33" i="5"/>
  <c r="FJ33" i="5"/>
  <c r="EA17" i="5"/>
  <c r="FJ17" i="5"/>
  <c r="EA13" i="5"/>
  <c r="FJ13" i="5"/>
  <c r="EA11" i="5"/>
  <c r="EA10" i="5"/>
  <c r="EK43" i="5"/>
  <c r="EK65" i="5"/>
  <c r="EK48" i="5"/>
  <c r="EK45" i="5"/>
  <c r="FJ45" i="5"/>
  <c r="EU5" i="5"/>
  <c r="EU35" i="5"/>
  <c r="EU34" i="5"/>
  <c r="EU42" i="5"/>
  <c r="EU62" i="5"/>
  <c r="EU49" i="5"/>
  <c r="EU66" i="5"/>
  <c r="FJ66" i="5"/>
  <c r="EU41" i="5"/>
  <c r="EU36" i="5"/>
  <c r="EU37" i="5"/>
  <c r="EU47" i="5"/>
  <c r="EU50" i="5"/>
  <c r="EU58" i="5"/>
  <c r="FJ58" i="5"/>
  <c r="EU74" i="5"/>
  <c r="CX24" i="5"/>
  <c r="FL24" i="5" s="1"/>
  <c r="CW24" i="5"/>
  <c r="FK24" i="5" s="1"/>
  <c r="FM24" i="5" s="1"/>
  <c r="FJ24" i="5"/>
  <c r="FJ16" i="5"/>
  <c r="HO9" i="5"/>
  <c r="HO14" i="5"/>
  <c r="HP14" i="5" s="1"/>
  <c r="JN14" i="5"/>
  <c r="JO14" i="5" s="1"/>
  <c r="HO22" i="5"/>
  <c r="JN22" i="5"/>
  <c r="JO22" i="5" s="1"/>
  <c r="JZ79" i="5"/>
  <c r="JZ78" i="5"/>
  <c r="JZ77" i="5"/>
  <c r="JZ76" i="5"/>
  <c r="JZ75" i="5"/>
  <c r="JZ74" i="5"/>
  <c r="JZ73" i="5"/>
  <c r="JZ72" i="5"/>
  <c r="JZ71" i="5"/>
  <c r="JZ70" i="5"/>
  <c r="JZ69" i="5"/>
  <c r="JZ68" i="5"/>
  <c r="JZ67" i="5"/>
  <c r="JZ66" i="5"/>
  <c r="JZ65" i="5"/>
  <c r="JZ63" i="5"/>
  <c r="JZ62" i="5"/>
  <c r="JZ58" i="5"/>
  <c r="JZ52" i="5"/>
  <c r="JZ51" i="5"/>
  <c r="JZ48" i="5"/>
  <c r="JZ47" i="5"/>
  <c r="JZ46" i="5"/>
  <c r="JZ45" i="5"/>
  <c r="JZ43" i="5"/>
  <c r="JZ42" i="5"/>
  <c r="JZ41" i="5"/>
  <c r="JZ40" i="5"/>
  <c r="JZ39" i="5"/>
  <c r="JZ38" i="5"/>
  <c r="JZ36" i="5"/>
  <c r="JZ33" i="5"/>
  <c r="JZ32" i="5"/>
  <c r="JZ17" i="5"/>
  <c r="JZ13" i="5"/>
  <c r="JZ24" i="5"/>
  <c r="JZ11" i="5"/>
  <c r="JZ10" i="5"/>
  <c r="DH11" i="5"/>
  <c r="DH53" i="5"/>
  <c r="DH54" i="5"/>
  <c r="DH57" i="5"/>
  <c r="DB24" i="5"/>
  <c r="DH24" i="5" s="1"/>
  <c r="KB24" i="5"/>
  <c r="KA24" i="5"/>
  <c r="KG24" i="5" s="1"/>
  <c r="KJ24" i="5" s="1"/>
  <c r="CZ23" i="5"/>
  <c r="CZ31" i="5" s="1"/>
  <c r="CY23" i="5"/>
  <c r="CY31" i="5" s="1"/>
  <c r="CX23" i="5"/>
  <c r="CX31" i="5" s="1"/>
  <c r="CW23" i="5"/>
  <c r="EU4" i="5"/>
  <c r="KA4" i="5"/>
  <c r="KB4" i="5"/>
  <c r="HQ46" i="5"/>
  <c r="HR46" i="5"/>
  <c r="HS46" i="5"/>
  <c r="HT46" i="5"/>
  <c r="HQ67" i="5"/>
  <c r="HR67" i="5"/>
  <c r="HS67" i="5"/>
  <c r="HT67" i="5"/>
  <c r="DG67" i="5"/>
  <c r="DF67" i="5"/>
  <c r="DE67" i="5"/>
  <c r="DD67" i="5"/>
  <c r="CW55" i="5"/>
  <c r="DB55" i="5" s="1"/>
  <c r="DH55" i="5" s="1"/>
  <c r="BL55" i="5"/>
  <c r="CY55" i="5" s="1"/>
  <c r="KA55" i="5"/>
  <c r="EW55" i="5"/>
  <c r="FK55" i="5" s="1"/>
  <c r="EA55" i="5"/>
  <c r="KB55" i="5"/>
  <c r="EX55" i="5"/>
  <c r="FL55" i="5" s="1"/>
  <c r="BC67" i="5"/>
  <c r="BB67" i="5"/>
  <c r="BA67" i="5"/>
  <c r="AZ67" i="5"/>
  <c r="BC61" i="5"/>
  <c r="BB61" i="5"/>
  <c r="BA61" i="5"/>
  <c r="AZ61" i="5"/>
  <c r="CY6" i="5"/>
  <c r="CZ6" i="5"/>
  <c r="CZ47" i="5"/>
  <c r="CZ39" i="5"/>
  <c r="CZ62" i="5"/>
  <c r="CZ74" i="5"/>
  <c r="CX4" i="5"/>
  <c r="CZ79" i="5"/>
  <c r="CZ8" i="5"/>
  <c r="CZ10" i="5"/>
  <c r="CZ63" i="5"/>
  <c r="CZ75" i="5"/>
  <c r="CZ48" i="5"/>
  <c r="CX48" i="5"/>
  <c r="FL48" i="5" s="1"/>
  <c r="CZ51" i="5"/>
  <c r="CZ37" i="5"/>
  <c r="CZ35" i="5"/>
  <c r="AU59" i="5"/>
  <c r="AS59" i="5"/>
  <c r="AQ59" i="5"/>
  <c r="AX59" i="5" s="1"/>
  <c r="DH59" i="5" s="1"/>
  <c r="AT59" i="5"/>
  <c r="EY59" i="5"/>
  <c r="EZ59" i="5"/>
  <c r="KA59" i="5"/>
  <c r="EW59" i="5"/>
  <c r="FK59" i="5" s="1"/>
  <c r="EU59" i="5"/>
  <c r="KB59" i="5"/>
  <c r="EX59" i="5"/>
  <c r="FL59" i="5" s="1"/>
  <c r="EY23" i="5"/>
  <c r="EY31" i="5" s="1"/>
  <c r="EZ23" i="5"/>
  <c r="EZ31" i="5" s="1"/>
  <c r="KA23" i="5"/>
  <c r="EW23" i="5"/>
  <c r="EU23" i="5"/>
  <c r="KB23" i="5"/>
  <c r="EX23" i="5"/>
  <c r="AU22" i="5"/>
  <c r="AU30" i="5" s="1"/>
  <c r="AS22" i="5"/>
  <c r="AS30" i="5" s="1"/>
  <c r="AQ22" i="5"/>
  <c r="AX22" i="5" s="1"/>
  <c r="AT22" i="5"/>
  <c r="AT30" i="5" s="1"/>
  <c r="CZ22" i="5"/>
  <c r="CZ30" i="5" s="1"/>
  <c r="CW22" i="5"/>
  <c r="CW30" i="5" s="1"/>
  <c r="CU22" i="5"/>
  <c r="CX22" i="5"/>
  <c r="CX30" i="5" s="1"/>
  <c r="EY22" i="5"/>
  <c r="EY30" i="5" s="1"/>
  <c r="EZ22" i="5"/>
  <c r="EZ30" i="5" s="1"/>
  <c r="EW22" i="5"/>
  <c r="EW30" i="5" s="1"/>
  <c r="EU22" i="5"/>
  <c r="EX22" i="5"/>
  <c r="EX30" i="5" s="1"/>
  <c r="KA22" i="5"/>
  <c r="KK23" i="5" s="1"/>
  <c r="JX22" i="5"/>
  <c r="KB22" i="5"/>
  <c r="KL23" i="5" s="1"/>
  <c r="EA6" i="5"/>
  <c r="EW6" i="5"/>
  <c r="KA6" i="5"/>
  <c r="EX6" i="5"/>
  <c r="KB6" i="5"/>
  <c r="EK7" i="5"/>
  <c r="EW7" i="5"/>
  <c r="FK7" i="5" s="1"/>
  <c r="KA7" i="5"/>
  <c r="EX7" i="5"/>
  <c r="FL7" i="5" s="1"/>
  <c r="KB7" i="5"/>
  <c r="EY8" i="5"/>
  <c r="EZ8" i="5"/>
  <c r="EU8" i="5"/>
  <c r="EW8" i="5"/>
  <c r="KA8" i="5"/>
  <c r="EX8" i="5"/>
  <c r="KB8" i="5"/>
  <c r="EK50" i="5"/>
  <c r="EW50" i="5"/>
  <c r="FK50" i="5" s="1"/>
  <c r="KA50" i="5"/>
  <c r="EX50" i="5"/>
  <c r="FL50" i="5" s="1"/>
  <c r="KB50" i="5"/>
  <c r="EX49" i="5"/>
  <c r="FL49" i="5" s="1"/>
  <c r="KB49" i="5"/>
  <c r="KG49" i="5" s="1"/>
  <c r="D34" i="6" s="1"/>
  <c r="E34" i="6" s="1"/>
  <c r="AY57" i="5"/>
  <c r="KA57" i="5"/>
  <c r="EW57" i="5"/>
  <c r="FK57" i="5" s="1"/>
  <c r="EA57" i="5"/>
  <c r="KB57" i="5"/>
  <c r="EX57" i="5"/>
  <c r="FL57" i="5" s="1"/>
  <c r="KA54" i="5"/>
  <c r="EW54" i="5"/>
  <c r="FK54" i="5" s="1"/>
  <c r="EA54" i="5"/>
  <c r="KB54" i="5"/>
  <c r="EX54" i="5"/>
  <c r="FL54" i="5" s="1"/>
  <c r="KA53" i="5"/>
  <c r="EW53" i="5"/>
  <c r="FK53" i="5" s="1"/>
  <c r="EA53" i="5"/>
  <c r="KB53" i="5"/>
  <c r="EX53" i="5"/>
  <c r="FL53" i="5" s="1"/>
  <c r="EW49" i="5"/>
  <c r="EA49" i="5"/>
  <c r="KG38" i="5"/>
  <c r="DB35" i="5"/>
  <c r="DH35" i="5" s="1"/>
  <c r="CU35" i="5"/>
  <c r="EY35" i="5"/>
  <c r="EZ35" i="5"/>
  <c r="EA35" i="5"/>
  <c r="KJ78" i="5"/>
  <c r="EZ9" i="5"/>
  <c r="EW9" i="5"/>
  <c r="EX9" i="5"/>
  <c r="EZ12" i="5"/>
  <c r="EU12" i="5"/>
  <c r="EW12" i="5"/>
  <c r="EX12" i="5"/>
  <c r="EZ14" i="5"/>
  <c r="EU14" i="5"/>
  <c r="EW14" i="5"/>
  <c r="EX14" i="5"/>
  <c r="EY34" i="5"/>
  <c r="EZ34" i="5"/>
  <c r="EW37" i="5"/>
  <c r="KA5" i="5"/>
  <c r="EW5" i="5"/>
  <c r="KB11" i="5"/>
  <c r="AT11" i="5"/>
  <c r="AT18" i="5" s="1"/>
  <c r="AU63" i="5"/>
  <c r="AS63" i="5"/>
  <c r="AT63" i="5"/>
  <c r="AU74" i="5"/>
  <c r="AS74" i="5"/>
  <c r="FK74" i="5" s="1"/>
  <c r="AT74" i="5"/>
  <c r="FL74" i="5" s="1"/>
  <c r="AU34" i="5"/>
  <c r="AU36" i="5"/>
  <c r="AQ34" i="5"/>
  <c r="AQ36" i="5"/>
  <c r="AS36" i="5"/>
  <c r="AT36" i="5"/>
  <c r="KB39" i="5"/>
  <c r="AT39" i="5"/>
  <c r="FL39" i="5" s="1"/>
  <c r="KA11" i="5"/>
  <c r="KG11" i="5" s="1"/>
  <c r="CX6" i="5"/>
  <c r="CW6" i="5"/>
  <c r="KG6" i="5"/>
  <c r="CZ9" i="5"/>
  <c r="CW9" i="5"/>
  <c r="CX9" i="5"/>
  <c r="CZ12" i="5"/>
  <c r="CU12" i="5"/>
  <c r="CW12" i="5"/>
  <c r="CX12" i="5"/>
  <c r="CZ14" i="5"/>
  <c r="CW14" i="5"/>
  <c r="CX14" i="5"/>
  <c r="KA74" i="5"/>
  <c r="KB74" i="5"/>
  <c r="BV79" i="5"/>
  <c r="CW79" i="5"/>
  <c r="FK79" i="5" s="1"/>
  <c r="KA79" i="5"/>
  <c r="CX79" i="5"/>
  <c r="FL79" i="5" s="1"/>
  <c r="KB79" i="5"/>
  <c r="CW8" i="5"/>
  <c r="CX8" i="5"/>
  <c r="CW62" i="5"/>
  <c r="FK62" i="5" s="1"/>
  <c r="KA62" i="5"/>
  <c r="CX62" i="5"/>
  <c r="FL62" i="5" s="1"/>
  <c r="KB62" i="5"/>
  <c r="CW47" i="5"/>
  <c r="FK47" i="5" s="1"/>
  <c r="KA47" i="5"/>
  <c r="JX9" i="5"/>
  <c r="KA9" i="5"/>
  <c r="KB9" i="5"/>
  <c r="JX12" i="5"/>
  <c r="KA12" i="5"/>
  <c r="KB12" i="5"/>
  <c r="JX14" i="5"/>
  <c r="KA14" i="5"/>
  <c r="KB14" i="5"/>
  <c r="BL10" i="5"/>
  <c r="CW10" i="5"/>
  <c r="CW18" i="5" s="1"/>
  <c r="KA10" i="5"/>
  <c r="CX10" i="5"/>
  <c r="KB10" i="5"/>
  <c r="AG39" i="5"/>
  <c r="AX39" i="5" s="1"/>
  <c r="KA39" i="5"/>
  <c r="KG39" i="5" s="1"/>
  <c r="BL63" i="5"/>
  <c r="CW63" i="5"/>
  <c r="FK63" i="5" s="1"/>
  <c r="KA63" i="5"/>
  <c r="CX63" i="5"/>
  <c r="FL63" i="5" s="1"/>
  <c r="KB63" i="5"/>
  <c r="CX47" i="5"/>
  <c r="FL47" i="5" s="1"/>
  <c r="KB47" i="5"/>
  <c r="CW75" i="5"/>
  <c r="FK75" i="5" s="1"/>
  <c r="FM75" i="5" s="1"/>
  <c r="KA75" i="5"/>
  <c r="KG75" i="5" s="1"/>
  <c r="CZ34" i="5"/>
  <c r="CU34" i="5"/>
  <c r="CZ36" i="5"/>
  <c r="CU36" i="5"/>
  <c r="CW36" i="5"/>
  <c r="FK36" i="5" s="1"/>
  <c r="CX36" i="5"/>
  <c r="CU51" i="5"/>
  <c r="CW51" i="5"/>
  <c r="FK51" i="5" s="1"/>
  <c r="KA51" i="5"/>
  <c r="CX51" i="5"/>
  <c r="FL51" i="5" s="1"/>
  <c r="KB51" i="5"/>
  <c r="DQ48" i="5"/>
  <c r="KA48" i="5"/>
  <c r="KB48" i="5"/>
  <c r="CX5" i="5"/>
  <c r="FL5" i="5" s="1"/>
  <c r="KB5" i="5"/>
  <c r="KK36" i="5"/>
  <c r="KK37" i="5"/>
  <c r="BV34" i="5"/>
  <c r="CC37" i="5"/>
  <c r="KL51" i="5"/>
  <c r="DQ36" i="5"/>
  <c r="DQ37" i="5"/>
  <c r="EW4" i="5"/>
  <c r="DQ4" i="5"/>
  <c r="CU5" i="5"/>
  <c r="CU48" i="5"/>
  <c r="AU4" i="5"/>
  <c r="AQ4" i="5"/>
  <c r="AS4" i="5"/>
  <c r="AT4" i="5"/>
  <c r="CK4" i="5"/>
  <c r="CW4" i="5"/>
  <c r="KL36" i="5"/>
  <c r="KJ73" i="5"/>
  <c r="KJ72" i="5"/>
  <c r="KJ71" i="5"/>
  <c r="KJ65" i="5"/>
  <c r="KJ43" i="5"/>
  <c r="KJ42" i="5"/>
  <c r="KJ41" i="5"/>
  <c r="KJ38" i="5"/>
  <c r="KJ39" i="5"/>
  <c r="KJ40" i="5"/>
  <c r="KJ70" i="5"/>
  <c r="BL36" i="5"/>
  <c r="DB36" i="5"/>
  <c r="W34" i="5"/>
  <c r="W36" i="5"/>
  <c r="CK34" i="5"/>
  <c r="CK62" i="5"/>
  <c r="DB62" i="5"/>
  <c r="CK47" i="5"/>
  <c r="DB47" i="5"/>
  <c r="DH47" i="5" s="1"/>
  <c r="JO6" i="5"/>
  <c r="JO10" i="5"/>
  <c r="KJ13" i="5"/>
  <c r="KJ16" i="5"/>
  <c r="KJ17" i="5"/>
  <c r="AY12" i="5"/>
  <c r="AY9" i="5"/>
  <c r="DB6" i="5"/>
  <c r="DH6" i="5" s="1"/>
  <c r="AY6" i="5"/>
  <c r="CU9" i="5"/>
  <c r="CU14" i="5"/>
  <c r="BL4" i="5"/>
  <c r="DB4" i="5"/>
  <c r="AG10" i="5"/>
  <c r="AX10" i="5" s="1"/>
  <c r="AX18" i="5" s="1"/>
  <c r="AG51" i="5"/>
  <c r="AX51" i="5" s="1"/>
  <c r="JN9" i="5"/>
  <c r="JI9" i="5"/>
  <c r="JO9" i="5" s="1"/>
  <c r="JN12" i="5"/>
  <c r="JO12" i="5" s="1"/>
  <c r="JL12" i="5"/>
  <c r="HP9" i="5"/>
  <c r="FV12" i="5"/>
  <c r="HO12" i="5" s="1"/>
  <c r="HO18" i="5" s="1"/>
  <c r="DQ9" i="5"/>
  <c r="DQ12" i="5"/>
  <c r="CK8" i="5"/>
  <c r="AG4" i="5"/>
  <c r="AX4" i="5"/>
  <c r="AY4" i="5" s="1"/>
  <c r="AG63" i="5"/>
  <c r="AX63" i="5" s="1"/>
  <c r="AQ62" i="5"/>
  <c r="AX62" i="5" s="1"/>
  <c r="AY62" i="5" s="1"/>
  <c r="AQ74" i="5"/>
  <c r="AX74" i="5" s="1"/>
  <c r="DH74" i="5" s="1"/>
  <c r="DB12" i="5"/>
  <c r="DH12" i="5" s="1"/>
  <c r="DC12" i="5"/>
  <c r="AG22" i="1"/>
  <c r="E18" i="2" s="1"/>
  <c r="Q22" i="1"/>
  <c r="E33" i="2"/>
  <c r="AH37" i="1"/>
  <c r="AE36" i="1"/>
  <c r="AF36" i="1"/>
  <c r="AE10" i="1"/>
  <c r="AF10" i="1"/>
  <c r="S27" i="1"/>
  <c r="AG27" i="1"/>
  <c r="S35" i="1"/>
  <c r="AG35" i="1"/>
  <c r="H17" i="2"/>
  <c r="I17" i="2"/>
  <c r="Q21" i="1"/>
  <c r="AG21" i="1" s="1"/>
  <c r="S42" i="1"/>
  <c r="AG42" i="1"/>
  <c r="S39" i="1"/>
  <c r="S40" i="1"/>
  <c r="S41" i="1"/>
  <c r="E29" i="2"/>
  <c r="S33" i="1"/>
  <c r="R42" i="1"/>
  <c r="E35" i="2"/>
  <c r="AH39" i="1"/>
  <c r="AH40" i="1"/>
  <c r="AH41" i="1"/>
  <c r="E28" i="2"/>
  <c r="AH29" i="1"/>
  <c r="R27" i="1"/>
  <c r="R35" i="1"/>
  <c r="H37" i="2"/>
  <c r="I37" i="2"/>
  <c r="H36" i="2"/>
  <c r="I36" i="2"/>
  <c r="H35" i="2"/>
  <c r="I35" i="2"/>
  <c r="N13" i="1"/>
  <c r="M13" i="1"/>
  <c r="O13" i="1" s="1"/>
  <c r="L13" i="1"/>
  <c r="I13" i="1"/>
  <c r="Q36" i="1"/>
  <c r="I36" i="1"/>
  <c r="KK62" i="5" l="1"/>
  <c r="AY22" i="5"/>
  <c r="AY30" i="5" s="1"/>
  <c r="AX30" i="5"/>
  <c r="KL35" i="5"/>
  <c r="KK64" i="5"/>
  <c r="HP22" i="5"/>
  <c r="HP30" i="5" s="1"/>
  <c r="HO30" i="5"/>
  <c r="KG28" i="5"/>
  <c r="KJ28" i="5" s="1"/>
  <c r="FK28" i="5"/>
  <c r="FM28" i="5" s="1"/>
  <c r="FB28" i="5"/>
  <c r="JZ28" i="5" s="1"/>
  <c r="CX18" i="5"/>
  <c r="EX18" i="5"/>
  <c r="EW18" i="5"/>
  <c r="EZ18" i="5"/>
  <c r="CZ18" i="5"/>
  <c r="FL22" i="5"/>
  <c r="FK22" i="5"/>
  <c r="FL23" i="5"/>
  <c r="EX31" i="5"/>
  <c r="FK23" i="5"/>
  <c r="EW31" i="5"/>
  <c r="DB23" i="5"/>
  <c r="DH23" i="5" s="1"/>
  <c r="CW31" i="5"/>
  <c r="KG29" i="5"/>
  <c r="FM29" i="5"/>
  <c r="KG27" i="5"/>
  <c r="FK27" i="5"/>
  <c r="FM27" i="5" s="1"/>
  <c r="FB27" i="5"/>
  <c r="JZ27" i="5" s="1"/>
  <c r="KG26" i="5"/>
  <c r="KJ25" i="5"/>
  <c r="KI25" i="5"/>
  <c r="FK25" i="5"/>
  <c r="FM25" i="5" s="1"/>
  <c r="FB25" i="5"/>
  <c r="DB25" i="5"/>
  <c r="DH25" i="5" s="1"/>
  <c r="FC10" i="5"/>
  <c r="FC18" i="5" s="1"/>
  <c r="FL10" i="5"/>
  <c r="FK10" i="5"/>
  <c r="FL11" i="5"/>
  <c r="KG20" i="5"/>
  <c r="DB20" i="5"/>
  <c r="DH20" i="5" s="1"/>
  <c r="CY20" i="5"/>
  <c r="HH21" i="5"/>
  <c r="KK20" i="5"/>
  <c r="KG19" i="5"/>
  <c r="DB19" i="5"/>
  <c r="GS64" i="5"/>
  <c r="GR64" i="5"/>
  <c r="FD37" i="5"/>
  <c r="FH37" i="5" s="1"/>
  <c r="GT37" i="5"/>
  <c r="KI60" i="5"/>
  <c r="KJ60" i="5"/>
  <c r="KI61" i="5"/>
  <c r="KJ61" i="5"/>
  <c r="KK75" i="5"/>
  <c r="FB4" i="5"/>
  <c r="JZ4" i="5" s="1"/>
  <c r="FK4" i="5"/>
  <c r="FM51" i="5"/>
  <c r="FL36" i="5"/>
  <c r="FM36" i="5"/>
  <c r="FM63" i="5"/>
  <c r="FM10" i="5"/>
  <c r="FM47" i="5"/>
  <c r="FN65" i="5"/>
  <c r="HJ65" i="5" s="1"/>
  <c r="FM62" i="5"/>
  <c r="FM79" i="5"/>
  <c r="FM74" i="5"/>
  <c r="FB5" i="5"/>
  <c r="JZ5" i="5" s="1"/>
  <c r="FK5" i="5"/>
  <c r="FM5" i="5" s="1"/>
  <c r="FB37" i="5"/>
  <c r="JZ37" i="5" s="1"/>
  <c r="FK37" i="5"/>
  <c r="FM37" i="5" s="1"/>
  <c r="FL14" i="5"/>
  <c r="FK14" i="5"/>
  <c r="FM14" i="5" s="1"/>
  <c r="FL12" i="5"/>
  <c r="FK12" i="5"/>
  <c r="FM12" i="5" s="1"/>
  <c r="FL9" i="5"/>
  <c r="FK9" i="5"/>
  <c r="FM9" i="5" s="1"/>
  <c r="FB49" i="5"/>
  <c r="JZ49" i="5" s="1"/>
  <c r="FK49" i="5"/>
  <c r="FM49" i="5" s="1"/>
  <c r="FM53" i="5"/>
  <c r="FM54" i="5"/>
  <c r="FM57" i="5"/>
  <c r="FM50" i="5"/>
  <c r="FL8" i="5"/>
  <c r="FK8" i="5"/>
  <c r="FM8" i="5" s="1"/>
  <c r="FM7" i="5"/>
  <c r="FL6" i="5"/>
  <c r="FK6" i="5"/>
  <c r="FM6" i="5" s="1"/>
  <c r="FM22" i="5"/>
  <c r="FM23" i="5"/>
  <c r="FM59" i="5"/>
  <c r="FL4" i="5"/>
  <c r="FM55" i="5"/>
  <c r="FM60" i="5"/>
  <c r="FM34" i="5"/>
  <c r="FM11" i="5"/>
  <c r="FM13" i="5"/>
  <c r="FM16" i="5"/>
  <c r="FM17" i="5"/>
  <c r="FM33" i="5"/>
  <c r="FM38" i="5"/>
  <c r="FM39" i="5"/>
  <c r="FM40" i="5"/>
  <c r="FM41" i="5"/>
  <c r="FM42" i="5"/>
  <c r="FM43" i="5"/>
  <c r="FM65" i="5"/>
  <c r="FM68" i="5"/>
  <c r="FM69" i="5"/>
  <c r="FM70" i="5"/>
  <c r="FM71" i="5"/>
  <c r="FM72" i="5"/>
  <c r="FM73" i="5"/>
  <c r="FM76" i="5"/>
  <c r="FM77" i="5"/>
  <c r="FM78" i="5"/>
  <c r="FM48" i="5"/>
  <c r="FJ61" i="5"/>
  <c r="FJ60" i="5"/>
  <c r="FB60" i="5"/>
  <c r="JZ60" i="5" s="1"/>
  <c r="FJ55" i="5"/>
  <c r="FJ59" i="5"/>
  <c r="FJ23" i="5"/>
  <c r="FJ22" i="5"/>
  <c r="FJ74" i="5"/>
  <c r="FJ50" i="5"/>
  <c r="FJ47" i="5"/>
  <c r="FJ37" i="5"/>
  <c r="FJ36" i="5"/>
  <c r="FJ41" i="5"/>
  <c r="FJ49" i="5"/>
  <c r="FJ62" i="5"/>
  <c r="FJ42" i="5"/>
  <c r="FJ79" i="5"/>
  <c r="FJ34" i="5"/>
  <c r="FJ35" i="5"/>
  <c r="FJ5" i="5"/>
  <c r="FJ4" i="5"/>
  <c r="FJ8" i="5"/>
  <c r="FJ48" i="5"/>
  <c r="FJ65" i="5"/>
  <c r="FJ43" i="5"/>
  <c r="FJ6" i="5"/>
  <c r="FJ10" i="5"/>
  <c r="FJ11" i="5"/>
  <c r="FJ39" i="5"/>
  <c r="FJ51" i="5"/>
  <c r="FJ63" i="5"/>
  <c r="FJ14" i="5"/>
  <c r="FJ12" i="5"/>
  <c r="JZ9" i="5"/>
  <c r="DH4" i="5"/>
  <c r="DH62" i="5"/>
  <c r="AY39" i="5"/>
  <c r="DH39" i="5"/>
  <c r="KK6" i="5"/>
  <c r="KG4" i="5"/>
  <c r="FB55" i="5"/>
  <c r="JZ55" i="5" s="1"/>
  <c r="KG55" i="5"/>
  <c r="D27" i="6" s="1"/>
  <c r="DD37" i="5"/>
  <c r="CY8" i="5"/>
  <c r="CY14" i="5"/>
  <c r="CY9" i="5"/>
  <c r="CY47" i="5"/>
  <c r="CY48" i="5"/>
  <c r="DB48" i="5" s="1"/>
  <c r="DH48" i="5" s="1"/>
  <c r="CY5" i="5"/>
  <c r="CY63" i="5"/>
  <c r="CY10" i="5"/>
  <c r="CY79" i="5"/>
  <c r="CY12" i="5"/>
  <c r="CY35" i="5"/>
  <c r="CY22" i="5"/>
  <c r="CY30" i="5" s="1"/>
  <c r="FB59" i="5"/>
  <c r="JZ59" i="5" s="1"/>
  <c r="KG59" i="5"/>
  <c r="KK60" i="5" s="1"/>
  <c r="FB23" i="5"/>
  <c r="KG23" i="5"/>
  <c r="KJ23" i="5" s="1"/>
  <c r="KG22" i="5"/>
  <c r="KK22" i="5" s="1"/>
  <c r="FB22" i="5"/>
  <c r="FB30" i="5" s="1"/>
  <c r="DB22" i="5"/>
  <c r="DB30" i="5" s="1"/>
  <c r="FB8" i="5"/>
  <c r="JZ8" i="5" s="1"/>
  <c r="FB7" i="5"/>
  <c r="JZ7" i="5" s="1"/>
  <c r="FB6" i="5"/>
  <c r="JZ6" i="5" s="1"/>
  <c r="KG63" i="5"/>
  <c r="KG50" i="5"/>
  <c r="D35" i="6" s="1"/>
  <c r="FB50" i="5"/>
  <c r="JZ50" i="5" s="1"/>
  <c r="KM34" i="5"/>
  <c r="KM35" i="5" s="1"/>
  <c r="FB57" i="5"/>
  <c r="JZ57" i="5" s="1"/>
  <c r="KG57" i="5"/>
  <c r="FB54" i="5"/>
  <c r="JZ54" i="5" s="1"/>
  <c r="KG54" i="5"/>
  <c r="D39" i="6" s="1"/>
  <c r="FB53" i="5"/>
  <c r="JZ53" i="5" s="1"/>
  <c r="KG53" i="5"/>
  <c r="D40" i="6" s="1"/>
  <c r="KG36" i="5"/>
  <c r="KG48" i="5"/>
  <c r="D33" i="6" s="1"/>
  <c r="KG34" i="5"/>
  <c r="KG51" i="5"/>
  <c r="KG10" i="5"/>
  <c r="KG14" i="5"/>
  <c r="KG12" i="5"/>
  <c r="KG47" i="5"/>
  <c r="KG62" i="5"/>
  <c r="KG8" i="5"/>
  <c r="KG79" i="5"/>
  <c r="KG74" i="5"/>
  <c r="KG5" i="5"/>
  <c r="KG37" i="5"/>
  <c r="KG35" i="5"/>
  <c r="FB35" i="5"/>
  <c r="JZ35" i="5" s="1"/>
  <c r="KJ47" i="5"/>
  <c r="FB34" i="5"/>
  <c r="JZ34" i="5" s="1"/>
  <c r="FB14" i="5"/>
  <c r="JZ14" i="5" s="1"/>
  <c r="FB12" i="5"/>
  <c r="FB18" i="5" s="1"/>
  <c r="AX36" i="5"/>
  <c r="AX34" i="5"/>
  <c r="AY34" i="5" s="1"/>
  <c r="CY62" i="5"/>
  <c r="CY51" i="5"/>
  <c r="DB51" i="5" s="1"/>
  <c r="DH51" i="5" s="1"/>
  <c r="CY36" i="5"/>
  <c r="CY34" i="5"/>
  <c r="DB63" i="5"/>
  <c r="DH63" i="5" s="1"/>
  <c r="DB10" i="5"/>
  <c r="DB8" i="5"/>
  <c r="DH8" i="5" s="1"/>
  <c r="DB79" i="5"/>
  <c r="DH79" i="5" s="1"/>
  <c r="CY4" i="5"/>
  <c r="DB5" i="5"/>
  <c r="DH5" i="5" s="1"/>
  <c r="DB34" i="5"/>
  <c r="DH34" i="5" s="1"/>
  <c r="FC4" i="5"/>
  <c r="D43" i="6"/>
  <c r="KJ68" i="5"/>
  <c r="D44" i="6"/>
  <c r="KJ69" i="5"/>
  <c r="E43" i="6"/>
  <c r="F43" i="6"/>
  <c r="E44" i="6"/>
  <c r="F44" i="6"/>
  <c r="KI17" i="5"/>
  <c r="D18" i="6"/>
  <c r="KI16" i="5"/>
  <c r="D15" i="6"/>
  <c r="KI47" i="5"/>
  <c r="KK47" i="5" s="1"/>
  <c r="D32" i="6"/>
  <c r="KI70" i="5"/>
  <c r="KK70" i="5" s="1"/>
  <c r="KI39" i="5"/>
  <c r="KK39" i="5" s="1"/>
  <c r="D26" i="6"/>
  <c r="KI38" i="5"/>
  <c r="KK38" i="5" s="1"/>
  <c r="D25" i="6"/>
  <c r="KI41" i="5"/>
  <c r="KK41" i="5" s="1"/>
  <c r="D29" i="6"/>
  <c r="KI42" i="5"/>
  <c r="KK42" i="5" s="1"/>
  <c r="KI43" i="5"/>
  <c r="KK43" i="5" s="1"/>
  <c r="D31" i="6"/>
  <c r="KI65" i="5"/>
  <c r="KK65" i="5" s="1"/>
  <c r="D41" i="6"/>
  <c r="D42" i="6"/>
  <c r="KI71" i="5"/>
  <c r="KK71" i="5" s="1"/>
  <c r="KI73" i="5"/>
  <c r="KK73" i="5" s="1"/>
  <c r="KI78" i="5"/>
  <c r="KK78" i="5" s="1"/>
  <c r="D53" i="6"/>
  <c r="KI72" i="5"/>
  <c r="KK72" i="5" s="1"/>
  <c r="KI40" i="5"/>
  <c r="KK40" i="5" s="1"/>
  <c r="KI13" i="5"/>
  <c r="D10" i="6"/>
  <c r="AY51" i="5"/>
  <c r="KJ51" i="5"/>
  <c r="KJ36" i="5"/>
  <c r="HP12" i="5"/>
  <c r="AY10" i="5"/>
  <c r="AY18" i="5" s="1"/>
  <c r="DC4" i="5"/>
  <c r="DC6" i="5"/>
  <c r="KJ6" i="5"/>
  <c r="AY11" i="5"/>
  <c r="D7" i="6"/>
  <c r="DB14" i="5"/>
  <c r="DH14" i="5" s="1"/>
  <c r="DB9" i="5"/>
  <c r="DH9" i="5" s="1"/>
  <c r="KJ11" i="5"/>
  <c r="KI11" i="5"/>
  <c r="H18" i="2"/>
  <c r="I18" i="2"/>
  <c r="I33" i="2"/>
  <c r="H33" i="2"/>
  <c r="AG36" i="1"/>
  <c r="S36" i="1"/>
  <c r="AH42" i="1"/>
  <c r="E31" i="2"/>
  <c r="I31" i="2" s="1"/>
  <c r="AH35" i="1"/>
  <c r="E24" i="2"/>
  <c r="AH27" i="1"/>
  <c r="H25" i="2"/>
  <c r="I25" i="2"/>
  <c r="H28" i="2"/>
  <c r="I28" i="2"/>
  <c r="R36" i="1"/>
  <c r="H24" i="2"/>
  <c r="I24" i="2"/>
  <c r="H31" i="2"/>
  <c r="H30" i="2"/>
  <c r="I30" i="2"/>
  <c r="H29" i="2"/>
  <c r="I29" i="2"/>
  <c r="H11" i="2"/>
  <c r="I11" i="2"/>
  <c r="I8" i="1"/>
  <c r="Y10" i="1"/>
  <c r="Y12" i="1"/>
  <c r="Y13" i="1"/>
  <c r="Y18" i="1"/>
  <c r="Y19" i="1"/>
  <c r="Y20" i="1"/>
  <c r="Y24" i="1"/>
  <c r="Y25" i="1"/>
  <c r="Y26" i="1"/>
  <c r="Y33" i="1"/>
  <c r="Y34" i="1"/>
  <c r="Y35" i="1"/>
  <c r="Y38" i="1"/>
  <c r="V38" i="1"/>
  <c r="V35" i="1"/>
  <c r="V34" i="1"/>
  <c r="V33" i="1"/>
  <c r="V26" i="1"/>
  <c r="V25" i="1"/>
  <c r="V24" i="1"/>
  <c r="V19" i="1"/>
  <c r="V18" i="1"/>
  <c r="V16" i="1"/>
  <c r="V13" i="1"/>
  <c r="V12" i="1"/>
  <c r="V10" i="1"/>
  <c r="V8" i="1"/>
  <c r="AB38" i="1"/>
  <c r="AB35" i="1"/>
  <c r="AB34" i="1"/>
  <c r="AB33" i="1"/>
  <c r="AB26" i="1"/>
  <c r="AB25" i="1"/>
  <c r="AD25" i="1" s="1"/>
  <c r="AB24" i="1"/>
  <c r="AD24" i="1" s="1"/>
  <c r="AB20" i="1"/>
  <c r="AB19" i="1"/>
  <c r="AG19" i="1" s="1"/>
  <c r="E15" i="2" s="1"/>
  <c r="AB18" i="1"/>
  <c r="AB13" i="1"/>
  <c r="O38" i="1"/>
  <c r="O34" i="1"/>
  <c r="O26" i="1"/>
  <c r="Q26" i="1" s="1"/>
  <c r="O25" i="1"/>
  <c r="O8" i="1"/>
  <c r="KK33" i="5" l="1"/>
  <c r="KL26" i="5"/>
  <c r="KK25" i="5"/>
  <c r="KK26" i="5" s="1"/>
  <c r="KK61" i="5"/>
  <c r="KK4" i="5"/>
  <c r="DB18" i="5"/>
  <c r="CY18" i="5"/>
  <c r="KJ27" i="5"/>
  <c r="KI27" i="5"/>
  <c r="KK29" i="5"/>
  <c r="KJ29" i="5"/>
  <c r="KI29" i="5"/>
  <c r="FC25" i="5"/>
  <c r="JZ25" i="5"/>
  <c r="KJ26" i="5"/>
  <c r="KK28" i="5" s="1"/>
  <c r="KI26" i="5"/>
  <c r="DH10" i="5"/>
  <c r="DH18" i="5" s="1"/>
  <c r="JZ12" i="5"/>
  <c r="D6" i="6"/>
  <c r="KG18" i="5"/>
  <c r="DH19" i="5"/>
  <c r="DC19" i="5"/>
  <c r="KK19" i="5"/>
  <c r="KJ19" i="5"/>
  <c r="KI19" i="5"/>
  <c r="HQ65" i="5"/>
  <c r="GT65" i="5"/>
  <c r="FM4" i="5"/>
  <c r="D22" i="6"/>
  <c r="D17" i="6"/>
  <c r="FC22" i="5"/>
  <c r="FC30" i="5" s="1"/>
  <c r="JZ22" i="5"/>
  <c r="FC23" i="5"/>
  <c r="JZ23" i="5"/>
  <c r="AY36" i="5"/>
  <c r="DH36" i="5"/>
  <c r="DC22" i="5"/>
  <c r="DC30" i="5" s="1"/>
  <c r="DH22" i="5"/>
  <c r="DH30" i="5" s="1"/>
  <c r="KJ22" i="5"/>
  <c r="D12" i="6"/>
  <c r="KK16" i="5"/>
  <c r="KI4" i="5"/>
  <c r="KJ4" i="5"/>
  <c r="KJ55" i="5"/>
  <c r="KI55" i="5"/>
  <c r="KK55" i="5" s="1"/>
  <c r="KJ59" i="5"/>
  <c r="KI59" i="5"/>
  <c r="D37" i="6"/>
  <c r="KK79" i="5"/>
  <c r="KJ84" i="5"/>
  <c r="D24" i="6"/>
  <c r="KJ37" i="5"/>
  <c r="KI37" i="5"/>
  <c r="KL5" i="5"/>
  <c r="KI34" i="5"/>
  <c r="KL38" i="5"/>
  <c r="KJ57" i="5"/>
  <c r="KI57" i="5"/>
  <c r="KK57" i="5" s="1"/>
  <c r="KJ54" i="5"/>
  <c r="KI54" i="5"/>
  <c r="KK54" i="5" s="1"/>
  <c r="KJ53" i="5"/>
  <c r="KI53" i="5"/>
  <c r="KK53" i="5" s="1"/>
  <c r="D21" i="6"/>
  <c r="F22" i="6"/>
  <c r="E22" i="6"/>
  <c r="KJ35" i="5"/>
  <c r="KI35" i="5"/>
  <c r="DC10" i="5"/>
  <c r="DC18" i="5" s="1"/>
  <c r="FC9" i="5"/>
  <c r="FC12" i="5"/>
  <c r="KI12" i="5"/>
  <c r="FC14" i="5"/>
  <c r="FC34" i="5"/>
  <c r="D3" i="6"/>
  <c r="DC79" i="5"/>
  <c r="KJ8" i="5"/>
  <c r="KI8" i="5"/>
  <c r="KJ62" i="5"/>
  <c r="D9" i="6"/>
  <c r="KJ12" i="5"/>
  <c r="D8" i="6"/>
  <c r="KI36" i="5"/>
  <c r="D23" i="6"/>
  <c r="E28" i="6"/>
  <c r="F28" i="6"/>
  <c r="E47" i="6"/>
  <c r="F47" i="6"/>
  <c r="E16" i="6"/>
  <c r="F16" i="6"/>
  <c r="E53" i="6"/>
  <c r="F53" i="6"/>
  <c r="E49" i="6"/>
  <c r="F49" i="6"/>
  <c r="E48" i="6"/>
  <c r="F48" i="6"/>
  <c r="E46" i="6"/>
  <c r="F46" i="6"/>
  <c r="E42" i="6"/>
  <c r="F42" i="6"/>
  <c r="F41" i="6"/>
  <c r="E41" i="6"/>
  <c r="E40" i="6"/>
  <c r="F40" i="6"/>
  <c r="E39" i="6"/>
  <c r="F39" i="6"/>
  <c r="E31" i="6"/>
  <c r="F31" i="6"/>
  <c r="E30" i="6"/>
  <c r="F30" i="6"/>
  <c r="E29" i="6"/>
  <c r="F29" i="6"/>
  <c r="E24" i="6"/>
  <c r="F24" i="6"/>
  <c r="E25" i="6"/>
  <c r="F25" i="6"/>
  <c r="E26" i="6"/>
  <c r="F26" i="6"/>
  <c r="E45" i="6"/>
  <c r="F45" i="6"/>
  <c r="E32" i="6"/>
  <c r="F32" i="6"/>
  <c r="E15" i="6"/>
  <c r="F15" i="6"/>
  <c r="E18" i="6"/>
  <c r="F18" i="6"/>
  <c r="D13" i="6"/>
  <c r="F7" i="6"/>
  <c r="E7" i="6"/>
  <c r="F3" i="6"/>
  <c r="E3" i="6"/>
  <c r="F6" i="6"/>
  <c r="G6" i="6" s="1"/>
  <c r="E6" i="6"/>
  <c r="F9" i="6"/>
  <c r="E9" i="6"/>
  <c r="KI62" i="5"/>
  <c r="E37" i="6"/>
  <c r="KI51" i="5"/>
  <c r="KK51" i="5" s="1"/>
  <c r="KM51" i="5" s="1"/>
  <c r="D36" i="6"/>
  <c r="F8" i="6"/>
  <c r="G8" i="6" s="1"/>
  <c r="E8" i="6"/>
  <c r="F10" i="6"/>
  <c r="E10" i="6"/>
  <c r="KI6" i="5"/>
  <c r="AY63" i="5"/>
  <c r="AY74" i="5"/>
  <c r="KJ74" i="5"/>
  <c r="DC9" i="5"/>
  <c r="KJ9" i="5"/>
  <c r="DC14" i="5"/>
  <c r="D11" i="6"/>
  <c r="KJ10" i="5"/>
  <c r="KI10" i="5"/>
  <c r="E32" i="2"/>
  <c r="AH36" i="1"/>
  <c r="AE24" i="1"/>
  <c r="AF24" i="1"/>
  <c r="AF25" i="1"/>
  <c r="AE25" i="1"/>
  <c r="AG13" i="1"/>
  <c r="E9" i="2" s="1"/>
  <c r="AD13" i="1"/>
  <c r="S25" i="1"/>
  <c r="AG25" i="1"/>
  <c r="E22" i="2" s="1"/>
  <c r="S26" i="1"/>
  <c r="AG26" i="1"/>
  <c r="S38" i="1"/>
  <c r="AG38" i="1"/>
  <c r="Q10" i="1"/>
  <c r="Q8" i="1"/>
  <c r="R25" i="1"/>
  <c r="R26" i="1"/>
  <c r="R38" i="1"/>
  <c r="R10" i="1"/>
  <c r="Q24" i="1"/>
  <c r="O20" i="1"/>
  <c r="I15" i="2"/>
  <c r="O18" i="1"/>
  <c r="AD18" i="1" s="1"/>
  <c r="AF18" i="1" s="1"/>
  <c r="F17" i="6" l="1"/>
  <c r="E17" i="6"/>
  <c r="KL33" i="5"/>
  <c r="KM36" i="5"/>
  <c r="KJ34" i="5"/>
  <c r="F4" i="6"/>
  <c r="E4" i="6"/>
  <c r="D54" i="6"/>
  <c r="KJ79" i="5"/>
  <c r="KI79" i="5"/>
  <c r="D38" i="6"/>
  <c r="F38" i="6" s="1"/>
  <c r="KJ63" i="5"/>
  <c r="E38" i="6"/>
  <c r="F37" i="6"/>
  <c r="E36" i="6"/>
  <c r="F36" i="6"/>
  <c r="E13" i="6"/>
  <c r="F13" i="6"/>
  <c r="G13" i="6" s="1"/>
  <c r="F23" i="6"/>
  <c r="E23" i="6"/>
  <c r="KI74" i="5"/>
  <c r="KK74" i="5" s="1"/>
  <c r="D50" i="6"/>
  <c r="F11" i="6"/>
  <c r="G9" i="6" s="1"/>
  <c r="E11" i="6"/>
  <c r="KI9" i="5"/>
  <c r="KI63" i="5"/>
  <c r="KP62" i="5"/>
  <c r="KJ14" i="5"/>
  <c r="KI14" i="5"/>
  <c r="AE13" i="1"/>
  <c r="AF13" i="1"/>
  <c r="AG18" i="1"/>
  <c r="AE18" i="1"/>
  <c r="Q20" i="1"/>
  <c r="AD20" i="1"/>
  <c r="AG20" i="1"/>
  <c r="AH20" i="1" s="1"/>
  <c r="S20" i="1"/>
  <c r="R20" i="1"/>
  <c r="S24" i="1"/>
  <c r="AG24" i="1"/>
  <c r="S10" i="1"/>
  <c r="R8" i="1"/>
  <c r="S8" i="1"/>
  <c r="Q13" i="1"/>
  <c r="AH13" i="1"/>
  <c r="AH18" i="1"/>
  <c r="E14" i="2"/>
  <c r="AH19" i="1"/>
  <c r="E16" i="2"/>
  <c r="I16" i="2" s="1"/>
  <c r="E34" i="2"/>
  <c r="AH38" i="1"/>
  <c r="E23" i="2"/>
  <c r="AH26" i="1"/>
  <c r="AH25" i="1"/>
  <c r="H32" i="2"/>
  <c r="I32" i="2"/>
  <c r="J31" i="2" s="1"/>
  <c r="R24" i="1"/>
  <c r="H38" i="2"/>
  <c r="I38" i="2"/>
  <c r="J38" i="2" s="1"/>
  <c r="H34" i="2"/>
  <c r="I34" i="2"/>
  <c r="J34" i="2" s="1"/>
  <c r="H39" i="2"/>
  <c r="I39" i="2"/>
  <c r="H23" i="2"/>
  <c r="I23" i="2"/>
  <c r="E21" i="6" l="1"/>
  <c r="F21" i="6"/>
  <c r="G21" i="6" s="1"/>
  <c r="E54" i="6"/>
  <c r="F54" i="6"/>
  <c r="E50" i="6"/>
  <c r="F50" i="6"/>
  <c r="G50" i="6" s="1"/>
  <c r="F5" i="6"/>
  <c r="G3" i="6" s="1"/>
  <c r="E5" i="6"/>
  <c r="AE20" i="1"/>
  <c r="AF20" i="1"/>
  <c r="AH10" i="1"/>
  <c r="E6" i="2"/>
  <c r="I14" i="2"/>
  <c r="J13" i="2" s="1"/>
  <c r="H14" i="2"/>
  <c r="R13" i="1"/>
  <c r="S13" i="1"/>
  <c r="E21" i="2"/>
  <c r="AH24" i="1"/>
  <c r="H16" i="2"/>
  <c r="H15" i="2"/>
  <c r="I9" i="2"/>
  <c r="J9" i="2" s="1"/>
  <c r="H9" i="2"/>
  <c r="I6" i="2"/>
  <c r="I8" i="2"/>
  <c r="I21" i="2"/>
  <c r="I22" i="2"/>
  <c r="H6" i="2"/>
  <c r="H8" i="2"/>
  <c r="H21" i="2"/>
  <c r="H22" i="2"/>
  <c r="V23" i="1" l="1"/>
  <c r="Y17" i="1" l="1"/>
  <c r="V17" i="1"/>
  <c r="Y16" i="1"/>
  <c r="Y8" i="1"/>
  <c r="Z8" i="1" l="1"/>
  <c r="AA8" i="1"/>
  <c r="Z12" i="1"/>
  <c r="AA12" i="1"/>
  <c r="Z16" i="1"/>
  <c r="AA16" i="1"/>
  <c r="Z17" i="1"/>
  <c r="AA17" i="1"/>
  <c r="Z23" i="1"/>
  <c r="AA23" i="1"/>
  <c r="AB8" i="1" l="1"/>
  <c r="AD8" i="1" s="1"/>
  <c r="AB16" i="1"/>
  <c r="AD16" i="1" s="1"/>
  <c r="AB12" i="1"/>
  <c r="AB23" i="1"/>
  <c r="AD23" i="1" s="1"/>
  <c r="AB17" i="1"/>
  <c r="I17" i="1"/>
  <c r="M12" i="1"/>
  <c r="N12" i="1"/>
  <c r="N16" i="1"/>
  <c r="M17" i="1"/>
  <c r="N17" i="1"/>
  <c r="I16" i="1"/>
  <c r="I12" i="1"/>
  <c r="AG23" i="1" l="1"/>
  <c r="AF23" i="1"/>
  <c r="AE16" i="1"/>
  <c r="AF16" i="1"/>
  <c r="AG8" i="1"/>
  <c r="AF8" i="1"/>
  <c r="E4" i="2"/>
  <c r="AH8" i="1"/>
  <c r="O17" i="1"/>
  <c r="O16" i="1"/>
  <c r="Q16" i="1" s="1"/>
  <c r="O12" i="1"/>
  <c r="E20" i="2" l="1"/>
  <c r="AH23" i="1"/>
  <c r="AH17" i="1"/>
  <c r="E13" i="2"/>
  <c r="I13" i="2" s="1"/>
  <c r="S16" i="1"/>
  <c r="AG16" i="1"/>
  <c r="E12" i="2" s="1"/>
  <c r="H4" i="2"/>
  <c r="I4" i="2"/>
  <c r="J4" i="2" s="1"/>
  <c r="R16" i="1"/>
  <c r="Y23" i="1"/>
  <c r="L8" i="1"/>
  <c r="I20" i="2" l="1"/>
  <c r="J20" i="2" s="1"/>
  <c r="H20" i="2"/>
  <c r="H13" i="2"/>
  <c r="AH16" i="1"/>
  <c r="I12" i="2"/>
  <c r="J12" i="2" s="1"/>
  <c r="H12" i="2"/>
  <c r="CY81" i="5"/>
  <c r="KL79" i="5"/>
  <c r="KC65" i="5"/>
  <c r="CI75" i="5"/>
  <c r="AV34" i="5"/>
  <c r="AN34" i="5"/>
  <c r="EZ4" i="5"/>
  <c r="DX4" i="5"/>
  <c r="T62" i="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<sst xmlns="http://schemas.openxmlformats.org/spreadsheetml/2006/main" count="989" uniqueCount="417">
  <si>
    <t>INDICATORS</t>
  </si>
  <si>
    <t>ACTIVITIES</t>
  </si>
  <si>
    <t>TARGET</t>
  </si>
  <si>
    <t>ACHIEVED</t>
  </si>
  <si>
    <t>VARIANCE</t>
  </si>
  <si>
    <t>PERCENTAGE ACHIEVED</t>
  </si>
  <si>
    <t>RESULT 2:Local partners effectively respond to GBV and protection risks among new arrivals appropriate to their age, gender, and disability.</t>
  </si>
  <si>
    <t>Indicator 1
Number of survivors who receive an appropriate response to GBV</t>
  </si>
  <si>
    <t>GBV Case Management</t>
  </si>
  <si>
    <t>Provide in kind material support to GBV survivors (dignity kits) -(through referrals)</t>
  </si>
  <si>
    <t>GBV Case Conferencing</t>
  </si>
  <si>
    <t>Indicator 2 
Number of participants showing an increased knowledge on the protection subject in focus</t>
  </si>
  <si>
    <t>Training GBV Community Structures</t>
  </si>
  <si>
    <t xml:space="preserve">Clinical Health Training for 30 health workers, clinical care sexual assault. 30 police officers </t>
  </si>
  <si>
    <t>Indicator 3
Number of persons effectively referred to other specialised service or assistance providers</t>
  </si>
  <si>
    <t>GBV Referrals</t>
  </si>
  <si>
    <t>Indicator 4
Number of persons with increased/appropriate information on relevant rights and/or entitlements</t>
  </si>
  <si>
    <t>Training WGSS CMCS on leadership and safe space management and income generating activities [IGA]</t>
  </si>
  <si>
    <t xml:space="preserve">Training Facilitators for Women and Girls Safe Spaces </t>
  </si>
  <si>
    <t>Provide working Tools to GBV Structures</t>
  </si>
  <si>
    <t>Sensitization dialogues &amp; Awarenes Sessions</t>
  </si>
  <si>
    <t>Indicator 5
Percentage of women and girls with specific protection needs (e.g., survivors of gender-based violence, persons with disabilities, pregnant or lactating women) who report feeling safe and supported after accessing services at the women and girls safe spaces.</t>
  </si>
  <si>
    <t>Provide integrated services to women and girls at the safe spaces</t>
  </si>
  <si>
    <t>Referrals made from Women and Girls Safe Spaces</t>
  </si>
  <si>
    <t>Establish or Maintain Girl's Safe Spaces</t>
  </si>
  <si>
    <t xml:space="preserve">Comic Books Sessions
</t>
  </si>
  <si>
    <t>Skilling to girls</t>
  </si>
  <si>
    <t>RESULT 3:Local partners effectively respond to Child Protection risks among new arrivals appropriate to their age, gender, and disability</t>
  </si>
  <si>
    <t>Indicator 1:
Number of persons who receive an appropriate response</t>
  </si>
  <si>
    <t>Case Management (Children)
Nakivale</t>
  </si>
  <si>
    <t>Case Management (Children)
Nyakabande</t>
  </si>
  <si>
    <t>Identify register, assess and support children to access different services through the referral pathway (Nakivale)</t>
  </si>
  <si>
    <t>Identify register, assess and support children to access different services through the referral pathway (Nyakabande)</t>
  </si>
  <si>
    <t xml:space="preserve">Case Conferencing
</t>
  </si>
  <si>
    <t xml:space="preserve">Team UP
</t>
  </si>
  <si>
    <t>Training Team Up facilitators</t>
  </si>
  <si>
    <t>Facilitate CFS Facilitators  to support activities at the CFS centers</t>
  </si>
  <si>
    <t>Provide material support to foster parents and care givers</t>
  </si>
  <si>
    <t>Support to lactating mothers</t>
  </si>
  <si>
    <t>Provide Individual Protection Assistance to children like blankets, sleeping mats, clothes.etc</t>
  </si>
  <si>
    <t>Indicator 2:
Number of unaccompanied and/or separated children who are reunited with their caregivers OR in appropriate protective  arrangements based on BIA.</t>
  </si>
  <si>
    <t>Conduct child family tracing and reunification</t>
  </si>
  <si>
    <t>Unaccompanied &amp; seperated Children supported</t>
  </si>
  <si>
    <t>Foster parents identified</t>
  </si>
  <si>
    <t>Children placed under foster care</t>
  </si>
  <si>
    <t>Indicator 3: 
Number of participants showing an increased knowledge on the protection subject in focus.</t>
  </si>
  <si>
    <t xml:space="preserve">Training and mentorship of community-level actors and structures
Support to parasocial workers, shelter leaders, community leaders. (Strengthening the capacity of community structures)
</t>
  </si>
  <si>
    <t>Indicator 4: 
Number of parents, caregivers, foster families, and community stakeholders who receive training, guidance and support to address child protection concerns</t>
  </si>
  <si>
    <t xml:space="preserve">Positive Parenting and Parenting without violence approaches (Nakivale &amp; Nyakabande)
</t>
  </si>
  <si>
    <t>New Target for both activities is 1350
👈Achieved Percentage is for both Activities in comparison with new target.</t>
  </si>
  <si>
    <t>Sensitize parents, caregivers, and community members on  the prevention of abuse and neglect of children (Nakivale &amp; Nyakabande)</t>
  </si>
  <si>
    <t>Train CPCs, Parasocial workers, shelter leaders and community leaders.</t>
  </si>
  <si>
    <t>Training and mentoring for district local government staff (Nakivale and Nyakabande)</t>
  </si>
  <si>
    <t>Facilitation for Follow-up through home visits for children at high protection risks 
(To be conducted by the LG, in coordination with the CPCs to follow-up on the safety of these children. SubCounty and District specific CPCs will be supported to meet regularly through this action.)</t>
  </si>
  <si>
    <t>Traning CPS and Shelter leaders (5 CPCs and 5 Shelter Leaders)</t>
  </si>
  <si>
    <t>Hold monthly supervision meetings with CPs and shelter leaders</t>
  </si>
  <si>
    <t>Support of Children's Rights Clubs at School</t>
  </si>
  <si>
    <t>Indicator 5: 
Number of functional community action plans developed by communities to address specific CP concerns in their communities.</t>
  </si>
  <si>
    <t xml:space="preserve">Develop Community Action Plans
</t>
  </si>
  <si>
    <t>Establish and / or maintain child friendly spaces</t>
  </si>
  <si>
    <t>Operationalise child friendly spaces</t>
  </si>
  <si>
    <t>Train CSF Facilitators to support peer to peer group ativities at the CFS centres.</t>
  </si>
  <si>
    <t>Map community-based child protection mechanisms</t>
  </si>
  <si>
    <t>Indicator 6: 
Number of children and parents/ caregiver who have been reached by environmental conservation initiatives by the end of the intervention compared to the beginning.</t>
  </si>
  <si>
    <t xml:space="preserve">Environmental conservation and climate education
</t>
  </si>
  <si>
    <t>Sensitization dialogues &amp; Awarenes Sessions
(Including World Breastfeeding day)</t>
  </si>
  <si>
    <t>Update the referral pathways together with other implementing partners.</t>
  </si>
  <si>
    <t xml:space="preserve">Establish complaints and feedback mechanisms to solicit and give  feedback to the community. </t>
  </si>
  <si>
    <t>STEPS - Sustainable Transition  to Locally Led Emergency Protection Services</t>
  </si>
  <si>
    <t>Location</t>
  </si>
  <si>
    <t>Target</t>
  </si>
  <si>
    <t>Jul Totals</t>
  </si>
  <si>
    <t>Aug Totals</t>
  </si>
  <si>
    <t>Sep Totals</t>
  </si>
  <si>
    <t>Oct Totals</t>
  </si>
  <si>
    <t>Quarter 1 Totals</t>
  </si>
  <si>
    <t>Quarter 1</t>
  </si>
  <si>
    <t>Total Female Refugees</t>
  </si>
  <si>
    <t>Total Male Refugees</t>
  </si>
  <si>
    <t>Total Female Host</t>
  </si>
  <si>
    <t>Total Male Host</t>
  </si>
  <si>
    <t>Nov Totals</t>
  </si>
  <si>
    <t>Dec Totals</t>
  </si>
  <si>
    <t>Jan Totals</t>
  </si>
  <si>
    <t>Feb Totals</t>
  </si>
  <si>
    <t>Quarter 2</t>
  </si>
  <si>
    <t>Total Achievement Year 1</t>
  </si>
  <si>
    <t>Mar Totals</t>
  </si>
  <si>
    <t>Apr Totals</t>
  </si>
  <si>
    <t>May Totals</t>
  </si>
  <si>
    <t>Jun Totals</t>
  </si>
  <si>
    <t>Quarter 3</t>
  </si>
  <si>
    <t>Total Female Jan-Jun</t>
  </si>
  <si>
    <t>Total Male Jan-Jun</t>
  </si>
  <si>
    <t>Total</t>
  </si>
  <si>
    <t>Nov 2024- Sep 2025 Totals</t>
  </si>
  <si>
    <t>Quarter 4</t>
  </si>
  <si>
    <t>Quarter 5</t>
  </si>
  <si>
    <t>Total Year 2</t>
  </si>
  <si>
    <t>Disagregated Totals</t>
  </si>
  <si>
    <t>Total Reach</t>
  </si>
  <si>
    <t>Refugee</t>
  </si>
  <si>
    <t>National</t>
  </si>
  <si>
    <t>Cumulative Female</t>
  </si>
  <si>
    <t xml:space="preserve">Cumulative Male </t>
  </si>
  <si>
    <t>Cumulative Total</t>
  </si>
  <si>
    <t>Total Female</t>
  </si>
  <si>
    <t>Total Male</t>
  </si>
  <si>
    <t>Total Female Q!</t>
  </si>
  <si>
    <t>Total Male Q1</t>
  </si>
  <si>
    <t xml:space="preserve">Total Female Refugees </t>
  </si>
  <si>
    <t>Achieved</t>
  </si>
  <si>
    <t>% Achieved</t>
  </si>
  <si>
    <t>Female</t>
  </si>
  <si>
    <t>Male</t>
  </si>
  <si>
    <t xml:space="preserve">Total </t>
  </si>
  <si>
    <t xml:space="preserve">Total
</t>
  </si>
  <si>
    <t>Sessions</t>
  </si>
  <si>
    <t>Total Refugees Q1</t>
  </si>
  <si>
    <t>Total Nationals Q1</t>
  </si>
  <si>
    <t>Total Female Q2</t>
  </si>
  <si>
    <t>Total Male Q2</t>
  </si>
  <si>
    <t>Total Refugees Q2</t>
  </si>
  <si>
    <t>Total Nationals Q2</t>
  </si>
  <si>
    <t>Total Female Q3</t>
  </si>
  <si>
    <t>Total Male Q3</t>
  </si>
  <si>
    <t>Total Refugees Q3</t>
  </si>
  <si>
    <t>Total Nationals Q3</t>
  </si>
  <si>
    <t>Variance</t>
  </si>
  <si>
    <t xml:space="preserve">GBV Case Management </t>
  </si>
  <si>
    <t>Nakivale</t>
  </si>
  <si>
    <t>Nyakabande</t>
  </si>
  <si>
    <t>Support GBV screening and registration survivors at the reception and transit centres. (Survivors need based assessment support [ case by case])</t>
  </si>
  <si>
    <t>Nakivale &amp; Nyakabande</t>
  </si>
  <si>
    <t>IPA support to GBV survivors</t>
  </si>
  <si>
    <t>Training GBVCommunity Structures</t>
  </si>
  <si>
    <t>GBV Information counseling</t>
  </si>
  <si>
    <t xml:space="preserve">Total for Indicator </t>
  </si>
  <si>
    <t>Sensitization dialogues &amp; Awareness Sessions</t>
  </si>
  <si>
    <t>Matanda</t>
  </si>
  <si>
    <t>Community members reached with GBV prevention messages by stregthened GBV community structures</t>
  </si>
  <si>
    <t xml:space="preserve">Nakivale </t>
  </si>
  <si>
    <t>Comic Books Sessions
Deliver Community Engagement Interventions on protection, prevention of GBV/CP and other forms of violence through Comic Book Sessions</t>
  </si>
  <si>
    <t>Nakivale Total</t>
  </si>
  <si>
    <t>Nyakabande Total</t>
  </si>
  <si>
    <t>2.5: Percentage of women and girls with specific protection needs (e.g., survivors of gender-based violence, persons with disabilities,</t>
  </si>
  <si>
    <t xml:space="preserve"> </t>
  </si>
  <si>
    <t xml:space="preserve">Case Management 
Provide appropriate case management support through documentation and reporting of cases (Nakivale 1350)
</t>
  </si>
  <si>
    <t>Case Management 
Provide appropriate case management support through documentation and reporting of cases (Nyakabande 2000)</t>
  </si>
  <si>
    <t>Referrals
zCase Management &amp; referrals to service providers - Provide Individual Protection Assistance to children like blankets, sleeping mats, clothes.etc</t>
  </si>
  <si>
    <t>Referrals
Case Management &amp; referrals to service providers - Provide Individual Protection Assistance to children like blankets, sleeping mats, clothes.etc</t>
  </si>
  <si>
    <t>IPA support through referrals</t>
  </si>
  <si>
    <t>Closed Cases</t>
  </si>
  <si>
    <t>Indicator 2:
Number of unaccompanied and/or separated children who are reunited with their caregivers OR in appropriate protective  arrangements based on BIA</t>
  </si>
  <si>
    <t>Foster Parents identified</t>
  </si>
  <si>
    <t>Indicator 3: 
Number of participants showing an increased knowledge on the protection subject in focus</t>
  </si>
  <si>
    <t xml:space="preserve">Training and mentorship of community-level actors and structures (Support to parasocial workers, shelter leaders, community leaders. (Strengthening the capacity of community structures)
</t>
  </si>
  <si>
    <t>Conduct Interactive sessions with children on children’s rights and responsibilities as well as self protection practices.</t>
  </si>
  <si>
    <t>Awareness Sessions</t>
  </si>
  <si>
    <t>Child Protection cases raised by CPCs</t>
  </si>
  <si>
    <t>New  joint Target  (positive parenting and prevention of abuse and neglect)</t>
  </si>
  <si>
    <t>=sum('https://awyad2024-my.sharepoint.com/personal/anandam_awyad_org/Documents/STEPs Nakivale Database/Activity trackers/[Revised Activity trackers.xlsx]Revised CP Activity tracker'!$FJ$13'https://awyad2024-my.sharepoint.com/personal/ftaaka_awyad_org/Documents/Attachments/[STEPS  Consortium Indicator Performance Tracker  &amp; DASHBOARD  Jan 2025 AWYAD.xlsx]STEPS  IPT'!$H$3852'Sheet 2'!D8:E43</t>
  </si>
  <si>
    <t>Total Positive Parenting and prevention of abuse and neglect</t>
  </si>
  <si>
    <t>Facilitation for Follow-up through home visits for children at high protection risks w(To be conducted by the LG, in coordination with the CPCs to follow-up on the safety of these children. SubCounty and District specific CPCs will be supported to meet regularly through this action.)</t>
  </si>
  <si>
    <t>Monthly</t>
  </si>
  <si>
    <t>Indicator 5: 
Number of functional community action plans developed by communities to address specific CP concerns in their communities</t>
  </si>
  <si>
    <t>Map community-based child protection mechanisms that can be fortified to mitigate the risks of GBV against children, particularly adolescent girls.</t>
  </si>
  <si>
    <t>Indicator 6: Number of children and parents/ caregiver who have been reached by environmental conservation initiatives by the end of the intervention compared to the beginning.</t>
  </si>
  <si>
    <t>Tree Planting Activity</t>
  </si>
  <si>
    <t>Sensitization Dialogues and awarenes sessions</t>
  </si>
  <si>
    <t>zzzcz</t>
  </si>
  <si>
    <t>Jul</t>
  </si>
  <si>
    <t>Aug</t>
  </si>
  <si>
    <t>Sep</t>
  </si>
  <si>
    <t>Oct</t>
  </si>
  <si>
    <t>Jul-Oct</t>
  </si>
  <si>
    <t>Nov</t>
  </si>
  <si>
    <t>Dec</t>
  </si>
  <si>
    <t>Jan</t>
  </si>
  <si>
    <t>Feb</t>
  </si>
  <si>
    <t>Mar</t>
  </si>
  <si>
    <t>Apr</t>
  </si>
  <si>
    <t>May</t>
  </si>
  <si>
    <t>Jun</t>
  </si>
  <si>
    <t>Mid Year</t>
  </si>
  <si>
    <t>Nov-Sep</t>
  </si>
  <si>
    <t>MTI</t>
  </si>
  <si>
    <t>TPO/ FROK</t>
  </si>
  <si>
    <t>LWF Livelihoods (Diginity Kits, Hygiene Kits</t>
  </si>
  <si>
    <t>LWF (Shelter &amp; PSN Support)</t>
  </si>
  <si>
    <t>LWF (Dignity Kits, Hygiene Kits up to May)</t>
  </si>
  <si>
    <t>ALIGHT Dignity Kit</t>
  </si>
  <si>
    <t>ALIGHT Legal</t>
  </si>
  <si>
    <t>DRC</t>
  </si>
  <si>
    <t>Grapes of New Hope</t>
  </si>
  <si>
    <t>The District</t>
  </si>
  <si>
    <t>SURGE</t>
  </si>
  <si>
    <t>Police</t>
  </si>
  <si>
    <t>AWYAD Child Protection</t>
  </si>
  <si>
    <t>Community Service</t>
  </si>
  <si>
    <t>Tumaini</t>
  </si>
  <si>
    <t>HFU</t>
  </si>
  <si>
    <t>Isingiro District Local Government</t>
  </si>
  <si>
    <t>Red Cross</t>
  </si>
  <si>
    <t>cash</t>
  </si>
  <si>
    <t>Accord</t>
  </si>
  <si>
    <t>OPM</t>
  </si>
  <si>
    <t>AFI</t>
  </si>
  <si>
    <t>Save the Children</t>
  </si>
  <si>
    <t>2 survivors on boarded on multi-purpose cash Nov</t>
  </si>
  <si>
    <t>Only 2 refferals to DRC were successful in December</t>
  </si>
  <si>
    <t>In March 12 Non GBV Referrals were made to LWF</t>
  </si>
  <si>
    <t>STEPS Project Result Framework</t>
  </si>
  <si>
    <t> </t>
  </si>
  <si>
    <r>
      <rPr>
        <sz val="12"/>
        <color rgb="FF000000"/>
        <rFont val="Arial Black"/>
      </rPr>
      <t xml:space="preserve">Project Title: </t>
    </r>
    <r>
      <rPr>
        <sz val="12"/>
        <color rgb="FFBF8F00"/>
        <rFont val="Arial Black"/>
      </rPr>
      <t>Sustainable Transition to Locally led Emergency and Protection Services (STEPS) in Uganda</t>
    </r>
  </si>
  <si>
    <t>Projct Start Date: 1st March 2024
End Date            : 30th  April 2025</t>
  </si>
  <si>
    <t>Results</t>
  </si>
  <si>
    <t xml:space="preserve"> INDICATORS </t>
  </si>
  <si>
    <t>Indictor Definition</t>
  </si>
  <si>
    <t>Data Source</t>
  </si>
  <si>
    <t>Baseline</t>
  </si>
  <si>
    <t>Consortium Target</t>
  </si>
  <si>
    <t>Frequency of reporting</t>
  </si>
  <si>
    <t>Partners responsible</t>
  </si>
  <si>
    <t xml:space="preserve">Definition of Indicators </t>
  </si>
  <si>
    <r>
      <t xml:space="preserve"> Number of survivors who receive an appropriate response to GBV</t>
    </r>
    <r>
      <rPr>
        <b/>
        <sz val="9"/>
        <color rgb="FF000000"/>
        <rFont val="Arial"/>
        <family val="2"/>
      </rPr>
      <t>(This indicator includes targets from activity:2.2)</t>
    </r>
  </si>
  <si>
    <t>This indicator covers response to survivors of GBV (women, men, girls and boys) disaggregated by age, sex and disability who receive comprehensive services/assistance like medical, MHPSS, legal, security, etc. This should be based on a thorough analysis of the risks faced by the persons and also on the SOPs in place including functional Referral Mechanism.</t>
  </si>
  <si>
    <t>For this indicator, we will be using data from project documents, GBV case management databases, description of functional referral
pathway and testimonies from survivors of GBV.</t>
  </si>
  <si>
    <t>Monthly,Quarterly  and Annually</t>
  </si>
  <si>
    <t>CEPAD,KRC,URDMC,AYWAD AND HADS</t>
  </si>
  <si>
    <r>
      <t>Number of persons with increased/appropriate information on relevant rights and/or entitlements..</t>
    </r>
    <r>
      <rPr>
        <b/>
        <sz val="9"/>
        <color rgb="FF000000"/>
        <rFont val="Arial"/>
        <family val="2"/>
      </rPr>
      <t>(This indicator includes targets from activity:2.1, 2.3,2.4 )</t>
    </r>
  </si>
  <si>
    <t>In this indicator we will include activities:
2.1: 812 individuals from Community Based Workers, Community Safety Action Groups, parasocial workers, Centre Management
Committees and Community activists receiving training and mentoring.
612 GBV community activists (CA) trained and supported.
2.3: 8 WGSS facilitators from the community will be trained and 600 vulnerable women and girls will receive skilling services.
2.4: 610 individuals will be trained.
The indicator targets the dissemination of information involving provision of information targeting larger audiences. The discussions usually involve relevant rights and entitlements, closely linked to the actual risks faced by the target group due to the crisis. Entitlements encompass the availability and accessibility of services provided by humanitarian agencies and other actors. Specific dissemination target groups and the focus of information should be highlighted (e.g., rights and access to services awareness, child-specific measures, sensitization campaigns, risk awareness, IHL/IHRL dissemination). The number of persons reached must be disaggregated by age, sex and disability in reporting.</t>
  </si>
  <si>
    <t>Registration records, attendance records, referral checklists, activity pictures, project reports,. Complaints and feedback mechanisms including records at protection, information and support centre desks or centres.</t>
  </si>
  <si>
    <t>Monthly, quartly and annually</t>
  </si>
  <si>
    <r>
      <t>Number of persons effectively referred to other specialised service or assistance providers.</t>
    </r>
    <r>
      <rPr>
        <b/>
        <sz val="9"/>
        <color rgb="FF000000"/>
        <rFont val="Arial"/>
        <family val="2"/>
      </rPr>
      <t>(This indicator includes targets from activity: 2.3)</t>
    </r>
  </si>
  <si>
    <t>This indicator focuses on ensuring that beneficiaries referred by the STEPS Consortium to other service providers have their referrals addressed, meaning they receive multiple services. By signing a data-sharing MOU, CARE and WCH will collaborate with UNHCR, allowing STEPS local partners to access the UNHCR Refugee Progress V4 database and the Global Distribution Tool (GDT) for improved interagency referrals and tracking. Additionally, STEPS will maintain referral registers as a backup for tracking the effectiveness of referrals, including the number of completed and successfully closed referrals. Feedback from service providers will be collected to enhance referral processes. STEPS will also work with other ECHO-funded consortia to update the Inter Consortia BNA Referral Guide to ensure beneficiaries receive comprehensive protection services</t>
  </si>
  <si>
    <t>Referral records, UNHCR beneficiary Progress V4 database, project reports, inter-consortia dashboard on BNA and project monitoring tools.</t>
  </si>
  <si>
    <t>Monthly, quarterly and annually</t>
  </si>
  <si>
    <r>
      <rPr>
        <sz val="8"/>
        <color rgb="FF000000"/>
        <rFont val="Arial"/>
      </rPr>
      <t>Number of participants showing increased knowledge on the protection subject in focus</t>
    </r>
    <r>
      <rPr>
        <b/>
        <sz val="8"/>
        <color rgb="FF000000"/>
        <rFont val="Arial"/>
      </rPr>
      <t>.(This indicator includes targets from activity:2.1 &amp; 2.3)</t>
    </r>
  </si>
  <si>
    <t>1) Protection information dissemination refers to provision of information as opposed to actual training or capacity building on
protection; as such this will normally target larger numbers than capacity building, and will not involve testing of increased knowledge.
2) Relevant rights and entitlements must be defined and should be closely linked to actual risks faced be the targeted group as a
result of the crisis.
3) Entitlements refers (but is not limited to) availability and accesibility of services (both provided by humanitarian agencies and other
actors).
4) In comments field the target group of dissemination (population/authorities/AFs/AGs, etc.) should be clarified.
5) In comments field define focus of information (Rights and access to services awareness, including child-specific measures,
Sensitisation campaigns/Risk awareness; IHL/IHRL dissemination).
6) Number of persons must be disaggregated by age and sex at reporting stage.</t>
  </si>
  <si>
    <t>Data from appropriate registration records, attendance records of several activities, referral checklist, activity pictures and project
reports. Complaints and feedback mechanisms that demonstrate that the targeted population is aware of their rights and entitlementsThis indicator includes targets from activities:
2.1: 10,600 people will be reached via radio messaging
2.1: 9,100 people receiving messages through recreational activities
2.1: 1,700 adolescents/children will also be reached with Comic books
2.1: 1,700 leaders through community brazas
2.3: 1,700 women and girls will be reached with GBV information
including records at protection, information and support centre desks or centres.
This includes support through women and girl safe spaces, support activities targeting adolescent girls, and information and
education activities for GBV, legal protectionProject documents, pre and post training tests, referral forms, referrals checklists, service registers, project records and activity monitoring data, attendance lists.</t>
  </si>
  <si>
    <r>
      <t>Percentage of women and girls with specific protection needs (e.g., survivors of gender-based violence, persons with disabilities,
pregnant or lactating women) who report feeling safe and supported after accessing services at the women and girls safe spaces.</t>
    </r>
    <r>
      <rPr>
        <b/>
        <sz val="9"/>
        <color rgb="FF000000"/>
        <rFont val="Arial"/>
        <family val="2"/>
      </rPr>
      <t>(This indicator includes targets from activity:2.3)</t>
    </r>
  </si>
  <si>
    <t>This indicator measures the effectiveness of the safe spaces in addressing the needs of vulnerable women and girls within the community, assessing both service provision and perceived impact on safety and well-being.</t>
  </si>
  <si>
    <t>Referral records, client satisfaction surveys, project reports,  inter-consortia dashboard on BNA , ProGres and project monitoring tools</t>
  </si>
  <si>
    <t xml:space="preserve"> Monthly, quarterly and annually</t>
  </si>
  <si>
    <r>
      <t>RESULT 3:</t>
    </r>
    <r>
      <rPr>
        <sz val="14"/>
        <rFont val="Arial Black"/>
        <family val="2"/>
      </rPr>
      <t>Local partners effectively respond to Child Protection risks among new arrivals appropriate to their age, gender, and disability</t>
    </r>
  </si>
  <si>
    <t>Indicator 1:Number of persons who receive an appropriate response.(This indicator includes targets from activity: 3.1)</t>
  </si>
  <si>
    <t>1) This indicator covers response to people (adults and children) having been victims of all kinds of violence. If the response provided
is solely for suvivors of GBV, please select the GBV sub-sector.
2) Appropriate response is defined as the provision of comprehensive services/assistance based on a thorough analysis of the risks
faced by persons. The protection outcome of the response must be well defined. Relevant SOPs (including functional Referral
Mechanism) should be followed.
3) Use the comments field to describe what services (medical, MHPSS, legal, security, etc.) are foreseen, as well as the SOPs in
place.
4) Number of persons must be disaggregated by age and sex at reporting stage.
5) If action also includes prevention activities, please add a custom indicator to reflect this.</t>
  </si>
  <si>
    <t>Project data from the implementation of Journey of life and HEART activities, Child registration database,Referral forms for children at risk</t>
  </si>
  <si>
    <t xml:space="preserve"> Monthly quarterly </t>
  </si>
  <si>
    <t>AWYAD, KRC, URDMC, CEPAD, HADS</t>
  </si>
  <si>
    <t>Indicator 2:Number of unaccompanied and/or separated children who are reunited with their caregivers OR in appropriate protective care
arrangements based on BIA(This indicator includes targets from activity: 3.1)</t>
  </si>
  <si>
    <t xml:space="preserve">1) Care arrangements can include temporary care arrangements in host family or other care arrangements.
2) Appropriate means (but is not limited to) that care arrangements must take into account different needs of children based on their
age, sex and diversity. Morevoer they must as much as possible be defined taking into account the specificities of the context and -
when appropriate - be built on existing coping mechanisms.
3) Appropriate is related to the physical safety and psychosocial well-being of the child. Specific attention should be put on
non-discrimination of fostered children compared to biological ones.
4) Unaccompanied and/or separated children must be disaggegated by age, sex and UAM/SC. </t>
  </si>
  <si>
    <t xml:space="preserve">Statistics from appropriate case management system/database; SOPs for dealing with SC/UAC,  Child registration database,Referral forms for children at risk, </t>
  </si>
  <si>
    <t xml:space="preserve"> Monthly, quarterly </t>
  </si>
  <si>
    <r>
      <t>Indicator 3: Number of participants showing an increased knowledge on the protection subject in focus(</t>
    </r>
    <r>
      <rPr>
        <b/>
        <sz val="8"/>
        <rFont val="Arial"/>
        <family val="2"/>
      </rPr>
      <t>This indicator includes targets from activity:  3.6 )</t>
    </r>
  </si>
  <si>
    <t>1) Define type of participants (population/authorities/Armed Forces/Armed Groups, etc.).
2) Define % increase of knowledge expected.
3) Describe subject of training.
4) At reporting stage, the number of participants must be disaggregated by age and sex.</t>
  </si>
  <si>
    <t>Project documents, pre and post training tests, referral forms, referrals checklists, service registers, project records and activity
monitoring data.</t>
  </si>
  <si>
    <t xml:space="preserve"> Monthly, quartly </t>
  </si>
  <si>
    <r>
      <t>Indicator 4: Number of parents, caregivers, foster families, and community stakeholders who receive training, guidance and support to address child protection concerns</t>
    </r>
    <r>
      <rPr>
        <b/>
        <sz val="8"/>
        <color rgb="FF000000"/>
        <rFont val="Arial"/>
        <family val="2"/>
      </rPr>
      <t xml:space="preserve"> (This indicator includes targets from activity: 3.4 )</t>
    </r>
  </si>
  <si>
    <t xml:space="preserve">Has no indicator definition (This indicator needs to be defined) </t>
  </si>
  <si>
    <t>Project records, referral checklists, Child protection database, distribution lists, as well as service provided forms and distribution forms
will be used to collect the required data.</t>
  </si>
  <si>
    <r>
      <t>Indicator 5: Number of functional community action plans developed by communities to address specific CP concerns in their communities</t>
    </r>
    <r>
      <rPr>
        <b/>
        <sz val="8"/>
        <color rgb="FF000000"/>
        <rFont val="Arial"/>
        <family val="2"/>
      </rPr>
      <t>.(This indicator includes targets from activity: 3.2)</t>
    </r>
  </si>
  <si>
    <t>Project records. Minutes from engagement meetings with community stakeholders, Activity reports, Notes from parenting without
violence sessions / Positive parenting. Notes/ Updates shared by partners in settlement child protection working group meetings.</t>
  </si>
  <si>
    <t xml:space="preserve"> 21 Community Action plans.
4,300 Childre supported with  Case Management. </t>
  </si>
  <si>
    <t xml:space="preserve">Indicator 6: Number of children and parents/ caregiver who have been reached by environmental conservation initiatives by the end of the intervention compared to the beginning. </t>
  </si>
  <si>
    <t>Has no indicator definition (This indicator needs to be defined) (This indicator includes targets from activity: 3.5)</t>
  </si>
  <si>
    <t>Project records, event participation list.</t>
  </si>
  <si>
    <t xml:space="preserve"> monthly, quartly </t>
  </si>
  <si>
    <r>
      <t>Result AREA 4:</t>
    </r>
    <r>
      <rPr>
        <sz val="16"/>
        <rFont val="Arial"/>
        <family val="2"/>
      </rPr>
      <t xml:space="preserve"> Local partners effectively respond to Mental Health and Psychosocial Support needs among new arrivals appropriate to their age,
gender, and disability.</t>
    </r>
  </si>
  <si>
    <t>Column1</t>
  </si>
  <si>
    <t>Column2</t>
  </si>
  <si>
    <t>Column3</t>
  </si>
  <si>
    <t>Column4</t>
  </si>
  <si>
    <t>Column5</t>
  </si>
  <si>
    <t>Column6</t>
  </si>
  <si>
    <t>Indicator</t>
  </si>
  <si>
    <t xml:space="preserve">Percentage Achivement </t>
  </si>
  <si>
    <t>Percentage</t>
  </si>
  <si>
    <t>Result 2: Local partners effectively respond to GBV and protection risks among new arrivals appropriate to their age, gender, and disability.</t>
  </si>
  <si>
    <t>GBV Case Management/ Documantation &amp; provision of multisectoral support to GBV survivors. Psychosocial Support/ GBV screening and registration of survivors at the reception and transit centre</t>
  </si>
  <si>
    <t>GBV case conferencing: Facilitate Bi annual meetings case conferencing at settlement and district levels (Meetings)</t>
  </si>
  <si>
    <t>Update the referral pathways together with other stakeholders. (Pathways)</t>
  </si>
  <si>
    <t>Indicator 2 
Number of participants showing an increased knowledge on the protection subject in focus.</t>
  </si>
  <si>
    <t>Provide working tools to GBV community structures (touches, gumboots, raincoats, bags, stationery etc)</t>
  </si>
  <si>
    <t>Strengthen capacity of key community structures and leaders to support GBV prevention and responses. GBV referral, reporting training and mentorship.</t>
  </si>
  <si>
    <t>Clinical care training for sexual assault survivors 30 health workers.</t>
  </si>
  <si>
    <t>Training for police (30) on existing GBV referral protocols and case conferencing (60% women)</t>
  </si>
  <si>
    <t xml:space="preserve">Refer individual protection assistance to access survivor fund from UCC </t>
  </si>
  <si>
    <t>Refer GBV survivors to access in kind material support - dignity kits, hygiene kits from service providers</t>
  </si>
  <si>
    <t>Comic Book sessions for adolescent girls and young women</t>
  </si>
  <si>
    <t>GBV information counselling to women and girls and provide skilling services to vulnerable women &amp; girls)</t>
  </si>
  <si>
    <t>Indicator 5
Percentage of women and girls with specific protection needs (e.g., survivors of gender-based violence, persons with disabilities, Percentage of women and girls with specific protection needs (e.g., survivors of gender-based violence, persons with disabilities, pregnant or lactating women) who report feeling safe and supported after accessing services at the women and girls safe spaces.</t>
  </si>
  <si>
    <t>Establish and maintain women and girls safe spaces.</t>
  </si>
  <si>
    <t>Establish permanent Women and Girls Safe Space</t>
  </si>
  <si>
    <t>Operationalize the WGSS - Provide integrated services to women and girls at the safe spaces</t>
  </si>
  <si>
    <t>Result 3: Local partners effectively respond to Child Protection risks among new arrivals appropriate to their age, gender, and disability.</t>
  </si>
  <si>
    <t>Indicator 1:
Number of persons who receive an appropriate response.</t>
  </si>
  <si>
    <t>Provide appropriate case management support through documentation and reporting of cases (Nakivale 1350, Nyakabande 2000)</t>
  </si>
  <si>
    <t>Trainings and conduct case conferencing for child protection cases and provide durable solutions.</t>
  </si>
  <si>
    <t>Training for staff on Best Interest Procedure (BIP) alternative care framework by MGLSD and Progress V4</t>
  </si>
  <si>
    <t>Case Management &amp; referrals to service providers - Provide Individual Protection Assistance to children like blankets, sleeping mats, clothes.etc</t>
  </si>
  <si>
    <t>Operationalize child friendly spaces and train and facilitate ECD caregivers and support peer-to-peer group activities at the CFS</t>
  </si>
  <si>
    <t xml:space="preserve">Provide learning or training materials and stationaries including art books, charts, pencils, crayons, etc. (frequency) </t>
  </si>
  <si>
    <t>Capacity strengthening, training and mentorship of community structures on Inter-agency Standing Committee (IASC) guidelines for case management and child protection.</t>
  </si>
  <si>
    <t xml:space="preserve">Children with CP concerns Identified at community-level by Parasocial workers, shelter leaders, community leaders </t>
  </si>
  <si>
    <t xml:space="preserve">Procure and distribute IEC materials, visibility materials. (Frequency) </t>
  </si>
  <si>
    <t>Government staff (including Probation and Welfare Officer, Sub County CDO and OPM) members of CPCs at community-level trained on CP and supported to attend monthly meetings</t>
  </si>
  <si>
    <t>Indicator 4: 
Number of parents, caregivers, foster families, and community stakeholders who receive training, guidance and support to address child protection concerns.</t>
  </si>
  <si>
    <t>Sensitize parents, caregivers, and community members on  the prevention of abuse and neglect of children (Be there and parenting without violence)</t>
  </si>
  <si>
    <t xml:space="preserve">Provide material support to foster parents and care givers </t>
  </si>
  <si>
    <t>Indicator 6: 
Number of children and parents/ caregivers who have been reached by environmental conservation initiatives by the end of the intervention compared to the beginning.</t>
  </si>
  <si>
    <t>Conduct Interactive Sessions with Children on Rights and Responsibility, adoption of environment friendly practices.</t>
  </si>
  <si>
    <t>STEPS</t>
  </si>
  <si>
    <t>Result Areas</t>
  </si>
  <si>
    <t>Activity</t>
  </si>
  <si>
    <t>Open</t>
  </si>
  <si>
    <t>Closed</t>
  </si>
  <si>
    <t>Indicator Percentage</t>
  </si>
  <si>
    <t>Outcome 2</t>
  </si>
  <si>
    <t>Indicator 1
Number of survivors who receive an appropriate response to GBV</t>
  </si>
  <si>
    <t>Screening and Registration of survivors at transit centres</t>
  </si>
  <si>
    <t>Updating the refferal Pathway</t>
  </si>
  <si>
    <t>GBV Survivor fund support</t>
  </si>
  <si>
    <t>Indicator 2 
Number of participants showing an increased knowledge on the protection subject in focus</t>
  </si>
  <si>
    <t>Strengthening Community Structures</t>
  </si>
  <si>
    <t>Skilling to vulnerable women</t>
  </si>
  <si>
    <t>Indicator 3
Number of persons effectively referred to other specialised service or assistance providers.</t>
  </si>
  <si>
    <t>GBV Refferals</t>
  </si>
  <si>
    <t>Indicator 4
Number of persons with increased/appropriate information on relevant rights and/or entitlements</t>
  </si>
  <si>
    <t>Refresher Sessions for centre management committees; to be held at Women and Girls Safe Spaces</t>
  </si>
  <si>
    <t>Working tools to community structures</t>
  </si>
  <si>
    <t xml:space="preserve">Establish or maintain/enhance exisiting Women and Girls Safe spaces (WGSS) in refugee settlements. </t>
  </si>
  <si>
    <t>Reach through women and girls safe spaces</t>
  </si>
  <si>
    <t>GBV Awareness</t>
  </si>
  <si>
    <t xml:space="preserve">2.5: Percentage of women and girls with specific protection needs (e.g., survivors of gender-based violence, persons with disabilities,
pregnant or lactating women) who report feeling safe and supported after accessing services at the women and girls’ safe spaces. (This indicator includes targets from activity:2.3)
</t>
  </si>
  <si>
    <t>Result 3</t>
  </si>
  <si>
    <t>Identification, registration and assessment of children at risk</t>
  </si>
  <si>
    <t>Case Management for Children</t>
  </si>
  <si>
    <t>Children Refferals</t>
  </si>
  <si>
    <t>Case Conferencing Meetings for children</t>
  </si>
  <si>
    <t>Team Up and Journey of life</t>
  </si>
  <si>
    <t xml:space="preserve">Facilitate CFS Facilitators  </t>
  </si>
  <si>
    <t>IPA support to children</t>
  </si>
  <si>
    <t>Family reunification</t>
  </si>
  <si>
    <t>Best Interest Procedure training</t>
  </si>
  <si>
    <t>Indicator 4: 
 Number of parents, caregivers, foster families, and community stakeholders who receive training, guidance and support to address
child protection concerns</t>
  </si>
  <si>
    <t>Training and mentorship of community level actors and structures</t>
  </si>
  <si>
    <t>Be there parenting without violence</t>
  </si>
  <si>
    <t>Sensitize parents, caregivers, and community members on  the prevention of abuse and neglect of children</t>
  </si>
  <si>
    <t>Community Action Plans</t>
  </si>
  <si>
    <t>Environmental Conservation and Climate education for parents and children.</t>
  </si>
  <si>
    <t>STEPS Transition MEAL Framework</t>
  </si>
  <si>
    <t>Project Title: Sustainable Transition to Locally led Emergency and Protection Services</t>
  </si>
  <si>
    <t xml:space="preserve">Projct Start Date: </t>
  </si>
  <si>
    <t>RESULT</t>
  </si>
  <si>
    <t>Indicator Definition</t>
  </si>
  <si>
    <t xml:space="preserve">Activities contributing to the  INDICATORS </t>
  </si>
  <si>
    <t>Activity Target</t>
  </si>
  <si>
    <t>Quarter 1 (Jul - Oct 2024)</t>
  </si>
  <si>
    <t>Quarter 2 (Nov - Feb)2024)</t>
  </si>
  <si>
    <t>Q1(Refugee)</t>
  </si>
  <si>
    <t>Q1(Host)</t>
  </si>
  <si>
    <t>Q1 Total</t>
  </si>
  <si>
    <t>Q1 Total Summary</t>
  </si>
  <si>
    <t>Q2(Refugee)</t>
  </si>
  <si>
    <t>Q2(Host)</t>
  </si>
  <si>
    <t>Q2 Total</t>
  </si>
  <si>
    <t>Q2 Total Summary</t>
  </si>
  <si>
    <t>% Achievement @ 1st Yr</t>
  </si>
  <si>
    <t xml:space="preserve">PRINCIPAL OBJECTIVE:Strengthening local organisations' capacities to deliver emergency response protection services to Congolese and South Sudanese
 refugees, asylum seekers and vulnerable host communities in Uganda, prioritising newly arrived refugees
</t>
  </si>
  <si>
    <t xml:space="preserve">Achieved </t>
  </si>
  <si>
    <t>Varience</t>
  </si>
  <si>
    <t>Total Reach Per activity Target</t>
  </si>
  <si>
    <t>1) This indicator covers response to survivors of GBV (women, men, girls and boys).
2) Appropriate response is defined as the provision of comprehensive services/assistance based on a thorough analysis of the risks
faced by persons. The protection outcome of the response must be well defined. Relevant SOPs (including functional Referral
Mechanism) should be followed.
3) Use the comments field to to describe what services (medical, MHPSS, legal, security, etc.), as well as SOPs in place.
4) Number of persons must be disaggregated by age and sex at reporting stage.
5) If action also includes prevention activities, please add a custom indicator to reflect this.</t>
  </si>
  <si>
    <t>GBV Case Management
Activity 2.2: STEPS will support 1,570 survivors with case management and referrals: 200 in Kyangwali, 200 in Nakivale, 200 in Rwamwanja, 120 in Palorinya, 200 in Palabek, 350 in Kiryandongo and 300 in Rhino Camp.
Activity 2.3 
Through HADS, AWYAD and TRW 600 GBV survivors will be supported with case management at WGSS, including in-kind Emergency kits: 200 in Kyangwali by AWYADS, 200 in Rwamwanja by HADs and 200 in Nakivale by TRW. Under protection case management PSN/EVIs will be referred to other
ECHO-funded consortia and government development programmes (DRDIP and ReHope) for extended support, improving their well-being and dignity.</t>
  </si>
  <si>
    <t xml:space="preserve">
Support GBV screening and registration survivors at the reception and transit centres.</t>
  </si>
  <si>
    <t>GBV Case Conferencing
Activity 2.2: Protection and GBV case management may require multi-sectoral intervention from other partners. The trained case workers and project team from TRW, HADS, AWYAD, KRC, CEPAD and URDMC will organise quarterly case conferencing together with UNHCR, OPM and protection partners to discuss critical GBV cases and provide durable solutions for each survivor. 9 joint case conferencing will be facilitated. The trained case workers and project team from TRW, HADS, AWYAD, KRC, CEPAD and URDMC will organise quarterly case conferencing together with UNHCR, OPM and protection partners to discuss critical GBV cases and provide durable solutions for each survivor. 9 joint case conferencing will be facilitated.</t>
  </si>
  <si>
    <t>Updating the Refferal Pathway</t>
  </si>
  <si>
    <t xml:space="preserve">
Activity 2.2
In addition, and to reduce barriers in accessing timely lifesaving protection and GBV response services a following emergency survivor fund policy developed by CARE (350 survivors in total, i.e. 50 in each of the seven locations). The survivor funds are given in cash an amount not more than 50,000 UGX, as guided by the CARE support policy for survivors of GBV in an emergency setting in Uganda.</t>
  </si>
  <si>
    <t>In this indicator we will include activities:
2.1: 812 individuals from Community Based Workers, Community Safety Action Groups, parasocial workers, Centre Management
Committees and Community activists receiving training and mentoring.
612 GBV community activists (CA) trained and supported.
2.3: 8 WGSS facilitators from the community will be trained and 600 vulnerable women and girls will receive skilling services.
2.4: 610 individuals will be trained.</t>
  </si>
  <si>
    <t>Training Community Structures
Activity 2.4 
STEPS partners will strengthen and support the capacity of the different actors and existing community structures to effectively respond to and prevent GBV. In total, TRW, HADS and AWYAD will reach 260 (131 F, 129 M) individuals from the community structures through GBV reporting and referral training, coaching and mentorship (Kyangwali 90, Nakivale 85 and Rwamwanja 85); and URDMC, KRC, CEPAD will reach 135 (54 M, 81 F) individuals (Palorinya 25, Kiryandongo 15, Rhino 40, Palabek 55).</t>
  </si>
  <si>
    <t>Activity 2.3 
HADS, AWYAD and TRW will provide skilling services to 600 vulnerable women and girls, 200 in Kyangwali, 350 in Nakivale and 150 in Rwamwanja, for their socio-economic empowerment, aiming to reduce women and adolescent girls’ exposure to GBV risks and negative coping mechanisms.</t>
  </si>
  <si>
    <t>Indicator 3
Number of persons effectively referred to other specialised service or assistance providers.</t>
  </si>
  <si>
    <t>This indicator includes targets from activity:
2.3: 1,700 women and girls will be referred to other support services</t>
  </si>
  <si>
    <t>GBV Referrals
STEPS will support 1,570 survivors with case management and referrals: 200 in Kyangwali, 200 in
Nakivale, 200 in Rwamwanja, 120 in Palorinya, 200 in Palabek, 350 in Kiryandongo and 300 in Rhino Camp.</t>
  </si>
  <si>
    <t>Number of persons with increased/appropriate information on relevant rights and/or entitlements</t>
  </si>
  <si>
    <t>Train Centre Management Commitees at Women and Girl's Safe Spaces
Activity 2.3 
The women and girls’ safe spaces (WGSS) provide a vital entry point for female GBV survivors to safely access information on protection, case management, MHPSS and other specialised services, as well as referrals to health, protection, and other services through the Consortium's established referral pathways and the GBV sub-cluster. We will also conduct refresher sessions to 63 WGSS Centre Management Committees (CMC’s) on leadership and safe space management and Income Generating Activities (IGA), which will contribute to their long term sustainability; 13 CMC sessions in Rwamwanja, 25 CMCs in Kyangwali and 25 CMCs in Nakivale.</t>
  </si>
  <si>
    <t xml:space="preserve">    Nakivale</t>
  </si>
  <si>
    <t>Provide working Tools to GBV Structures
Activity 2.3 
We will provide support and working tools (torches, gumboots, raincoats, bags, stationery, etc.) to GBV community structures, such as RWCs, women representatives at community level, CBWs, WGSS management committees, to facilitate their work: 350 sets of tools in total, 50 in each of the seven locations</t>
  </si>
  <si>
    <t>Establish or Maintain Girl's Safe Spaces
Activity 2.3: 
Establish or maintain/enhance exisiting Women and Girls Safe spaces (WGSS) in refugee settlements. (Kyangwali 200, Rwamwanja 200, Palorinya 200, Palabek 500, Kiryandongo 500, Rhino Camp 500, Nakivale 350.</t>
  </si>
  <si>
    <t>Reach through Women and Girls Safe Spaces
Activity 2.3
STEPS will reach a total of 9,700 individuals with different services through WGSS: 5,000 in Kyangwali, 1,000 in Nakivale, 2,000 in Rwamwanja, 200 in Palorinya, 600 in Kiryandongo, 500 in Rhino and 400 in Palabek.</t>
  </si>
  <si>
    <t>Sensitization dialogues</t>
  </si>
  <si>
    <t>Women Reporting a feeling of safety</t>
  </si>
  <si>
    <t>Identification, registration and assessment of Children at Risk 
Activity: 3.1 
Support the identification, registration and assessment of Children at Risk (CAR) to access child protection services - case management, and referrals for cash - through the existing Child Protection structures. In total 5,000 children at risk will be supported with identification, registration and assessment for provision of child protection services (Kyangwali 600 by HADS; Nakivale and Nyakabande Transit centre 1,300 and Rwamwanja 600 by AWYAD; Palorinya 400 by CEPAD; Palabek 500 and Kiryandongo 800 by URDMC; and Rhino 800 by KRC)</t>
  </si>
  <si>
    <t>Case Management 
Activity 2 
Provide emergency support to Children at Risk (CAR) and their caregivers including Basic Food items and enroute kits at the reception and transit centres. Under this activity, STEPS partners will assess and provide case management support to 4,300 children and parents (600 in Kiryandongo, 600 Rhino, 400 Palabek, 300 in Palorinya, 600 Nakivale, 1200 in Kyangwali and 600 in Rwamwanja).</t>
  </si>
  <si>
    <t>Children Referrals
Activity: 3.1
Support the identification, registration and assessment of Children at Risk (CAR) to access child protection services - case management, and referrals for cash - through the existing Child Protection structures. Among them 480 children with heightened risk will be identified and referred to cash implementing partners such as UCC for cash support. Among them 4,300 children and parents will be identified and referred to Shelter/ NFI actors to receive enroute kits.</t>
  </si>
  <si>
    <t>Case Conferencing
Activity 3.1
 We will organise case conferencing meetings with CP partners to handle complex cases on a quarterly basis. This will be in collaboration with other key child protection partners, the district probation and welfare officers, OPM and UNHCR focal points who will be facilitated to attend the meetings. In total 28 meetings will be conducted (4 in each location).</t>
  </si>
  <si>
    <t>Team UP
Provide emotional support to distressed children using the team up ad journey of life models.</t>
  </si>
  <si>
    <t>1) Care arrangements can include temporary care arrangements in host family or other care arrangements.
2) Appropriate means (but is not limited to) that care arrangements must take into account different needs of children based on their
age, sex and diversity. Morevoer they must as much as possible be defined taking into account the specificities of the context and -
when appropriate - be built on existing coping mechanisms.
3) Appropriate is related to the physical safety and psychosocial well-being of the child. Specific attention should be put on
non-discrimination of fostered children compared to biological ones.
4) Unaccompanied and/or separated children must be disaggegated by age, sex and UAM/SC.</t>
  </si>
  <si>
    <t xml:space="preserve">Family Reunification
Activity: 3.1 
Support the identification, registration and assessment of Children at Risk (CAR) to access child protection services - case management, and referrals for cash - through the existing Child Protection structures. Among them, 50 will be supported with family reunification service. </t>
  </si>
  <si>
    <t>TO BE DONE BY CARE</t>
  </si>
  <si>
    <t>In this indicator we will include activity:
3.1: 55 Child Protection staff trained in Best Interests Procedure (BIP).
3.6: 12 Government staff and 135 members of CPCs supported to actively participate in and support the monthly CP meetings. 300
district local government staff, non-child protection institutional actors and CBWs trained and mentored.
3.6: 35 L/NAs staff provided with Trainer of Trainers (ToT) training on Child Protection concepts</t>
  </si>
  <si>
    <t>STEPS will train 55 Child Protection staff in Best Interests Procedure (BIP), alternative care management and ProGres4 (5 in
Kiryandongo, 15 Rhino, 5 Palabek, 5 in Palorinya, 5 Nakivale, 15 in Kyangwali and 5 in Rwamwanja). Training will be conducted
quarterly.</t>
  </si>
  <si>
    <t>Number of parents, caregivers, foster families, and community stakeholders who receive training, guidance and support to address
child protection concerns.</t>
  </si>
  <si>
    <t xml:space="preserve">Training and mentorship of community-level actors and structures
Activity: 3.3 Support community-level Child Protection with a nexus lens through training and mentorship of community-level actors and structures to effectively deliver safe, age-appropriate and sustainable child protection activities in refugee settlements and transit centres and through CP messaging. 
21 (3 CAPs per settlement ), 480 CPCs, community leaders(100 By HADS in Kyangwali, By 100 HADS  in Rwamwanja, 150 BY AWYAD in Nakivale and Nyakabande, 25 By CEPAD in Palorinya, 40 By KRC in Rhinocamp, 55 By URDMC in Palabek and 15 By URDMC in Kiryandongo. As a result, 7,000 girls, boys and children will be supported through CPCs (1000 in each location) and 22,000 community members will be sensitised in child protection concerns and ways to address them. </t>
  </si>
  <si>
    <t>Nakivale&amp; Nyakabande</t>
  </si>
  <si>
    <t>Be There and Parenting without violence approaches 
Activity: 3.4 Enhance caregivers and family support initiatives using the Be There and Parenting without violence approaches, while linking caregivers with available livelihood, skilling and market-oriented opportunities. 2350 (350 by AWYAD in Nakivale and Nyakabande transit centre; 850 by HADS in Rwamwanja, and Kyangwali,  150 by CEPAD in Palorinya, 400 by KRC in Rhino, and 200 Palabek and 400 Kiryandongo by URDMC)</t>
  </si>
  <si>
    <t>Nakivale &amp;Nyakabande</t>
  </si>
  <si>
    <t>Number of functional community action plans developed by communities to address specific CP concerns in their communities.</t>
  </si>
  <si>
    <t>Develop Community Action Plans
Activity 3
STEPS partners will work with established community structures, such as the CPCs, RWCs, Schools, Police and civil society to develop 21 Community Action Plans (CAPs), three in each of the seven settlements where STEPS operates, to guide mobilisation for improving CP on sites. For the
actioning of CAPs, CPCs and other stakeholders will be trained on key components of CP, benefiting from linking up CAPs, CPservice providers, and non-CP service providers (WASH, Health).</t>
  </si>
  <si>
    <t>Environmental conservation and climate education
Activity 5
Engage children and their caregivers in both environmental conservation and climate education.
In southwestern Uganda settlements, a total of 1,500 individuals (500 caregivers, 1,000 children) will be engaged in the greening of the settlements: 500 in Kyangwali by HADS, 500 in Rwamwanja by TRW and 500 in Nakivale by AWYAD.</t>
  </si>
  <si>
    <t>ID</t>
  </si>
  <si>
    <t>Start time</t>
  </si>
  <si>
    <t>Completion time</t>
  </si>
  <si>
    <t>Email</t>
  </si>
  <si>
    <t>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</si>
</sst>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85" x14ac:knownFonts="1">
    <font>
      <sz val="11"/>
      <color theme="1"/>
      <name val="Calibri"/>
      <family val="2"/>
      <scheme val="minor"/>
    </font>
    <font>
      <sz val="11"/>
      <color theme="1"/>
      <name val="Calibri"/>
      <scheme val="minor"/>
    </font>
    <font>
      <sz val="11"/>
      <color theme="1"/>
      <name val="Calibri"/>
      <family val="2"/>
      <scheme val="minor"/>
    </font>
    <font>
      <b/>
      <sz val="18"/>
      <name val="Arial"/>
      <family val="2"/>
    </font>
    <font>
      <b/>
      <sz val="11"/>
      <color theme="1"/>
      <name val="Calibri"/>
      <family val="2"/>
      <scheme val="minor"/>
    </font>
    <font>
      <b/>
      <sz val="8"/>
      <name val="Arial"/>
      <family val="2"/>
    </font>
    <font>
      <sz val="11"/>
      <color rgb="FF000000"/>
      <name val="Arial Black"/>
      <family val="2"/>
    </font>
    <font>
      <sz val="8"/>
      <color rgb="FF000000"/>
      <name val="Arial Black"/>
      <family val="2"/>
    </font>
    <font>
      <sz val="8"/>
      <color rgb="FF000000"/>
      <name val="Arial"/>
      <family val="2"/>
    </font>
    <font>
      <sz val="12"/>
      <color rgb="FF000000"/>
      <name val="Arial Black"/>
      <family val="2"/>
    </font>
    <font>
      <sz val="10"/>
      <color rgb="FF000000"/>
      <name val="Arial Black"/>
      <family val="2"/>
    </font>
    <font>
      <sz val="12"/>
      <color rgb="FFC55A11"/>
      <name val="Arial Black"/>
      <family val="2"/>
    </font>
    <font>
      <sz val="8"/>
      <name val="Arial"/>
      <family val="2"/>
    </font>
    <font>
      <b/>
      <sz val="8"/>
      <color rgb="FF000000"/>
      <name val="Arial"/>
      <family val="2"/>
    </font>
    <font>
      <sz val="16"/>
      <color rgb="FFFF0000"/>
      <name val="Arial Black"/>
      <family val="2"/>
    </font>
    <font>
      <sz val="11"/>
      <name val="Arial Black"/>
      <family val="2"/>
    </font>
    <font>
      <b/>
      <sz val="9"/>
      <color rgb="FF000000"/>
      <name val="Arial"/>
      <family val="2"/>
    </font>
    <font>
      <sz val="9"/>
      <color rgb="FF000000"/>
      <name val="Arial"/>
      <family val="2"/>
    </font>
    <font>
      <sz val="14"/>
      <name val="Arial Black"/>
      <family val="2"/>
    </font>
    <font>
      <sz val="14"/>
      <color rgb="FFED7D31"/>
      <name val="Arial Black"/>
      <family val="2"/>
    </font>
    <font>
      <sz val="8"/>
      <color rgb="FFED7D31"/>
      <name val="Arial Black"/>
      <family val="2"/>
    </font>
    <font>
      <sz val="8"/>
      <color rgb="FF2F75B5"/>
      <name val="Arial"/>
      <family val="2"/>
    </font>
    <font>
      <sz val="16"/>
      <name val="Arial"/>
      <family val="2"/>
    </font>
    <font>
      <b/>
      <sz val="16"/>
      <color rgb="FFED7D31"/>
      <name val="Arial"/>
      <family val="2"/>
    </font>
    <font>
      <sz val="8"/>
      <color rgb="FF000000"/>
      <name val="Arial"/>
    </font>
    <font>
      <b/>
      <sz val="8"/>
      <color rgb="FF000000"/>
      <name val="Arial"/>
    </font>
    <font>
      <sz val="11"/>
      <color theme="1"/>
      <name val="Arial"/>
      <family val="2"/>
    </font>
    <font>
      <sz val="11"/>
      <name val="Arial"/>
      <family val="2"/>
    </font>
    <font>
      <b/>
      <sz val="11"/>
      <color theme="3" tint="-0.249977111117893"/>
      <name val="Calibri"/>
      <family val="2"/>
      <scheme val="minor"/>
    </font>
    <font>
      <b/>
      <sz val="11"/>
      <color rgb="FFFF0000"/>
      <name val="Calibri"/>
      <family val="2"/>
      <scheme val="minor"/>
    </font>
    <font>
      <b/>
      <sz val="11"/>
      <name val="Calibri"/>
      <family val="2"/>
      <scheme val="minor"/>
    </font>
    <font>
      <sz val="11"/>
      <name val="Calibri"/>
      <family val="2"/>
      <scheme val="minor"/>
    </font>
    <font>
      <sz val="11"/>
      <color rgb="FF000000"/>
      <name val="Calibri"/>
      <family val="2"/>
      <scheme val="minor"/>
    </font>
    <font>
      <b/>
      <i/>
      <sz val="11"/>
      <color theme="1"/>
      <name val="Calibri"/>
      <family val="2"/>
      <scheme val="minor"/>
    </font>
    <font>
      <b/>
      <i/>
      <sz val="11"/>
      <name val="Calibri"/>
      <family val="2"/>
      <scheme val="minor"/>
    </font>
    <font>
      <b/>
      <sz val="11"/>
      <color theme="5" tint="-0.499984740745262"/>
      <name val="Calibri"/>
      <family val="2"/>
      <scheme val="minor"/>
    </font>
    <font>
      <sz val="11"/>
      <color rgb="FFFF0000"/>
      <name val="Arial"/>
      <family val="2"/>
    </font>
    <font>
      <sz val="10"/>
      <color theme="1"/>
      <name val="Verdana"/>
    </font>
    <font>
      <b/>
      <sz val="11"/>
      <color theme="1"/>
      <name val="Calibri"/>
      <scheme val="minor"/>
    </font>
    <font>
      <b/>
      <sz val="12"/>
      <color rgb="FF0070C0"/>
      <name val="Tahoma"/>
    </font>
    <font>
      <b/>
      <sz val="12"/>
      <color theme="5" tint="-0.249977111117893"/>
      <name val="Tahoma"/>
    </font>
    <font>
      <b/>
      <sz val="12"/>
      <name val="Tahoma"/>
    </font>
    <font>
      <b/>
      <sz val="12"/>
      <color theme="1"/>
      <name val="Tahoma"/>
    </font>
    <font>
      <sz val="12"/>
      <color theme="1"/>
      <name val="Tahoma"/>
    </font>
    <font>
      <b/>
      <sz val="10"/>
      <name val="Tahoma"/>
    </font>
    <font>
      <b/>
      <sz val="10"/>
      <color rgb="FF000000"/>
      <name val="Tahoma"/>
    </font>
    <font>
      <sz val="12"/>
      <name val="Tahoma"/>
    </font>
    <font>
      <b/>
      <sz val="12"/>
      <color theme="3" tint="-0.249977111117893"/>
      <name val="Tahoma"/>
    </font>
    <font>
      <b/>
      <sz val="12"/>
      <color rgb="FFFF0000"/>
      <name val="Tahoma"/>
    </font>
    <font>
      <b/>
      <sz val="12"/>
      <color theme="0"/>
      <name val="Tahoma"/>
    </font>
    <font>
      <b/>
      <sz val="12"/>
      <color rgb="FF000000"/>
      <name val="Tahoma"/>
    </font>
    <font>
      <sz val="12"/>
      <color rgb="FF000000"/>
      <name val="Tahoma"/>
    </font>
    <font>
      <b/>
      <sz val="8"/>
      <color theme="1"/>
      <name val="Calibri"/>
      <family val="2"/>
      <scheme val="minor"/>
    </font>
    <font>
      <sz val="10"/>
      <color theme="1"/>
      <name val="Tahoma"/>
    </font>
    <font>
      <b/>
      <sz val="10"/>
      <color rgb="FF000000"/>
      <name val="Tahoma"/>
      <charset val="1"/>
    </font>
    <font>
      <sz val="10"/>
      <color theme="1"/>
      <name val="Calibri"/>
      <family val="2"/>
      <scheme val="minor"/>
    </font>
    <font>
      <sz val="12"/>
      <color rgb="FF000000"/>
      <name val="Arial Black"/>
    </font>
    <font>
      <sz val="12"/>
      <color rgb="FFBF8F00"/>
      <name val="Arial Black"/>
    </font>
    <font>
      <sz val="9"/>
      <color theme="1"/>
      <name val="Tahoma"/>
    </font>
    <font>
      <b/>
      <sz val="9"/>
      <color theme="1"/>
      <name val="Tahoma"/>
    </font>
    <font>
      <b/>
      <sz val="11"/>
      <color theme="0"/>
      <name val="Gill Sans MT"/>
    </font>
    <font>
      <b/>
      <sz val="12"/>
      <color theme="0"/>
      <name val="Gill Sans MT"/>
    </font>
    <font>
      <b/>
      <sz val="11"/>
      <color theme="0"/>
      <name val="Tahoma"/>
    </font>
    <font>
      <b/>
      <sz val="10"/>
      <color rgb="FF000000"/>
      <name val="Gill Sans MT"/>
    </font>
    <font>
      <b/>
      <sz val="10"/>
      <color theme="1"/>
      <name val="Gill Sans MT"/>
    </font>
    <font>
      <b/>
      <sz val="11"/>
      <color theme="1"/>
      <name val="Gill Sans MT"/>
    </font>
    <font>
      <b/>
      <sz val="10"/>
      <color theme="0"/>
      <name val="Gill Sans MT"/>
    </font>
    <font>
      <b/>
      <sz val="10"/>
      <color rgb="FF002060"/>
      <name val="Gill Sans MT"/>
    </font>
    <font>
      <b/>
      <sz val="10"/>
      <color rgb="FFC00000"/>
      <name val="Gill Sans MT"/>
    </font>
    <font>
      <sz val="10"/>
      <color theme="1"/>
      <name val="Gill Sans MT"/>
    </font>
    <font>
      <sz val="10"/>
      <color theme="0"/>
      <name val="Gill Sans MT"/>
    </font>
    <font>
      <sz val="10"/>
      <color rgb="FF002060"/>
      <name val="Gill Sans MT"/>
    </font>
    <font>
      <b/>
      <sz val="10"/>
      <color theme="0"/>
      <name val="Calibri"/>
      <family val="2"/>
      <scheme val="minor"/>
    </font>
    <font>
      <sz val="10.5"/>
      <color theme="1"/>
      <name val="Gill Sans MT"/>
      <charset val="1"/>
    </font>
    <font>
      <u/>
      <sz val="10"/>
      <color theme="1"/>
      <name val="Gill Sans MT"/>
    </font>
    <font>
      <b/>
      <sz val="11"/>
      <color rgb="FF0070C0"/>
      <name val="Calibri"/>
      <family val="2"/>
      <scheme val="minor"/>
    </font>
    <font>
      <sz val="8"/>
      <color theme="1"/>
      <name val="Calibri"/>
      <family val="2"/>
      <scheme val="minor"/>
    </font>
    <font>
      <sz val="9"/>
      <color theme="1"/>
      <name val="Calibri"/>
      <family val="2"/>
      <scheme val="minor"/>
    </font>
    <font>
      <b/>
      <sz val="10"/>
      <color theme="1"/>
      <name val="Calibri"/>
      <family val="2"/>
      <scheme val="minor"/>
    </font>
    <font>
      <b/>
      <i/>
      <sz val="10"/>
      <color theme="1"/>
      <name val="Calibri"/>
      <family val="2"/>
      <scheme val="minor"/>
    </font>
    <font>
      <sz val="11"/>
      <color rgb="FFFF0000"/>
      <name val="Calibri"/>
      <family val="2"/>
      <scheme val="minor"/>
    </font>
    <font>
      <b/>
      <sz val="10"/>
      <color theme="4" tint="-0.499984740745262"/>
      <name val="Gill Sans MT"/>
    </font>
    <font>
      <b/>
      <sz val="10"/>
      <color rgb="FFFF00AA"/>
      <name val="Gill Sans MT"/>
    </font>
    <font>
      <sz val="10"/>
      <color rgb="FFFF00AA"/>
      <name val="Gill Sans MT"/>
    </font>
    <font>
      <b/>
      <sz val="10"/>
      <color rgb="FF940303"/>
      <name val="Gill Sans MT"/>
    </font>
  </fonts>
  <fills count="37">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bgColor indexed="64"/>
      </patternFill>
    </fill>
    <fill>
      <patternFill patternType="solid">
        <fgColor theme="2" tint="-9.9978637043366805E-2"/>
        <bgColor indexed="64"/>
      </patternFill>
    </fill>
    <fill>
      <patternFill patternType="solid">
        <fgColor theme="0"/>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5" tint="-0.499984740745262"/>
        <bgColor indexed="64"/>
      </patternFill>
    </fill>
    <fill>
      <patternFill patternType="solid">
        <fgColor theme="4" tint="0.59999389629810485"/>
        <bgColor indexed="64"/>
      </patternFill>
    </fill>
    <fill>
      <patternFill patternType="solid">
        <fgColor rgb="FF00B0F0"/>
        <bgColor indexed="64"/>
      </patternFill>
    </fill>
    <fill>
      <patternFill patternType="solid">
        <fgColor rgb="FFDEEAF6"/>
        <bgColor rgb="FFDEEAF6"/>
      </patternFill>
    </fill>
    <fill>
      <patternFill patternType="solid">
        <fgColor rgb="FFFEF2CB"/>
        <bgColor rgb="FFFEF2CB"/>
      </patternFill>
    </fill>
    <fill>
      <patternFill patternType="solid">
        <fgColor rgb="FFFFFFFF"/>
        <bgColor rgb="FFFFFFFF"/>
      </patternFill>
    </fill>
    <fill>
      <patternFill patternType="solid">
        <fgColor rgb="FFFCE4D6"/>
        <bgColor rgb="FF000000"/>
      </patternFill>
    </fill>
    <fill>
      <patternFill patternType="solid">
        <fgColor rgb="FFFFFFFF"/>
        <bgColor rgb="FF000000"/>
      </patternFill>
    </fill>
    <fill>
      <patternFill patternType="solid">
        <fgColor rgb="FF0070C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002060"/>
        <bgColor indexed="64"/>
      </patternFill>
    </fill>
    <fill>
      <patternFill patternType="solid">
        <fgColor rgb="FFE3F56E"/>
        <bgColor indexed="64"/>
      </patternFill>
    </fill>
    <fill>
      <patternFill patternType="solid">
        <fgColor rgb="FF0AF7EF"/>
        <bgColor indexed="64"/>
      </patternFill>
    </fill>
    <fill>
      <patternFill patternType="solid">
        <fgColor theme="9" tint="0.79998168889431442"/>
        <bgColor indexed="64"/>
      </patternFill>
    </fill>
    <fill>
      <patternFill patternType="solid">
        <fgColor theme="2"/>
        <bgColor indexed="64"/>
      </patternFill>
    </fill>
    <fill>
      <patternFill patternType="solid">
        <fgColor rgb="FF71D9D5"/>
        <bgColor indexed="64"/>
      </patternFill>
    </fill>
    <fill>
      <patternFill patternType="solid">
        <fgColor rgb="FFFF00AA"/>
        <bgColor indexed="64"/>
      </patternFill>
    </fill>
    <fill>
      <patternFill patternType="solid">
        <fgColor rgb="FFE5C0ED"/>
        <bgColor indexed="64"/>
      </patternFill>
    </fill>
    <fill>
      <patternFill patternType="solid">
        <fgColor theme="5" tint="0.39997558519241921"/>
        <bgColor indexed="64"/>
      </patternFill>
    </fill>
    <fill>
      <patternFill patternType="solid">
        <fgColor rgb="FFF7DADA"/>
        <bgColor indexed="64"/>
      </patternFill>
    </fill>
    <fill>
      <patternFill patternType="solid">
        <fgColor theme="4" tint="-0.499984740745262"/>
        <bgColor indexed="64"/>
      </patternFill>
    </fill>
    <fill>
      <patternFill patternType="solid">
        <fgColor rgb="FFDBAFAF"/>
        <bgColor indexed="64"/>
      </patternFill>
    </fill>
  </fills>
  <borders count="100">
    <border>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style="thin">
        <color indexed="64"/>
      </right>
      <top/>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double">
        <color rgb="FF000000"/>
      </left>
      <right style="double">
        <color rgb="FF000000"/>
      </right>
      <top style="double">
        <color rgb="FF000000"/>
      </top>
      <bottom style="double">
        <color rgb="FF000000"/>
      </bottom>
      <diagonal/>
    </border>
    <border>
      <left/>
      <right style="double">
        <color rgb="FF000000"/>
      </right>
      <top style="double">
        <color rgb="FF000000"/>
      </top>
      <bottom style="double">
        <color rgb="FF000000"/>
      </bottom>
      <diagonal/>
    </border>
    <border>
      <left/>
      <right/>
      <top style="double">
        <color rgb="FF000000"/>
      </top>
      <bottom style="double">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double">
        <color rgb="FF000000"/>
      </bottom>
      <diagonal/>
    </border>
    <border>
      <left/>
      <right/>
      <top/>
      <bottom style="double">
        <color rgb="FF000000"/>
      </bottom>
      <diagonal/>
    </border>
    <border>
      <left style="thin">
        <color indexed="64"/>
      </left>
      <right style="thin">
        <color indexed="64"/>
      </right>
      <top/>
      <bottom style="thin">
        <color rgb="FF000000"/>
      </bottom>
      <diagonal/>
    </border>
    <border>
      <left style="thin">
        <color indexed="64"/>
      </left>
      <right style="double">
        <color indexed="64"/>
      </right>
      <top/>
      <bottom/>
      <diagonal/>
    </border>
    <border>
      <left style="double">
        <color indexed="64"/>
      </left>
      <right style="double">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medium">
        <color rgb="FF000000"/>
      </right>
      <top style="thin">
        <color rgb="FF000000"/>
      </top>
      <bottom/>
      <diagonal/>
    </border>
    <border>
      <left/>
      <right style="thin">
        <color rgb="FF000000"/>
      </right>
      <top/>
      <bottom/>
      <diagonal/>
    </border>
    <border>
      <left style="medium">
        <color rgb="FF000000"/>
      </left>
      <right style="thin">
        <color rgb="FF000000"/>
      </right>
      <top style="medium">
        <color rgb="FF000000"/>
      </top>
      <bottom/>
      <diagonal/>
    </border>
    <border>
      <left/>
      <right/>
      <top style="medium">
        <color rgb="FF000000"/>
      </top>
      <bottom/>
      <diagonal/>
    </border>
    <border>
      <left style="medium">
        <color rgb="FF000000"/>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thin">
        <color rgb="FF000000"/>
      </left>
      <right/>
      <top/>
      <bottom style="medium">
        <color rgb="FF000000"/>
      </bottom>
      <diagonal/>
    </border>
    <border>
      <left/>
      <right style="medium">
        <color indexed="64"/>
      </right>
      <top/>
      <bottom style="medium">
        <color indexed="64"/>
      </bottom>
      <diagonal/>
    </border>
    <border>
      <left style="thin">
        <color indexed="64"/>
      </left>
      <right style="thin">
        <color indexed="64"/>
      </right>
      <top style="thin">
        <color indexed="64"/>
      </top>
      <bottom style="thin">
        <color rgb="FF000000"/>
      </bottom>
      <diagonal/>
    </border>
    <border>
      <left/>
      <right style="medium">
        <color indexed="64"/>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thin">
        <color rgb="FF000000"/>
      </top>
      <bottom style="thin">
        <color rgb="FF000000"/>
      </bottom>
      <diagonal/>
    </border>
    <border>
      <left/>
      <right style="thin">
        <color indexed="64"/>
      </right>
      <top style="thin">
        <color rgb="FF000000"/>
      </top>
      <bottom/>
      <diagonal/>
    </border>
    <border>
      <left style="thin">
        <color indexed="64"/>
      </left>
      <right style="medium">
        <color rgb="FF000000"/>
      </right>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medium">
        <color rgb="FF000000"/>
      </left>
      <right style="thin">
        <color rgb="FF000000"/>
      </right>
      <top/>
      <bottom style="medium">
        <color rgb="FF000000"/>
      </bottom>
      <diagonal/>
    </border>
    <border>
      <left/>
      <right style="medium">
        <color indexed="64"/>
      </right>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style="medium">
        <color rgb="FF000000"/>
      </left>
      <right/>
      <top style="medium">
        <color rgb="FF000000"/>
      </top>
      <bottom/>
      <diagonal/>
    </border>
    <border>
      <left/>
      <right style="medium">
        <color indexed="64"/>
      </right>
      <top/>
      <bottom/>
      <diagonal/>
    </border>
    <border>
      <left/>
      <right style="thin">
        <color rgb="FF000000"/>
      </right>
      <top/>
      <bottom style="thin">
        <color auto="1"/>
      </bottom>
      <diagonal/>
    </border>
    <border>
      <left style="thin">
        <color rgb="FF000000"/>
      </left>
      <right style="thin">
        <color rgb="FF000000"/>
      </right>
      <top style="thin">
        <color auto="1"/>
      </top>
      <bottom/>
      <diagonal/>
    </border>
    <border>
      <left/>
      <right style="thin">
        <color rgb="FF000000"/>
      </right>
      <top style="thin">
        <color auto="1"/>
      </top>
      <bottom/>
      <diagonal/>
    </border>
    <border>
      <left style="medium">
        <color rgb="FF000000"/>
      </left>
      <right style="thin">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auto="1"/>
      </left>
      <right/>
      <top style="thin">
        <color auto="1"/>
      </top>
      <bottom style="medium">
        <color rgb="FF000000"/>
      </bottom>
      <diagonal/>
    </border>
    <border>
      <left style="thin">
        <color indexed="64"/>
      </left>
      <right style="medium">
        <color rgb="FF000000"/>
      </right>
      <top style="thin">
        <color indexed="64"/>
      </top>
      <bottom style="medium">
        <color rgb="FF000000"/>
      </bottom>
      <diagonal/>
    </border>
  </borders>
  <cellStyleXfs count="3">
    <xf numFmtId="0" fontId="0" fillId="0" borderId="0"/>
    <xf numFmtId="41" fontId="2" fillId="0" borderId="0" applyFont="0" applyFill="0" applyBorder="0" applyAlignment="0" applyProtection="0"/>
    <xf numFmtId="9" fontId="2" fillId="0" borderId="0" applyFont="0" applyFill="0" applyBorder="0" applyAlignment="0" applyProtection="0"/>
  </cellStyleXfs>
  <cellXfs count="886">
    <xf numFmtId="0" fontId="0" fillId="0" borderId="0" xfId="0"/>
    <xf numFmtId="0" fontId="0" fillId="0" borderId="5" xfId="0" applyBorder="1"/>
    <xf numFmtId="0" fontId="0" fillId="0" borderId="17" xfId="0" applyBorder="1"/>
    <xf numFmtId="9" fontId="0" fillId="0" borderId="12" xfId="2" applyFont="1" applyBorder="1"/>
    <xf numFmtId="0" fontId="4" fillId="0" borderId="16" xfId="0" applyFont="1" applyBorder="1"/>
    <xf numFmtId="0" fontId="0" fillId="0" borderId="16" xfId="0" applyBorder="1"/>
    <xf numFmtId="0" fontId="4" fillId="0" borderId="6" xfId="0" applyFont="1" applyBorder="1"/>
    <xf numFmtId="0" fontId="0" fillId="0" borderId="5" xfId="0" applyBorder="1" applyAlignment="1">
      <alignment wrapText="1"/>
    </xf>
    <xf numFmtId="3" fontId="0" fillId="0" borderId="5" xfId="0" applyNumberFormat="1" applyBorder="1"/>
    <xf numFmtId="0" fontId="0" fillId="12" borderId="5" xfId="0" applyFill="1" applyBorder="1"/>
    <xf numFmtId="0" fontId="0" fillId="12" borderId="5" xfId="0" applyFill="1" applyBorder="1" applyAlignment="1">
      <alignment wrapText="1"/>
    </xf>
    <xf numFmtId="0" fontId="0" fillId="14" borderId="17" xfId="0" applyFill="1" applyBorder="1"/>
    <xf numFmtId="0" fontId="0" fillId="14" borderId="5" xfId="0" applyFill="1" applyBorder="1" applyAlignment="1">
      <alignment wrapText="1"/>
    </xf>
    <xf numFmtId="0" fontId="0" fillId="14" borderId="5" xfId="0" applyFill="1" applyBorder="1"/>
    <xf numFmtId="9" fontId="0" fillId="14" borderId="12" xfId="2" applyFont="1" applyFill="1" applyBorder="1"/>
    <xf numFmtId="0" fontId="0" fillId="12" borderId="17" xfId="0" applyFill="1" applyBorder="1"/>
    <xf numFmtId="9" fontId="0" fillId="12" borderId="12" xfId="2" applyFont="1" applyFill="1" applyBorder="1"/>
    <xf numFmtId="0" fontId="0" fillId="15" borderId="17" xfId="0" applyFill="1" applyBorder="1"/>
    <xf numFmtId="0" fontId="0" fillId="15" borderId="5" xfId="0" applyFill="1" applyBorder="1" applyAlignment="1">
      <alignment wrapText="1"/>
    </xf>
    <xf numFmtId="0" fontId="0" fillId="15" borderId="5" xfId="0" applyFill="1" applyBorder="1"/>
    <xf numFmtId="9" fontId="0" fillId="15" borderId="12" xfId="2" applyFont="1" applyFill="1" applyBorder="1"/>
    <xf numFmtId="0" fontId="0" fillId="15" borderId="13" xfId="0" applyFill="1" applyBorder="1" applyAlignment="1">
      <alignment wrapText="1"/>
    </xf>
    <xf numFmtId="0" fontId="0" fillId="0" borderId="5" xfId="0" applyBorder="1" applyAlignment="1">
      <alignment vertical="top" wrapText="1"/>
    </xf>
    <xf numFmtId="0" fontId="4" fillId="0" borderId="5" xfId="0" applyFont="1" applyBorder="1" applyAlignment="1">
      <alignment wrapText="1"/>
    </xf>
    <xf numFmtId="0" fontId="4" fillId="0" borderId="5" xfId="0" applyFont="1" applyBorder="1"/>
    <xf numFmtId="0" fontId="5" fillId="7" borderId="24" xfId="0" applyFont="1" applyFill="1" applyBorder="1" applyAlignment="1">
      <alignment horizontal="center" vertical="top" wrapText="1"/>
    </xf>
    <xf numFmtId="0" fontId="3" fillId="5" borderId="15" xfId="0" applyFont="1" applyFill="1" applyBorder="1" applyAlignment="1">
      <alignment horizontal="center" vertical="top" wrapText="1"/>
    </xf>
    <xf numFmtId="0" fontId="5" fillId="5" borderId="5" xfId="0" applyFont="1" applyFill="1" applyBorder="1" applyAlignment="1">
      <alignment horizontal="center" vertical="top" wrapText="1"/>
    </xf>
    <xf numFmtId="0" fontId="5" fillId="5" borderId="13" xfId="0" applyFont="1" applyFill="1" applyBorder="1" applyAlignment="1">
      <alignment horizontal="center" vertical="top" wrapText="1"/>
    </xf>
    <xf numFmtId="0" fontId="5" fillId="7" borderId="5" xfId="0" applyFont="1" applyFill="1" applyBorder="1" applyAlignment="1">
      <alignment horizontal="center" vertical="center" wrapText="1"/>
    </xf>
    <xf numFmtId="3" fontId="0" fillId="15" borderId="5" xfId="0" applyNumberFormat="1" applyFill="1" applyBorder="1"/>
    <xf numFmtId="0" fontId="4" fillId="15" borderId="17" xfId="0" applyFont="1" applyFill="1" applyBorder="1"/>
    <xf numFmtId="0" fontId="5" fillId="12" borderId="13" xfId="0" applyFont="1" applyFill="1" applyBorder="1" applyAlignment="1">
      <alignment horizontal="center" vertical="center" wrapText="1"/>
    </xf>
    <xf numFmtId="0" fontId="5" fillId="12" borderId="5" xfId="0" applyFont="1" applyFill="1" applyBorder="1" applyAlignment="1">
      <alignment horizontal="center" vertical="top" wrapText="1"/>
    </xf>
    <xf numFmtId="0" fontId="5" fillId="14" borderId="13" xfId="0" applyFont="1" applyFill="1" applyBorder="1" applyAlignment="1">
      <alignment horizontal="center" vertical="top" wrapText="1"/>
    </xf>
    <xf numFmtId="0" fontId="5" fillId="12" borderId="15" xfId="0" applyFont="1" applyFill="1" applyBorder="1" applyAlignment="1">
      <alignment horizontal="center" vertical="top" wrapText="1"/>
    </xf>
    <xf numFmtId="0" fontId="4" fillId="0" borderId="17" xfId="0" applyFont="1" applyBorder="1"/>
    <xf numFmtId="0" fontId="0" fillId="0" borderId="8" xfId="0" applyBorder="1"/>
    <xf numFmtId="0" fontId="5" fillId="15" borderId="26" xfId="0" applyFont="1" applyFill="1" applyBorder="1" applyAlignment="1">
      <alignment horizontal="center" vertical="top" wrapText="1"/>
    </xf>
    <xf numFmtId="0" fontId="5" fillId="12" borderId="26" xfId="0" applyFont="1" applyFill="1" applyBorder="1" applyAlignment="1">
      <alignment horizontal="center" vertical="top" wrapText="1"/>
    </xf>
    <xf numFmtId="0" fontId="0" fillId="15" borderId="17" xfId="0" applyFill="1" applyBorder="1" applyAlignment="1">
      <alignment wrapText="1"/>
    </xf>
    <xf numFmtId="0" fontId="0" fillId="12" borderId="17" xfId="0" applyFill="1" applyBorder="1" applyAlignment="1">
      <alignment wrapText="1"/>
    </xf>
    <xf numFmtId="0" fontId="5" fillId="7" borderId="17" xfId="0" applyFont="1" applyFill="1" applyBorder="1" applyAlignment="1">
      <alignment horizontal="center" vertical="top" wrapText="1"/>
    </xf>
    <xf numFmtId="0" fontId="7" fillId="0" borderId="0" xfId="0" applyFont="1"/>
    <xf numFmtId="0" fontId="7" fillId="0" borderId="26" xfId="0" applyFont="1" applyBorder="1"/>
    <xf numFmtId="0" fontId="8" fillId="0" borderId="0" xfId="0" applyFont="1"/>
    <xf numFmtId="0" fontId="9" fillId="0" borderId="0" xfId="0" applyFont="1"/>
    <xf numFmtId="0" fontId="7" fillId="0" borderId="27" xfId="0" applyFont="1" applyBorder="1"/>
    <xf numFmtId="0" fontId="7" fillId="0" borderId="29" xfId="0" applyFont="1" applyBorder="1"/>
    <xf numFmtId="0" fontId="7" fillId="0" borderId="30" xfId="0" applyFont="1" applyBorder="1"/>
    <xf numFmtId="0" fontId="7" fillId="17" borderId="32" xfId="0" applyFont="1" applyFill="1" applyBorder="1" applyAlignment="1">
      <alignment wrapText="1"/>
    </xf>
    <xf numFmtId="0" fontId="7" fillId="17" borderId="34" xfId="0" applyFont="1" applyFill="1" applyBorder="1" applyAlignment="1">
      <alignment wrapText="1"/>
    </xf>
    <xf numFmtId="0" fontId="7" fillId="17" borderId="35" xfId="0" applyFont="1" applyFill="1" applyBorder="1" applyAlignment="1">
      <alignment wrapText="1"/>
    </xf>
    <xf numFmtId="0" fontId="7" fillId="17" borderId="36" xfId="0" applyFont="1" applyFill="1" applyBorder="1" applyAlignment="1">
      <alignment wrapText="1"/>
    </xf>
    <xf numFmtId="0" fontId="15" fillId="0" borderId="8" xfId="0" applyFont="1" applyBorder="1"/>
    <xf numFmtId="0" fontId="12" fillId="0" borderId="8" xfId="0" applyFont="1" applyBorder="1"/>
    <xf numFmtId="0" fontId="17" fillId="19" borderId="8" xfId="0" applyFont="1" applyFill="1" applyBorder="1" applyAlignment="1">
      <alignment wrapText="1"/>
    </xf>
    <xf numFmtId="0" fontId="8" fillId="19" borderId="8" xfId="0" applyFont="1" applyFill="1" applyBorder="1" applyAlignment="1">
      <alignment wrapText="1" readingOrder="1"/>
    </xf>
    <xf numFmtId="0" fontId="12" fillId="0" borderId="8" xfId="0" applyFont="1" applyBorder="1" applyAlignment="1">
      <alignment wrapText="1"/>
    </xf>
    <xf numFmtId="0" fontId="17" fillId="0" borderId="8" xfId="0" applyFont="1" applyBorder="1" applyAlignment="1">
      <alignment wrapText="1"/>
    </xf>
    <xf numFmtId="0" fontId="8" fillId="19" borderId="8" xfId="0" applyFont="1" applyFill="1" applyBorder="1" applyAlignment="1">
      <alignment wrapText="1"/>
    </xf>
    <xf numFmtId="3" fontId="8" fillId="19" borderId="8" xfId="0" applyNumberFormat="1" applyFont="1" applyFill="1" applyBorder="1" applyAlignment="1">
      <alignment wrapText="1"/>
    </xf>
    <xf numFmtId="0" fontId="8" fillId="0" borderId="8" xfId="0" applyFont="1" applyBorder="1"/>
    <xf numFmtId="0" fontId="17" fillId="0" borderId="19" xfId="0" applyFont="1" applyBorder="1" applyAlignment="1">
      <alignment wrapText="1"/>
    </xf>
    <xf numFmtId="3" fontId="8" fillId="19" borderId="8" xfId="0" applyNumberFormat="1" applyFont="1" applyFill="1" applyBorder="1" applyAlignment="1">
      <alignment wrapText="1" readingOrder="1"/>
    </xf>
    <xf numFmtId="0" fontId="8" fillId="19" borderId="19" xfId="0" applyFont="1" applyFill="1" applyBorder="1" applyAlignment="1">
      <alignment wrapText="1" readingOrder="1"/>
    </xf>
    <xf numFmtId="0" fontId="8" fillId="19" borderId="19" xfId="0" applyFont="1" applyFill="1" applyBorder="1" applyAlignment="1">
      <alignment wrapText="1"/>
    </xf>
    <xf numFmtId="3" fontId="8" fillId="19" borderId="19" xfId="0" applyNumberFormat="1" applyFont="1" applyFill="1" applyBorder="1" applyAlignment="1">
      <alignment wrapText="1"/>
    </xf>
    <xf numFmtId="0" fontId="20" fillId="20" borderId="5" xfId="0" applyFont="1" applyFill="1" applyBorder="1" applyAlignment="1">
      <alignment wrapText="1"/>
    </xf>
    <xf numFmtId="0" fontId="20" fillId="20" borderId="17" xfId="0" applyFont="1" applyFill="1" applyBorder="1" applyAlignment="1">
      <alignment wrapText="1"/>
    </xf>
    <xf numFmtId="0" fontId="8" fillId="20" borderId="40" xfId="0" applyFont="1" applyFill="1" applyBorder="1" applyAlignment="1">
      <alignment wrapText="1"/>
    </xf>
    <xf numFmtId="0" fontId="8" fillId="20" borderId="19" xfId="0" applyFont="1" applyFill="1" applyBorder="1" applyAlignment="1">
      <alignment wrapText="1"/>
    </xf>
    <xf numFmtId="0" fontId="8" fillId="20" borderId="15" xfId="0" applyFont="1" applyFill="1" applyBorder="1" applyAlignment="1">
      <alignment wrapText="1"/>
    </xf>
    <xf numFmtId="0" fontId="12" fillId="20" borderId="19" xfId="0" applyFont="1" applyFill="1" applyBorder="1" applyAlignment="1">
      <alignment wrapText="1"/>
    </xf>
    <xf numFmtId="0" fontId="21" fillId="20" borderId="19" xfId="0" applyFont="1" applyFill="1" applyBorder="1" applyAlignment="1">
      <alignment wrapText="1"/>
    </xf>
    <xf numFmtId="0" fontId="8" fillId="20" borderId="8" xfId="0" applyFont="1" applyFill="1" applyBorder="1" applyAlignment="1">
      <alignment wrapText="1"/>
    </xf>
    <xf numFmtId="0" fontId="8" fillId="20" borderId="41" xfId="0" applyFont="1" applyFill="1" applyBorder="1" applyAlignment="1">
      <alignment wrapText="1"/>
    </xf>
    <xf numFmtId="0" fontId="8" fillId="20" borderId="20" xfId="0" applyFont="1" applyFill="1" applyBorder="1" applyAlignment="1">
      <alignment wrapText="1"/>
    </xf>
    <xf numFmtId="3" fontId="8" fillId="20" borderId="20" xfId="0" applyNumberFormat="1" applyFont="1" applyFill="1" applyBorder="1" applyAlignment="1">
      <alignment wrapText="1"/>
    </xf>
    <xf numFmtId="0" fontId="8" fillId="21" borderId="0" xfId="0" applyFont="1" applyFill="1" applyAlignment="1">
      <alignment wrapText="1"/>
    </xf>
    <xf numFmtId="0" fontId="8" fillId="21" borderId="16" xfId="0" applyFont="1" applyFill="1" applyBorder="1" applyAlignment="1">
      <alignment wrapText="1"/>
    </xf>
    <xf numFmtId="0" fontId="8" fillId="21" borderId="8" xfId="0" applyFont="1" applyFill="1" applyBorder="1" applyAlignment="1">
      <alignment wrapText="1"/>
    </xf>
    <xf numFmtId="0" fontId="24" fillId="19" borderId="8" xfId="0" applyFont="1" applyFill="1" applyBorder="1" applyAlignment="1">
      <alignment wrapText="1"/>
    </xf>
    <xf numFmtId="0" fontId="6" fillId="0" borderId="0" xfId="0" applyFont="1" applyAlignment="1">
      <alignment horizontal="left" wrapText="1"/>
    </xf>
    <xf numFmtId="0" fontId="10" fillId="0" borderId="28" xfId="0" applyFont="1" applyBorder="1" applyAlignment="1">
      <alignment horizontal="left" wrapText="1"/>
    </xf>
    <xf numFmtId="0" fontId="0" fillId="0" borderId="0" xfId="0" applyAlignment="1">
      <alignment horizontal="left" wrapText="1"/>
    </xf>
    <xf numFmtId="0" fontId="23" fillId="21" borderId="15" xfId="0" applyFont="1" applyFill="1" applyBorder="1" applyAlignment="1">
      <alignment horizontal="left" wrapText="1"/>
    </xf>
    <xf numFmtId="0" fontId="3" fillId="5" borderId="17" xfId="0" applyFont="1" applyFill="1" applyBorder="1" applyAlignment="1">
      <alignment horizontal="center" vertical="top" wrapText="1"/>
    </xf>
    <xf numFmtId="0" fontId="13" fillId="12" borderId="41" xfId="0" applyFont="1" applyFill="1" applyBorder="1" applyAlignment="1">
      <alignment vertical="top" wrapText="1"/>
    </xf>
    <xf numFmtId="0" fontId="5" fillId="12" borderId="17" xfId="0" applyFont="1" applyFill="1" applyBorder="1" applyAlignment="1">
      <alignment horizontal="center" vertical="top" wrapText="1"/>
    </xf>
    <xf numFmtId="0" fontId="0" fillId="8" borderId="0" xfId="0" applyFill="1"/>
    <xf numFmtId="0" fontId="28" fillId="0" borderId="5" xfId="0" applyFont="1" applyBorder="1"/>
    <xf numFmtId="0" fontId="0" fillId="8" borderId="0" xfId="0" applyFill="1" applyAlignment="1">
      <alignment vertical="center"/>
    </xf>
    <xf numFmtId="0" fontId="0" fillId="0" borderId="0" xfId="0" applyAlignment="1">
      <alignment vertical="center"/>
    </xf>
    <xf numFmtId="0" fontId="32" fillId="0" borderId="0" xfId="0" applyFont="1" applyAlignment="1">
      <alignment vertical="center"/>
    </xf>
    <xf numFmtId="0" fontId="27" fillId="12" borderId="15" xfId="0" applyFont="1" applyFill="1" applyBorder="1" applyAlignment="1">
      <alignment vertical="top" wrapText="1"/>
    </xf>
    <xf numFmtId="0" fontId="27" fillId="12" borderId="5" xfId="0" applyFont="1" applyFill="1" applyBorder="1" applyAlignment="1">
      <alignment horizontal="center" vertical="top" wrapText="1"/>
    </xf>
    <xf numFmtId="0" fontId="33" fillId="8" borderId="5" xfId="0" applyFont="1" applyFill="1" applyBorder="1" applyAlignment="1">
      <alignment vertical="top" wrapText="1"/>
    </xf>
    <xf numFmtId="0" fontId="0" fillId="8" borderId="5" xfId="0" applyFill="1" applyBorder="1"/>
    <xf numFmtId="0" fontId="4" fillId="8" borderId="5" xfId="0" applyFont="1" applyFill="1" applyBorder="1"/>
    <xf numFmtId="0" fontId="28" fillId="8" borderId="5" xfId="0" applyFont="1" applyFill="1" applyBorder="1"/>
    <xf numFmtId="0" fontId="34" fillId="8" borderId="5" xfId="0" applyFont="1" applyFill="1" applyBorder="1" applyAlignment="1">
      <alignment vertical="top" wrapText="1"/>
    </xf>
    <xf numFmtId="0" fontId="31" fillId="8" borderId="5" xfId="0" applyFont="1" applyFill="1" applyBorder="1"/>
    <xf numFmtId="0" fontId="30" fillId="8" borderId="5" xfId="0" applyFont="1" applyFill="1" applyBorder="1"/>
    <xf numFmtId="0" fontId="29" fillId="8" borderId="5" xfId="0" applyFont="1" applyFill="1" applyBorder="1"/>
    <xf numFmtId="9" fontId="35" fillId="8" borderId="5" xfId="0" applyNumberFormat="1" applyFont="1" applyFill="1" applyBorder="1" applyAlignment="1">
      <alignment horizontal="right"/>
    </xf>
    <xf numFmtId="0" fontId="26" fillId="8" borderId="5" xfId="0" applyFont="1" applyFill="1" applyBorder="1" applyAlignment="1">
      <alignment horizontal="center" vertical="center" wrapText="1"/>
    </xf>
    <xf numFmtId="0" fontId="26" fillId="8" borderId="0" xfId="0" applyFont="1" applyFill="1" applyAlignment="1">
      <alignment horizontal="center" vertical="center" wrapText="1"/>
    </xf>
    <xf numFmtId="0" fontId="4" fillId="8" borderId="0" xfId="0" applyFont="1" applyFill="1"/>
    <xf numFmtId="0" fontId="28" fillId="8" borderId="0" xfId="0" applyFont="1" applyFill="1"/>
    <xf numFmtId="0" fontId="30" fillId="8" borderId="0" xfId="0" applyFont="1" applyFill="1"/>
    <xf numFmtId="0" fontId="31" fillId="8" borderId="0" xfId="0" applyFont="1" applyFill="1"/>
    <xf numFmtId="0" fontId="29" fillId="8" borderId="0" xfId="0" applyFont="1" applyFill="1"/>
    <xf numFmtId="9" fontId="35" fillId="8" borderId="0" xfId="0" applyNumberFormat="1" applyFont="1" applyFill="1" applyAlignment="1">
      <alignment horizontal="right"/>
    </xf>
    <xf numFmtId="0" fontId="36" fillId="8" borderId="0" xfId="0" applyFont="1" applyFill="1" applyAlignment="1">
      <alignment vertical="center" wrapText="1"/>
    </xf>
    <xf numFmtId="0" fontId="36" fillId="8" borderId="0" xfId="0" applyFont="1" applyFill="1" applyAlignment="1">
      <alignment horizontal="center" vertical="center" wrapText="1"/>
    </xf>
    <xf numFmtId="49" fontId="27" fillId="11" borderId="0" xfId="0" applyNumberFormat="1" applyFont="1" applyFill="1" applyAlignment="1">
      <alignment vertical="top" wrapText="1"/>
    </xf>
    <xf numFmtId="0" fontId="26" fillId="8" borderId="0" xfId="0" applyFont="1" applyFill="1" applyAlignment="1">
      <alignment wrapText="1"/>
    </xf>
    <xf numFmtId="0" fontId="0" fillId="0" borderId="6" xfId="0" applyBorder="1"/>
    <xf numFmtId="0" fontId="28" fillId="0" borderId="16" xfId="0" applyFont="1" applyBorder="1"/>
    <xf numFmtId="0" fontId="30" fillId="0" borderId="16" xfId="0" applyFont="1" applyBorder="1"/>
    <xf numFmtId="0" fontId="31" fillId="0" borderId="6" xfId="0" applyFont="1" applyBorder="1"/>
    <xf numFmtId="0" fontId="31" fillId="0" borderId="16" xfId="0" applyFont="1" applyBorder="1"/>
    <xf numFmtId="0" fontId="29" fillId="0" borderId="6" xfId="0" applyFont="1" applyBorder="1"/>
    <xf numFmtId="9" fontId="35" fillId="0" borderId="16" xfId="0" applyNumberFormat="1" applyFont="1" applyBorder="1" applyAlignment="1">
      <alignment horizontal="right"/>
    </xf>
    <xf numFmtId="0" fontId="0" fillId="0" borderId="12" xfId="0" applyBorder="1"/>
    <xf numFmtId="0" fontId="30" fillId="0" borderId="5" xfId="0" applyFont="1" applyBorder="1"/>
    <xf numFmtId="0" fontId="31" fillId="0" borderId="12" xfId="0" applyFont="1" applyBorder="1"/>
    <xf numFmtId="0" fontId="31" fillId="0" borderId="5" xfId="0" applyFont="1" applyBorder="1"/>
    <xf numFmtId="0" fontId="29" fillId="0" borderId="12" xfId="0" applyFont="1" applyBorder="1"/>
    <xf numFmtId="9" fontId="35" fillId="0" borderId="5" xfId="0" applyNumberFormat="1" applyFont="1" applyBorder="1" applyAlignment="1">
      <alignment horizontal="right"/>
    </xf>
    <xf numFmtId="0" fontId="5" fillId="5" borderId="15" xfId="0" applyFont="1" applyFill="1" applyBorder="1" applyAlignment="1">
      <alignment horizontal="center" vertical="top" wrapText="1"/>
    </xf>
    <xf numFmtId="0" fontId="0" fillId="6" borderId="5" xfId="0" applyFill="1" applyBorder="1" applyAlignment="1">
      <alignment wrapText="1"/>
    </xf>
    <xf numFmtId="0" fontId="0" fillId="6" borderId="5" xfId="0" applyFill="1" applyBorder="1"/>
    <xf numFmtId="9" fontId="0" fillId="6" borderId="12" xfId="2" applyFont="1" applyFill="1" applyBorder="1"/>
    <xf numFmtId="0" fontId="37" fillId="12" borderId="5" xfId="0" applyFont="1" applyFill="1" applyBorder="1" applyAlignment="1">
      <alignment wrapText="1"/>
    </xf>
    <xf numFmtId="0" fontId="37" fillId="8" borderId="0" xfId="0" applyFont="1" applyFill="1"/>
    <xf numFmtId="0" fontId="37" fillId="0" borderId="0" xfId="0" applyFont="1"/>
    <xf numFmtId="0" fontId="28" fillId="0" borderId="6" xfId="0" applyFont="1" applyBorder="1"/>
    <xf numFmtId="0" fontId="28" fillId="0" borderId="12" xfId="0" applyFont="1" applyBorder="1"/>
    <xf numFmtId="0" fontId="4" fillId="16" borderId="26" xfId="0" applyFont="1" applyFill="1" applyBorder="1" applyAlignment="1">
      <alignment vertical="center"/>
    </xf>
    <xf numFmtId="9" fontId="38" fillId="16" borderId="26" xfId="2" applyFont="1" applyFill="1" applyBorder="1" applyAlignment="1">
      <alignment vertical="center"/>
    </xf>
    <xf numFmtId="9" fontId="4" fillId="16" borderId="26" xfId="2" applyFont="1" applyFill="1" applyBorder="1" applyAlignment="1">
      <alignment horizontal="center" vertical="center"/>
    </xf>
    <xf numFmtId="9" fontId="4" fillId="16" borderId="26" xfId="2" applyFont="1" applyFill="1" applyBorder="1" applyAlignment="1">
      <alignment vertical="center"/>
    </xf>
    <xf numFmtId="0" fontId="4" fillId="0" borderId="0" xfId="0" applyFont="1" applyAlignment="1">
      <alignment vertical="center"/>
    </xf>
    <xf numFmtId="0" fontId="42" fillId="0" borderId="3" xfId="0" applyFont="1" applyBorder="1"/>
    <xf numFmtId="0" fontId="43" fillId="0" borderId="1" xfId="0" applyFont="1" applyBorder="1"/>
    <xf numFmtId="14" fontId="42" fillId="0" borderId="25" xfId="0" applyNumberFormat="1" applyFont="1" applyBorder="1" applyAlignment="1">
      <alignment horizontal="center"/>
    </xf>
    <xf numFmtId="0" fontId="42" fillId="10" borderId="14" xfId="0" applyFont="1" applyFill="1" applyBorder="1" applyAlignment="1">
      <alignment horizontal="center"/>
    </xf>
    <xf numFmtId="0" fontId="42" fillId="23" borderId="0" xfId="0" applyFont="1" applyFill="1" applyAlignment="1">
      <alignment horizontal="center" wrapText="1"/>
    </xf>
    <xf numFmtId="0" fontId="42" fillId="3" borderId="5" xfId="0" applyFont="1" applyFill="1" applyBorder="1"/>
    <xf numFmtId="0" fontId="42" fillId="3" borderId="12" xfId="0" applyFont="1" applyFill="1" applyBorder="1"/>
    <xf numFmtId="0" fontId="42" fillId="0" borderId="5" xfId="0" applyFont="1" applyBorder="1"/>
    <xf numFmtId="0" fontId="42" fillId="0" borderId="12" xfId="0" applyFont="1" applyBorder="1"/>
    <xf numFmtId="0" fontId="42" fillId="16" borderId="5" xfId="0" applyFont="1" applyFill="1" applyBorder="1"/>
    <xf numFmtId="0" fontId="42" fillId="16" borderId="5" xfId="0" applyFont="1" applyFill="1" applyBorder="1" applyAlignment="1">
      <alignment wrapText="1"/>
    </xf>
    <xf numFmtId="0" fontId="42" fillId="7" borderId="5" xfId="0" applyFont="1" applyFill="1" applyBorder="1"/>
    <xf numFmtId="0" fontId="42" fillId="7" borderId="12" xfId="0" applyFont="1" applyFill="1" applyBorder="1"/>
    <xf numFmtId="0" fontId="42" fillId="16" borderId="6" xfId="0" applyFont="1" applyFill="1" applyBorder="1" applyAlignment="1">
      <alignment wrapText="1"/>
    </xf>
    <xf numFmtId="0" fontId="42" fillId="3" borderId="6" xfId="0" applyFont="1" applyFill="1" applyBorder="1" applyAlignment="1">
      <alignment vertical="top" wrapText="1"/>
    </xf>
    <xf numFmtId="0" fontId="41" fillId="6" borderId="24" xfId="0" applyFont="1" applyFill="1" applyBorder="1" applyAlignment="1">
      <alignment horizontal="center" vertical="top" wrapText="1"/>
    </xf>
    <xf numFmtId="41" fontId="46" fillId="6" borderId="5" xfId="1" applyFont="1" applyFill="1" applyBorder="1" applyAlignment="1">
      <alignment vertical="center" wrapText="1" readingOrder="1"/>
    </xf>
    <xf numFmtId="0" fontId="46" fillId="6" borderId="5" xfId="0" applyFont="1" applyFill="1" applyBorder="1" applyAlignment="1">
      <alignment vertical="center" wrapText="1"/>
    </xf>
    <xf numFmtId="0" fontId="43" fillId="3" borderId="5" xfId="0" applyFont="1" applyFill="1" applyBorder="1"/>
    <xf numFmtId="0" fontId="43" fillId="3" borderId="12" xfId="0" applyFont="1" applyFill="1" applyBorder="1"/>
    <xf numFmtId="0" fontId="43" fillId="3" borderId="12" xfId="0" applyFont="1" applyFill="1" applyBorder="1" applyAlignment="1">
      <alignment vertical="center"/>
    </xf>
    <xf numFmtId="0" fontId="43" fillId="0" borderId="5" xfId="0" applyFont="1" applyBorder="1"/>
    <xf numFmtId="0" fontId="47" fillId="0" borderId="5" xfId="0" applyFont="1" applyBorder="1"/>
    <xf numFmtId="41" fontId="47" fillId="16" borderId="5" xfId="0" applyNumberFormat="1" applyFont="1" applyFill="1" applyBorder="1"/>
    <xf numFmtId="0" fontId="47" fillId="16" borderId="5" xfId="0" applyFont="1" applyFill="1" applyBorder="1"/>
    <xf numFmtId="9" fontId="47" fillId="16" borderId="5" xfId="0" applyNumberFormat="1" applyFont="1" applyFill="1" applyBorder="1"/>
    <xf numFmtId="0" fontId="42" fillId="7" borderId="5" xfId="0" applyFont="1" applyFill="1" applyBorder="1" applyAlignment="1">
      <alignment horizontal="center"/>
    </xf>
    <xf numFmtId="0" fontId="43" fillId="7" borderId="12" xfId="0" applyFont="1" applyFill="1" applyBorder="1" applyAlignment="1">
      <alignment horizontal="center"/>
    </xf>
    <xf numFmtId="0" fontId="43" fillId="7" borderId="5" xfId="0" applyFont="1" applyFill="1" applyBorder="1" applyAlignment="1">
      <alignment horizontal="center"/>
    </xf>
    <xf numFmtId="0" fontId="47" fillId="16" borderId="12" xfId="0" applyFont="1" applyFill="1" applyBorder="1"/>
    <xf numFmtId="0" fontId="48" fillId="3" borderId="12" xfId="0" applyFont="1" applyFill="1" applyBorder="1"/>
    <xf numFmtId="9" fontId="49" fillId="9" borderId="5" xfId="0" applyNumberFormat="1" applyFont="1" applyFill="1" applyBorder="1" applyAlignment="1">
      <alignment horizontal="right"/>
    </xf>
    <xf numFmtId="0" fontId="41" fillId="6" borderId="19" xfId="0" applyFont="1" applyFill="1" applyBorder="1" applyAlignment="1">
      <alignment vertical="center" wrapText="1"/>
    </xf>
    <xf numFmtId="0" fontId="41" fillId="6" borderId="15" xfId="0" applyFont="1" applyFill="1" applyBorder="1" applyAlignment="1">
      <alignment horizontal="center" vertical="top" wrapText="1"/>
    </xf>
    <xf numFmtId="41" fontId="46" fillId="6" borderId="13" xfId="1" applyFont="1" applyFill="1" applyBorder="1" applyAlignment="1">
      <alignment vertical="center" wrapText="1" readingOrder="1"/>
    </xf>
    <xf numFmtId="0" fontId="46" fillId="6" borderId="13" xfId="0" applyFont="1" applyFill="1" applyBorder="1" applyAlignment="1">
      <alignment vertical="center" wrapText="1"/>
    </xf>
    <xf numFmtId="0" fontId="43" fillId="3" borderId="5" xfId="0" applyFont="1" applyFill="1" applyBorder="1" applyAlignment="1">
      <alignment vertical="center"/>
    </xf>
    <xf numFmtId="0" fontId="42" fillId="7" borderId="5" xfId="0" applyFont="1" applyFill="1" applyBorder="1" applyAlignment="1">
      <alignment horizontal="center" vertical="center"/>
    </xf>
    <xf numFmtId="0" fontId="43" fillId="7" borderId="12" xfId="0" applyFont="1" applyFill="1" applyBorder="1" applyAlignment="1">
      <alignment horizontal="center" vertical="center"/>
    </xf>
    <xf numFmtId="0" fontId="43" fillId="7" borderId="5" xfId="0" applyFont="1" applyFill="1" applyBorder="1" applyAlignment="1">
      <alignment horizontal="center" vertical="center"/>
    </xf>
    <xf numFmtId="10" fontId="47" fillId="16" borderId="5" xfId="0" applyNumberFormat="1" applyFont="1" applyFill="1" applyBorder="1"/>
    <xf numFmtId="0" fontId="44" fillId="6" borderId="24" xfId="0" applyFont="1" applyFill="1" applyBorder="1" applyAlignment="1">
      <alignment vertical="center" wrapText="1"/>
    </xf>
    <xf numFmtId="0" fontId="41" fillId="14" borderId="19" xfId="0" applyFont="1" applyFill="1" applyBorder="1" applyAlignment="1">
      <alignment vertical="center" wrapText="1"/>
    </xf>
    <xf numFmtId="0" fontId="41" fillId="14" borderId="16" xfId="0" applyFont="1" applyFill="1" applyBorder="1" applyAlignment="1">
      <alignment vertical="top" wrapText="1"/>
    </xf>
    <xf numFmtId="0" fontId="41" fillId="14" borderId="15" xfId="0" applyFont="1" applyFill="1" applyBorder="1" applyAlignment="1">
      <alignment horizontal="center" vertical="top" wrapText="1"/>
    </xf>
    <xf numFmtId="0" fontId="44" fillId="14" borderId="24" xfId="0" applyFont="1" applyFill="1" applyBorder="1" applyAlignment="1">
      <alignment vertical="center" wrapText="1"/>
    </xf>
    <xf numFmtId="41" fontId="46" fillId="14" borderId="13" xfId="1" applyFont="1" applyFill="1" applyBorder="1" applyAlignment="1">
      <alignment horizontal="center" vertical="center" wrapText="1" readingOrder="1"/>
    </xf>
    <xf numFmtId="0" fontId="46" fillId="14" borderId="13" xfId="0" applyFont="1" applyFill="1" applyBorder="1" applyAlignment="1">
      <alignment horizontal="center" vertical="center" wrapText="1"/>
    </xf>
    <xf numFmtId="0" fontId="43" fillId="14" borderId="5" xfId="0" applyFont="1" applyFill="1" applyBorder="1"/>
    <xf numFmtId="0" fontId="43" fillId="14" borderId="12" xfId="0" applyFont="1" applyFill="1" applyBorder="1"/>
    <xf numFmtId="0" fontId="42" fillId="14" borderId="5" xfId="0" applyFont="1" applyFill="1" applyBorder="1"/>
    <xf numFmtId="0" fontId="43" fillId="14" borderId="5" xfId="0" applyFont="1" applyFill="1" applyBorder="1" applyAlignment="1">
      <alignment vertical="center"/>
    </xf>
    <xf numFmtId="0" fontId="43" fillId="14" borderId="12" xfId="0" applyFont="1" applyFill="1" applyBorder="1" applyAlignment="1">
      <alignment vertical="center"/>
    </xf>
    <xf numFmtId="0" fontId="47" fillId="14" borderId="5" xfId="0" applyFont="1" applyFill="1" applyBorder="1"/>
    <xf numFmtId="0" fontId="41" fillId="14" borderId="5" xfId="0" applyFont="1" applyFill="1" applyBorder="1" applyAlignment="1">
      <alignment vertical="center"/>
    </xf>
    <xf numFmtId="0" fontId="46" fillId="14" borderId="12" xfId="0" applyFont="1" applyFill="1" applyBorder="1" applyAlignment="1">
      <alignment vertical="center"/>
    </xf>
    <xf numFmtId="0" fontId="46" fillId="14" borderId="5" xfId="0" applyFont="1" applyFill="1" applyBorder="1"/>
    <xf numFmtId="0" fontId="46" fillId="14" borderId="5" xfId="0" applyFont="1" applyFill="1" applyBorder="1" applyAlignment="1">
      <alignment vertical="center"/>
    </xf>
    <xf numFmtId="0" fontId="41" fillId="14" borderId="5" xfId="0" applyFont="1" applyFill="1" applyBorder="1"/>
    <xf numFmtId="0" fontId="48" fillId="14" borderId="12" xfId="0" applyFont="1" applyFill="1" applyBorder="1"/>
    <xf numFmtId="9" fontId="49" fillId="14" borderId="5" xfId="0" applyNumberFormat="1" applyFont="1" applyFill="1" applyBorder="1" applyAlignment="1">
      <alignment horizontal="right"/>
    </xf>
    <xf numFmtId="0" fontId="41" fillId="6" borderId="5" xfId="0" applyFont="1" applyFill="1" applyBorder="1" applyAlignment="1">
      <alignment horizontal="center" vertical="top" wrapText="1"/>
    </xf>
    <xf numFmtId="41" fontId="46" fillId="6" borderId="13" xfId="1" applyFont="1" applyFill="1" applyBorder="1" applyAlignment="1">
      <alignment horizontal="center" vertical="center" wrapText="1" readingOrder="1"/>
    </xf>
    <xf numFmtId="0" fontId="46" fillId="6" borderId="13" xfId="0" applyFont="1" applyFill="1" applyBorder="1" applyAlignment="1">
      <alignment horizontal="center" vertical="center" wrapText="1"/>
    </xf>
    <xf numFmtId="0" fontId="41" fillId="7" borderId="5" xfId="0" applyFont="1" applyFill="1" applyBorder="1"/>
    <xf numFmtId="0" fontId="46" fillId="7" borderId="12" xfId="0" applyFont="1" applyFill="1" applyBorder="1"/>
    <xf numFmtId="0" fontId="46" fillId="7" borderId="5" xfId="0" applyFont="1" applyFill="1" applyBorder="1"/>
    <xf numFmtId="0" fontId="41" fillId="6" borderId="13" xfId="0" applyFont="1" applyFill="1" applyBorder="1" applyAlignment="1">
      <alignment horizontal="center" vertical="top" wrapText="1"/>
    </xf>
    <xf numFmtId="0" fontId="44" fillId="6" borderId="13" xfId="0" applyFont="1" applyFill="1" applyBorder="1" applyAlignment="1">
      <alignment vertical="center" wrapText="1"/>
    </xf>
    <xf numFmtId="0" fontId="41" fillId="7" borderId="5" xfId="0" applyFont="1" applyFill="1" applyBorder="1" applyAlignment="1">
      <alignment vertical="center"/>
    </xf>
    <xf numFmtId="0" fontId="46" fillId="7" borderId="12" xfId="0" applyFont="1" applyFill="1" applyBorder="1" applyAlignment="1">
      <alignment vertical="center"/>
    </xf>
    <xf numFmtId="0" fontId="46" fillId="7" borderId="5" xfId="0" applyFont="1" applyFill="1" applyBorder="1" applyAlignment="1">
      <alignment vertical="center"/>
    </xf>
    <xf numFmtId="0" fontId="50" fillId="14" borderId="19" xfId="0" applyFont="1" applyFill="1" applyBorder="1" applyAlignment="1">
      <alignment vertical="center" wrapText="1"/>
    </xf>
    <xf numFmtId="0" fontId="50" fillId="14" borderId="13" xfId="0" applyFont="1" applyFill="1" applyBorder="1" applyAlignment="1">
      <alignment horizontal="center" vertical="top" wrapText="1"/>
    </xf>
    <xf numFmtId="0" fontId="45" fillId="14" borderId="13" xfId="0" applyFont="1" applyFill="1" applyBorder="1" applyAlignment="1">
      <alignment horizontal="left" vertical="center" wrapText="1"/>
    </xf>
    <xf numFmtId="41" fontId="51" fillId="14" borderId="13" xfId="1" applyFont="1" applyFill="1" applyBorder="1" applyAlignment="1">
      <alignment horizontal="center" vertical="center" wrapText="1" readingOrder="1"/>
    </xf>
    <xf numFmtId="0" fontId="51" fillId="14" borderId="13" xfId="0" applyFont="1" applyFill="1" applyBorder="1" applyAlignment="1">
      <alignment horizontal="center" vertical="center" wrapText="1"/>
    </xf>
    <xf numFmtId="0" fontId="51" fillId="14" borderId="5" xfId="0" applyFont="1" applyFill="1" applyBorder="1"/>
    <xf numFmtId="0" fontId="51" fillId="14" borderId="12" xfId="0" applyFont="1" applyFill="1" applyBorder="1"/>
    <xf numFmtId="0" fontId="50" fillId="14" borderId="5" xfId="0" applyFont="1" applyFill="1" applyBorder="1"/>
    <xf numFmtId="0" fontId="51" fillId="14" borderId="5" xfId="0" applyFont="1" applyFill="1" applyBorder="1" applyAlignment="1">
      <alignment vertical="center"/>
    </xf>
    <xf numFmtId="0" fontId="51" fillId="14" borderId="12" xfId="0" applyFont="1" applyFill="1" applyBorder="1" applyAlignment="1">
      <alignment vertical="center"/>
    </xf>
    <xf numFmtId="0" fontId="50" fillId="16" borderId="5" xfId="0" applyFont="1" applyFill="1" applyBorder="1"/>
    <xf numFmtId="9" fontId="50" fillId="16" borderId="5" xfId="0" applyNumberFormat="1" applyFont="1" applyFill="1" applyBorder="1"/>
    <xf numFmtId="0" fontId="50" fillId="14" borderId="5" xfId="0" applyFont="1" applyFill="1" applyBorder="1" applyAlignment="1">
      <alignment vertical="center"/>
    </xf>
    <xf numFmtId="0" fontId="50" fillId="16" borderId="12" xfId="0" applyFont="1" applyFill="1" applyBorder="1"/>
    <xf numFmtId="0" fontId="50" fillId="14" borderId="12" xfId="0" applyFont="1" applyFill="1" applyBorder="1"/>
    <xf numFmtId="9" fontId="50" fillId="14" borderId="5" xfId="0" applyNumberFormat="1" applyFont="1" applyFill="1" applyBorder="1" applyAlignment="1">
      <alignment horizontal="right"/>
    </xf>
    <xf numFmtId="41" fontId="46" fillId="6" borderId="5" xfId="1" applyFont="1" applyFill="1" applyBorder="1" applyAlignment="1">
      <alignment horizontal="center" vertical="center" wrapText="1" readingOrder="1"/>
    </xf>
    <xf numFmtId="0" fontId="46" fillId="6" borderId="5" xfId="0" applyFont="1" applyFill="1" applyBorder="1" applyAlignment="1">
      <alignment horizontal="center" vertical="center" wrapText="1"/>
    </xf>
    <xf numFmtId="0" fontId="41" fillId="6" borderId="8" xfId="0" applyFont="1" applyFill="1" applyBorder="1" applyAlignment="1">
      <alignment vertical="center" wrapText="1"/>
    </xf>
    <xf numFmtId="0" fontId="41" fillId="6" borderId="13" xfId="0" applyFont="1" applyFill="1" applyBorder="1" applyAlignment="1">
      <alignment horizontal="center" vertical="center" wrapText="1"/>
    </xf>
    <xf numFmtId="41" fontId="46" fillId="6" borderId="16" xfId="1" applyFont="1" applyFill="1" applyBorder="1" applyAlignment="1">
      <alignment horizontal="center" vertical="center" wrapText="1" readingOrder="1"/>
    </xf>
    <xf numFmtId="0" fontId="46" fillId="6" borderId="16" xfId="0" applyFont="1" applyFill="1" applyBorder="1" applyAlignment="1">
      <alignment vertical="center" wrapText="1"/>
    </xf>
    <xf numFmtId="0" fontId="41" fillId="6" borderId="19" xfId="0" applyFont="1" applyFill="1" applyBorder="1" applyAlignment="1">
      <alignment horizontal="center" vertical="center" wrapText="1"/>
    </xf>
    <xf numFmtId="41" fontId="46" fillId="6" borderId="8" xfId="1" applyFont="1" applyFill="1" applyBorder="1" applyAlignment="1">
      <alignment horizontal="center" vertical="center" wrapText="1" readingOrder="1"/>
    </xf>
    <xf numFmtId="0" fontId="43" fillId="0" borderId="5" xfId="0" applyFont="1" applyBorder="1" applyAlignment="1">
      <alignment vertical="top"/>
    </xf>
    <xf numFmtId="0" fontId="41" fillId="12" borderId="20" xfId="0" applyFont="1" applyFill="1" applyBorder="1" applyAlignment="1">
      <alignment horizontal="center" vertical="center" wrapText="1"/>
    </xf>
    <xf numFmtId="0" fontId="41" fillId="12" borderId="13" xfId="0" applyFont="1" applyFill="1" applyBorder="1" applyAlignment="1">
      <alignment horizontal="center" vertical="center" wrapText="1"/>
    </xf>
    <xf numFmtId="41" fontId="46" fillId="13" borderId="5" xfId="1" applyFont="1" applyFill="1" applyBorder="1" applyAlignment="1">
      <alignment horizontal="center" vertical="top" wrapText="1"/>
    </xf>
    <xf numFmtId="49" fontId="46" fillId="13" borderId="5" xfId="0" applyNumberFormat="1" applyFont="1" applyFill="1" applyBorder="1" applyAlignment="1">
      <alignment horizontal="left" vertical="center" wrapText="1"/>
    </xf>
    <xf numFmtId="0" fontId="41" fillId="12" borderId="0" xfId="0" applyFont="1" applyFill="1" applyAlignment="1">
      <alignment horizontal="center" vertical="center" wrapText="1"/>
    </xf>
    <xf numFmtId="0" fontId="41" fillId="24" borderId="19" xfId="0" applyFont="1" applyFill="1" applyBorder="1" applyAlignment="1">
      <alignment horizontal="center" vertical="center" wrapText="1"/>
    </xf>
    <xf numFmtId="0" fontId="41" fillId="24" borderId="15" xfId="0" applyFont="1" applyFill="1" applyBorder="1" applyAlignment="1">
      <alignment horizontal="center" vertical="top" wrapText="1"/>
    </xf>
    <xf numFmtId="0" fontId="41" fillId="24" borderId="13" xfId="0" applyFont="1" applyFill="1" applyBorder="1" applyAlignment="1">
      <alignment horizontal="center" vertical="center" wrapText="1"/>
    </xf>
    <xf numFmtId="41" fontId="46" fillId="24" borderId="8" xfId="1" applyFont="1" applyFill="1" applyBorder="1" applyAlignment="1">
      <alignment horizontal="center" vertical="center" wrapText="1" readingOrder="1"/>
    </xf>
    <xf numFmtId="0" fontId="46" fillId="24" borderId="16" xfId="0" applyFont="1" applyFill="1" applyBorder="1" applyAlignment="1">
      <alignment vertical="center" wrapText="1"/>
    </xf>
    <xf numFmtId="0" fontId="41" fillId="12" borderId="0" xfId="0" applyFont="1" applyFill="1" applyAlignment="1">
      <alignment horizontal="left" vertical="center" wrapText="1"/>
    </xf>
    <xf numFmtId="0" fontId="41" fillId="12" borderId="5" xfId="0" applyFont="1" applyFill="1" applyBorder="1" applyAlignment="1">
      <alignment vertical="top" wrapText="1"/>
    </xf>
    <xf numFmtId="0" fontId="41" fillId="14" borderId="5" xfId="0" applyFont="1" applyFill="1" applyBorder="1" applyAlignment="1">
      <alignment vertical="top" wrapText="1"/>
    </xf>
    <xf numFmtId="0" fontId="41" fillId="14" borderId="13" xfId="0" applyFont="1" applyFill="1" applyBorder="1" applyAlignment="1">
      <alignment horizontal="left" vertical="top" wrapText="1"/>
    </xf>
    <xf numFmtId="41" fontId="46" fillId="14" borderId="5" xfId="1" applyFont="1" applyFill="1" applyBorder="1" applyAlignment="1">
      <alignment horizontal="center" vertical="center" wrapText="1"/>
    </xf>
    <xf numFmtId="49" fontId="46" fillId="14" borderId="5" xfId="0" applyNumberFormat="1" applyFont="1" applyFill="1" applyBorder="1" applyAlignment="1">
      <alignment horizontal="left" vertical="center" wrapText="1"/>
    </xf>
    <xf numFmtId="0" fontId="46" fillId="14" borderId="12" xfId="0" applyFont="1" applyFill="1" applyBorder="1"/>
    <xf numFmtId="0" fontId="41" fillId="12" borderId="19" xfId="0" applyFont="1" applyFill="1" applyBorder="1" applyAlignment="1">
      <alignment vertical="top" wrapText="1"/>
    </xf>
    <xf numFmtId="0" fontId="41" fillId="12" borderId="13" xfId="0" applyFont="1" applyFill="1" applyBorder="1" applyAlignment="1">
      <alignment horizontal="center" vertical="top" wrapText="1"/>
    </xf>
    <xf numFmtId="41" fontId="46" fillId="13" borderId="5" xfId="1" applyFont="1" applyFill="1" applyBorder="1" applyAlignment="1">
      <alignment horizontal="center" vertical="center" wrapText="1"/>
    </xf>
    <xf numFmtId="0" fontId="41" fillId="12" borderId="15" xfId="0" applyFont="1" applyFill="1" applyBorder="1" applyAlignment="1">
      <alignment horizontal="center" vertical="top" wrapText="1"/>
    </xf>
    <xf numFmtId="0" fontId="41" fillId="12" borderId="15" xfId="0" applyFont="1" applyFill="1" applyBorder="1" applyAlignment="1">
      <alignment vertical="top" wrapText="1"/>
    </xf>
    <xf numFmtId="0" fontId="41" fillId="12" borderId="19" xfId="0" applyFont="1" applyFill="1" applyBorder="1" applyAlignment="1">
      <alignment horizontal="center" vertical="center" wrapText="1"/>
    </xf>
    <xf numFmtId="0" fontId="46" fillId="12" borderId="15" xfId="0" applyFont="1" applyFill="1" applyBorder="1" applyAlignment="1">
      <alignment vertical="top" wrapText="1"/>
    </xf>
    <xf numFmtId="0" fontId="46" fillId="12" borderId="15" xfId="0" applyFont="1" applyFill="1" applyBorder="1" applyAlignment="1">
      <alignment horizontal="center" vertical="top" wrapText="1"/>
    </xf>
    <xf numFmtId="0" fontId="50" fillId="12" borderId="41" xfId="0" applyFont="1" applyFill="1" applyBorder="1" applyAlignment="1">
      <alignment vertical="top" wrapText="1"/>
    </xf>
    <xf numFmtId="0" fontId="45" fillId="6" borderId="24" xfId="0" applyFont="1" applyFill="1" applyBorder="1" applyAlignment="1">
      <alignment vertical="top" wrapText="1"/>
    </xf>
    <xf numFmtId="0" fontId="45" fillId="6" borderId="5" xfId="0" applyFont="1" applyFill="1" applyBorder="1" applyAlignment="1">
      <alignment vertical="top" wrapText="1"/>
    </xf>
    <xf numFmtId="0" fontId="45" fillId="6" borderId="13" xfId="0" applyFont="1" applyFill="1" applyBorder="1" applyAlignment="1">
      <alignment horizontal="left" vertical="top" wrapText="1"/>
    </xf>
    <xf numFmtId="0" fontId="45" fillId="6" borderId="13" xfId="0" applyFont="1" applyFill="1" applyBorder="1" applyAlignment="1">
      <alignment horizontal="left" vertical="center" wrapText="1"/>
    </xf>
    <xf numFmtId="49" fontId="45" fillId="13" borderId="13" xfId="0" applyNumberFormat="1" applyFont="1" applyFill="1" applyBorder="1" applyAlignment="1">
      <alignment vertical="top" wrapText="1"/>
    </xf>
    <xf numFmtId="0" fontId="45" fillId="24" borderId="13" xfId="0" applyFont="1" applyFill="1" applyBorder="1" applyAlignment="1">
      <alignment horizontal="left" vertical="center" wrapText="1"/>
    </xf>
    <xf numFmtId="49" fontId="45" fillId="13" borderId="5" xfId="0" applyNumberFormat="1" applyFont="1" applyFill="1" applyBorder="1" applyAlignment="1">
      <alignment horizontal="left" vertical="top" wrapText="1"/>
    </xf>
    <xf numFmtId="49" fontId="45" fillId="14" borderId="5" xfId="0" applyNumberFormat="1" applyFont="1" applyFill="1" applyBorder="1" applyAlignment="1">
      <alignment horizontal="left" vertical="center" wrapText="1"/>
    </xf>
    <xf numFmtId="49" fontId="45" fillId="13" borderId="13" xfId="0" applyNumberFormat="1" applyFont="1" applyFill="1" applyBorder="1" applyAlignment="1">
      <alignment horizontal="left" vertical="top" wrapText="1"/>
    </xf>
    <xf numFmtId="49" fontId="45" fillId="13" borderId="13" xfId="0" applyNumberFormat="1" applyFont="1" applyFill="1" applyBorder="1" applyAlignment="1">
      <alignment horizontal="left" vertical="center" wrapText="1"/>
    </xf>
    <xf numFmtId="0" fontId="41" fillId="12" borderId="15" xfId="0" applyFont="1" applyFill="1" applyBorder="1" applyAlignment="1">
      <alignment horizontal="center" vertical="center" wrapText="1"/>
    </xf>
    <xf numFmtId="41" fontId="46" fillId="13" borderId="8" xfId="1" applyFont="1" applyFill="1" applyBorder="1" applyAlignment="1">
      <alignment horizontal="center" vertical="top" wrapText="1"/>
    </xf>
    <xf numFmtId="49" fontId="46" fillId="13" borderId="16" xfId="0" applyNumberFormat="1" applyFont="1" applyFill="1" applyBorder="1" applyAlignment="1">
      <alignment horizontal="left" vertical="center" wrapText="1"/>
    </xf>
    <xf numFmtId="0" fontId="41" fillId="24" borderId="0" xfId="0" applyFont="1" applyFill="1" applyAlignment="1">
      <alignment horizontal="center" vertical="center" wrapText="1"/>
    </xf>
    <xf numFmtId="0" fontId="0" fillId="15" borderId="5" xfId="0" applyFill="1" applyBorder="1" applyAlignment="1">
      <alignment vertical="top" wrapText="1"/>
    </xf>
    <xf numFmtId="0" fontId="5" fillId="5" borderId="17" xfId="0" applyFont="1" applyFill="1" applyBorder="1" applyAlignment="1">
      <alignment horizontal="center" vertical="top" wrapText="1"/>
    </xf>
    <xf numFmtId="0" fontId="55" fillId="0" borderId="0" xfId="0" applyFont="1"/>
    <xf numFmtId="10" fontId="0" fillId="0" borderId="0" xfId="0" applyNumberFormat="1"/>
    <xf numFmtId="0" fontId="0" fillId="0" borderId="0" xfId="0" applyAlignment="1">
      <alignment vertical="top"/>
    </xf>
    <xf numFmtId="0" fontId="53" fillId="25" borderId="42" xfId="0" applyFont="1" applyFill="1" applyBorder="1" applyAlignment="1">
      <alignment vertical="top" wrapText="1"/>
    </xf>
    <xf numFmtId="0" fontId="0" fillId="0" borderId="0" xfId="0" applyAlignment="1">
      <alignment horizontal="left" vertical="top"/>
    </xf>
    <xf numFmtId="0" fontId="52" fillId="25" borderId="69" xfId="0" applyFont="1" applyFill="1" applyBorder="1"/>
    <xf numFmtId="0" fontId="4" fillId="25" borderId="26" xfId="0" applyFont="1" applyFill="1" applyBorder="1"/>
    <xf numFmtId="49" fontId="45" fillId="25" borderId="63" xfId="0" applyNumberFormat="1" applyFont="1" applyFill="1" applyBorder="1" applyAlignment="1">
      <alignment vertical="top" wrapText="1"/>
    </xf>
    <xf numFmtId="0" fontId="54" fillId="25" borderId="26" xfId="0" applyFont="1" applyFill="1" applyBorder="1" applyAlignment="1">
      <alignment horizontal="right" wrapText="1"/>
    </xf>
    <xf numFmtId="10" fontId="4" fillId="25" borderId="26" xfId="0" applyNumberFormat="1" applyFont="1" applyFill="1" applyBorder="1"/>
    <xf numFmtId="10" fontId="54" fillId="25" borderId="26" xfId="0" applyNumberFormat="1" applyFont="1" applyFill="1" applyBorder="1" applyAlignment="1">
      <alignment horizontal="right" wrapText="1"/>
    </xf>
    <xf numFmtId="0" fontId="8" fillId="19" borderId="70" xfId="0" applyFont="1" applyFill="1" applyBorder="1" applyAlignment="1">
      <alignment wrapText="1" readingOrder="1"/>
    </xf>
    <xf numFmtId="0" fontId="17" fillId="0" borderId="70" xfId="0" applyFont="1" applyBorder="1" applyAlignment="1">
      <alignment wrapText="1"/>
    </xf>
    <xf numFmtId="0" fontId="4" fillId="25" borderId="59" xfId="0" applyFont="1" applyFill="1" applyBorder="1"/>
    <xf numFmtId="0" fontId="54" fillId="25" borderId="59" xfId="0" applyFont="1" applyFill="1" applyBorder="1" applyAlignment="1">
      <alignment horizontal="right" wrapText="1"/>
    </xf>
    <xf numFmtId="0" fontId="58" fillId="29" borderId="0" xfId="0" applyFont="1" applyFill="1"/>
    <xf numFmtId="0" fontId="58" fillId="0" borderId="0" xfId="0" applyFont="1"/>
    <xf numFmtId="0" fontId="58" fillId="8" borderId="0" xfId="0" applyFont="1" applyFill="1"/>
    <xf numFmtId="0" fontId="59" fillId="0" borderId="0" xfId="0" applyFont="1" applyAlignment="1">
      <alignment wrapText="1"/>
    </xf>
    <xf numFmtId="0" fontId="59" fillId="0" borderId="0" xfId="0" applyFont="1"/>
    <xf numFmtId="0" fontId="58" fillId="8" borderId="53" xfId="0" applyFont="1" applyFill="1" applyBorder="1"/>
    <xf numFmtId="10" fontId="58" fillId="0" borderId="0" xfId="0" applyNumberFormat="1" applyFont="1"/>
    <xf numFmtId="0" fontId="58" fillId="12" borderId="0" xfId="0" applyFont="1" applyFill="1"/>
    <xf numFmtId="0" fontId="54" fillId="8" borderId="59" xfId="0" applyFont="1" applyFill="1" applyBorder="1" applyAlignment="1">
      <alignment horizontal="right" wrapText="1"/>
    </xf>
    <xf numFmtId="0" fontId="54" fillId="8" borderId="74" xfId="0" applyFont="1" applyFill="1" applyBorder="1" applyAlignment="1">
      <alignment horizontal="left" vertical="top" wrapText="1"/>
    </xf>
    <xf numFmtId="0" fontId="54" fillId="8" borderId="56" xfId="0" applyFont="1" applyFill="1" applyBorder="1" applyAlignment="1">
      <alignment horizontal="left" vertical="top" wrapText="1"/>
    </xf>
    <xf numFmtId="0" fontId="54" fillId="8" borderId="75" xfId="0" applyFont="1" applyFill="1" applyBorder="1" applyAlignment="1">
      <alignment horizontal="left" vertical="top" wrapText="1"/>
    </xf>
    <xf numFmtId="0" fontId="62" fillId="25" borderId="57" xfId="0" applyFont="1" applyFill="1" applyBorder="1" applyAlignment="1">
      <alignment horizontal="center" vertical="top" wrapText="1"/>
    </xf>
    <xf numFmtId="0" fontId="62" fillId="25" borderId="57" xfId="0" applyFont="1" applyFill="1" applyBorder="1" applyAlignment="1">
      <alignment horizontal="left" vertical="top" wrapText="1"/>
    </xf>
    <xf numFmtId="0" fontId="0" fillId="25" borderId="87" xfId="0" applyFill="1" applyBorder="1" applyAlignment="1">
      <alignment horizontal="left" vertical="top"/>
    </xf>
    <xf numFmtId="0" fontId="60" fillId="25" borderId="0" xfId="0" applyFont="1" applyFill="1" applyAlignment="1">
      <alignment horizontal="center" vertical="top" wrapText="1"/>
    </xf>
    <xf numFmtId="0" fontId="63" fillId="8" borderId="56" xfId="0" applyFont="1" applyFill="1" applyBorder="1" applyAlignment="1">
      <alignment horizontal="left" vertical="top" wrapText="1"/>
    </xf>
    <xf numFmtId="0" fontId="64" fillId="8" borderId="42" xfId="0" applyFont="1" applyFill="1" applyBorder="1" applyAlignment="1">
      <alignment vertical="top" wrapText="1"/>
    </xf>
    <xf numFmtId="0" fontId="65" fillId="8" borderId="69" xfId="0" applyFont="1" applyFill="1" applyBorder="1"/>
    <xf numFmtId="0" fontId="65" fillId="8" borderId="26" xfId="0" applyFont="1" applyFill="1" applyBorder="1"/>
    <xf numFmtId="10" fontId="65" fillId="8" borderId="26" xfId="0" applyNumberFormat="1" applyFont="1" applyFill="1" applyBorder="1"/>
    <xf numFmtId="0" fontId="64" fillId="8" borderId="56" xfId="0" applyFont="1" applyFill="1" applyBorder="1" applyAlignment="1">
      <alignment horizontal="left" vertical="top" wrapText="1"/>
    </xf>
    <xf numFmtId="0" fontId="64" fillId="8" borderId="0" xfId="0" applyFont="1" applyFill="1" applyAlignment="1">
      <alignment vertical="top" wrapText="1"/>
    </xf>
    <xf numFmtId="0" fontId="63" fillId="8" borderId="17" xfId="0" applyFont="1" applyFill="1" applyBorder="1" applyAlignment="1">
      <alignment vertical="top" wrapText="1"/>
    </xf>
    <xf numFmtId="0" fontId="63" fillId="8" borderId="74" xfId="0" applyFont="1" applyFill="1" applyBorder="1" applyAlignment="1">
      <alignment horizontal="left" vertical="top" wrapText="1"/>
    </xf>
    <xf numFmtId="0" fontId="60" fillId="25" borderId="0" xfId="0" applyFont="1" applyFill="1" applyAlignment="1">
      <alignment horizontal="left" vertical="top" wrapText="1"/>
    </xf>
    <xf numFmtId="0" fontId="64" fillId="8" borderId="45" xfId="0" applyFont="1" applyFill="1" applyBorder="1" applyAlignment="1">
      <alignment vertical="top" wrapText="1"/>
    </xf>
    <xf numFmtId="0" fontId="63" fillId="8" borderId="26" xfId="0" applyFont="1" applyFill="1" applyBorder="1" applyAlignment="1">
      <alignment horizontal="right" wrapText="1"/>
    </xf>
    <xf numFmtId="10" fontId="63" fillId="8" borderId="26" xfId="0" applyNumberFormat="1" applyFont="1" applyFill="1" applyBorder="1" applyAlignment="1">
      <alignment horizontal="right" wrapText="1"/>
    </xf>
    <xf numFmtId="0" fontId="63" fillId="8" borderId="91" xfId="0" applyFont="1" applyFill="1" applyBorder="1" applyAlignment="1">
      <alignment vertical="top" wrapText="1"/>
    </xf>
    <xf numFmtId="0" fontId="65" fillId="8" borderId="84" xfId="0" applyFont="1" applyFill="1" applyBorder="1"/>
    <xf numFmtId="0" fontId="63" fillId="8" borderId="42" xfId="0" applyFont="1" applyFill="1" applyBorder="1" applyAlignment="1">
      <alignment vertical="top" wrapText="1"/>
    </xf>
    <xf numFmtId="0" fontId="65" fillId="8" borderId="58" xfId="0" applyFont="1" applyFill="1" applyBorder="1"/>
    <xf numFmtId="0" fontId="63" fillId="8" borderId="46" xfId="0" applyFont="1" applyFill="1" applyBorder="1" applyAlignment="1">
      <alignment horizontal="right" wrapText="1"/>
    </xf>
    <xf numFmtId="49" fontId="63" fillId="8" borderId="19" xfId="0" applyNumberFormat="1" applyFont="1" applyFill="1" applyBorder="1" applyAlignment="1">
      <alignment vertical="top" wrapText="1"/>
    </xf>
    <xf numFmtId="0" fontId="65" fillId="8" borderId="88" xfId="0" applyFont="1" applyFill="1" applyBorder="1"/>
    <xf numFmtId="49" fontId="63" fillId="8" borderId="20" xfId="0" applyNumberFormat="1" applyFont="1" applyFill="1" applyBorder="1" applyAlignment="1">
      <alignment vertical="top" wrapText="1"/>
    </xf>
    <xf numFmtId="49" fontId="63" fillId="8" borderId="20" xfId="0" applyNumberFormat="1" applyFont="1" applyFill="1" applyBorder="1" applyAlignment="1">
      <alignment horizontal="left" vertical="top" wrapText="1"/>
    </xf>
    <xf numFmtId="0" fontId="63" fillId="8" borderId="20" xfId="0" applyFont="1" applyFill="1" applyBorder="1" applyAlignment="1">
      <alignment horizontal="left" vertical="top" wrapText="1"/>
    </xf>
    <xf numFmtId="49" fontId="63" fillId="8" borderId="5" xfId="0" applyNumberFormat="1" applyFont="1" applyFill="1" applyBorder="1" applyAlignment="1">
      <alignment horizontal="left" vertical="top" wrapText="1"/>
    </xf>
    <xf numFmtId="49" fontId="63" fillId="8" borderId="26" xfId="0" applyNumberFormat="1" applyFont="1" applyFill="1" applyBorder="1" applyAlignment="1">
      <alignment horizontal="left" vertical="top" wrapText="1"/>
    </xf>
    <xf numFmtId="49" fontId="63" fillId="8" borderId="51" xfId="0" applyNumberFormat="1" applyFont="1" applyFill="1" applyBorder="1" applyAlignment="1">
      <alignment horizontal="left" vertical="top" wrapText="1"/>
    </xf>
    <xf numFmtId="49" fontId="63" fillId="8" borderId="13" xfId="0" applyNumberFormat="1" applyFont="1" applyFill="1" applyBorder="1" applyAlignment="1">
      <alignment horizontal="left" vertical="top" wrapText="1"/>
    </xf>
    <xf numFmtId="49" fontId="63" fillId="8" borderId="63" xfId="0" applyNumberFormat="1" applyFont="1" applyFill="1" applyBorder="1" applyAlignment="1">
      <alignment horizontal="left" vertical="top" wrapText="1"/>
    </xf>
    <xf numFmtId="0" fontId="63" fillId="8" borderId="62" xfId="0" applyFont="1" applyFill="1" applyBorder="1" applyAlignment="1">
      <alignment vertical="top" wrapText="1"/>
    </xf>
    <xf numFmtId="0" fontId="63" fillId="8" borderId="64" xfId="0" applyFont="1" applyFill="1" applyBorder="1" applyAlignment="1">
      <alignment vertical="top" wrapText="1"/>
    </xf>
    <xf numFmtId="0" fontId="65" fillId="8" borderId="45" xfId="0" applyFont="1" applyFill="1" applyBorder="1"/>
    <xf numFmtId="49" fontId="63" fillId="8" borderId="15" xfId="0" applyNumberFormat="1" applyFont="1" applyFill="1" applyBorder="1" applyAlignment="1">
      <alignment vertical="top" wrapText="1"/>
    </xf>
    <xf numFmtId="0" fontId="63" fillId="8" borderId="59" xfId="0" applyFont="1" applyFill="1" applyBorder="1" applyAlignment="1">
      <alignment horizontal="right" wrapText="1"/>
    </xf>
    <xf numFmtId="0" fontId="63" fillId="8" borderId="76" xfId="0" applyFont="1" applyFill="1" applyBorder="1" applyAlignment="1">
      <alignment vertical="top" wrapText="1"/>
    </xf>
    <xf numFmtId="0" fontId="65" fillId="8" borderId="77" xfId="0" applyFont="1" applyFill="1" applyBorder="1"/>
    <xf numFmtId="0" fontId="63" fillId="8" borderId="78" xfId="0" applyFont="1" applyFill="1" applyBorder="1" applyAlignment="1">
      <alignment horizontal="right" wrapText="1"/>
    </xf>
    <xf numFmtId="10" fontId="63" fillId="8" borderId="78" xfId="0" applyNumberFormat="1" applyFont="1" applyFill="1" applyBorder="1" applyAlignment="1">
      <alignment horizontal="right" wrapText="1"/>
    </xf>
    <xf numFmtId="0" fontId="63" fillId="8" borderId="79" xfId="0" applyFont="1" applyFill="1" applyBorder="1" applyAlignment="1">
      <alignment horizontal="right" wrapText="1"/>
    </xf>
    <xf numFmtId="0" fontId="66" fillId="25" borderId="26" xfId="0" applyFont="1" applyFill="1" applyBorder="1" applyAlignment="1">
      <alignment wrapText="1"/>
    </xf>
    <xf numFmtId="0" fontId="66" fillId="25" borderId="26" xfId="0" applyFont="1" applyFill="1" applyBorder="1"/>
    <xf numFmtId="0" fontId="67" fillId="28" borderId="26" xfId="0" applyFont="1" applyFill="1" applyBorder="1" applyAlignment="1">
      <alignment horizontal="center"/>
    </xf>
    <xf numFmtId="0" fontId="67" fillId="28" borderId="31" xfId="0" applyFont="1" applyFill="1" applyBorder="1" applyAlignment="1">
      <alignment horizontal="center"/>
    </xf>
    <xf numFmtId="0" fontId="67" fillId="28" borderId="43" xfId="0" applyFont="1" applyFill="1" applyBorder="1" applyAlignment="1">
      <alignment horizontal="center"/>
    </xf>
    <xf numFmtId="0" fontId="67" fillId="28" borderId="0" xfId="0" applyFont="1" applyFill="1" applyAlignment="1">
      <alignment horizontal="center"/>
    </xf>
    <xf numFmtId="0" fontId="69" fillId="0" borderId="0" xfId="0" applyFont="1"/>
    <xf numFmtId="0" fontId="70" fillId="25" borderId="26" xfId="0" applyFont="1" applyFill="1" applyBorder="1" applyAlignment="1">
      <alignment horizontal="left" wrapText="1"/>
    </xf>
    <xf numFmtId="0" fontId="68" fillId="28" borderId="26" xfId="0" applyFont="1" applyFill="1" applyBorder="1" applyAlignment="1">
      <alignment horizontal="center"/>
    </xf>
    <xf numFmtId="0" fontId="67" fillId="28" borderId="43" xfId="0" applyFont="1" applyFill="1" applyBorder="1"/>
    <xf numFmtId="0" fontId="67" fillId="28" borderId="32" xfId="0" applyFont="1" applyFill="1" applyBorder="1"/>
    <xf numFmtId="0" fontId="67" fillId="28" borderId="34" xfId="0" applyFont="1" applyFill="1" applyBorder="1"/>
    <xf numFmtId="0" fontId="67" fillId="28" borderId="26" xfId="0" applyFont="1" applyFill="1" applyBorder="1"/>
    <xf numFmtId="0" fontId="67" fillId="28" borderId="42" xfId="0" applyFont="1" applyFill="1" applyBorder="1"/>
    <xf numFmtId="0" fontId="67" fillId="28" borderId="51" xfId="0" applyFont="1" applyFill="1" applyBorder="1" applyAlignment="1">
      <alignment horizontal="center"/>
    </xf>
    <xf numFmtId="0" fontId="67" fillId="28" borderId="27" xfId="0" applyFont="1" applyFill="1" applyBorder="1" applyAlignment="1">
      <alignment horizontal="center"/>
    </xf>
    <xf numFmtId="0" fontId="68" fillId="28" borderId="31" xfId="0" applyFont="1" applyFill="1" applyBorder="1" applyAlignment="1">
      <alignment horizontal="center"/>
    </xf>
    <xf numFmtId="0" fontId="68" fillId="28" borderId="43" xfId="0" applyFont="1" applyFill="1" applyBorder="1" applyAlignment="1">
      <alignment horizontal="center"/>
    </xf>
    <xf numFmtId="0" fontId="68" fillId="28" borderId="42" xfId="0" applyFont="1" applyFill="1" applyBorder="1" applyAlignment="1">
      <alignment horizontal="center"/>
    </xf>
    <xf numFmtId="0" fontId="66" fillId="25" borderId="26" xfId="0" applyFont="1" applyFill="1" applyBorder="1" applyAlignment="1">
      <alignment vertical="top" wrapText="1"/>
    </xf>
    <xf numFmtId="0" fontId="64" fillId="6" borderId="53" xfId="0" applyFont="1" applyFill="1" applyBorder="1" applyAlignment="1">
      <alignment vertical="top" wrapText="1"/>
    </xf>
    <xf numFmtId="0" fontId="64" fillId="6" borderId="51" xfId="0" applyFont="1" applyFill="1" applyBorder="1" applyAlignment="1">
      <alignment vertical="top" wrapText="1"/>
    </xf>
    <xf numFmtId="0" fontId="64" fillId="6" borderId="26" xfId="0" applyFont="1" applyFill="1" applyBorder="1" applyAlignment="1">
      <alignment vertical="top" wrapText="1"/>
    </xf>
    <xf numFmtId="0" fontId="64" fillId="28" borderId="56" xfId="0" applyFont="1" applyFill="1" applyBorder="1" applyAlignment="1">
      <alignment vertical="top" wrapText="1"/>
    </xf>
    <xf numFmtId="0" fontId="64" fillId="28" borderId="53" xfId="0" applyFont="1" applyFill="1" applyBorder="1" applyAlignment="1">
      <alignment vertical="top" wrapText="1"/>
    </xf>
    <xf numFmtId="0" fontId="64" fillId="28" borderId="57" xfId="0" applyFont="1" applyFill="1" applyBorder="1" applyAlignment="1">
      <alignment vertical="top" wrapText="1"/>
    </xf>
    <xf numFmtId="0" fontId="64" fillId="28" borderId="58" xfId="0" applyFont="1" applyFill="1" applyBorder="1" applyAlignment="1">
      <alignment vertical="top" wrapText="1"/>
    </xf>
    <xf numFmtId="0" fontId="64" fillId="28" borderId="42" xfId="0" applyFont="1" applyFill="1" applyBorder="1" applyAlignment="1">
      <alignment vertical="top" wrapText="1"/>
    </xf>
    <xf numFmtId="0" fontId="64" fillId="28" borderId="26" xfId="0" applyFont="1" applyFill="1" applyBorder="1" applyAlignment="1">
      <alignment vertical="top" wrapText="1"/>
    </xf>
    <xf numFmtId="0" fontId="64" fillId="28" borderId="59" xfId="0" applyFont="1" applyFill="1" applyBorder="1" applyAlignment="1">
      <alignment vertical="top" wrapText="1"/>
    </xf>
    <xf numFmtId="0" fontId="64" fillId="28" borderId="45" xfId="0" applyFont="1" applyFill="1" applyBorder="1" applyAlignment="1">
      <alignment vertical="top" wrapText="1"/>
    </xf>
    <xf numFmtId="0" fontId="64" fillId="28" borderId="0" xfId="0" applyFont="1" applyFill="1" applyAlignment="1">
      <alignment vertical="top" wrapText="1"/>
    </xf>
    <xf numFmtId="0" fontId="64" fillId="8" borderId="26" xfId="0" applyFont="1" applyFill="1" applyBorder="1" applyAlignment="1">
      <alignment vertical="top" wrapText="1"/>
    </xf>
    <xf numFmtId="0" fontId="64" fillId="28" borderId="27" xfId="0" applyFont="1" applyFill="1" applyBorder="1" applyAlignment="1">
      <alignment vertical="top" wrapText="1"/>
    </xf>
    <xf numFmtId="0" fontId="64" fillId="28" borderId="46" xfId="0" applyFont="1" applyFill="1" applyBorder="1" applyAlignment="1">
      <alignment vertical="top" wrapText="1"/>
    </xf>
    <xf numFmtId="0" fontId="64" fillId="28" borderId="54" xfId="0" applyFont="1" applyFill="1" applyBorder="1" applyAlignment="1">
      <alignment vertical="top" wrapText="1"/>
    </xf>
    <xf numFmtId="0" fontId="64" fillId="28" borderId="55" xfId="0" applyFont="1" applyFill="1" applyBorder="1" applyAlignment="1">
      <alignment vertical="top" wrapText="1"/>
    </xf>
    <xf numFmtId="0" fontId="63" fillId="8" borderId="26" xfId="0" applyFont="1" applyFill="1" applyBorder="1" applyAlignment="1">
      <alignment vertical="top" wrapText="1"/>
    </xf>
    <xf numFmtId="0" fontId="64" fillId="8" borderId="26" xfId="0" applyFont="1" applyFill="1" applyBorder="1" applyAlignment="1">
      <alignment wrapText="1"/>
    </xf>
    <xf numFmtId="0" fontId="64" fillId="8" borderId="26" xfId="0" applyFont="1" applyFill="1" applyBorder="1"/>
    <xf numFmtId="0" fontId="69" fillId="6" borderId="46" xfId="0" applyFont="1" applyFill="1" applyBorder="1"/>
    <xf numFmtId="0" fontId="69" fillId="6" borderId="42" xfId="0" applyFont="1" applyFill="1" applyBorder="1"/>
    <xf numFmtId="0" fontId="69" fillId="8" borderId="42" xfId="0" applyFont="1" applyFill="1" applyBorder="1"/>
    <xf numFmtId="0" fontId="69" fillId="6" borderId="26" xfId="0" applyFont="1" applyFill="1" applyBorder="1"/>
    <xf numFmtId="0" fontId="64" fillId="28" borderId="58" xfId="0" applyFont="1" applyFill="1" applyBorder="1"/>
    <xf numFmtId="0" fontId="64" fillId="28" borderId="26" xfId="0" applyFont="1" applyFill="1" applyBorder="1"/>
    <xf numFmtId="0" fontId="64" fillId="28" borderId="81" xfId="0" applyFont="1" applyFill="1" applyBorder="1"/>
    <xf numFmtId="0" fontId="64" fillId="8" borderId="42" xfId="0" applyFont="1" applyFill="1" applyBorder="1"/>
    <xf numFmtId="0" fontId="64" fillId="28" borderId="65" xfId="0" applyFont="1" applyFill="1" applyBorder="1"/>
    <xf numFmtId="0" fontId="64" fillId="28" borderId="50" xfId="0" applyFont="1" applyFill="1" applyBorder="1"/>
    <xf numFmtId="0" fontId="64" fillId="28" borderId="59" xfId="0" applyFont="1" applyFill="1" applyBorder="1"/>
    <xf numFmtId="0" fontId="64" fillId="28" borderId="45" xfId="0" applyFont="1" applyFill="1" applyBorder="1"/>
    <xf numFmtId="0" fontId="64" fillId="28" borderId="42" xfId="0" applyFont="1" applyFill="1" applyBorder="1"/>
    <xf numFmtId="0" fontId="64" fillId="28" borderId="27" xfId="0" applyFont="1" applyFill="1" applyBorder="1"/>
    <xf numFmtId="0" fontId="64" fillId="28" borderId="35" xfId="0" applyFont="1" applyFill="1" applyBorder="1"/>
    <xf numFmtId="0" fontId="69" fillId="6" borderId="35" xfId="0" applyFont="1" applyFill="1" applyBorder="1"/>
    <xf numFmtId="0" fontId="69" fillId="6" borderId="50" xfId="0" applyFont="1" applyFill="1" applyBorder="1"/>
    <xf numFmtId="0" fontId="69" fillId="8" borderId="50" xfId="0" applyFont="1" applyFill="1" applyBorder="1"/>
    <xf numFmtId="0" fontId="69" fillId="6" borderId="27" xfId="0" applyFont="1" applyFill="1" applyBorder="1"/>
    <xf numFmtId="0" fontId="64" fillId="12" borderId="35" xfId="0" applyFont="1" applyFill="1" applyBorder="1"/>
    <xf numFmtId="0" fontId="64" fillId="28" borderId="36" xfId="0" applyFont="1" applyFill="1" applyBorder="1"/>
    <xf numFmtId="0" fontId="64" fillId="28" borderId="46" xfId="0" applyFont="1" applyFill="1" applyBorder="1"/>
    <xf numFmtId="0" fontId="64" fillId="28" borderId="26" xfId="0" applyFont="1" applyFill="1" applyBorder="1" applyAlignment="1">
      <alignment wrapText="1"/>
    </xf>
    <xf numFmtId="0" fontId="64" fillId="28" borderId="58" xfId="0" applyFont="1" applyFill="1" applyBorder="1" applyAlignment="1">
      <alignment wrapText="1"/>
    </xf>
    <xf numFmtId="0" fontId="69" fillId="8" borderId="44" xfId="0" applyFont="1" applyFill="1" applyBorder="1"/>
    <xf numFmtId="0" fontId="63" fillId="8" borderId="26" xfId="0" applyFont="1" applyFill="1" applyBorder="1" applyAlignment="1">
      <alignment wrapText="1"/>
    </xf>
    <xf numFmtId="0" fontId="69" fillId="25" borderId="46" xfId="0" applyFont="1" applyFill="1" applyBorder="1"/>
    <xf numFmtId="0" fontId="69" fillId="25" borderId="42" xfId="0" applyFont="1" applyFill="1" applyBorder="1"/>
    <xf numFmtId="0" fontId="69" fillId="25" borderId="26" xfId="0" applyFont="1" applyFill="1" applyBorder="1"/>
    <xf numFmtId="0" fontId="64" fillId="25" borderId="58" xfId="0" applyFont="1" applyFill="1" applyBorder="1"/>
    <xf numFmtId="0" fontId="64" fillId="25" borderId="26" xfId="0" applyFont="1" applyFill="1" applyBorder="1"/>
    <xf numFmtId="0" fontId="64" fillId="25" borderId="81" xfId="0" applyFont="1" applyFill="1" applyBorder="1"/>
    <xf numFmtId="0" fontId="64" fillId="25" borderId="42" xfId="0" applyFont="1" applyFill="1" applyBorder="1"/>
    <xf numFmtId="0" fontId="64" fillId="25" borderId="59" xfId="0" applyFont="1" applyFill="1" applyBorder="1"/>
    <xf numFmtId="0" fontId="64" fillId="25" borderId="45" xfId="0" applyFont="1" applyFill="1" applyBorder="1"/>
    <xf numFmtId="0" fontId="64" fillId="25" borderId="88" xfId="0" applyFont="1" applyFill="1" applyBorder="1"/>
    <xf numFmtId="0" fontId="64" fillId="25" borderId="50" xfId="0" applyFont="1" applyFill="1" applyBorder="1"/>
    <xf numFmtId="0" fontId="64" fillId="25" borderId="69" xfId="0" applyFont="1" applyFill="1" applyBorder="1"/>
    <xf numFmtId="0" fontId="64" fillId="25" borderId="46" xfId="0" applyFont="1" applyFill="1" applyBorder="1"/>
    <xf numFmtId="0" fontId="64" fillId="25" borderId="36" xfId="0" applyFont="1" applyFill="1" applyBorder="1"/>
    <xf numFmtId="9" fontId="64" fillId="25" borderId="26" xfId="0" applyNumberFormat="1" applyFont="1" applyFill="1" applyBorder="1"/>
    <xf numFmtId="0" fontId="64" fillId="25" borderId="35" xfId="0" applyFont="1" applyFill="1" applyBorder="1"/>
    <xf numFmtId="0" fontId="66" fillId="25" borderId="12" xfId="0" applyFont="1" applyFill="1" applyBorder="1" applyAlignment="1">
      <alignment wrapText="1"/>
    </xf>
    <xf numFmtId="10" fontId="66" fillId="25" borderId="60" xfId="0" applyNumberFormat="1" applyFont="1" applyFill="1" applyBorder="1" applyAlignment="1">
      <alignment wrapText="1"/>
    </xf>
    <xf numFmtId="0" fontId="69" fillId="8" borderId="0" xfId="0" applyFont="1" applyFill="1"/>
    <xf numFmtId="49" fontId="63" fillId="8" borderId="26" xfId="0" applyNumberFormat="1" applyFont="1" applyFill="1" applyBorder="1" applyAlignment="1">
      <alignment vertical="top" wrapText="1"/>
    </xf>
    <xf numFmtId="49" fontId="63" fillId="8" borderId="26" xfId="0" applyNumberFormat="1" applyFont="1" applyFill="1" applyBorder="1" applyAlignment="1">
      <alignment horizontal="left" vertical="center" wrapText="1"/>
    </xf>
    <xf numFmtId="0" fontId="63" fillId="8" borderId="26" xfId="0" applyFont="1" applyFill="1" applyBorder="1" applyAlignment="1">
      <alignment horizontal="left" vertical="center" wrapText="1"/>
    </xf>
    <xf numFmtId="0" fontId="64" fillId="26" borderId="0" xfId="0" applyFont="1" applyFill="1"/>
    <xf numFmtId="0" fontId="69" fillId="0" borderId="0" xfId="0" applyFont="1" applyAlignment="1">
      <alignment wrapText="1"/>
    </xf>
    <xf numFmtId="0" fontId="69" fillId="26" borderId="0" xfId="0" applyFont="1" applyFill="1"/>
    <xf numFmtId="0" fontId="63" fillId="25" borderId="26" xfId="0" applyFont="1" applyFill="1" applyBorder="1" applyAlignment="1">
      <alignment vertical="top" wrapText="1"/>
    </xf>
    <xf numFmtId="49" fontId="63" fillId="25" borderId="26" xfId="0" applyNumberFormat="1" applyFont="1" applyFill="1" applyBorder="1" applyAlignment="1">
      <alignment vertical="top" wrapText="1"/>
    </xf>
    <xf numFmtId="0" fontId="64" fillId="25" borderId="26" xfId="0" applyFont="1" applyFill="1" applyBorder="1" applyAlignment="1">
      <alignment wrapText="1"/>
    </xf>
    <xf numFmtId="0" fontId="64" fillId="28" borderId="82" xfId="0" applyFont="1" applyFill="1" applyBorder="1"/>
    <xf numFmtId="0" fontId="64" fillId="28" borderId="78" xfId="0" applyFont="1" applyFill="1" applyBorder="1"/>
    <xf numFmtId="0" fontId="64" fillId="28" borderId="83" xfId="0" applyFont="1" applyFill="1" applyBorder="1"/>
    <xf numFmtId="0" fontId="64" fillId="28" borderId="44" xfId="0" applyFont="1" applyFill="1" applyBorder="1"/>
    <xf numFmtId="0" fontId="64" fillId="28" borderId="79" xfId="0" applyFont="1" applyFill="1" applyBorder="1"/>
    <xf numFmtId="0" fontId="64" fillId="28" borderId="89" xfId="0" applyFont="1" applyFill="1" applyBorder="1"/>
    <xf numFmtId="0" fontId="69" fillId="29" borderId="0" xfId="0" applyFont="1" applyFill="1"/>
    <xf numFmtId="0" fontId="64" fillId="29" borderId="0" xfId="0" applyFont="1" applyFill="1" applyAlignment="1">
      <alignment wrapText="1"/>
    </xf>
    <xf numFmtId="0" fontId="64" fillId="29" borderId="0" xfId="0" applyFont="1" applyFill="1"/>
    <xf numFmtId="0" fontId="69" fillId="29" borderId="53" xfId="0" applyFont="1" applyFill="1" applyBorder="1"/>
    <xf numFmtId="10" fontId="69" fillId="29" borderId="0" xfId="0" applyNumberFormat="1" applyFont="1" applyFill="1"/>
    <xf numFmtId="0" fontId="64" fillId="0" borderId="0" xfId="0" applyFont="1" applyAlignment="1">
      <alignment wrapText="1"/>
    </xf>
    <xf numFmtId="0" fontId="64" fillId="0" borderId="0" xfId="0" applyFont="1"/>
    <xf numFmtId="0" fontId="69" fillId="8" borderId="53" xfId="0" applyFont="1" applyFill="1" applyBorder="1"/>
    <xf numFmtId="10" fontId="69" fillId="0" borderId="0" xfId="0" applyNumberFormat="1" applyFont="1"/>
    <xf numFmtId="0" fontId="69" fillId="12" borderId="0" xfId="0" applyFont="1" applyFill="1"/>
    <xf numFmtId="0" fontId="63" fillId="8" borderId="27" xfId="0" applyFont="1" applyFill="1" applyBorder="1" applyAlignment="1">
      <alignment vertical="top" wrapText="1"/>
    </xf>
    <xf numFmtId="0" fontId="63" fillId="8" borderId="46" xfId="0" applyFont="1" applyFill="1" applyBorder="1" applyAlignment="1">
      <alignment vertical="top" wrapText="1"/>
    </xf>
    <xf numFmtId="0" fontId="66" fillId="25" borderId="66" xfId="0" applyFont="1" applyFill="1" applyBorder="1" applyAlignment="1">
      <alignment horizontal="left"/>
    </xf>
    <xf numFmtId="0" fontId="66" fillId="25" borderId="67" xfId="0" applyFont="1" applyFill="1" applyBorder="1"/>
    <xf numFmtId="0" fontId="66" fillId="25" borderId="68" xfId="0" applyFont="1" applyFill="1" applyBorder="1"/>
    <xf numFmtId="0" fontId="66" fillId="25" borderId="72" xfId="0" applyFont="1" applyFill="1" applyBorder="1"/>
    <xf numFmtId="10" fontId="66" fillId="25" borderId="72" xfId="0" applyNumberFormat="1" applyFont="1" applyFill="1" applyBorder="1" applyAlignment="1">
      <alignment wrapText="1"/>
    </xf>
    <xf numFmtId="0" fontId="72" fillId="25" borderId="73" xfId="0" applyFont="1" applyFill="1" applyBorder="1"/>
    <xf numFmtId="0" fontId="67" fillId="30" borderId="27" xfId="0" applyFont="1" applyFill="1" applyBorder="1" applyAlignment="1">
      <alignment horizontal="center"/>
    </xf>
    <xf numFmtId="0" fontId="64" fillId="30" borderId="46" xfId="0" applyFont="1" applyFill="1" applyBorder="1" applyAlignment="1">
      <alignment vertical="top" wrapText="1"/>
    </xf>
    <xf numFmtId="0" fontId="64" fillId="30" borderId="26" xfId="0" applyFont="1" applyFill="1" applyBorder="1" applyAlignment="1">
      <alignment vertical="top" wrapText="1"/>
    </xf>
    <xf numFmtId="0" fontId="64" fillId="30" borderId="26" xfId="0" applyFont="1" applyFill="1" applyBorder="1"/>
    <xf numFmtId="9" fontId="64" fillId="30" borderId="26" xfId="0" applyNumberFormat="1" applyFont="1" applyFill="1" applyBorder="1"/>
    <xf numFmtId="0" fontId="64" fillId="30" borderId="26" xfId="0" applyFont="1" applyFill="1" applyBorder="1" applyAlignment="1">
      <alignment wrapText="1"/>
    </xf>
    <xf numFmtId="0" fontId="68" fillId="30" borderId="27" xfId="0" applyFont="1" applyFill="1" applyBorder="1" applyAlignment="1">
      <alignment horizontal="center"/>
    </xf>
    <xf numFmtId="0" fontId="64" fillId="30" borderId="69" xfId="0" applyFont="1" applyFill="1" applyBorder="1"/>
    <xf numFmtId="0" fontId="64" fillId="30" borderId="42" xfId="0" applyFont="1" applyFill="1" applyBorder="1"/>
    <xf numFmtId="0" fontId="64" fillId="30" borderId="77" xfId="0" applyFont="1" applyFill="1" applyBorder="1"/>
    <xf numFmtId="0" fontId="64" fillId="30" borderId="44" xfId="0" applyFont="1" applyFill="1" applyBorder="1"/>
    <xf numFmtId="0" fontId="67" fillId="30" borderId="80" xfId="0" applyFont="1" applyFill="1" applyBorder="1" applyAlignment="1">
      <alignment horizontal="center"/>
    </xf>
    <xf numFmtId="0" fontId="67" fillId="30" borderId="48" xfId="0" applyFont="1" applyFill="1" applyBorder="1" applyAlignment="1">
      <alignment horizontal="center"/>
    </xf>
    <xf numFmtId="0" fontId="67" fillId="30" borderId="74" xfId="0" applyFont="1" applyFill="1" applyBorder="1" applyAlignment="1">
      <alignment horizontal="center"/>
    </xf>
    <xf numFmtId="0" fontId="67" fillId="30" borderId="51" xfId="0" applyFont="1" applyFill="1" applyBorder="1" applyAlignment="1">
      <alignment horizontal="center"/>
    </xf>
    <xf numFmtId="0" fontId="64" fillId="30" borderId="88" xfId="0" applyFont="1" applyFill="1" applyBorder="1"/>
    <xf numFmtId="0" fontId="64" fillId="30" borderId="50" xfId="0" applyFont="1" applyFill="1" applyBorder="1"/>
    <xf numFmtId="0" fontId="64" fillId="30" borderId="87" xfId="0" applyFont="1" applyFill="1" applyBorder="1"/>
    <xf numFmtId="0" fontId="64" fillId="30" borderId="61" xfId="0" applyFont="1" applyFill="1" applyBorder="1"/>
    <xf numFmtId="0" fontId="68" fillId="30" borderId="0" xfId="0" applyFont="1" applyFill="1" applyAlignment="1">
      <alignment horizontal="center"/>
    </xf>
    <xf numFmtId="0" fontId="68" fillId="30" borderId="51" xfId="0" applyFont="1" applyFill="1" applyBorder="1" applyAlignment="1">
      <alignment horizontal="center"/>
    </xf>
    <xf numFmtId="0" fontId="64" fillId="30" borderId="36" xfId="0" applyFont="1" applyFill="1" applyBorder="1"/>
    <xf numFmtId="0" fontId="67" fillId="30" borderId="0" xfId="0" applyFont="1" applyFill="1" applyAlignment="1">
      <alignment horizontal="center"/>
    </xf>
    <xf numFmtId="0" fontId="64" fillId="30" borderId="45" xfId="0" applyFont="1" applyFill="1" applyBorder="1"/>
    <xf numFmtId="0" fontId="69" fillId="8" borderId="43" xfId="0" applyFont="1" applyFill="1" applyBorder="1"/>
    <xf numFmtId="0" fontId="63" fillId="8" borderId="7" xfId="0" applyFont="1" applyFill="1" applyBorder="1" applyAlignment="1">
      <alignment horizontal="left" vertical="top" wrapText="1"/>
    </xf>
    <xf numFmtId="49" fontId="63" fillId="8" borderId="43" xfId="0" applyNumberFormat="1" applyFont="1" applyFill="1" applyBorder="1" applyAlignment="1">
      <alignment horizontal="left" vertical="top" wrapText="1"/>
    </xf>
    <xf numFmtId="0" fontId="63" fillId="8" borderId="34" xfId="0" applyFont="1" applyFill="1" applyBorder="1" applyAlignment="1">
      <alignment vertical="top" wrapText="1"/>
    </xf>
    <xf numFmtId="0" fontId="63" fillId="31" borderId="46" xfId="0" applyFont="1" applyFill="1" applyBorder="1" applyAlignment="1">
      <alignment wrapText="1"/>
    </xf>
    <xf numFmtId="0" fontId="64" fillId="31" borderId="26" xfId="0" applyFont="1" applyFill="1" applyBorder="1" applyAlignment="1">
      <alignment wrapText="1"/>
    </xf>
    <xf numFmtId="0" fontId="64" fillId="31" borderId="26" xfId="0" applyFont="1" applyFill="1" applyBorder="1"/>
    <xf numFmtId="0" fontId="69" fillId="31" borderId="46" xfId="0" applyFont="1" applyFill="1" applyBorder="1"/>
    <xf numFmtId="0" fontId="69" fillId="31" borderId="42" xfId="0" applyFont="1" applyFill="1" applyBorder="1"/>
    <xf numFmtId="0" fontId="69" fillId="31" borderId="26" xfId="0" applyFont="1" applyFill="1" applyBorder="1"/>
    <xf numFmtId="0" fontId="64" fillId="31" borderId="58" xfId="0" applyFont="1" applyFill="1" applyBorder="1"/>
    <xf numFmtId="0" fontId="64" fillId="31" borderId="81" xfId="0" applyFont="1" applyFill="1" applyBorder="1"/>
    <xf numFmtId="0" fontId="64" fillId="31" borderId="42" xfId="0" applyFont="1" applyFill="1" applyBorder="1"/>
    <xf numFmtId="0" fontId="64" fillId="31" borderId="59" xfId="0" applyFont="1" applyFill="1" applyBorder="1"/>
    <xf numFmtId="0" fontId="64" fillId="31" borderId="45" xfId="0" applyFont="1" applyFill="1" applyBorder="1"/>
    <xf numFmtId="0" fontId="64" fillId="31" borderId="88" xfId="0" applyFont="1" applyFill="1" applyBorder="1"/>
    <xf numFmtId="0" fontId="64" fillId="31" borderId="50" xfId="0" applyFont="1" applyFill="1" applyBorder="1"/>
    <xf numFmtId="0" fontId="64" fillId="31" borderId="69" xfId="0" applyFont="1" applyFill="1" applyBorder="1"/>
    <xf numFmtId="0" fontId="64" fillId="31" borderId="46" xfId="0" applyFont="1" applyFill="1" applyBorder="1"/>
    <xf numFmtId="0" fontId="64" fillId="31" borderId="36" xfId="0" applyFont="1" applyFill="1" applyBorder="1"/>
    <xf numFmtId="9" fontId="64" fillId="31" borderId="26" xfId="0" applyNumberFormat="1" applyFont="1" applyFill="1" applyBorder="1"/>
    <xf numFmtId="0" fontId="64" fillId="31" borderId="35" xfId="0" applyFont="1" applyFill="1" applyBorder="1"/>
    <xf numFmtId="0" fontId="66" fillId="31" borderId="12" xfId="0" applyFont="1" applyFill="1" applyBorder="1" applyAlignment="1">
      <alignment wrapText="1"/>
    </xf>
    <xf numFmtId="10" fontId="66" fillId="31" borderId="60" xfId="0" applyNumberFormat="1" applyFont="1" applyFill="1" applyBorder="1" applyAlignment="1">
      <alignment wrapText="1"/>
    </xf>
    <xf numFmtId="0" fontId="69" fillId="31" borderId="0" xfId="0" applyFont="1" applyFill="1"/>
    <xf numFmtId="0" fontId="58" fillId="31" borderId="0" xfId="0" applyFont="1" applyFill="1"/>
    <xf numFmtId="0" fontId="69" fillId="5" borderId="46" xfId="0" applyFont="1" applyFill="1" applyBorder="1"/>
    <xf numFmtId="0" fontId="69" fillId="5" borderId="42" xfId="0" applyFont="1" applyFill="1" applyBorder="1"/>
    <xf numFmtId="0" fontId="69" fillId="5" borderId="26" xfId="0" applyFont="1" applyFill="1" applyBorder="1"/>
    <xf numFmtId="0" fontId="64" fillId="5" borderId="58" xfId="0" applyFont="1" applyFill="1" applyBorder="1"/>
    <xf numFmtId="0" fontId="64" fillId="5" borderId="42" xfId="0" applyFont="1" applyFill="1" applyBorder="1"/>
    <xf numFmtId="0" fontId="64" fillId="5" borderId="26" xfId="0" applyFont="1" applyFill="1" applyBorder="1"/>
    <xf numFmtId="9" fontId="69" fillId="0" borderId="0" xfId="0" applyNumberFormat="1" applyFont="1"/>
    <xf numFmtId="3" fontId="73" fillId="0" borderId="26" xfId="0" applyNumberFormat="1" applyFont="1" applyBorder="1"/>
    <xf numFmtId="9" fontId="64" fillId="30" borderId="42" xfId="0" applyNumberFormat="1" applyFont="1" applyFill="1" applyBorder="1"/>
    <xf numFmtId="0" fontId="69" fillId="6" borderId="34" xfId="0" applyFont="1" applyFill="1" applyBorder="1"/>
    <xf numFmtId="0" fontId="69" fillId="6" borderId="43" xfId="0" applyFont="1" applyFill="1" applyBorder="1"/>
    <xf numFmtId="0" fontId="69" fillId="8" borderId="46" xfId="0" applyFont="1" applyFill="1" applyBorder="1"/>
    <xf numFmtId="0" fontId="69" fillId="28" borderId="46" xfId="0" applyFont="1" applyFill="1" applyBorder="1"/>
    <xf numFmtId="0" fontId="64" fillId="8" borderId="27" xfId="0" applyFont="1" applyFill="1" applyBorder="1" applyAlignment="1">
      <alignment horizontal="left" vertical="top" wrapText="1"/>
    </xf>
    <xf numFmtId="0" fontId="67" fillId="30" borderId="26" xfId="0" applyFont="1" applyFill="1" applyBorder="1" applyAlignment="1">
      <alignment horizontal="center"/>
    </xf>
    <xf numFmtId="10" fontId="67" fillId="30" borderId="26" xfId="0" applyNumberFormat="1" applyFont="1" applyFill="1" applyBorder="1" applyAlignment="1">
      <alignment horizontal="center"/>
    </xf>
    <xf numFmtId="10" fontId="64" fillId="30" borderId="42" xfId="0" applyNumberFormat="1" applyFont="1" applyFill="1" applyBorder="1"/>
    <xf numFmtId="10" fontId="64" fillId="25" borderId="42" xfId="0" applyNumberFormat="1" applyFont="1" applyFill="1" applyBorder="1"/>
    <xf numFmtId="10" fontId="64" fillId="31" borderId="42" xfId="0" applyNumberFormat="1" applyFont="1" applyFill="1" applyBorder="1"/>
    <xf numFmtId="10" fontId="64" fillId="30" borderId="44" xfId="0" applyNumberFormat="1" applyFont="1" applyFill="1" applyBorder="1"/>
    <xf numFmtId="0" fontId="64" fillId="30" borderId="36" xfId="0" applyFont="1" applyFill="1" applyBorder="1" applyAlignment="1">
      <alignment vertical="top" wrapText="1"/>
    </xf>
    <xf numFmtId="0" fontId="64" fillId="30" borderId="50" xfId="0" applyFont="1" applyFill="1" applyBorder="1" applyAlignment="1">
      <alignment vertical="top" wrapText="1"/>
    </xf>
    <xf numFmtId="10" fontId="64" fillId="30" borderId="50" xfId="0" applyNumberFormat="1" applyFont="1" applyFill="1" applyBorder="1" applyAlignment="1">
      <alignment vertical="top" wrapText="1"/>
    </xf>
    <xf numFmtId="2" fontId="69" fillId="29" borderId="0" xfId="0" applyNumberFormat="1" applyFont="1" applyFill="1"/>
    <xf numFmtId="2" fontId="69" fillId="0" borderId="0" xfId="0" applyNumberFormat="1" applyFont="1"/>
    <xf numFmtId="2" fontId="58" fillId="0" borderId="0" xfId="0" applyNumberFormat="1" applyFont="1"/>
    <xf numFmtId="0" fontId="64" fillId="32" borderId="26" xfId="0" applyFont="1" applyFill="1" applyBorder="1"/>
    <xf numFmtId="0" fontId="64" fillId="33" borderId="26" xfId="0" applyFont="1" applyFill="1" applyBorder="1"/>
    <xf numFmtId="0" fontId="64" fillId="33" borderId="88" xfId="0" applyFont="1" applyFill="1" applyBorder="1"/>
    <xf numFmtId="0" fontId="64" fillId="33" borderId="50" xfId="0" applyFont="1" applyFill="1" applyBorder="1"/>
    <xf numFmtId="0" fontId="64" fillId="33" borderId="69" xfId="0" applyFont="1" applyFill="1" applyBorder="1"/>
    <xf numFmtId="0" fontId="64" fillId="33" borderId="42" xfId="0" applyFont="1" applyFill="1" applyBorder="1"/>
    <xf numFmtId="10" fontId="64" fillId="33" borderId="42" xfId="0" applyNumberFormat="1" applyFont="1" applyFill="1" applyBorder="1"/>
    <xf numFmtId="0" fontId="63" fillId="8" borderId="33" xfId="0" applyFont="1" applyFill="1" applyBorder="1" applyAlignment="1">
      <alignment vertical="top" wrapText="1"/>
    </xf>
    <xf numFmtId="9" fontId="64" fillId="33" borderId="26" xfId="0" applyNumberFormat="1" applyFont="1" applyFill="1" applyBorder="1"/>
    <xf numFmtId="0" fontId="74" fillId="8" borderId="42" xfId="0" applyFont="1" applyFill="1" applyBorder="1"/>
    <xf numFmtId="0" fontId="0" fillId="0" borderId="26" xfId="0" applyBorder="1"/>
    <xf numFmtId="0" fontId="75" fillId="0" borderId="0" xfId="0" applyFont="1"/>
    <xf numFmtId="0" fontId="75" fillId="0" borderId="86" xfId="0" applyFont="1" applyBorder="1"/>
    <xf numFmtId="0" fontId="75" fillId="0" borderId="58" xfId="0" applyFont="1" applyBorder="1"/>
    <xf numFmtId="0" fontId="4" fillId="0" borderId="0" xfId="0" applyFont="1"/>
    <xf numFmtId="0" fontId="75" fillId="0" borderId="72" xfId="0" applyFont="1" applyBorder="1"/>
    <xf numFmtId="0" fontId="75" fillId="0" borderId="73" xfId="0" applyFont="1" applyBorder="1"/>
    <xf numFmtId="0" fontId="0" fillId="0" borderId="42" xfId="0" applyBorder="1"/>
    <xf numFmtId="0" fontId="75" fillId="0" borderId="95" xfId="0" applyFont="1" applyBorder="1"/>
    <xf numFmtId="0" fontId="0" fillId="0" borderId="31" xfId="0" applyBorder="1"/>
    <xf numFmtId="0" fontId="0" fillId="0" borderId="43" xfId="0" applyBorder="1"/>
    <xf numFmtId="0" fontId="29" fillId="0" borderId="73" xfId="0" applyFont="1" applyBorder="1"/>
    <xf numFmtId="0" fontId="29" fillId="0" borderId="82" xfId="0" applyFont="1" applyBorder="1"/>
    <xf numFmtId="0" fontId="29" fillId="0" borderId="0" xfId="0" applyFont="1"/>
    <xf numFmtId="0" fontId="76" fillId="0" borderId="0" xfId="0" applyFont="1"/>
    <xf numFmtId="0" fontId="77" fillId="0" borderId="0" xfId="0" applyFont="1"/>
    <xf numFmtId="0" fontId="4" fillId="0" borderId="78" xfId="0" applyFont="1" applyBorder="1"/>
    <xf numFmtId="0" fontId="4" fillId="0" borderId="59" xfId="0" applyFont="1" applyBorder="1"/>
    <xf numFmtId="0" fontId="29" fillId="0" borderId="79" xfId="0" applyFont="1" applyBorder="1"/>
    <xf numFmtId="0" fontId="64" fillId="34" borderId="46" xfId="0" applyFont="1" applyFill="1" applyBorder="1"/>
    <xf numFmtId="0" fontId="64" fillId="34" borderId="35" xfId="0" applyFont="1" applyFill="1" applyBorder="1"/>
    <xf numFmtId="0" fontId="29" fillId="0" borderId="44" xfId="0" applyFont="1" applyBorder="1"/>
    <xf numFmtId="0" fontId="29" fillId="0" borderId="42" xfId="0" applyFont="1" applyBorder="1"/>
    <xf numFmtId="3" fontId="69" fillId="8" borderId="26" xfId="0" applyNumberFormat="1" applyFont="1" applyFill="1" applyBorder="1"/>
    <xf numFmtId="0" fontId="64" fillId="34" borderId="45" xfId="0" applyFont="1" applyFill="1" applyBorder="1"/>
    <xf numFmtId="3" fontId="64" fillId="28" borderId="58" xfId="0" applyNumberFormat="1" applyFont="1" applyFill="1" applyBorder="1"/>
    <xf numFmtId="3" fontId="64" fillId="28" borderId="42" xfId="0" applyNumberFormat="1" applyFont="1" applyFill="1" applyBorder="1"/>
    <xf numFmtId="3" fontId="64" fillId="28" borderId="26" xfId="0" applyNumberFormat="1" applyFont="1" applyFill="1" applyBorder="1"/>
    <xf numFmtId="0" fontId="64" fillId="33" borderId="35" xfId="0" applyFont="1" applyFill="1" applyBorder="1"/>
    <xf numFmtId="0" fontId="64" fillId="8" borderId="94" xfId="0" applyFont="1" applyFill="1" applyBorder="1" applyAlignment="1">
      <alignment horizontal="left" vertical="top" wrapText="1"/>
    </xf>
    <xf numFmtId="0" fontId="65" fillId="8" borderId="42" xfId="0" applyFont="1" applyFill="1" applyBorder="1"/>
    <xf numFmtId="10" fontId="65" fillId="8" borderId="31" xfId="0" applyNumberFormat="1" applyFont="1" applyFill="1" applyBorder="1"/>
    <xf numFmtId="10" fontId="65" fillId="8" borderId="27" xfId="0" applyNumberFormat="1" applyFont="1" applyFill="1" applyBorder="1"/>
    <xf numFmtId="0" fontId="64" fillId="8" borderId="43" xfId="0" applyFont="1" applyFill="1" applyBorder="1" applyAlignment="1">
      <alignment vertical="top" wrapText="1"/>
    </xf>
    <xf numFmtId="10" fontId="4" fillId="8" borderId="59" xfId="0" applyNumberFormat="1" applyFont="1" applyFill="1" applyBorder="1"/>
    <xf numFmtId="0" fontId="54" fillId="8" borderId="97" xfId="0" applyFont="1" applyFill="1" applyBorder="1" applyAlignment="1">
      <alignment horizontal="center" wrapText="1"/>
    </xf>
    <xf numFmtId="0" fontId="64" fillId="8" borderId="19" xfId="0" applyFont="1" applyFill="1" applyBorder="1" applyAlignment="1">
      <alignment horizontal="center" vertical="top" wrapText="1"/>
    </xf>
    <xf numFmtId="10" fontId="54" fillId="8" borderId="59" xfId="0" applyNumberFormat="1" applyFont="1" applyFill="1" applyBorder="1" applyAlignment="1">
      <alignment horizontal="right" wrapText="1"/>
    </xf>
    <xf numFmtId="0" fontId="0" fillId="7" borderId="26" xfId="0" applyFill="1" applyBorder="1"/>
    <xf numFmtId="0" fontId="0" fillId="7" borderId="42" xfId="0" applyFill="1" applyBorder="1"/>
    <xf numFmtId="0" fontId="29" fillId="7" borderId="42" xfId="0" applyFont="1" applyFill="1" applyBorder="1"/>
    <xf numFmtId="0" fontId="75" fillId="7" borderId="58" xfId="0" applyFont="1" applyFill="1" applyBorder="1" applyAlignment="1">
      <alignment wrapText="1"/>
    </xf>
    <xf numFmtId="0" fontId="0" fillId="0" borderId="0" xfId="0" applyAlignment="1">
      <alignment wrapText="1"/>
    </xf>
    <xf numFmtId="22" fontId="0" fillId="0" borderId="0" xfId="0" applyNumberFormat="1"/>
    <xf numFmtId="0" fontId="55" fillId="0" borderId="26" xfId="0" applyFont="1" applyBorder="1"/>
    <xf numFmtId="0" fontId="55" fillId="0" borderId="26" xfId="0" applyFont="1" applyBorder="1" applyAlignment="1">
      <alignment wrapText="1"/>
    </xf>
    <xf numFmtId="9" fontId="55" fillId="0" borderId="26" xfId="0" applyNumberFormat="1" applyFont="1" applyBorder="1"/>
    <xf numFmtId="3" fontId="55" fillId="0" borderId="26" xfId="0" applyNumberFormat="1" applyFont="1" applyBorder="1"/>
    <xf numFmtId="0" fontId="55" fillId="0" borderId="46" xfId="0" applyFont="1" applyBorder="1"/>
    <xf numFmtId="0" fontId="55" fillId="0" borderId="46" xfId="0" applyFont="1" applyBorder="1" applyAlignment="1">
      <alignment wrapText="1"/>
    </xf>
    <xf numFmtId="0" fontId="55" fillId="0" borderId="42" xfId="0" applyFont="1" applyBorder="1"/>
    <xf numFmtId="9" fontId="55" fillId="0" borderId="42" xfId="0" applyNumberFormat="1" applyFont="1" applyBorder="1"/>
    <xf numFmtId="0" fontId="55" fillId="0" borderId="35" xfId="0" applyFont="1" applyBorder="1"/>
    <xf numFmtId="0" fontId="55" fillId="0" borderId="27" xfId="0" applyFont="1" applyBorder="1" applyAlignment="1">
      <alignment wrapText="1"/>
    </xf>
    <xf numFmtId="0" fontId="55" fillId="0" borderId="27" xfId="0" applyFont="1" applyBorder="1"/>
    <xf numFmtId="0" fontId="55" fillId="0" borderId="50" xfId="0" applyFont="1" applyBorder="1"/>
    <xf numFmtId="0" fontId="55" fillId="0" borderId="34" xfId="0" applyFont="1" applyBorder="1" applyAlignment="1">
      <alignment wrapText="1"/>
    </xf>
    <xf numFmtId="0" fontId="55" fillId="0" borderId="31" xfId="0" applyFont="1" applyBorder="1" applyAlignment="1">
      <alignment wrapText="1"/>
    </xf>
    <xf numFmtId="3" fontId="55" fillId="0" borderId="31" xfId="0" applyNumberFormat="1" applyFont="1" applyBorder="1"/>
    <xf numFmtId="0" fontId="55" fillId="0" borderId="31" xfId="0" applyFont="1" applyBorder="1"/>
    <xf numFmtId="9" fontId="55" fillId="0" borderId="31" xfId="0" applyNumberFormat="1" applyFont="1" applyBorder="1"/>
    <xf numFmtId="0" fontId="55" fillId="0" borderId="43" xfId="0" applyFont="1" applyBorder="1"/>
    <xf numFmtId="0" fontId="78" fillId="0" borderId="46" xfId="0" applyFont="1" applyBorder="1" applyAlignment="1">
      <alignment wrapText="1"/>
    </xf>
    <xf numFmtId="0" fontId="78" fillId="0" borderId="26" xfId="0" applyFont="1" applyBorder="1" applyAlignment="1">
      <alignment wrapText="1"/>
    </xf>
    <xf numFmtId="0" fontId="78" fillId="0" borderId="26" xfId="0" applyFont="1" applyBorder="1"/>
    <xf numFmtId="0" fontId="79" fillId="0" borderId="46" xfId="0" applyFont="1" applyBorder="1"/>
    <xf numFmtId="0" fontId="79" fillId="0" borderId="42" xfId="0" applyFont="1" applyBorder="1"/>
    <xf numFmtId="0" fontId="67" fillId="28" borderId="32" xfId="0" applyFont="1" applyFill="1" applyBorder="1" applyAlignment="1">
      <alignment horizontal="center"/>
    </xf>
    <xf numFmtId="2" fontId="67" fillId="34" borderId="26" xfId="0" applyNumberFormat="1" applyFont="1" applyFill="1" applyBorder="1" applyAlignment="1">
      <alignment horizontal="center" vertical="top" wrapText="1"/>
    </xf>
    <xf numFmtId="2" fontId="67" fillId="32" borderId="26" xfId="0" applyNumberFormat="1" applyFont="1" applyFill="1" applyBorder="1" applyAlignment="1">
      <alignment horizontal="center" vertical="top" wrapText="1"/>
    </xf>
    <xf numFmtId="2" fontId="67" fillId="25" borderId="26" xfId="0" applyNumberFormat="1" applyFont="1" applyFill="1" applyBorder="1" applyAlignment="1">
      <alignment horizontal="center" vertical="top" wrapText="1"/>
    </xf>
    <xf numFmtId="2" fontId="67" fillId="31" borderId="26" xfId="0" applyNumberFormat="1" applyFont="1" applyFill="1" applyBorder="1" applyAlignment="1">
      <alignment horizontal="center" vertical="top" wrapText="1"/>
    </xf>
    <xf numFmtId="0" fontId="29" fillId="0" borderId="72" xfId="0" applyFont="1" applyBorder="1"/>
    <xf numFmtId="0" fontId="80" fillId="0" borderId="26" xfId="0" applyFont="1" applyBorder="1"/>
    <xf numFmtId="0" fontId="80" fillId="0" borderId="31" xfId="0" applyFont="1" applyBorder="1"/>
    <xf numFmtId="0" fontId="29" fillId="0" borderId="78" xfId="0" applyFont="1" applyBorder="1"/>
    <xf numFmtId="0" fontId="67" fillId="25" borderId="26" xfId="0" applyFont="1" applyFill="1" applyBorder="1"/>
    <xf numFmtId="0" fontId="67" fillId="25" borderId="35" xfId="0" applyFont="1" applyFill="1" applyBorder="1"/>
    <xf numFmtId="2" fontId="67" fillId="34" borderId="32" xfId="0" applyNumberFormat="1" applyFont="1" applyFill="1" applyBorder="1" applyAlignment="1">
      <alignment horizontal="center" vertical="top" wrapText="1"/>
    </xf>
    <xf numFmtId="0" fontId="67" fillId="25" borderId="58" xfId="0" applyFont="1" applyFill="1" applyBorder="1"/>
    <xf numFmtId="0" fontId="67" fillId="25" borderId="42" xfId="0" applyFont="1" applyFill="1" applyBorder="1"/>
    <xf numFmtId="0" fontId="63" fillId="8" borderId="33" xfId="0" applyFont="1" applyFill="1" applyBorder="1" applyAlignment="1">
      <alignment horizontal="left" vertical="top" wrapText="1"/>
    </xf>
    <xf numFmtId="0" fontId="64" fillId="26" borderId="0" xfId="0" applyFont="1" applyFill="1" applyAlignment="1">
      <alignment horizontal="left" vertical="top" wrapText="1"/>
    </xf>
    <xf numFmtId="0" fontId="81" fillId="35" borderId="58" xfId="0" applyFont="1" applyFill="1" applyBorder="1"/>
    <xf numFmtId="0" fontId="81" fillId="35" borderId="42" xfId="0" applyFont="1" applyFill="1" applyBorder="1"/>
    <xf numFmtId="0" fontId="81" fillId="35" borderId="26" xfId="0" applyFont="1" applyFill="1" applyBorder="1"/>
    <xf numFmtId="0" fontId="82" fillId="31" borderId="26" xfId="0" applyFont="1" applyFill="1" applyBorder="1"/>
    <xf numFmtId="0" fontId="83" fillId="31" borderId="46" xfId="0" applyFont="1" applyFill="1" applyBorder="1"/>
    <xf numFmtId="0" fontId="83" fillId="31" borderId="42" xfId="0" applyFont="1" applyFill="1" applyBorder="1"/>
    <xf numFmtId="0" fontId="83" fillId="31" borderId="26" xfId="0" applyFont="1" applyFill="1" applyBorder="1"/>
    <xf numFmtId="0" fontId="82" fillId="31" borderId="58" xfId="0" applyFont="1" applyFill="1" applyBorder="1"/>
    <xf numFmtId="0" fontId="82" fillId="31" borderId="42" xfId="0" applyFont="1" applyFill="1" applyBorder="1"/>
    <xf numFmtId="0" fontId="82" fillId="31" borderId="35" xfId="0" applyFont="1" applyFill="1" applyBorder="1"/>
    <xf numFmtId="0" fontId="64" fillId="36" borderId="35" xfId="0" applyFont="1" applyFill="1" applyBorder="1"/>
    <xf numFmtId="0" fontId="64" fillId="36" borderId="26" xfId="0" applyFont="1" applyFill="1" applyBorder="1"/>
    <xf numFmtId="0" fontId="80" fillId="0" borderId="0" xfId="0" applyFont="1"/>
    <xf numFmtId="0" fontId="81" fillId="36" borderId="35" xfId="0" applyFont="1" applyFill="1" applyBorder="1"/>
    <xf numFmtId="0" fontId="81" fillId="25" borderId="35" xfId="0" applyFont="1" applyFill="1" applyBorder="1"/>
    <xf numFmtId="0" fontId="69" fillId="6" borderId="45" xfId="0" applyFont="1" applyFill="1" applyBorder="1"/>
    <xf numFmtId="0" fontId="64" fillId="8" borderId="45" xfId="0" applyFont="1" applyFill="1" applyBorder="1"/>
    <xf numFmtId="49" fontId="68" fillId="8" borderId="46" xfId="0" applyNumberFormat="1" applyFont="1" applyFill="1" applyBorder="1" applyAlignment="1">
      <alignment horizontal="left" vertical="center" wrapText="1"/>
    </xf>
    <xf numFmtId="0" fontId="64" fillId="34" borderId="26" xfId="0" applyFont="1" applyFill="1" applyBorder="1"/>
    <xf numFmtId="0" fontId="64" fillId="8" borderId="33" xfId="0" applyFont="1" applyFill="1" applyBorder="1" applyAlignment="1">
      <alignment horizontal="left" vertical="top" wrapText="1"/>
    </xf>
    <xf numFmtId="0" fontId="64" fillId="8" borderId="46" xfId="0" applyFont="1" applyFill="1" applyBorder="1" applyAlignment="1">
      <alignment wrapText="1"/>
    </xf>
    <xf numFmtId="0" fontId="64" fillId="8" borderId="27" xfId="0" applyFont="1" applyFill="1" applyBorder="1" applyAlignment="1">
      <alignment vertical="top" wrapText="1"/>
    </xf>
    <xf numFmtId="0" fontId="64" fillId="8" borderId="31" xfId="0" applyFont="1" applyFill="1" applyBorder="1" applyAlignment="1">
      <alignment vertical="top" wrapText="1"/>
    </xf>
    <xf numFmtId="0" fontId="84" fillId="8" borderId="26" xfId="0" applyFont="1" applyFill="1" applyBorder="1" applyAlignment="1">
      <alignment wrapText="1"/>
    </xf>
    <xf numFmtId="0" fontId="64" fillId="31" borderId="0" xfId="0" applyFont="1" applyFill="1"/>
    <xf numFmtId="0" fontId="64" fillId="31" borderId="51" xfId="0" applyFont="1" applyFill="1" applyBorder="1"/>
    <xf numFmtId="0" fontId="64" fillId="30" borderId="0" xfId="0" applyFont="1" applyFill="1"/>
    <xf numFmtId="0" fontId="64" fillId="30" borderId="51" xfId="0" applyFont="1" applyFill="1" applyBorder="1"/>
    <xf numFmtId="0" fontId="64" fillId="31" borderId="31" xfId="0" applyFont="1" applyFill="1" applyBorder="1"/>
    <xf numFmtId="0" fontId="64" fillId="31" borderId="74" xfId="0" applyFont="1" applyFill="1" applyBorder="1"/>
    <xf numFmtId="0" fontId="29" fillId="0" borderId="43" xfId="0" applyFont="1" applyBorder="1"/>
    <xf numFmtId="0" fontId="4" fillId="0" borderId="52" xfId="0" applyFont="1" applyBorder="1"/>
    <xf numFmtId="0" fontId="71" fillId="25" borderId="42" xfId="0" applyFont="1" applyFill="1" applyBorder="1"/>
    <xf numFmtId="0" fontId="66" fillId="22" borderId="26" xfId="0" applyFont="1" applyFill="1" applyBorder="1" applyAlignment="1">
      <alignment vertical="top" wrapText="1"/>
    </xf>
    <xf numFmtId="0" fontId="66" fillId="22" borderId="6" xfId="0" applyFont="1" applyFill="1" applyBorder="1"/>
    <xf numFmtId="10" fontId="66" fillId="22" borderId="71" xfId="0" applyNumberFormat="1" applyFont="1" applyFill="1" applyBorder="1"/>
    <xf numFmtId="10" fontId="66" fillId="22" borderId="60" xfId="0" applyNumberFormat="1" applyFont="1" applyFill="1" applyBorder="1"/>
    <xf numFmtId="0" fontId="66" fillId="22" borderId="12" xfId="0" applyFont="1" applyFill="1" applyBorder="1"/>
    <xf numFmtId="0" fontId="66" fillId="22" borderId="12" xfId="0" applyFont="1" applyFill="1" applyBorder="1" applyAlignment="1">
      <alignment horizontal="right" wrapText="1"/>
    </xf>
    <xf numFmtId="10" fontId="66" fillId="22" borderId="60" xfId="0" applyNumberFormat="1" applyFont="1" applyFill="1" applyBorder="1" applyAlignment="1">
      <alignment horizontal="right" wrapText="1"/>
    </xf>
    <xf numFmtId="0" fontId="66" fillId="22" borderId="12" xfId="0" applyFont="1" applyFill="1" applyBorder="1" applyAlignment="1">
      <alignment wrapText="1"/>
    </xf>
    <xf numFmtId="10" fontId="66" fillId="22" borderId="60" xfId="0" applyNumberFormat="1" applyFont="1" applyFill="1" applyBorder="1" applyAlignment="1">
      <alignment wrapText="1"/>
    </xf>
    <xf numFmtId="0" fontId="66" fillId="22" borderId="43" xfId="0" applyFont="1" applyFill="1" applyBorder="1" applyAlignment="1">
      <alignment horizontal="center"/>
    </xf>
    <xf numFmtId="10" fontId="66" fillId="22" borderId="52" xfId="0" applyNumberFormat="1" applyFont="1" applyFill="1" applyBorder="1" applyAlignment="1">
      <alignment horizontal="center"/>
    </xf>
    <xf numFmtId="0" fontId="66" fillId="22" borderId="95" xfId="0" applyFont="1" applyFill="1" applyBorder="1" applyAlignment="1">
      <alignment horizontal="center"/>
    </xf>
    <xf numFmtId="0" fontId="66" fillId="22" borderId="58" xfId="0" applyFont="1" applyFill="1" applyBorder="1" applyAlignment="1">
      <alignment vertical="top" wrapText="1"/>
    </xf>
    <xf numFmtId="10" fontId="66" fillId="22" borderId="59" xfId="0" applyNumberFormat="1" applyFont="1" applyFill="1" applyBorder="1" applyAlignment="1">
      <alignment vertical="top" wrapText="1"/>
    </xf>
    <xf numFmtId="0" fontId="66" fillId="22" borderId="65" xfId="0" applyFont="1" applyFill="1" applyBorder="1"/>
    <xf numFmtId="0" fontId="66" fillId="31" borderId="65" xfId="0" applyFont="1" applyFill="1" applyBorder="1"/>
    <xf numFmtId="0" fontId="66" fillId="25" borderId="65" xfId="0" applyFont="1" applyFill="1" applyBorder="1"/>
    <xf numFmtId="0" fontId="66" fillId="22" borderId="75" xfId="0" applyFont="1" applyFill="1" applyBorder="1"/>
    <xf numFmtId="0" fontId="66" fillId="22" borderId="98" xfId="0" applyFont="1" applyFill="1" applyBorder="1" applyAlignment="1">
      <alignment wrapText="1"/>
    </xf>
    <xf numFmtId="10" fontId="66" fillId="22" borderId="99" xfId="0" applyNumberFormat="1" applyFont="1" applyFill="1" applyBorder="1" applyAlignment="1">
      <alignment wrapText="1"/>
    </xf>
    <xf numFmtId="0" fontId="64" fillId="12" borderId="36" xfId="0" applyFont="1" applyFill="1" applyBorder="1"/>
    <xf numFmtId="0" fontId="67" fillId="25" borderId="36" xfId="0" applyFont="1" applyFill="1" applyBorder="1"/>
    <xf numFmtId="9" fontId="1" fillId="0" borderId="12" xfId="2" applyFont="1" applyBorder="1"/>
    <xf numFmtId="9" fontId="1" fillId="15" borderId="12" xfId="2" applyFont="1" applyFill="1" applyBorder="1"/>
    <xf numFmtId="9" fontId="1" fillId="12" borderId="12" xfId="2" applyFont="1" applyFill="1" applyBorder="1"/>
    <xf numFmtId="9" fontId="1" fillId="14" borderId="12" xfId="2" applyFont="1" applyFill="1" applyBorder="1"/>
    <xf numFmtId="0" fontId="60" fillId="25" borderId="90" xfId="0" applyFont="1" applyFill="1" applyBorder="1" applyAlignment="1">
      <alignment horizontal="left" vertical="top" wrapText="1"/>
    </xf>
    <xf numFmtId="0" fontId="60" fillId="25" borderId="55" xfId="0" applyFont="1" applyFill="1" applyBorder="1" applyAlignment="1">
      <alignment horizontal="left" vertical="top" wrapText="1"/>
    </xf>
    <xf numFmtId="0" fontId="61" fillId="25" borderId="74" xfId="0" applyFont="1" applyFill="1" applyBorder="1" applyAlignment="1">
      <alignment horizontal="left" vertical="top" wrapText="1"/>
    </xf>
    <xf numFmtId="0" fontId="61" fillId="25" borderId="0" xfId="0" applyFont="1" applyFill="1" applyAlignment="1">
      <alignment horizontal="left" vertical="top" wrapText="1"/>
    </xf>
    <xf numFmtId="0" fontId="4" fillId="27" borderId="0" xfId="0" applyFont="1" applyFill="1" applyAlignment="1">
      <alignment horizontal="left" vertical="top" wrapText="1"/>
    </xf>
    <xf numFmtId="0" fontId="63" fillId="8" borderId="56" xfId="0" applyFont="1" applyFill="1" applyBorder="1" applyAlignment="1">
      <alignment horizontal="left" vertical="top" wrapText="1"/>
    </xf>
    <xf numFmtId="0" fontId="63" fillId="8" borderId="56" xfId="0" applyFont="1" applyFill="1" applyBorder="1" applyAlignment="1">
      <alignment horizontal="left" vertical="top"/>
    </xf>
    <xf numFmtId="0" fontId="64" fillId="8" borderId="56" xfId="0" applyFont="1" applyFill="1" applyBorder="1" applyAlignment="1">
      <alignment horizontal="left" vertical="top" wrapText="1"/>
    </xf>
    <xf numFmtId="0" fontId="63" fillId="8" borderId="74" xfId="0" applyFont="1" applyFill="1" applyBorder="1" applyAlignment="1">
      <alignment horizontal="left" vertical="top" wrapText="1"/>
    </xf>
    <xf numFmtId="10" fontId="4" fillId="8" borderId="52" xfId="0" applyNumberFormat="1" applyFont="1" applyFill="1" applyBorder="1" applyAlignment="1">
      <alignment horizontal="center"/>
    </xf>
    <xf numFmtId="0" fontId="4" fillId="8" borderId="96" xfId="0" applyFont="1" applyFill="1" applyBorder="1" applyAlignment="1">
      <alignment horizontal="center"/>
    </xf>
    <xf numFmtId="0" fontId="4" fillId="8" borderId="97" xfId="0" applyFont="1" applyFill="1" applyBorder="1" applyAlignment="1">
      <alignment horizontal="center"/>
    </xf>
    <xf numFmtId="10" fontId="4" fillId="8" borderId="85" xfId="0" applyNumberFormat="1" applyFont="1" applyFill="1" applyBorder="1" applyAlignment="1">
      <alignment horizontal="center"/>
    </xf>
    <xf numFmtId="0" fontId="4" fillId="8" borderId="57" xfId="0" applyFont="1" applyFill="1" applyBorder="1" applyAlignment="1">
      <alignment horizontal="center"/>
    </xf>
    <xf numFmtId="10" fontId="4" fillId="8" borderId="96" xfId="0" applyNumberFormat="1" applyFont="1" applyFill="1" applyBorder="1" applyAlignment="1">
      <alignment horizontal="center"/>
    </xf>
    <xf numFmtId="10" fontId="4" fillId="8" borderId="97" xfId="0" applyNumberFormat="1" applyFont="1" applyFill="1" applyBorder="1" applyAlignment="1">
      <alignment horizontal="center"/>
    </xf>
    <xf numFmtId="10" fontId="54" fillId="8" borderId="52" xfId="0" applyNumberFormat="1" applyFont="1" applyFill="1" applyBorder="1" applyAlignment="1">
      <alignment horizontal="center" wrapText="1"/>
    </xf>
    <xf numFmtId="10" fontId="54" fillId="8" borderId="96" xfId="0" applyNumberFormat="1" applyFont="1" applyFill="1" applyBorder="1" applyAlignment="1">
      <alignment horizontal="center" wrapText="1"/>
    </xf>
    <xf numFmtId="10" fontId="54" fillId="8" borderId="97" xfId="0" applyNumberFormat="1" applyFont="1" applyFill="1" applyBorder="1" applyAlignment="1">
      <alignment horizontal="center" wrapText="1"/>
    </xf>
    <xf numFmtId="0" fontId="63" fillId="8" borderId="93" xfId="0" applyFont="1" applyFill="1" applyBorder="1" applyAlignment="1">
      <alignment horizontal="left" vertical="top" wrapText="1"/>
    </xf>
    <xf numFmtId="0" fontId="63" fillId="8" borderId="33" xfId="0" applyFont="1" applyFill="1" applyBorder="1" applyAlignment="1">
      <alignment horizontal="left" vertical="top" wrapText="1"/>
    </xf>
    <xf numFmtId="0" fontId="54" fillId="8" borderId="52" xfId="0" applyFont="1" applyFill="1" applyBorder="1" applyAlignment="1">
      <alignment horizontal="center" wrapText="1"/>
    </xf>
    <xf numFmtId="0" fontId="54" fillId="8" borderId="96" xfId="0" applyFont="1" applyFill="1" applyBorder="1" applyAlignment="1">
      <alignment horizontal="center" wrapText="1"/>
    </xf>
    <xf numFmtId="0" fontId="65" fillId="8" borderId="56" xfId="0" applyFont="1" applyFill="1" applyBorder="1" applyAlignment="1">
      <alignment horizontal="left" vertical="top" wrapText="1"/>
    </xf>
    <xf numFmtId="2" fontId="67" fillId="32" borderId="26" xfId="0" applyNumberFormat="1" applyFont="1" applyFill="1" applyBorder="1" applyAlignment="1">
      <alignment horizontal="center" vertical="top" wrapText="1"/>
    </xf>
    <xf numFmtId="2" fontId="67" fillId="34" borderId="26" xfId="0" applyNumberFormat="1" applyFont="1" applyFill="1" applyBorder="1" applyAlignment="1">
      <alignment horizontal="center" vertical="top" wrapText="1"/>
    </xf>
    <xf numFmtId="0" fontId="67" fillId="28" borderId="46" xfId="0" applyFont="1" applyFill="1" applyBorder="1" applyAlignment="1">
      <alignment horizontal="center"/>
    </xf>
    <xf numFmtId="0" fontId="67" fillId="28" borderId="26" xfId="0" applyFont="1" applyFill="1" applyBorder="1" applyAlignment="1">
      <alignment horizontal="center"/>
    </xf>
    <xf numFmtId="0" fontId="67" fillId="28" borderId="31" xfId="0" applyFont="1" applyFill="1" applyBorder="1" applyAlignment="1">
      <alignment horizontal="center"/>
    </xf>
    <xf numFmtId="0" fontId="67" fillId="28" borderId="42" xfId="0" applyFont="1" applyFill="1" applyBorder="1" applyAlignment="1">
      <alignment horizontal="center"/>
    </xf>
    <xf numFmtId="0" fontId="67" fillId="28" borderId="45" xfId="0" applyFont="1" applyFill="1" applyBorder="1" applyAlignment="1">
      <alignment horizontal="center"/>
    </xf>
    <xf numFmtId="0" fontId="67" fillId="28" borderId="32" xfId="0" applyFont="1" applyFill="1" applyBorder="1" applyAlignment="1">
      <alignment horizontal="center"/>
    </xf>
    <xf numFmtId="2" fontId="67" fillId="32" borderId="31" xfId="0" applyNumberFormat="1" applyFont="1" applyFill="1" applyBorder="1" applyAlignment="1">
      <alignment horizontal="center" vertical="top" wrapText="1"/>
    </xf>
    <xf numFmtId="2" fontId="67" fillId="32" borderId="33" xfId="0" applyNumberFormat="1" applyFont="1" applyFill="1" applyBorder="1" applyAlignment="1">
      <alignment horizontal="center" vertical="top" wrapText="1"/>
    </xf>
    <xf numFmtId="2" fontId="67" fillId="32" borderId="27" xfId="0" applyNumberFormat="1" applyFont="1" applyFill="1" applyBorder="1" applyAlignment="1">
      <alignment horizontal="center" vertical="top" wrapText="1"/>
    </xf>
    <xf numFmtId="2" fontId="67" fillId="32" borderId="43" xfId="0" applyNumberFormat="1" applyFont="1" applyFill="1" applyBorder="1" applyAlignment="1">
      <alignment horizontal="center" vertical="top" wrapText="1"/>
    </xf>
    <xf numFmtId="2" fontId="67" fillId="32" borderId="51" xfId="0" applyNumberFormat="1" applyFont="1" applyFill="1" applyBorder="1" applyAlignment="1">
      <alignment horizontal="center" vertical="top" wrapText="1"/>
    </xf>
    <xf numFmtId="2" fontId="67" fillId="32" borderId="50" xfId="0" applyNumberFormat="1" applyFont="1" applyFill="1" applyBorder="1" applyAlignment="1">
      <alignment horizontal="center" vertical="top" wrapText="1"/>
    </xf>
    <xf numFmtId="17" fontId="67" fillId="28" borderId="32" xfId="0" applyNumberFormat="1" applyFont="1" applyFill="1" applyBorder="1" applyAlignment="1">
      <alignment horizontal="center"/>
    </xf>
    <xf numFmtId="0" fontId="67" fillId="28" borderId="34" xfId="0" applyFont="1" applyFill="1" applyBorder="1" applyAlignment="1">
      <alignment horizontal="center"/>
    </xf>
    <xf numFmtId="17" fontId="67" fillId="28" borderId="45" xfId="0" applyNumberFormat="1" applyFont="1" applyFill="1" applyBorder="1" applyAlignment="1">
      <alignment horizontal="center"/>
    </xf>
    <xf numFmtId="17" fontId="67" fillId="28" borderId="46" xfId="0" applyNumberFormat="1" applyFont="1" applyFill="1" applyBorder="1" applyAlignment="1">
      <alignment horizontal="center"/>
    </xf>
    <xf numFmtId="2" fontId="67" fillId="34" borderId="31" xfId="0" applyNumberFormat="1" applyFont="1" applyFill="1" applyBorder="1" applyAlignment="1">
      <alignment horizontal="center" vertical="top" wrapText="1"/>
    </xf>
    <xf numFmtId="2" fontId="67" fillId="34" borderId="33" xfId="0" applyNumberFormat="1" applyFont="1" applyFill="1" applyBorder="1" applyAlignment="1">
      <alignment horizontal="center" vertical="top" wrapText="1"/>
    </xf>
    <xf numFmtId="2" fontId="67" fillId="34" borderId="27" xfId="0" applyNumberFormat="1" applyFont="1" applyFill="1" applyBorder="1" applyAlignment="1">
      <alignment horizontal="center" vertical="top" wrapText="1"/>
    </xf>
    <xf numFmtId="0" fontId="63" fillId="8" borderId="26" xfId="0" applyFont="1" applyFill="1" applyBorder="1" applyAlignment="1">
      <alignment vertical="top" wrapText="1"/>
    </xf>
    <xf numFmtId="0" fontId="63" fillId="8" borderId="26" xfId="0" applyFont="1" applyFill="1" applyBorder="1" applyAlignment="1">
      <alignment vertical="top"/>
    </xf>
    <xf numFmtId="0" fontId="67" fillId="28" borderId="84" xfId="0" applyFont="1" applyFill="1" applyBorder="1" applyAlignment="1">
      <alignment horizontal="center"/>
    </xf>
    <xf numFmtId="0" fontId="67" fillId="28" borderId="85" xfId="0" applyFont="1" applyFill="1" applyBorder="1" applyAlignment="1">
      <alignment horizontal="center"/>
    </xf>
    <xf numFmtId="0" fontId="67" fillId="28" borderId="80" xfId="0" applyFont="1" applyFill="1" applyBorder="1" applyAlignment="1">
      <alignment horizontal="center"/>
    </xf>
    <xf numFmtId="0" fontId="67" fillId="28" borderId="48" xfId="0" applyFont="1" applyFill="1" applyBorder="1" applyAlignment="1">
      <alignment horizontal="center"/>
    </xf>
    <xf numFmtId="0" fontId="67" fillId="28" borderId="49" xfId="0" applyFont="1" applyFill="1" applyBorder="1" applyAlignment="1">
      <alignment horizontal="center"/>
    </xf>
    <xf numFmtId="0" fontId="66" fillId="25" borderId="26" xfId="0" applyFont="1" applyFill="1" applyBorder="1" applyAlignment="1">
      <alignment horizontal="left" vertical="center" wrapText="1"/>
    </xf>
    <xf numFmtId="0" fontId="67" fillId="28" borderId="58" xfId="0" applyFont="1" applyFill="1" applyBorder="1" applyAlignment="1">
      <alignment horizontal="center"/>
    </xf>
    <xf numFmtId="0" fontId="67" fillId="28" borderId="59" xfId="0" applyFont="1" applyFill="1" applyBorder="1" applyAlignment="1">
      <alignment horizontal="center"/>
    </xf>
    <xf numFmtId="0" fontId="68" fillId="28" borderId="58" xfId="0" applyFont="1" applyFill="1" applyBorder="1" applyAlignment="1">
      <alignment horizontal="center"/>
    </xf>
    <xf numFmtId="0" fontId="68" fillId="28" borderId="26" xfId="0" applyFont="1" applyFill="1" applyBorder="1" applyAlignment="1">
      <alignment horizontal="center"/>
    </xf>
    <xf numFmtId="0" fontId="68" fillId="28" borderId="59" xfId="0" applyFont="1" applyFill="1" applyBorder="1" applyAlignment="1">
      <alignment horizontal="center"/>
    </xf>
    <xf numFmtId="0" fontId="64" fillId="8" borderId="31" xfId="0" applyFont="1" applyFill="1" applyBorder="1" applyAlignment="1">
      <alignment horizontal="left" vertical="top" wrapText="1"/>
    </xf>
    <xf numFmtId="0" fontId="64" fillId="8" borderId="33" xfId="0" applyFont="1" applyFill="1" applyBorder="1" applyAlignment="1">
      <alignment horizontal="left" vertical="top" wrapText="1"/>
    </xf>
    <xf numFmtId="0" fontId="66" fillId="25" borderId="26" xfId="0" applyFont="1" applyFill="1" applyBorder="1" applyAlignment="1">
      <alignment horizontal="center" vertical="top" wrapText="1"/>
    </xf>
    <xf numFmtId="0" fontId="66" fillId="25" borderId="26" xfId="0" applyFont="1" applyFill="1" applyBorder="1" applyAlignment="1">
      <alignment horizontal="left" vertical="top" wrapText="1"/>
    </xf>
    <xf numFmtId="0" fontId="64" fillId="8" borderId="26" xfId="0" applyFont="1" applyFill="1" applyBorder="1" applyAlignment="1">
      <alignment vertical="top" wrapText="1"/>
    </xf>
    <xf numFmtId="0" fontId="64" fillId="8" borderId="27" xfId="0" applyFont="1" applyFill="1" applyBorder="1" applyAlignment="1">
      <alignment horizontal="left" vertical="top" wrapText="1"/>
    </xf>
    <xf numFmtId="0" fontId="67" fillId="30" borderId="26" xfId="0" applyFont="1" applyFill="1" applyBorder="1" applyAlignment="1">
      <alignment horizontal="center"/>
    </xf>
    <xf numFmtId="0" fontId="64" fillId="26" borderId="0" xfId="0" applyFont="1" applyFill="1" applyAlignment="1">
      <alignment horizontal="left" vertical="top" wrapText="1"/>
    </xf>
    <xf numFmtId="0" fontId="71" fillId="28" borderId="26" xfId="0" applyFont="1" applyFill="1" applyBorder="1" applyAlignment="1">
      <alignment horizontal="center"/>
    </xf>
    <xf numFmtId="0" fontId="71" fillId="28" borderId="31" xfId="0" applyFont="1" applyFill="1" applyBorder="1" applyAlignment="1">
      <alignment horizontal="center"/>
    </xf>
    <xf numFmtId="0" fontId="67" fillId="28" borderId="86" xfId="0" applyFont="1" applyFill="1" applyBorder="1" applyAlignment="1">
      <alignment horizontal="center"/>
    </xf>
    <xf numFmtId="0" fontId="67" fillId="28" borderId="72" xfId="0" applyFont="1" applyFill="1" applyBorder="1" applyAlignment="1">
      <alignment horizontal="center"/>
    </xf>
    <xf numFmtId="0" fontId="67" fillId="28" borderId="47" xfId="0" applyFont="1" applyFill="1" applyBorder="1" applyAlignment="1">
      <alignment horizontal="center"/>
    </xf>
    <xf numFmtId="0" fontId="67" fillId="28" borderId="43" xfId="0" applyFont="1" applyFill="1" applyBorder="1" applyAlignment="1">
      <alignment horizontal="center"/>
    </xf>
    <xf numFmtId="0" fontId="66" fillId="22" borderId="80" xfId="0" applyFont="1" applyFill="1" applyBorder="1" applyAlignment="1">
      <alignment horizontal="center"/>
    </xf>
    <xf numFmtId="0" fontId="66" fillId="22" borderId="48" xfId="0" applyFont="1" applyFill="1" applyBorder="1" applyAlignment="1">
      <alignment horizontal="center"/>
    </xf>
    <xf numFmtId="0" fontId="66" fillId="22" borderId="49" xfId="0" applyFont="1" applyFill="1" applyBorder="1" applyAlignment="1">
      <alignment horizontal="center"/>
    </xf>
    <xf numFmtId="2" fontId="67" fillId="34" borderId="43" xfId="0" applyNumberFormat="1" applyFont="1" applyFill="1" applyBorder="1" applyAlignment="1">
      <alignment horizontal="center" vertical="top" wrapText="1"/>
    </xf>
    <xf numFmtId="2" fontId="67" fillId="34" borderId="51" xfId="0" applyNumberFormat="1" applyFont="1" applyFill="1" applyBorder="1" applyAlignment="1">
      <alignment horizontal="center" vertical="top" wrapText="1"/>
    </xf>
    <xf numFmtId="2" fontId="67" fillId="34" borderId="50" xfId="0" applyNumberFormat="1" applyFont="1" applyFill="1" applyBorder="1" applyAlignment="1">
      <alignment horizontal="center" vertical="top" wrapText="1"/>
    </xf>
    <xf numFmtId="0" fontId="67" fillId="30" borderId="42" xfId="0" applyFont="1" applyFill="1" applyBorder="1" applyAlignment="1">
      <alignment horizontal="center"/>
    </xf>
    <xf numFmtId="0" fontId="67" fillId="30" borderId="45" xfId="0" applyFont="1" applyFill="1" applyBorder="1" applyAlignment="1">
      <alignment horizontal="center"/>
    </xf>
    <xf numFmtId="0" fontId="67" fillId="30" borderId="46" xfId="0" applyFont="1" applyFill="1" applyBorder="1" applyAlignment="1">
      <alignment horizontal="center"/>
    </xf>
    <xf numFmtId="0" fontId="67" fillId="12" borderId="31" xfId="0" applyFont="1" applyFill="1" applyBorder="1" applyAlignment="1">
      <alignment horizontal="center" vertical="top" wrapText="1"/>
    </xf>
    <xf numFmtId="0" fontId="67" fillId="12" borderId="27" xfId="0" applyFont="1" applyFill="1" applyBorder="1" applyAlignment="1">
      <alignment horizontal="center" vertical="top" wrapText="1"/>
    </xf>
    <xf numFmtId="0" fontId="67" fillId="12" borderId="43" xfId="0" applyFont="1" applyFill="1" applyBorder="1" applyAlignment="1">
      <alignment horizontal="center" vertical="top" wrapText="1"/>
    </xf>
    <xf numFmtId="0" fontId="67" fillId="12" borderId="50" xfId="0" applyFont="1" applyFill="1" applyBorder="1" applyAlignment="1">
      <alignment horizontal="center" vertical="top" wrapText="1"/>
    </xf>
    <xf numFmtId="0" fontId="67" fillId="12" borderId="50" xfId="0" applyFont="1" applyFill="1" applyBorder="1" applyAlignment="1">
      <alignment horizontal="center"/>
    </xf>
    <xf numFmtId="0" fontId="67" fillId="12" borderId="36" xfId="0" applyFont="1" applyFill="1" applyBorder="1" applyAlignment="1">
      <alignment horizontal="center"/>
    </xf>
    <xf numFmtId="0" fontId="67" fillId="28" borderId="50" xfId="0" applyFont="1" applyFill="1" applyBorder="1" applyAlignment="1">
      <alignment horizontal="center"/>
    </xf>
    <xf numFmtId="0" fontId="67" fillId="28" borderId="36" xfId="0" applyFont="1" applyFill="1" applyBorder="1" applyAlignment="1">
      <alignment horizontal="center"/>
    </xf>
    <xf numFmtId="0" fontId="67" fillId="28" borderId="35" xfId="0" applyFont="1" applyFill="1" applyBorder="1" applyAlignment="1">
      <alignment horizontal="center"/>
    </xf>
    <xf numFmtId="0" fontId="63" fillId="8" borderId="34" xfId="0" applyFont="1" applyFill="1" applyBorder="1" applyAlignment="1">
      <alignment horizontal="left" vertical="top" wrapText="1"/>
    </xf>
    <xf numFmtId="0" fontId="63" fillId="8" borderId="53" xfId="0" applyFont="1" applyFill="1" applyBorder="1" applyAlignment="1">
      <alignment horizontal="left" vertical="top" wrapText="1"/>
    </xf>
    <xf numFmtId="0" fontId="63" fillId="8" borderId="92" xfId="0" applyFont="1" applyFill="1" applyBorder="1" applyAlignment="1">
      <alignment horizontal="left" vertical="top" wrapText="1"/>
    </xf>
    <xf numFmtId="0" fontId="63" fillId="8" borderId="31" xfId="0" applyFont="1" applyFill="1" applyBorder="1" applyAlignment="1">
      <alignment horizontal="left" vertical="top" wrapText="1"/>
    </xf>
    <xf numFmtId="0" fontId="63" fillId="8" borderId="27" xfId="0" applyFont="1" applyFill="1" applyBorder="1" applyAlignment="1">
      <alignment horizontal="left" vertical="top" wrapText="1"/>
    </xf>
    <xf numFmtId="0" fontId="64" fillId="8" borderId="94" xfId="0" applyFont="1" applyFill="1" applyBorder="1" applyAlignment="1">
      <alignment horizontal="left" vertical="top" wrapText="1"/>
    </xf>
    <xf numFmtId="0" fontId="64" fillId="8" borderId="53" xfId="0" applyFont="1" applyFill="1" applyBorder="1" applyAlignment="1">
      <alignment horizontal="left" vertical="top" wrapText="1"/>
    </xf>
    <xf numFmtId="17" fontId="67" fillId="28" borderId="42" xfId="0" applyNumberFormat="1" applyFont="1" applyFill="1" applyBorder="1" applyAlignment="1">
      <alignment horizontal="center"/>
    </xf>
    <xf numFmtId="0" fontId="67" fillId="36" borderId="50" xfId="0" applyFont="1" applyFill="1" applyBorder="1" applyAlignment="1">
      <alignment horizontal="center"/>
    </xf>
    <xf numFmtId="0" fontId="67" fillId="36" borderId="36" xfId="0" applyFont="1" applyFill="1" applyBorder="1" applyAlignment="1">
      <alignment horizontal="center"/>
    </xf>
    <xf numFmtId="0" fontId="67" fillId="36" borderId="35" xfId="0" applyFont="1" applyFill="1" applyBorder="1" applyAlignment="1">
      <alignment horizontal="center"/>
    </xf>
    <xf numFmtId="0" fontId="67" fillId="36" borderId="31" xfId="0" applyFont="1" applyFill="1" applyBorder="1" applyAlignment="1">
      <alignment horizontal="center" vertical="top" wrapText="1"/>
    </xf>
    <xf numFmtId="0" fontId="67" fillId="36" borderId="27" xfId="0" applyFont="1" applyFill="1" applyBorder="1" applyAlignment="1">
      <alignment horizontal="center" vertical="top" wrapText="1"/>
    </xf>
    <xf numFmtId="0" fontId="64" fillId="33" borderId="42" xfId="0" applyFont="1" applyFill="1" applyBorder="1" applyAlignment="1">
      <alignment horizontal="center"/>
    </xf>
    <xf numFmtId="0" fontId="64" fillId="33" borderId="46" xfId="0" applyFont="1" applyFill="1" applyBorder="1" applyAlignment="1">
      <alignment horizontal="center"/>
    </xf>
    <xf numFmtId="0" fontId="67" fillId="34" borderId="33" xfId="0" applyFont="1" applyFill="1" applyBorder="1" applyAlignment="1">
      <alignment horizontal="center" wrapText="1"/>
    </xf>
    <xf numFmtId="0" fontId="67" fillId="34" borderId="27" xfId="0" applyFont="1" applyFill="1" applyBorder="1" applyAlignment="1">
      <alignment horizontal="center" wrapText="1"/>
    </xf>
    <xf numFmtId="0" fontId="67" fillId="30" borderId="31" xfId="0" applyFont="1" applyFill="1" applyBorder="1" applyAlignment="1">
      <alignment horizontal="center" vertical="top" wrapText="1"/>
    </xf>
    <xf numFmtId="0" fontId="67" fillId="30" borderId="27" xfId="0" applyFont="1" applyFill="1" applyBorder="1" applyAlignment="1">
      <alignment horizontal="center" vertical="top" wrapText="1"/>
    </xf>
    <xf numFmtId="0" fontId="64" fillId="30" borderId="31" xfId="0" applyFont="1" applyFill="1" applyBorder="1" applyAlignment="1">
      <alignment horizontal="center" vertical="top" wrapText="1"/>
    </xf>
    <xf numFmtId="0" fontId="64" fillId="30" borderId="27" xfId="0" applyFont="1" applyFill="1" applyBorder="1" applyAlignment="1">
      <alignment horizontal="center" vertical="top" wrapText="1"/>
    </xf>
    <xf numFmtId="0" fontId="12" fillId="20" borderId="15" xfId="0" applyFont="1" applyFill="1" applyBorder="1" applyAlignment="1">
      <alignment wrapText="1"/>
    </xf>
    <xf numFmtId="0" fontId="12" fillId="20" borderId="39" xfId="0" applyFont="1" applyFill="1" applyBorder="1" applyAlignment="1">
      <alignment wrapText="1"/>
    </xf>
    <xf numFmtId="0" fontId="8" fillId="20" borderId="40" xfId="0" applyFont="1" applyFill="1" applyBorder="1" applyAlignment="1">
      <alignment wrapText="1"/>
    </xf>
    <xf numFmtId="0" fontId="8" fillId="20" borderId="19" xfId="0" applyFont="1" applyFill="1" applyBorder="1" applyAlignment="1">
      <alignment wrapText="1"/>
    </xf>
    <xf numFmtId="0" fontId="8" fillId="20" borderId="15" xfId="0" applyFont="1" applyFill="1" applyBorder="1" applyAlignment="1">
      <alignment wrapText="1"/>
    </xf>
    <xf numFmtId="3" fontId="8" fillId="20" borderId="15" xfId="0" applyNumberFormat="1" applyFont="1" applyFill="1" applyBorder="1" applyAlignment="1">
      <alignment wrapText="1"/>
    </xf>
    <xf numFmtId="0" fontId="12" fillId="20" borderId="16" xfId="0" applyFont="1" applyFill="1" applyBorder="1" applyAlignment="1">
      <alignment wrapText="1"/>
    </xf>
    <xf numFmtId="0" fontId="12" fillId="20" borderId="24" xfId="0" applyFont="1" applyFill="1" applyBorder="1" applyAlignment="1">
      <alignment wrapText="1"/>
    </xf>
    <xf numFmtId="0" fontId="12" fillId="20" borderId="13" xfId="0" applyFont="1" applyFill="1" applyBorder="1" applyAlignment="1">
      <alignment wrapText="1"/>
    </xf>
    <xf numFmtId="3" fontId="12" fillId="20" borderId="13" xfId="0" applyNumberFormat="1" applyFont="1" applyFill="1" applyBorder="1" applyAlignment="1">
      <alignment wrapText="1"/>
    </xf>
    <xf numFmtId="0" fontId="14" fillId="19" borderId="15" xfId="0" applyFont="1" applyFill="1" applyBorder="1" applyAlignment="1">
      <alignment horizontal="left" wrapText="1"/>
    </xf>
    <xf numFmtId="0" fontId="14" fillId="19" borderId="39" xfId="0" applyFont="1" applyFill="1" applyBorder="1" applyAlignment="1">
      <alignment horizontal="left" wrapText="1"/>
    </xf>
    <xf numFmtId="0" fontId="19" fillId="20" borderId="0" xfId="0" applyFont="1" applyFill="1" applyAlignment="1">
      <alignment horizontal="left" wrapText="1"/>
    </xf>
    <xf numFmtId="0" fontId="56" fillId="0" borderId="38" xfId="0" applyFont="1" applyBorder="1" applyAlignment="1">
      <alignment horizontal="center" wrapText="1"/>
    </xf>
    <xf numFmtId="0" fontId="9" fillId="0" borderId="38" xfId="0" applyFont="1" applyBorder="1" applyAlignment="1">
      <alignment horizontal="center" wrapText="1"/>
    </xf>
    <xf numFmtId="0" fontId="11" fillId="18" borderId="37" xfId="0" applyFont="1" applyFill="1" applyBorder="1" applyAlignment="1">
      <alignment wrapText="1"/>
    </xf>
    <xf numFmtId="0" fontId="11" fillId="18" borderId="38" xfId="0" applyFont="1" applyFill="1" applyBorder="1" applyAlignment="1">
      <alignment wrapText="1"/>
    </xf>
    <xf numFmtId="0" fontId="7" fillId="17" borderId="31" xfId="0" applyFont="1" applyFill="1" applyBorder="1" applyAlignment="1">
      <alignment horizontal="left" wrapText="1"/>
    </xf>
    <xf numFmtId="0" fontId="7" fillId="17" borderId="27" xfId="0" applyFont="1" applyFill="1" applyBorder="1" applyAlignment="1">
      <alignment horizontal="left" wrapText="1"/>
    </xf>
    <xf numFmtId="0" fontId="7" fillId="17" borderId="31" xfId="0" applyFont="1" applyFill="1" applyBorder="1" applyAlignment="1"/>
    <xf numFmtId="0" fontId="7" fillId="17" borderId="27" xfId="0" applyFont="1" applyFill="1" applyBorder="1" applyAlignment="1"/>
    <xf numFmtId="0" fontId="7" fillId="17" borderId="33" xfId="0" applyFont="1" applyFill="1" applyBorder="1" applyAlignment="1">
      <alignment wrapText="1"/>
    </xf>
    <xf numFmtId="0" fontId="7" fillId="17" borderId="27" xfId="0" applyFont="1" applyFill="1" applyBorder="1" applyAlignment="1">
      <alignment wrapText="1"/>
    </xf>
    <xf numFmtId="0" fontId="7" fillId="17" borderId="34" xfId="0" applyFont="1" applyFill="1" applyBorder="1" applyAlignment="1">
      <alignment wrapText="1"/>
    </xf>
    <xf numFmtId="0" fontId="7" fillId="17" borderId="35" xfId="0" applyFont="1" applyFill="1" applyBorder="1" applyAlignment="1">
      <alignment wrapText="1"/>
    </xf>
    <xf numFmtId="0" fontId="13" fillId="17" borderId="31" xfId="0" applyFont="1" applyFill="1" applyBorder="1" applyAlignment="1">
      <alignment horizontal="center" wrapText="1"/>
    </xf>
    <xf numFmtId="0" fontId="13" fillId="17" borderId="27" xfId="0" applyFont="1" applyFill="1" applyBorder="1" applyAlignment="1">
      <alignment horizontal="center" wrapText="1"/>
    </xf>
    <xf numFmtId="0" fontId="0" fillId="0" borderId="0" xfId="0" applyAlignment="1">
      <alignment horizontal="center"/>
    </xf>
    <xf numFmtId="9" fontId="4" fillId="16" borderId="26" xfId="2" applyFont="1" applyFill="1" applyBorder="1" applyAlignment="1">
      <alignment horizontal="center" vertical="center"/>
    </xf>
    <xf numFmtId="9" fontId="38" fillId="16" borderId="26" xfId="2" applyFont="1" applyFill="1" applyBorder="1" applyAlignment="1">
      <alignment horizontal="center" vertical="center"/>
    </xf>
    <xf numFmtId="0" fontId="41" fillId="12" borderId="13" xfId="0" applyFont="1" applyFill="1" applyBorder="1" applyAlignment="1">
      <alignment horizontal="center" vertical="center" wrapText="1"/>
    </xf>
    <xf numFmtId="0" fontId="41" fillId="12" borderId="15" xfId="0" applyFont="1" applyFill="1" applyBorder="1" applyAlignment="1">
      <alignment horizontal="center" vertical="center" wrapText="1"/>
    </xf>
    <xf numFmtId="0" fontId="41" fillId="12" borderId="16" xfId="0" applyFont="1" applyFill="1" applyBorder="1" applyAlignment="1">
      <alignment horizontal="center" vertical="center" wrapText="1"/>
    </xf>
    <xf numFmtId="0" fontId="41" fillId="3" borderId="5" xfId="0" applyFont="1" applyFill="1" applyBorder="1" applyAlignment="1">
      <alignment horizontal="center" vertical="top" wrapText="1"/>
    </xf>
    <xf numFmtId="0" fontId="41" fillId="3" borderId="9" xfId="0" applyFont="1" applyFill="1" applyBorder="1" applyAlignment="1">
      <alignment horizontal="center" vertical="top"/>
    </xf>
    <xf numFmtId="0" fontId="41" fillId="3" borderId="6" xfId="0" applyFont="1" applyFill="1" applyBorder="1" applyAlignment="1">
      <alignment horizontal="center" vertical="top"/>
    </xf>
    <xf numFmtId="0" fontId="40" fillId="8" borderId="0" xfId="0" applyFont="1" applyFill="1" applyAlignment="1">
      <alignment horizontal="center"/>
    </xf>
    <xf numFmtId="0" fontId="40" fillId="8" borderId="7" xfId="0" applyFont="1" applyFill="1" applyBorder="1" applyAlignment="1">
      <alignment horizontal="center"/>
    </xf>
    <xf numFmtId="0" fontId="42" fillId="10" borderId="14" xfId="0" applyFont="1" applyFill="1" applyBorder="1" applyAlignment="1">
      <alignment horizontal="center"/>
    </xf>
    <xf numFmtId="0" fontId="42" fillId="10" borderId="20" xfId="0" applyFont="1" applyFill="1" applyBorder="1" applyAlignment="1">
      <alignment horizontal="center"/>
    </xf>
    <xf numFmtId="9" fontId="42" fillId="9" borderId="15" xfId="0" applyNumberFormat="1" applyFont="1" applyFill="1" applyBorder="1" applyAlignment="1">
      <alignment horizontal="left" vertical="center" wrapText="1"/>
    </xf>
    <xf numFmtId="9" fontId="42" fillId="9" borderId="16" xfId="0" applyNumberFormat="1" applyFont="1" applyFill="1" applyBorder="1" applyAlignment="1">
      <alignment horizontal="left" vertical="center" wrapText="1"/>
    </xf>
    <xf numFmtId="0" fontId="39" fillId="2" borderId="21" xfId="0" applyFont="1" applyFill="1" applyBorder="1" applyAlignment="1">
      <alignment horizontal="left"/>
    </xf>
    <xf numFmtId="0" fontId="39" fillId="2" borderId="22" xfId="0" applyFont="1" applyFill="1" applyBorder="1" applyAlignment="1">
      <alignment horizontal="left"/>
    </xf>
    <xf numFmtId="0" fontId="41" fillId="0" borderId="1" xfId="0" applyFont="1" applyBorder="1" applyAlignment="1">
      <alignment horizontal="center" wrapText="1"/>
    </xf>
    <xf numFmtId="0" fontId="41" fillId="0" borderId="2" xfId="0" applyFont="1" applyBorder="1" applyAlignment="1">
      <alignment horizontal="center" wrapText="1"/>
    </xf>
    <xf numFmtId="14" fontId="42" fillId="0" borderId="1" xfId="0" applyNumberFormat="1" applyFont="1" applyBorder="1" applyAlignment="1">
      <alignment horizontal="center"/>
    </xf>
    <xf numFmtId="14" fontId="42" fillId="0" borderId="2" xfId="0" applyNumberFormat="1" applyFont="1" applyBorder="1" applyAlignment="1">
      <alignment horizontal="center"/>
    </xf>
    <xf numFmtId="0" fontId="42" fillId="0" borderId="4" xfId="0" applyFont="1" applyBorder="1" applyAlignment="1">
      <alignment horizontal="center"/>
    </xf>
    <xf numFmtId="0" fontId="42" fillId="22" borderId="7" xfId="0" applyFont="1" applyFill="1" applyBorder="1" applyAlignment="1">
      <alignment horizontal="center"/>
    </xf>
    <xf numFmtId="0" fontId="42" fillId="22" borderId="8" xfId="0" applyFont="1" applyFill="1" applyBorder="1" applyAlignment="1">
      <alignment horizontal="center"/>
    </xf>
    <xf numFmtId="0" fontId="42" fillId="4" borderId="6" xfId="0" applyFont="1" applyFill="1" applyBorder="1" applyAlignment="1">
      <alignment horizontal="center"/>
    </xf>
    <xf numFmtId="0" fontId="42" fillId="4" borderId="7" xfId="0" applyFont="1" applyFill="1" applyBorder="1" applyAlignment="1">
      <alignment horizontal="center"/>
    </xf>
    <xf numFmtId="0" fontId="42" fillId="4" borderId="8" xfId="0" applyFont="1" applyFill="1" applyBorder="1" applyAlignment="1">
      <alignment horizontal="center"/>
    </xf>
    <xf numFmtId="0" fontId="41" fillId="6" borderId="23" xfId="0" applyFont="1" applyFill="1" applyBorder="1" applyAlignment="1">
      <alignment horizontal="center" vertical="top" wrapText="1"/>
    </xf>
    <xf numFmtId="0" fontId="41" fillId="6" borderId="19" xfId="0" applyFont="1" applyFill="1" applyBorder="1" applyAlignment="1">
      <alignment horizontal="center" vertical="top" wrapText="1"/>
    </xf>
    <xf numFmtId="0" fontId="36" fillId="8" borderId="0" xfId="0" applyFont="1" applyFill="1" applyAlignment="1">
      <alignment horizontal="center" vertical="center" wrapText="1"/>
    </xf>
    <xf numFmtId="0" fontId="42" fillId="5" borderId="9" xfId="0" applyFont="1" applyFill="1" applyBorder="1" applyAlignment="1">
      <alignment horizontal="center"/>
    </xf>
    <xf numFmtId="0" fontId="42" fillId="5" borderId="0" xfId="0" applyFont="1" applyFill="1" applyAlignment="1">
      <alignment horizontal="center"/>
    </xf>
    <xf numFmtId="0" fontId="41" fillId="12" borderId="13" xfId="0" applyFont="1" applyFill="1" applyBorder="1" applyAlignment="1">
      <alignment horizontal="center" vertical="top" wrapText="1"/>
    </xf>
    <xf numFmtId="0" fontId="41" fillId="12" borderId="15" xfId="0" applyFont="1" applyFill="1" applyBorder="1" applyAlignment="1">
      <alignment horizontal="center" vertical="top" wrapText="1"/>
    </xf>
    <xf numFmtId="0" fontId="41" fillId="6" borderId="24" xfId="0" applyFont="1" applyFill="1" applyBorder="1" applyAlignment="1">
      <alignment horizontal="center" vertical="top" wrapText="1"/>
    </xf>
    <xf numFmtId="0" fontId="41" fillId="6" borderId="15" xfId="0" applyFont="1" applyFill="1" applyBorder="1" applyAlignment="1">
      <alignment horizontal="center" vertical="top" wrapText="1"/>
    </xf>
    <xf numFmtId="0" fontId="41" fillId="6" borderId="10" xfId="0" applyFont="1" applyFill="1" applyBorder="1" applyAlignment="1">
      <alignment horizontal="center" vertical="top" wrapText="1"/>
    </xf>
    <xf numFmtId="0" fontId="41" fillId="6" borderId="11" xfId="0" applyFont="1" applyFill="1" applyBorder="1" applyAlignment="1">
      <alignment horizontal="center" vertical="top" wrapText="1"/>
    </xf>
    <xf numFmtId="0" fontId="42" fillId="4" borderId="9" xfId="0" applyFont="1" applyFill="1" applyBorder="1" applyAlignment="1">
      <alignment horizontal="center"/>
    </xf>
    <xf numFmtId="0" fontId="42" fillId="4" borderId="0" xfId="0" applyFont="1" applyFill="1" applyAlignment="1">
      <alignment horizontal="center"/>
    </xf>
    <xf numFmtId="0" fontId="42" fillId="3" borderId="5" xfId="0" applyFont="1" applyFill="1" applyBorder="1" applyAlignment="1">
      <alignment horizontal="center" vertical="top"/>
    </xf>
    <xf numFmtId="0" fontId="42" fillId="10" borderId="18" xfId="0" applyFont="1" applyFill="1" applyBorder="1" applyAlignment="1">
      <alignment horizontal="center"/>
    </xf>
    <xf numFmtId="0" fontId="42" fillId="3" borderId="9" xfId="0" applyFont="1" applyFill="1" applyBorder="1" applyAlignment="1">
      <alignment horizontal="center"/>
    </xf>
    <xf numFmtId="0" fontId="42" fillId="3" borderId="0" xfId="0" applyFont="1" applyFill="1" applyAlignment="1">
      <alignment horizontal="center"/>
    </xf>
    <xf numFmtId="0" fontId="42" fillId="3" borderId="24" xfId="0" applyFont="1" applyFill="1" applyBorder="1" applyAlignment="1">
      <alignment horizontal="center" vertical="top" wrapText="1"/>
    </xf>
    <xf numFmtId="0" fontId="42" fillId="3" borderId="15" xfId="0" applyFont="1" applyFill="1" applyBorder="1" applyAlignment="1">
      <alignment horizontal="center" vertical="top" wrapText="1"/>
    </xf>
    <xf numFmtId="0" fontId="42" fillId="3" borderId="16" xfId="0" applyFont="1" applyFill="1" applyBorder="1" applyAlignment="1">
      <alignment horizontal="center" vertical="top" wrapText="1"/>
    </xf>
    <xf numFmtId="0" fontId="42" fillId="3" borderId="5" xfId="0" applyFont="1" applyFill="1" applyBorder="1" applyAlignment="1">
      <alignment horizontal="center" vertical="top" wrapText="1"/>
    </xf>
    <xf numFmtId="0" fontId="44" fillId="3" borderId="5" xfId="0" applyFont="1" applyFill="1" applyBorder="1" applyAlignment="1">
      <alignment horizontal="center" vertical="top"/>
    </xf>
  </cellXfs>
  <cellStyles count="3">
    <cellStyle name="Comma [0]" xfId="1" builtinId="6"/>
    <cellStyle name="Normal" xfId="0" builtinId="0"/>
    <cellStyle name="Percent" xfId="2" builtinId="5"/>
  </cellStyles>
  <dxfs count="27">
    <dxf>
      <numFmt numFmtId="0" formatCode="General"/>
    </dxf>
    <dxf>
      <numFmt numFmtId="0" formatCode="General"/>
    </dxf>
    <dxf>
      <numFmt numFmtId="27" formatCode="m/d/yyyy\ h:mm"/>
    </dxf>
    <dxf>
      <numFmt numFmtId="27" formatCode="m/d/yyyy\ h:mm"/>
    </dxf>
    <dxf>
      <numFmt numFmtId="0" formatCode="General"/>
    </dxf>
    <dxf>
      <font>
        <b val="0"/>
        <i val="0"/>
        <strike val="0"/>
        <condense val="0"/>
        <extend val="0"/>
        <outline val="0"/>
        <shadow val="0"/>
        <u val="none"/>
        <vertAlign val="baseline"/>
        <sz val="11"/>
        <color theme="1"/>
        <name val="Calibri"/>
        <scheme val="minor"/>
      </font>
      <border diagonalUp="0" diagonalDown="0">
        <left style="thin">
          <color auto="1"/>
        </left>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auto="1"/>
        </top>
      </border>
    </dxf>
    <dxf>
      <border outline="0">
        <left style="thin">
          <color indexed="64"/>
        </left>
        <right style="thin">
          <color indexed="64"/>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0"/>
        <color theme="1"/>
        <name val="Calibri"/>
        <scheme val="minor"/>
      </font>
      <border diagonalUp="0" diagonalDown="0" outline="0">
        <left style="thin">
          <color rgb="FF000000"/>
        </left>
        <right style="thin">
          <color rgb="FF000000"/>
        </right>
        <top/>
        <bottom/>
      </border>
    </dxf>
  </dxfs>
  <tableStyles count="0" defaultTableStyle="TableStyleMedium2" defaultPivotStyle="PivotStyleLight16"/>
  <colors>
    <mruColors>
      <color rgb="FFFF00AA"/>
      <color rgb="FF940303"/>
      <color rgb="FFA60303"/>
      <color rgb="FF71D9D5"/>
      <color rgb="FFF7DADA"/>
      <color rgb="FFDBAFAF"/>
      <color rgb="FF0AF7EF"/>
      <color rgb="FFE5C0ED"/>
      <color rgb="FFF74848"/>
      <color rgb="FF64BD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3" name="Table3" displayName="Table3" ref="B1:G36" totalsRowShown="0" headerRowDxfId="26" headerRowBorderDxfId="25" tableBorderDxfId="24" totalsRowBorderDxfId="23">
  <autoFilter ref="B1:G36"/>
  <tableColumns count="6">
    <tableColumn id="1" name="Column1" dataDxfId="22"/>
    <tableColumn id="2" name="Column2" dataDxfId="21"/>
    <tableColumn id="3" name="Column3" dataDxfId="20"/>
    <tableColumn id="4" name="Column4" dataDxfId="19"/>
    <tableColumn id="5" name="Column5" dataDxfId="18"/>
    <tableColumn id="6" name="Column6" dataDxfId="1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2:I39" totalsRowShown="0" headerRowDxfId="16" headerRowBorderDxfId="15" tableBorderDxfId="14" totalsRowBorderDxfId="13">
  <autoFilter ref="B2:I39"/>
  <tableColumns count="8">
    <tableColumn id="1" name="Result Areas" dataDxfId="12"/>
    <tableColumn id="2" name="Activity" dataDxfId="11"/>
    <tableColumn id="3" name="Target" dataDxfId="10"/>
    <tableColumn id="4" name="Achieved" dataDxfId="9"/>
    <tableColumn id="5" name="Open" dataDxfId="8"/>
    <tableColumn id="6" name="Closed" dataDxfId="7"/>
    <tableColumn id="7" name="Variance" dataDxfId="6">
      <calculatedColumnFormula>D3-E3</calculatedColumnFormula>
    </tableColumn>
    <tableColumn id="8" name="% Achieved" dataDxfId="5">
      <calculatedColumnFormula>E3/D3</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id="1" name="Table1" displayName="Table1" ref="A1:E2" insertRow="1" totalsRowShown="0">
  <autoFilter ref="A1:E2"/>
  <tableColumns count="5">
    <tableColumn id="1" name="ID" dataDxfId="4">
      <extLst>
        <ext xmlns:xlmsforms="http://schemas.microsoft.com/office/spreadsheetml/2023/msForms" uri="{FCC71383-01E1-4257-9335-427F07BE8D7F}">
          <xlmsforms:question id="id"/>
        </ext>
      </extLst>
    </tableColumn>
    <tableColumn id="2" name="Start time" dataDxfId="3">
      <extLst>
        <ext xmlns:xlmsforms="http://schemas.microsoft.com/office/spreadsheetml/2023/msForms" uri="{FCC71383-01E1-4257-9335-427F07BE8D7F}">
          <xlmsforms:question id="startDate"/>
        </ext>
      </extLst>
    </tableColumn>
    <tableColumn id="3" name="Completion time" dataDxfId="2">
      <extLst>
        <ext xmlns:xlmsforms="http://schemas.microsoft.com/office/spreadsheetml/2023/msForms" uri="{FCC71383-01E1-4257-9335-427F07BE8D7F}">
          <xlmsforms:question id="submitDate"/>
        </ext>
      </extLst>
    </tableColumn>
    <tableColumn id="4" name="Email" dataDxfId="1">
      <extLst>
        <ext xmlns:xlmsforms="http://schemas.microsoft.com/office/spreadsheetml/2023/msForms" uri="{FCC71383-01E1-4257-9335-427F07BE8D7F}">
          <xlmsforms:question id="responder"/>
        </ext>
      </extLst>
    </tableColumn>
    <tableColumn id="5" name="Name" dataDxfId="0">
      <extLst>
        <ext xmlns:xlmsforms="http://schemas.microsoft.com/office/spreadsheetml/2023/msForms" uri="{FCC71383-01E1-4257-9335-427F07BE8D7F}">
          <xlmsforms:question id="responderName"/>
        </ext>
      </extLst>
    </tableColumn>
  </tableColumns>
  <tableStyleInfo name="TableStyleMedium2" showFirstColumn="0" showLastColumn="0" showRowStripes="1" showColumnStripes="0"/>
  <extLst>
    <ext xmlns:xlmsforms="http://schemas.microsoft.com/office/spreadsheetml/2023/msForms" uri="{839C7E11-91E4-4DBD-9C5D-0DEA604FA9AC}">
      <xlmsforms:msForm id="Q7FdQs5iNk6TklWVhVZ3nklSicOjfmNIi-tKN3XSq-FUMzZEVTJPT01TUzZHRVVTTjM0RFVJQ0w1OS4u" isFormConnected="1" maxResponseId="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msForm>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pane ySplit="1" topLeftCell="A13" activePane="bottomLeft" state="frozen"/>
      <selection pane="bottomLeft" activeCell="A13" sqref="A13:A18"/>
    </sheetView>
  </sheetViews>
  <sheetFormatPr defaultRowHeight="15" x14ac:dyDescent="0.25"/>
  <cols>
    <col min="1" max="1" width="46.140625" style="288" customWidth="1"/>
    <col min="2" max="2" width="52.28515625" style="286" customWidth="1"/>
    <col min="3" max="3" width="8.5703125" customWidth="1"/>
    <col min="4" max="5" width="11.5703125" customWidth="1"/>
    <col min="6" max="6" width="12.140625" style="285" customWidth="1"/>
    <col min="7" max="7" width="11.5703125" customWidth="1"/>
  </cols>
  <sheetData>
    <row r="1" spans="1:8" ht="45.75" customHeight="1" x14ac:dyDescent="0.3">
      <c r="A1" s="465" t="s">
        <v>0</v>
      </c>
      <c r="B1" s="466" t="s">
        <v>1</v>
      </c>
      <c r="C1" s="467" t="s">
        <v>2</v>
      </c>
      <c r="D1" s="468" t="s">
        <v>3</v>
      </c>
      <c r="E1" s="468" t="s">
        <v>4</v>
      </c>
      <c r="F1" s="469" t="s">
        <v>5</v>
      </c>
      <c r="G1" s="470"/>
    </row>
    <row r="2" spans="1:8" ht="36" customHeight="1" x14ac:dyDescent="0.25">
      <c r="A2" s="699" t="s">
        <v>6</v>
      </c>
      <c r="B2" s="700"/>
      <c r="C2" s="314"/>
      <c r="D2" s="314"/>
      <c r="E2" s="314"/>
      <c r="F2" s="314"/>
      <c r="G2" s="311"/>
    </row>
    <row r="3" spans="1:8" ht="25.5" customHeight="1" x14ac:dyDescent="0.35">
      <c r="A3" s="704" t="s">
        <v>7</v>
      </c>
      <c r="B3" s="316" t="s">
        <v>8</v>
      </c>
      <c r="C3" s="317">
        <v>550</v>
      </c>
      <c r="D3" s="318">
        <f>SUM('Activity Tracking Table'!KG4+'Activity Tracking Table'!KG5)</f>
        <v>467</v>
      </c>
      <c r="E3" s="318">
        <f>'Summary Dashboard'!C3-'Summary Dashboard'!D3</f>
        <v>83</v>
      </c>
      <c r="F3" s="319">
        <f t="shared" ref="F3:F11" si="0">D3/C3</f>
        <v>0.84909090909090912</v>
      </c>
      <c r="G3" s="708">
        <f>(F5+F3)/2</f>
        <v>0.92454545454545456</v>
      </c>
    </row>
    <row r="4" spans="1:8" ht="25.5" customHeight="1" x14ac:dyDescent="0.35">
      <c r="A4" s="705"/>
      <c r="B4" s="316" t="s">
        <v>9</v>
      </c>
      <c r="C4" s="317">
        <v>300</v>
      </c>
      <c r="D4" s="318">
        <v>64</v>
      </c>
      <c r="E4" s="318">
        <f t="shared" ref="E4:E11" si="1">C4-D4</f>
        <v>236</v>
      </c>
      <c r="F4" s="319">
        <f t="shared" si="0"/>
        <v>0.21333333333333335</v>
      </c>
      <c r="G4" s="709"/>
      <c r="H4" s="284"/>
    </row>
    <row r="5" spans="1:8" ht="25.5" customHeight="1" x14ac:dyDescent="0.35">
      <c r="A5" s="705"/>
      <c r="B5" s="316" t="s">
        <v>10</v>
      </c>
      <c r="C5" s="317">
        <v>2</v>
      </c>
      <c r="D5" s="318">
        <v>2</v>
      </c>
      <c r="E5" s="318">
        <f t="shared" si="1"/>
        <v>0</v>
      </c>
      <c r="F5" s="588">
        <f t="shared" si="0"/>
        <v>1</v>
      </c>
      <c r="G5" s="710"/>
    </row>
    <row r="6" spans="1:8" ht="25.5" customHeight="1" x14ac:dyDescent="0.35">
      <c r="A6" s="706" t="s">
        <v>11</v>
      </c>
      <c r="B6" s="316" t="s">
        <v>12</v>
      </c>
      <c r="C6" s="317">
        <v>130</v>
      </c>
      <c r="D6" s="318">
        <f>'Activity Tracking Table'!KG10</f>
        <v>97</v>
      </c>
      <c r="E6" s="587">
        <f t="shared" si="1"/>
        <v>33</v>
      </c>
      <c r="F6" s="319">
        <f t="shared" si="0"/>
        <v>0.74615384615384617</v>
      </c>
      <c r="G6" s="711">
        <f>F6</f>
        <v>0.74615384615384617</v>
      </c>
    </row>
    <row r="7" spans="1:8" ht="25.5" customHeight="1" x14ac:dyDescent="0.35">
      <c r="A7" s="706"/>
      <c r="B7" s="316" t="s">
        <v>13</v>
      </c>
      <c r="C7" s="317">
        <v>60</v>
      </c>
      <c r="D7" s="318">
        <f>'Activity Tracking Table'!KG11</f>
        <v>0</v>
      </c>
      <c r="E7" s="587">
        <f t="shared" si="1"/>
        <v>60</v>
      </c>
      <c r="F7" s="319">
        <f t="shared" si="0"/>
        <v>0</v>
      </c>
      <c r="G7" s="712"/>
    </row>
    <row r="8" spans="1:8" ht="25.5" customHeight="1" x14ac:dyDescent="0.35">
      <c r="A8" s="320" t="s">
        <v>14</v>
      </c>
      <c r="B8" s="322" t="s">
        <v>15</v>
      </c>
      <c r="C8" s="317">
        <v>550</v>
      </c>
      <c r="D8" s="318" t="e">
        <f>'Activity Tracking Table'!#REF!</f>
        <v>#REF!</v>
      </c>
      <c r="E8" s="318" t="e">
        <f t="shared" si="1"/>
        <v>#REF!</v>
      </c>
      <c r="F8" s="589" t="e">
        <f t="shared" si="0"/>
        <v>#REF!</v>
      </c>
      <c r="G8" s="591" t="e">
        <f>F8</f>
        <v>#REF!</v>
      </c>
    </row>
    <row r="9" spans="1:8" ht="25.5" customHeight="1" x14ac:dyDescent="0.35">
      <c r="A9" s="706" t="s">
        <v>16</v>
      </c>
      <c r="B9" s="316" t="s">
        <v>17</v>
      </c>
      <c r="C9" s="317">
        <v>25</v>
      </c>
      <c r="D9" s="318">
        <f>'Activity Tracking Table'!KG12</f>
        <v>48</v>
      </c>
      <c r="E9" s="318">
        <f t="shared" si="1"/>
        <v>-23</v>
      </c>
      <c r="F9" s="319">
        <f t="shared" si="0"/>
        <v>1.92</v>
      </c>
      <c r="G9" s="708">
        <f>(F9+F11)/2</f>
        <v>1.46</v>
      </c>
    </row>
    <row r="10" spans="1:8" ht="25.5" customHeight="1" x14ac:dyDescent="0.35">
      <c r="A10" s="706"/>
      <c r="B10" s="316" t="s">
        <v>18</v>
      </c>
      <c r="C10" s="317">
        <v>2</v>
      </c>
      <c r="D10" s="318">
        <f>'Activity Tracking Table'!KG13</f>
        <v>0</v>
      </c>
      <c r="E10" s="318">
        <f t="shared" si="1"/>
        <v>2</v>
      </c>
      <c r="F10" s="319">
        <f t="shared" si="0"/>
        <v>0</v>
      </c>
      <c r="G10" s="713"/>
    </row>
    <row r="11" spans="1:8" ht="25.5" customHeight="1" x14ac:dyDescent="0.35">
      <c r="A11" s="706"/>
      <c r="B11" s="590" t="s">
        <v>19</v>
      </c>
      <c r="C11" s="317">
        <v>50</v>
      </c>
      <c r="D11" s="318">
        <f>'Activity Tracking Table'!KG14</f>
        <v>50</v>
      </c>
      <c r="E11" s="318">
        <f t="shared" si="1"/>
        <v>0</v>
      </c>
      <c r="F11" s="319">
        <f t="shared" si="0"/>
        <v>1</v>
      </c>
      <c r="G11" s="713"/>
    </row>
    <row r="12" spans="1:8" ht="25.5" customHeight="1" x14ac:dyDescent="0.35">
      <c r="A12" s="323"/>
      <c r="B12" s="385" t="s">
        <v>20</v>
      </c>
      <c r="C12" s="345"/>
      <c r="D12" s="318">
        <f>'Activity Tracking Table'!KG22+'Activity Tracking Table'!KG23+'Activity Tracking Table'!KG24</f>
        <v>13550</v>
      </c>
      <c r="E12" s="318"/>
      <c r="F12" s="319"/>
      <c r="G12" s="713"/>
    </row>
    <row r="13" spans="1:8" ht="25.5" customHeight="1" x14ac:dyDescent="0.35">
      <c r="A13" s="722" t="s">
        <v>21</v>
      </c>
      <c r="B13" s="316" t="s">
        <v>22</v>
      </c>
      <c r="C13" s="317">
        <v>4500</v>
      </c>
      <c r="D13" s="318" t="e">
        <f>'Activity Tracking Table'!#REF!</f>
        <v>#REF!</v>
      </c>
      <c r="E13" s="318" t="e">
        <f>C13-D13</f>
        <v>#REF!</v>
      </c>
      <c r="F13" s="319" t="e">
        <f>D13/C13</f>
        <v>#REF!</v>
      </c>
      <c r="G13" s="708" t="e">
        <f>(F13+F16+F17)/3</f>
        <v>#REF!</v>
      </c>
    </row>
    <row r="14" spans="1:8" ht="25.5" customHeight="1" x14ac:dyDescent="0.35">
      <c r="A14" s="722"/>
      <c r="B14" s="316"/>
      <c r="C14" s="317"/>
      <c r="D14" s="318"/>
      <c r="E14" s="318"/>
      <c r="F14" s="319"/>
      <c r="G14" s="713"/>
    </row>
    <row r="15" spans="1:8" ht="25.5" hidden="1" customHeight="1" x14ac:dyDescent="0.35">
      <c r="A15" s="722"/>
      <c r="B15" s="316" t="s">
        <v>23</v>
      </c>
      <c r="C15" s="317">
        <v>45</v>
      </c>
      <c r="D15" s="318">
        <f>'Activity Tracking Table'!KG16</f>
        <v>22</v>
      </c>
      <c r="E15" s="318">
        <f>C15-D15</f>
        <v>23</v>
      </c>
      <c r="F15" s="319">
        <f>D15/C15</f>
        <v>0.48888888888888887</v>
      </c>
      <c r="G15" s="713"/>
    </row>
    <row r="16" spans="1:8" ht="25.5" customHeight="1" x14ac:dyDescent="0.35">
      <c r="A16" s="722"/>
      <c r="B16" s="316" t="s">
        <v>24</v>
      </c>
      <c r="C16" s="317">
        <v>3</v>
      </c>
      <c r="D16" s="318">
        <v>2</v>
      </c>
      <c r="E16" s="318">
        <f>C16-D16</f>
        <v>1</v>
      </c>
      <c r="F16" s="319">
        <f>D16/C16</f>
        <v>0.66666666666666663</v>
      </c>
      <c r="G16" s="713"/>
    </row>
    <row r="17" spans="1:7" ht="25.5" customHeight="1" x14ac:dyDescent="0.35">
      <c r="A17" s="722"/>
      <c r="B17" s="385" t="s">
        <v>25</v>
      </c>
      <c r="C17" s="345">
        <v>450</v>
      </c>
      <c r="D17" s="318">
        <f>'Activity Tracking Table'!KG35</f>
        <v>275</v>
      </c>
      <c r="E17" s="587">
        <f>C17-D17</f>
        <v>175</v>
      </c>
      <c r="F17" s="319">
        <f>D17/C17</f>
        <v>0.61111111111111116</v>
      </c>
      <c r="G17" s="713"/>
    </row>
    <row r="18" spans="1:7" ht="25.5" customHeight="1" x14ac:dyDescent="0.35">
      <c r="A18" s="722"/>
      <c r="B18" s="316" t="s">
        <v>26</v>
      </c>
      <c r="C18" s="317">
        <v>225</v>
      </c>
      <c r="D18" s="318">
        <f>'Activity Tracking Table'!KG17</f>
        <v>0</v>
      </c>
      <c r="E18" s="318">
        <f>C18-D18</f>
        <v>225</v>
      </c>
      <c r="F18" s="319">
        <f>D18/C18</f>
        <v>0</v>
      </c>
      <c r="G18" s="714"/>
    </row>
    <row r="19" spans="1:7" ht="9.75" customHeight="1" x14ac:dyDescent="0.25">
      <c r="A19" s="313"/>
      <c r="B19" s="287"/>
      <c r="C19" s="289"/>
      <c r="D19" s="290"/>
      <c r="E19" s="290"/>
      <c r="F19" s="293"/>
      <c r="G19" s="297"/>
    </row>
    <row r="20" spans="1:7" ht="36.75" customHeight="1" x14ac:dyDescent="0.25">
      <c r="A20" s="701" t="s">
        <v>27</v>
      </c>
      <c r="B20" s="702"/>
      <c r="C20" s="324"/>
      <c r="D20" s="324"/>
      <c r="E20" s="324"/>
      <c r="F20" s="324"/>
      <c r="G20" s="312"/>
    </row>
    <row r="21" spans="1:7" ht="30" customHeight="1" x14ac:dyDescent="0.35">
      <c r="A21" s="704" t="s">
        <v>28</v>
      </c>
      <c r="B21" s="325" t="s">
        <v>29</v>
      </c>
      <c r="C21" s="317">
        <v>1350</v>
      </c>
      <c r="D21" s="326">
        <f>'Activity Tracking Table'!KG34</f>
        <v>429</v>
      </c>
      <c r="E21" s="326">
        <f t="shared" ref="E21:E26" si="2">C21-D21</f>
        <v>921</v>
      </c>
      <c r="F21" s="327">
        <f t="shared" ref="F21:F26" si="3">D21/C21</f>
        <v>0.31777777777777777</v>
      </c>
      <c r="G21" s="715">
        <f>(F21+F22+F25+F26+F31+F30)/6</f>
        <v>0.94254629629629638</v>
      </c>
    </row>
    <row r="22" spans="1:7" ht="31.5" customHeight="1" x14ac:dyDescent="0.35">
      <c r="A22" s="704"/>
      <c r="B22" s="325" t="s">
        <v>30</v>
      </c>
      <c r="C22" s="317">
        <v>2000</v>
      </c>
      <c r="D22" s="326">
        <f>'Activity Tracking Table'!KG35</f>
        <v>275</v>
      </c>
      <c r="E22" s="326">
        <f t="shared" si="2"/>
        <v>1725</v>
      </c>
      <c r="F22" s="327">
        <f t="shared" si="3"/>
        <v>0.13750000000000001</v>
      </c>
      <c r="G22" s="716"/>
    </row>
    <row r="23" spans="1:7" ht="28.5" customHeight="1" x14ac:dyDescent="0.35">
      <c r="A23" s="704"/>
      <c r="B23" s="328" t="s">
        <v>31</v>
      </c>
      <c r="C23" s="329">
        <v>1200</v>
      </c>
      <c r="D23" s="326">
        <f>'Activity Tracking Table'!KG36</f>
        <v>1000</v>
      </c>
      <c r="E23" s="326">
        <f t="shared" si="2"/>
        <v>200</v>
      </c>
      <c r="F23" s="327">
        <f t="shared" si="3"/>
        <v>0.83333333333333337</v>
      </c>
      <c r="G23" s="716"/>
    </row>
    <row r="24" spans="1:7" ht="29.25" customHeight="1" x14ac:dyDescent="0.35">
      <c r="A24" s="707"/>
      <c r="B24" s="330" t="s">
        <v>32</v>
      </c>
      <c r="C24" s="331">
        <v>200</v>
      </c>
      <c r="D24" s="332">
        <f>'Activity Tracking Table'!KG37</f>
        <v>134</v>
      </c>
      <c r="E24" s="326">
        <f t="shared" si="2"/>
        <v>66</v>
      </c>
      <c r="F24" s="327">
        <f t="shared" si="3"/>
        <v>0.67</v>
      </c>
      <c r="G24" s="716"/>
    </row>
    <row r="25" spans="1:7" ht="25.5" customHeight="1" x14ac:dyDescent="0.35">
      <c r="A25" s="704"/>
      <c r="B25" s="333" t="s">
        <v>33</v>
      </c>
      <c r="C25" s="334">
        <v>5</v>
      </c>
      <c r="D25" s="326">
        <f>'Activity Tracking Table'!KG38</f>
        <v>6</v>
      </c>
      <c r="E25" s="326">
        <f t="shared" si="2"/>
        <v>-1</v>
      </c>
      <c r="F25" s="327">
        <f t="shared" si="3"/>
        <v>1.2</v>
      </c>
      <c r="G25" s="716"/>
    </row>
    <row r="26" spans="1:7" ht="25.5" customHeight="1" x14ac:dyDescent="0.35">
      <c r="A26" s="704"/>
      <c r="B26" s="335" t="s">
        <v>34</v>
      </c>
      <c r="C26" s="317">
        <v>240</v>
      </c>
      <c r="D26" s="326">
        <f>'Activity Tracking Table'!KG39</f>
        <v>240</v>
      </c>
      <c r="E26" s="326">
        <f t="shared" si="2"/>
        <v>0</v>
      </c>
      <c r="F26" s="327">
        <f t="shared" si="3"/>
        <v>1</v>
      </c>
      <c r="G26" s="716"/>
    </row>
    <row r="27" spans="1:7" ht="25.5" customHeight="1" x14ac:dyDescent="0.35">
      <c r="A27" s="704"/>
      <c r="B27" s="335" t="s">
        <v>35</v>
      </c>
      <c r="C27" s="317"/>
      <c r="D27" s="326">
        <f>'Activity Tracking Table'!KG55</f>
        <v>9</v>
      </c>
      <c r="E27" s="326">
        <f>'Activity Tracking Table'!BG319</f>
        <v>0</v>
      </c>
      <c r="F27" s="327"/>
      <c r="G27" s="716"/>
    </row>
    <row r="28" spans="1:7" ht="25.5" customHeight="1" x14ac:dyDescent="0.35">
      <c r="A28" s="704"/>
      <c r="B28" s="335" t="s">
        <v>36</v>
      </c>
      <c r="C28" s="317">
        <v>6</v>
      </c>
      <c r="D28" s="326">
        <v>7</v>
      </c>
      <c r="E28" s="326">
        <f>C28-D28</f>
        <v>-1</v>
      </c>
      <c r="F28" s="327">
        <f>D28/C28</f>
        <v>1.1666666666666667</v>
      </c>
      <c r="G28" s="716"/>
    </row>
    <row r="29" spans="1:7" ht="25.5" customHeight="1" x14ac:dyDescent="0.35">
      <c r="A29" s="704"/>
      <c r="B29" s="336" t="s">
        <v>37</v>
      </c>
      <c r="C29" s="317">
        <v>50</v>
      </c>
      <c r="D29" s="326">
        <f>'Activity Tracking Table'!KG41</f>
        <v>69</v>
      </c>
      <c r="E29" s="326">
        <f>C29-D29</f>
        <v>-19</v>
      </c>
      <c r="F29" s="327">
        <f>D29/C29</f>
        <v>1.38</v>
      </c>
      <c r="G29" s="716"/>
    </row>
    <row r="30" spans="1:7" ht="25.5" customHeight="1" x14ac:dyDescent="0.35">
      <c r="A30" s="704"/>
      <c r="B30" s="337" t="s">
        <v>38</v>
      </c>
      <c r="C30" s="317">
        <v>50</v>
      </c>
      <c r="D30" s="326">
        <f>'Activity Tracking Table'!KG42</f>
        <v>100</v>
      </c>
      <c r="E30" s="326">
        <f>C30-D30</f>
        <v>-50</v>
      </c>
      <c r="F30" s="327">
        <f>D30/C30</f>
        <v>2</v>
      </c>
      <c r="G30" s="716"/>
    </row>
    <row r="31" spans="1:7" ht="31.5" customHeight="1" x14ac:dyDescent="0.35">
      <c r="A31" s="704"/>
      <c r="B31" s="337" t="s">
        <v>39</v>
      </c>
      <c r="C31" s="317">
        <v>600</v>
      </c>
      <c r="D31" s="326">
        <f>'Activity Tracking Table'!KG43</f>
        <v>600</v>
      </c>
      <c r="E31" s="326">
        <f>C31-D31</f>
        <v>0</v>
      </c>
      <c r="F31" s="327">
        <f>D31/C31</f>
        <v>1</v>
      </c>
      <c r="G31" s="717"/>
    </row>
    <row r="32" spans="1:7" ht="25.5" customHeight="1" x14ac:dyDescent="0.35">
      <c r="A32" s="323" t="s">
        <v>40</v>
      </c>
      <c r="B32" s="338" t="s">
        <v>41</v>
      </c>
      <c r="C32" s="317">
        <v>10</v>
      </c>
      <c r="D32" s="326">
        <f>'Activity Tracking Table'!KG47</f>
        <v>70</v>
      </c>
      <c r="E32" s="326">
        <f>C32-D32</f>
        <v>-60</v>
      </c>
      <c r="F32" s="327">
        <f>D32/C32</f>
        <v>7</v>
      </c>
      <c r="G32" s="720"/>
    </row>
    <row r="33" spans="1:11" ht="25.5" customHeight="1" x14ac:dyDescent="0.35">
      <c r="A33" s="323"/>
      <c r="B33" s="339" t="s">
        <v>42</v>
      </c>
      <c r="C33" s="317"/>
      <c r="D33" s="326">
        <f>'Activity Tracking Table'!KG48</f>
        <v>135</v>
      </c>
      <c r="E33" s="326"/>
      <c r="F33" s="327"/>
      <c r="G33" s="721"/>
    </row>
    <row r="34" spans="1:11" ht="25.5" customHeight="1" x14ac:dyDescent="0.35">
      <c r="A34" s="323"/>
      <c r="B34" s="340" t="s">
        <v>43</v>
      </c>
      <c r="C34" s="317">
        <v>100</v>
      </c>
      <c r="D34" s="326">
        <f>'Activity Tracking Table'!KG49</f>
        <v>30</v>
      </c>
      <c r="E34" s="326">
        <f>C34-D34</f>
        <v>70</v>
      </c>
      <c r="F34" s="327"/>
      <c r="G34" s="721"/>
    </row>
    <row r="35" spans="1:11" ht="25.5" customHeight="1" x14ac:dyDescent="0.35">
      <c r="A35" s="323"/>
      <c r="B35" s="497" t="s">
        <v>44</v>
      </c>
      <c r="C35" s="317"/>
      <c r="D35" s="326">
        <f>'Activity Tracking Table'!KG50</f>
        <v>48</v>
      </c>
      <c r="E35" s="326"/>
      <c r="F35" s="327"/>
      <c r="G35" s="721"/>
    </row>
    <row r="36" spans="1:11" ht="51" customHeight="1" x14ac:dyDescent="0.35">
      <c r="A36" s="586" t="s">
        <v>45</v>
      </c>
      <c r="B36" s="341" t="s">
        <v>46</v>
      </c>
      <c r="C36" s="317">
        <v>150</v>
      </c>
      <c r="D36" s="326">
        <f>'Activity Tracking Table'!KG51</f>
        <v>150</v>
      </c>
      <c r="E36" s="326">
        <f t="shared" ref="E36:E50" si="4">C36-D36</f>
        <v>0</v>
      </c>
      <c r="F36" s="327">
        <f>D36/C36</f>
        <v>1</v>
      </c>
      <c r="G36" s="592"/>
    </row>
    <row r="37" spans="1:11" ht="30.75" customHeight="1" x14ac:dyDescent="0.35">
      <c r="A37" s="718" t="s">
        <v>47</v>
      </c>
      <c r="B37" s="341" t="s">
        <v>48</v>
      </c>
      <c r="C37" s="317">
        <v>350</v>
      </c>
      <c r="D37" s="326">
        <f>'Activity Tracking Table'!KG62</f>
        <v>866</v>
      </c>
      <c r="E37" s="326">
        <f t="shared" si="4"/>
        <v>-516</v>
      </c>
      <c r="F37" s="327">
        <f>(D38+D37)/1350</f>
        <v>1.3229629629629629</v>
      </c>
      <c r="G37" s="307"/>
      <c r="H37" s="703" t="s">
        <v>49</v>
      </c>
      <c r="I37" s="703"/>
      <c r="J37" s="703"/>
      <c r="K37" s="703"/>
    </row>
    <row r="38" spans="1:11" ht="43.5" customHeight="1" x14ac:dyDescent="0.35">
      <c r="A38" s="719"/>
      <c r="B38" s="341" t="s">
        <v>50</v>
      </c>
      <c r="C38" s="317">
        <v>960</v>
      </c>
      <c r="D38" s="326">
        <f>'Activity Tracking Table'!KG63</f>
        <v>920</v>
      </c>
      <c r="E38" s="326">
        <f t="shared" si="4"/>
        <v>40</v>
      </c>
      <c r="F38" s="327">
        <f t="shared" ref="F38:F50" si="5">D38/C38</f>
        <v>0.95833333333333337</v>
      </c>
      <c r="G38" s="307"/>
      <c r="H38" s="703"/>
      <c r="I38" s="703"/>
      <c r="J38" s="703"/>
      <c r="K38" s="703"/>
    </row>
    <row r="39" spans="1:11" ht="30" customHeight="1" x14ac:dyDescent="0.35">
      <c r="A39" s="593"/>
      <c r="B39" s="342" t="s">
        <v>51</v>
      </c>
      <c r="C39" s="317">
        <v>5</v>
      </c>
      <c r="D39" s="326">
        <f>'Activity Tracking Table'!KG54</f>
        <v>0</v>
      </c>
      <c r="E39" s="326">
        <f t="shared" si="4"/>
        <v>5</v>
      </c>
      <c r="F39" s="327">
        <f t="shared" si="5"/>
        <v>0</v>
      </c>
      <c r="G39" s="307"/>
    </row>
    <row r="40" spans="1:11" ht="28.5" customHeight="1" x14ac:dyDescent="0.35">
      <c r="A40" s="315"/>
      <c r="B40" s="343" t="s">
        <v>52</v>
      </c>
      <c r="C40" s="317">
        <v>120</v>
      </c>
      <c r="D40" s="326">
        <f>'Activity Tracking Table'!KG53</f>
        <v>0</v>
      </c>
      <c r="E40" s="326">
        <f t="shared" si="4"/>
        <v>120</v>
      </c>
      <c r="F40" s="327">
        <f t="shared" si="5"/>
        <v>0</v>
      </c>
      <c r="G40" s="307"/>
    </row>
    <row r="41" spans="1:11" ht="25.5" hidden="1" customHeight="1" x14ac:dyDescent="0.35">
      <c r="A41" s="315"/>
      <c r="B41" s="344" t="s">
        <v>53</v>
      </c>
      <c r="C41" s="317">
        <v>4</v>
      </c>
      <c r="D41" s="326">
        <f>'Activity Tracking Table'!KG65</f>
        <v>15</v>
      </c>
      <c r="E41" s="326">
        <f t="shared" si="4"/>
        <v>-11</v>
      </c>
      <c r="F41" s="327">
        <f t="shared" si="5"/>
        <v>3.75</v>
      </c>
      <c r="G41" s="307"/>
    </row>
    <row r="42" spans="1:11" ht="25.5" hidden="1" customHeight="1" x14ac:dyDescent="0.35">
      <c r="A42" s="315"/>
      <c r="B42" s="343" t="s">
        <v>54</v>
      </c>
      <c r="C42" s="345">
        <v>10</v>
      </c>
      <c r="D42" s="326" t="e">
        <f>'Activity Tracking Table'!#REF!</f>
        <v>#REF!</v>
      </c>
      <c r="E42" s="326" t="e">
        <f t="shared" si="4"/>
        <v>#REF!</v>
      </c>
      <c r="F42" s="327" t="e">
        <f t="shared" si="5"/>
        <v>#REF!</v>
      </c>
      <c r="G42" s="307"/>
    </row>
    <row r="43" spans="1:11" ht="25.5" hidden="1" customHeight="1" x14ac:dyDescent="0.35">
      <c r="A43" s="315"/>
      <c r="B43" s="343" t="s">
        <v>55</v>
      </c>
      <c r="C43" s="345">
        <v>13</v>
      </c>
      <c r="D43" s="326">
        <f>'Activity Tracking Table'!KG68</f>
        <v>0</v>
      </c>
      <c r="E43" s="326">
        <f t="shared" si="4"/>
        <v>13</v>
      </c>
      <c r="F43" s="327">
        <f t="shared" si="5"/>
        <v>0</v>
      </c>
      <c r="G43" s="307"/>
    </row>
    <row r="44" spans="1:11" ht="25.5" hidden="1" customHeight="1" x14ac:dyDescent="0.35">
      <c r="A44" s="315"/>
      <c r="B44" s="343" t="s">
        <v>56</v>
      </c>
      <c r="C44" s="345">
        <v>3</v>
      </c>
      <c r="D44" s="326">
        <f>'Activity Tracking Table'!KG69</f>
        <v>0</v>
      </c>
      <c r="E44" s="326">
        <f t="shared" si="4"/>
        <v>3</v>
      </c>
      <c r="F44" s="327">
        <f t="shared" si="5"/>
        <v>0</v>
      </c>
      <c r="G44" s="307"/>
    </row>
    <row r="45" spans="1:11" ht="25.5" customHeight="1" x14ac:dyDescent="0.35">
      <c r="A45" s="323" t="s">
        <v>57</v>
      </c>
      <c r="B45" s="346" t="s">
        <v>58</v>
      </c>
      <c r="C45" s="317">
        <v>2</v>
      </c>
      <c r="D45" s="326">
        <v>2</v>
      </c>
      <c r="E45" s="326">
        <f t="shared" si="4"/>
        <v>0</v>
      </c>
      <c r="F45" s="327">
        <f t="shared" si="5"/>
        <v>1</v>
      </c>
      <c r="G45" s="307"/>
    </row>
    <row r="46" spans="1:11" ht="25.5" customHeight="1" x14ac:dyDescent="0.35">
      <c r="A46" s="323"/>
      <c r="B46" s="341" t="s">
        <v>59</v>
      </c>
      <c r="C46" s="317">
        <v>2</v>
      </c>
      <c r="D46" s="326">
        <v>0</v>
      </c>
      <c r="E46" s="326">
        <f t="shared" si="4"/>
        <v>2</v>
      </c>
      <c r="F46" s="327">
        <f t="shared" si="5"/>
        <v>0</v>
      </c>
      <c r="G46" s="307"/>
    </row>
    <row r="47" spans="1:11" ht="25.5" customHeight="1" x14ac:dyDescent="0.35">
      <c r="A47" s="323"/>
      <c r="B47" s="341" t="s">
        <v>60</v>
      </c>
      <c r="C47" s="317">
        <v>1</v>
      </c>
      <c r="D47" s="326">
        <v>4</v>
      </c>
      <c r="E47" s="326">
        <f t="shared" si="4"/>
        <v>-3</v>
      </c>
      <c r="F47" s="327">
        <f t="shared" si="5"/>
        <v>4</v>
      </c>
      <c r="G47" s="307"/>
    </row>
    <row r="48" spans="1:11" ht="25.5" hidden="1" customHeight="1" x14ac:dyDescent="0.35">
      <c r="A48" s="323"/>
      <c r="B48" s="341" t="s">
        <v>61</v>
      </c>
      <c r="C48" s="317">
        <v>20</v>
      </c>
      <c r="D48" s="326">
        <v>7</v>
      </c>
      <c r="E48" s="326">
        <f t="shared" si="4"/>
        <v>13</v>
      </c>
      <c r="F48" s="327">
        <f t="shared" si="5"/>
        <v>0.35</v>
      </c>
      <c r="G48" s="307"/>
    </row>
    <row r="49" spans="1:7" ht="25.5" hidden="1" customHeight="1" x14ac:dyDescent="0.35">
      <c r="A49" s="323"/>
      <c r="B49" s="341" t="s">
        <v>62</v>
      </c>
      <c r="C49" s="317">
        <v>1</v>
      </c>
      <c r="D49" s="326">
        <v>1</v>
      </c>
      <c r="E49" s="326">
        <f t="shared" si="4"/>
        <v>0</v>
      </c>
      <c r="F49" s="327">
        <f t="shared" si="5"/>
        <v>1</v>
      </c>
      <c r="G49" s="307"/>
    </row>
    <row r="50" spans="1:7" ht="25.5" customHeight="1" x14ac:dyDescent="0.35">
      <c r="A50" s="323" t="s">
        <v>63</v>
      </c>
      <c r="B50" s="341" t="s">
        <v>64</v>
      </c>
      <c r="C50" s="317">
        <v>2800</v>
      </c>
      <c r="D50" s="326">
        <f>'Activity Tracking Table'!KG74</f>
        <v>2168</v>
      </c>
      <c r="E50" s="326">
        <f t="shared" si="4"/>
        <v>632</v>
      </c>
      <c r="F50" s="327">
        <f t="shared" si="5"/>
        <v>0.77428571428571424</v>
      </c>
      <c r="G50" s="594">
        <f>F50</f>
        <v>0.77428571428571424</v>
      </c>
    </row>
    <row r="51" spans="1:7" ht="25.5" hidden="1" customHeight="1" x14ac:dyDescent="0.35">
      <c r="A51" s="323"/>
      <c r="B51" s="341" t="s">
        <v>65</v>
      </c>
      <c r="C51" s="317"/>
      <c r="D51" s="326">
        <f>'Activity Tracking Table'!KG76</f>
        <v>0</v>
      </c>
      <c r="E51" s="326"/>
      <c r="F51" s="327"/>
      <c r="G51" s="307"/>
    </row>
    <row r="52" spans="1:7" ht="10.5" customHeight="1" x14ac:dyDescent="0.25">
      <c r="A52" s="308"/>
      <c r="B52" s="291"/>
      <c r="C52" s="289"/>
      <c r="D52" s="292"/>
      <c r="E52" s="292"/>
      <c r="F52" s="294"/>
      <c r="G52" s="298"/>
    </row>
    <row r="53" spans="1:7" ht="31.5" customHeight="1" x14ac:dyDescent="0.35">
      <c r="A53" s="309"/>
      <c r="B53" s="343" t="s">
        <v>66</v>
      </c>
      <c r="C53" s="317">
        <v>1</v>
      </c>
      <c r="D53" s="326">
        <f>'Activity Tracking Table'!KG78</f>
        <v>0</v>
      </c>
      <c r="E53" s="326">
        <f>C53-D53</f>
        <v>1</v>
      </c>
      <c r="F53" s="327">
        <f>D53/C53</f>
        <v>0</v>
      </c>
      <c r="G53" s="347"/>
    </row>
    <row r="54" spans="1:7" ht="30.75" customHeight="1" x14ac:dyDescent="0.35">
      <c r="A54" s="310"/>
      <c r="B54" s="348" t="s">
        <v>67</v>
      </c>
      <c r="C54" s="349">
        <v>70</v>
      </c>
      <c r="D54" s="350">
        <f>'Activity Tracking Table'!KG79</f>
        <v>350</v>
      </c>
      <c r="E54" s="350">
        <f>C54-D54</f>
        <v>-280</v>
      </c>
      <c r="F54" s="351">
        <f>D54/C54</f>
        <v>5</v>
      </c>
      <c r="G54" s="352"/>
    </row>
  </sheetData>
  <mergeCells count="15">
    <mergeCell ref="A2:B2"/>
    <mergeCell ref="A20:B20"/>
    <mergeCell ref="H37:K38"/>
    <mergeCell ref="A3:A5"/>
    <mergeCell ref="A6:A7"/>
    <mergeCell ref="A9:A11"/>
    <mergeCell ref="A21:A31"/>
    <mergeCell ref="G3:G5"/>
    <mergeCell ref="G6:G7"/>
    <mergeCell ref="G9:G12"/>
    <mergeCell ref="G13:G18"/>
    <mergeCell ref="G21:G31"/>
    <mergeCell ref="A37:A38"/>
    <mergeCell ref="G32:G35"/>
    <mergeCell ref="A13: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118"/>
  <sheetViews>
    <sheetView tabSelected="1" workbookViewId="0">
      <pane xSplit="4" topLeftCell="JM1" activePane="topRight" state="frozen"/>
      <selection pane="topRight" activeCell="KK36" sqref="KK36"/>
    </sheetView>
  </sheetViews>
  <sheetFormatPr defaultColWidth="9.140625" defaultRowHeight="11.25" x14ac:dyDescent="0.15"/>
  <cols>
    <col min="1" max="1" width="22" style="300" customWidth="1"/>
    <col min="2" max="2" width="46.7109375" style="300" customWidth="1"/>
    <col min="3" max="3" width="8.7109375" style="302" customWidth="1"/>
    <col min="4" max="4" width="5.42578125" style="303" customWidth="1"/>
    <col min="5" max="10" width="4.7109375" style="300" customWidth="1"/>
    <col min="11" max="12" width="4.7109375" style="301" customWidth="1"/>
    <col min="13" max="13" width="4.7109375" style="304" customWidth="1"/>
    <col min="14" max="14" width="4.7109375" style="301" customWidth="1"/>
    <col min="15" max="20" width="4.7109375" style="300" customWidth="1"/>
    <col min="21" max="22" width="4.7109375" style="301" customWidth="1"/>
    <col min="23" max="23" width="4.7109375" style="304" customWidth="1"/>
    <col min="24" max="24" width="4.7109375" style="301" customWidth="1"/>
    <col min="25" max="30" width="4.7109375" style="300" customWidth="1"/>
    <col min="31" max="34" width="4.7109375" style="301" customWidth="1"/>
    <col min="35" max="40" width="4.7109375" style="300" customWidth="1"/>
    <col min="41" max="42" width="4.7109375" style="301" customWidth="1"/>
    <col min="43" max="43" width="4.7109375" style="304" customWidth="1"/>
    <col min="44" max="48" width="4.7109375" style="301" customWidth="1"/>
    <col min="49" max="50" width="4.7109375" style="300" customWidth="1"/>
    <col min="51" max="51" width="8.7109375" style="305" bestFit="1" customWidth="1"/>
    <col min="52" max="55" width="8.5703125" style="546" customWidth="1"/>
    <col min="56" max="61" width="4.7109375" style="300" customWidth="1"/>
    <col min="62" max="65" width="4.7109375" style="301" customWidth="1"/>
    <col min="66" max="71" width="4.7109375" style="300" customWidth="1"/>
    <col min="72" max="75" width="4.7109375" style="301" customWidth="1"/>
    <col min="76" max="76" width="8.140625" style="301" hidden="1" customWidth="1"/>
    <col min="77" max="77" width="7.85546875" style="301" hidden="1" customWidth="1"/>
    <col min="78" max="78" width="7.7109375" style="301" hidden="1" customWidth="1"/>
    <col min="79" max="79" width="8" style="301" hidden="1" customWidth="1"/>
    <col min="80" max="80" width="9" style="301" hidden="1" customWidth="1"/>
    <col min="81" max="86" width="4.7109375" style="300" customWidth="1"/>
    <col min="87" max="88" width="4.7109375" style="301" customWidth="1"/>
    <col min="89" max="89" width="4.7109375" style="304" customWidth="1"/>
    <col min="90" max="90" width="4.7109375" style="301" customWidth="1"/>
    <col min="91" max="96" width="4.7109375" style="300" customWidth="1"/>
    <col min="97" max="97" width="6.140625" style="301" customWidth="1"/>
    <col min="98" max="100" width="4.7109375" style="301" customWidth="1"/>
    <col min="101" max="101" width="6.140625" style="301" customWidth="1"/>
    <col min="102" max="106" width="4.7109375" style="301" customWidth="1"/>
    <col min="107" max="111" width="7.5703125" style="301" customWidth="1"/>
    <col min="112" max="112" width="9.85546875" style="301" customWidth="1"/>
    <col min="113" max="113" width="6.42578125" style="300" customWidth="1"/>
    <col min="114" max="114" width="6.7109375" style="300" customWidth="1"/>
    <col min="115" max="115" width="5.85546875" style="300" customWidth="1"/>
    <col min="116" max="118" width="4.7109375" style="300" customWidth="1"/>
    <col min="119" max="119" width="5.85546875" style="301" customWidth="1"/>
    <col min="120" max="120" width="6.140625" style="301" customWidth="1"/>
    <col min="121" max="121" width="5.5703125" style="301" customWidth="1"/>
    <col min="122" max="122" width="4.7109375" style="301" customWidth="1"/>
    <col min="123" max="128" width="4.7109375" style="300" customWidth="1"/>
    <col min="129" max="132" width="4.7109375" style="301" customWidth="1"/>
    <col min="133" max="138" width="4.7109375" style="300" customWidth="1"/>
    <col min="139" max="142" width="4.7109375" style="301" customWidth="1"/>
    <col min="143" max="148" width="4.7109375" style="300" customWidth="1"/>
    <col min="149" max="158" width="4.7109375" style="301" customWidth="1"/>
    <col min="159" max="159" width="7.28515625" style="301" customWidth="1"/>
    <col min="160" max="160" width="7.7109375" style="301" customWidth="1"/>
    <col min="161" max="166" width="7.28515625" style="301" customWidth="1"/>
    <col min="167" max="167" width="9.42578125" style="301" customWidth="1"/>
    <col min="168" max="168" width="9.7109375" style="301" customWidth="1"/>
    <col min="169" max="169" width="10.28515625" style="301" customWidth="1"/>
    <col min="170" max="175" width="4.7109375" style="300" customWidth="1"/>
    <col min="176" max="179" width="4.7109375" style="301" customWidth="1"/>
    <col min="180" max="185" width="4.7109375" style="300" customWidth="1"/>
    <col min="186" max="189" width="4.7109375" style="301" customWidth="1"/>
    <col min="190" max="195" width="4.7109375" style="300" customWidth="1"/>
    <col min="196" max="199" width="4.7109375" style="301" customWidth="1"/>
    <col min="200" max="200" width="6.28515625" style="301" customWidth="1"/>
    <col min="201" max="201" width="6.140625" style="301" customWidth="1"/>
    <col min="202" max="202" width="5.7109375" style="301" customWidth="1"/>
    <col min="203" max="203" width="6.140625" style="301" customWidth="1"/>
    <col min="204" max="204" width="5.5703125" style="301" customWidth="1"/>
    <col min="205" max="205" width="6.5703125" style="301" customWidth="1"/>
    <col min="206" max="211" width="4.7109375" style="300" customWidth="1"/>
    <col min="212" max="215" width="4.7109375" style="301" customWidth="1"/>
    <col min="216" max="218" width="7.140625" style="301" customWidth="1"/>
    <col min="219" max="219" width="7.28515625" style="301" customWidth="1"/>
    <col min="220" max="220" width="7.5703125" style="301" customWidth="1"/>
    <col min="221" max="221" width="7.140625" style="301" customWidth="1"/>
    <col min="222" max="222" width="7" style="301" customWidth="1"/>
    <col min="223" max="223" width="7.5703125" style="301" customWidth="1"/>
    <col min="224" max="228" width="8.140625" style="301" customWidth="1"/>
    <col min="229" max="234" width="4.7109375" style="300" customWidth="1"/>
    <col min="235" max="238" width="4.7109375" style="301" customWidth="1"/>
    <col min="239" max="244" width="4.7109375" style="300" customWidth="1"/>
    <col min="245" max="248" width="4.7109375" style="301" customWidth="1"/>
    <col min="249" max="254" width="4.7109375" style="300" customWidth="1"/>
    <col min="255" max="258" width="4.7109375" style="301" customWidth="1"/>
    <col min="259" max="264" width="4.7109375" style="300" customWidth="1"/>
    <col min="265" max="274" width="4.7109375" style="301" customWidth="1"/>
    <col min="275" max="275" width="7.5703125" style="301" customWidth="1"/>
    <col min="276" max="281" width="4.7109375" style="300" hidden="1" customWidth="1"/>
    <col min="282" max="285" width="4.7109375" style="301" hidden="1" customWidth="1"/>
    <col min="286" max="286" width="8.140625" style="301" customWidth="1"/>
    <col min="287" max="289" width="5.7109375" style="306" customWidth="1"/>
    <col min="290" max="290" width="6" style="306" customWidth="1"/>
    <col min="291" max="292" width="5.7109375" style="306" customWidth="1"/>
    <col min="293" max="293" width="9.140625" style="300" customWidth="1"/>
    <col min="294" max="295" width="9.140625" style="300"/>
    <col min="296" max="296" width="11.42578125" style="305" bestFit="1" customWidth="1"/>
    <col min="297" max="297" width="15.85546875" style="300" bestFit="1" customWidth="1"/>
    <col min="298" max="302" width="9.140625" style="300"/>
    <col min="303" max="303" width="36.5703125" style="300" bestFit="1" customWidth="1"/>
    <col min="304" max="16384" width="9.140625" style="300"/>
  </cols>
  <sheetData>
    <row r="1" spans="1:303" ht="15" customHeight="1" x14ac:dyDescent="0.3">
      <c r="A1" s="760" t="s">
        <v>68</v>
      </c>
      <c r="B1" s="760"/>
      <c r="C1" s="353" t="s">
        <v>69</v>
      </c>
      <c r="D1" s="354" t="s">
        <v>70</v>
      </c>
      <c r="E1" s="737">
        <v>45474</v>
      </c>
      <c r="F1" s="730"/>
      <c r="G1" s="730"/>
      <c r="H1" s="730"/>
      <c r="I1" s="730"/>
      <c r="J1" s="730"/>
      <c r="K1" s="748" t="s">
        <v>71</v>
      </c>
      <c r="L1" s="749"/>
      <c r="M1" s="749"/>
      <c r="N1" s="750"/>
      <c r="O1" s="737">
        <v>45505</v>
      </c>
      <c r="P1" s="730"/>
      <c r="Q1" s="730"/>
      <c r="R1" s="730"/>
      <c r="S1" s="730"/>
      <c r="T1" s="730"/>
      <c r="U1" s="748" t="s">
        <v>72</v>
      </c>
      <c r="V1" s="749"/>
      <c r="W1" s="749"/>
      <c r="X1" s="750"/>
      <c r="Y1" s="737">
        <v>45536</v>
      </c>
      <c r="Z1" s="730"/>
      <c r="AA1" s="730"/>
      <c r="AB1" s="730"/>
      <c r="AC1" s="730"/>
      <c r="AD1" s="730"/>
      <c r="AE1" s="748" t="s">
        <v>73</v>
      </c>
      <c r="AF1" s="749"/>
      <c r="AG1" s="749"/>
      <c r="AH1" s="750"/>
      <c r="AI1" s="737">
        <v>45566</v>
      </c>
      <c r="AJ1" s="730"/>
      <c r="AK1" s="730"/>
      <c r="AL1" s="730"/>
      <c r="AM1" s="730"/>
      <c r="AN1" s="730"/>
      <c r="AO1" s="767" t="s">
        <v>74</v>
      </c>
      <c r="AP1" s="768"/>
      <c r="AQ1" s="768"/>
      <c r="AR1" s="769"/>
      <c r="AS1" s="482"/>
      <c r="AT1" s="483" t="s">
        <v>75</v>
      </c>
      <c r="AU1" s="483"/>
      <c r="AV1" s="483"/>
      <c r="AW1" s="763" t="s">
        <v>76</v>
      </c>
      <c r="AX1" s="763"/>
      <c r="AY1" s="763"/>
      <c r="AZ1" s="731" t="s">
        <v>77</v>
      </c>
      <c r="BA1" s="731" t="s">
        <v>78</v>
      </c>
      <c r="BB1" s="731" t="s">
        <v>79</v>
      </c>
      <c r="BC1" s="731" t="s">
        <v>80</v>
      </c>
      <c r="BD1" s="737">
        <v>45597</v>
      </c>
      <c r="BE1" s="730"/>
      <c r="BF1" s="730"/>
      <c r="BG1" s="730"/>
      <c r="BH1" s="730"/>
      <c r="BI1" s="730"/>
      <c r="BJ1" s="726" t="s">
        <v>81</v>
      </c>
      <c r="BK1" s="726"/>
      <c r="BL1" s="726"/>
      <c r="BM1" s="726"/>
      <c r="BN1" s="737">
        <v>45627</v>
      </c>
      <c r="BO1" s="730"/>
      <c r="BP1" s="730"/>
      <c r="BQ1" s="730"/>
      <c r="BR1" s="730"/>
      <c r="BS1" s="738"/>
      <c r="BT1" s="728" t="s">
        <v>82</v>
      </c>
      <c r="BU1" s="729"/>
      <c r="BV1" s="729"/>
      <c r="BW1" s="725"/>
      <c r="BX1" s="624"/>
      <c r="BY1" s="624"/>
      <c r="BZ1" s="624"/>
      <c r="CA1" s="624"/>
      <c r="CB1" s="624"/>
      <c r="CC1" s="737">
        <v>45658</v>
      </c>
      <c r="CD1" s="730"/>
      <c r="CE1" s="730"/>
      <c r="CF1" s="730"/>
      <c r="CG1" s="730"/>
      <c r="CH1" s="738"/>
      <c r="CI1" s="728" t="s">
        <v>83</v>
      </c>
      <c r="CJ1" s="729"/>
      <c r="CK1" s="729"/>
      <c r="CL1" s="725"/>
      <c r="CM1" s="737">
        <v>45689</v>
      </c>
      <c r="CN1" s="730"/>
      <c r="CO1" s="730"/>
      <c r="CP1" s="730"/>
      <c r="CQ1" s="730"/>
      <c r="CR1" s="738"/>
      <c r="CS1" s="728" t="s">
        <v>84</v>
      </c>
      <c r="CT1" s="729"/>
      <c r="CU1" s="729"/>
      <c r="CV1" s="729"/>
      <c r="CW1" s="778" t="s">
        <v>85</v>
      </c>
      <c r="CX1" s="778"/>
      <c r="CY1" s="778"/>
      <c r="CZ1" s="779"/>
      <c r="DA1" s="777" t="s">
        <v>85</v>
      </c>
      <c r="DB1" s="778"/>
      <c r="DC1" s="779"/>
      <c r="DD1" s="731" t="s">
        <v>77</v>
      </c>
      <c r="DE1" s="731" t="s">
        <v>78</v>
      </c>
      <c r="DF1" s="731" t="s">
        <v>79</v>
      </c>
      <c r="DG1" s="731" t="s">
        <v>80</v>
      </c>
      <c r="DH1" s="774" t="s">
        <v>86</v>
      </c>
      <c r="DI1" s="737">
        <v>45717</v>
      </c>
      <c r="DJ1" s="730"/>
      <c r="DK1" s="730"/>
      <c r="DL1" s="730"/>
      <c r="DM1" s="730"/>
      <c r="DN1" s="730"/>
      <c r="DO1" s="726" t="s">
        <v>87</v>
      </c>
      <c r="DP1" s="726"/>
      <c r="DQ1" s="726"/>
      <c r="DR1" s="726"/>
      <c r="DS1" s="737">
        <v>45748</v>
      </c>
      <c r="DT1" s="730"/>
      <c r="DU1" s="730"/>
      <c r="DV1" s="730"/>
      <c r="DW1" s="730"/>
      <c r="DX1" s="730"/>
      <c r="DY1" s="727" t="s">
        <v>88</v>
      </c>
      <c r="DZ1" s="727"/>
      <c r="EA1" s="727"/>
      <c r="EB1" s="727"/>
      <c r="EC1" s="737">
        <v>45778</v>
      </c>
      <c r="ED1" s="730"/>
      <c r="EE1" s="730"/>
      <c r="EF1" s="730"/>
      <c r="EG1" s="730"/>
      <c r="EH1" s="730"/>
      <c r="EI1" s="726" t="s">
        <v>89</v>
      </c>
      <c r="EJ1" s="726"/>
      <c r="EK1" s="727"/>
      <c r="EL1" s="727"/>
      <c r="EM1" s="737">
        <v>45809</v>
      </c>
      <c r="EN1" s="730"/>
      <c r="EO1" s="730"/>
      <c r="EP1" s="730"/>
      <c r="EQ1" s="730"/>
      <c r="ER1" s="738"/>
      <c r="ES1" s="770" t="s">
        <v>90</v>
      </c>
      <c r="ET1" s="730"/>
      <c r="EU1" s="730"/>
      <c r="EV1" s="730"/>
      <c r="EW1" s="778" t="s">
        <v>91</v>
      </c>
      <c r="EX1" s="778"/>
      <c r="EY1" s="778"/>
      <c r="EZ1" s="779"/>
      <c r="FA1" s="777" t="s">
        <v>91</v>
      </c>
      <c r="FB1" s="778"/>
      <c r="FC1" s="779"/>
      <c r="FD1" s="731" t="s">
        <v>77</v>
      </c>
      <c r="FE1" s="731" t="s">
        <v>78</v>
      </c>
      <c r="FF1" s="731" t="s">
        <v>79</v>
      </c>
      <c r="FG1" s="734" t="s">
        <v>80</v>
      </c>
      <c r="FH1" s="741" t="s">
        <v>92</v>
      </c>
      <c r="FI1" s="724" t="s">
        <v>93</v>
      </c>
      <c r="FJ1" s="724" t="s">
        <v>94</v>
      </c>
      <c r="FK1" s="635"/>
      <c r="FL1" s="635"/>
      <c r="FM1" s="635"/>
      <c r="FN1" s="737">
        <v>45839</v>
      </c>
      <c r="FO1" s="730"/>
      <c r="FP1" s="730"/>
      <c r="FQ1" s="730"/>
      <c r="FR1" s="730"/>
      <c r="FS1" s="738"/>
      <c r="FT1" s="728" t="s">
        <v>71</v>
      </c>
      <c r="FU1" s="729"/>
      <c r="FV1" s="730"/>
      <c r="FW1" s="730"/>
      <c r="FX1" s="737">
        <v>45870</v>
      </c>
      <c r="FY1" s="730"/>
      <c r="FZ1" s="730"/>
      <c r="GA1" s="730"/>
      <c r="GB1" s="730"/>
      <c r="GC1" s="738"/>
      <c r="GD1" s="728" t="s">
        <v>72</v>
      </c>
      <c r="GE1" s="729"/>
      <c r="GF1" s="730"/>
      <c r="GG1" s="730"/>
      <c r="GH1" s="737">
        <v>45901</v>
      </c>
      <c r="GI1" s="730"/>
      <c r="GJ1" s="730"/>
      <c r="GK1" s="730"/>
      <c r="GL1" s="730"/>
      <c r="GM1" s="738"/>
      <c r="GN1" s="728" t="s">
        <v>73</v>
      </c>
      <c r="GO1" s="729"/>
      <c r="GP1" s="730"/>
      <c r="GQ1" s="730"/>
      <c r="GR1" s="797" t="s">
        <v>95</v>
      </c>
      <c r="GS1" s="798"/>
      <c r="GT1" s="798"/>
      <c r="GU1" s="798"/>
      <c r="GV1" s="798"/>
      <c r="GW1" s="799"/>
      <c r="GX1" s="737">
        <v>45931</v>
      </c>
      <c r="GY1" s="730"/>
      <c r="GZ1" s="730"/>
      <c r="HA1" s="730"/>
      <c r="HB1" s="730"/>
      <c r="HC1" s="738"/>
      <c r="HD1" s="770" t="s">
        <v>74</v>
      </c>
      <c r="HE1" s="730"/>
      <c r="HF1" s="730"/>
      <c r="HG1" s="730"/>
      <c r="HH1" s="729" t="s">
        <v>96</v>
      </c>
      <c r="HI1" s="729"/>
      <c r="HJ1" s="729"/>
      <c r="HK1" s="729"/>
      <c r="HL1" s="729"/>
      <c r="HM1" s="725"/>
      <c r="HN1" s="728" t="s">
        <v>96</v>
      </c>
      <c r="HO1" s="729"/>
      <c r="HP1" s="725"/>
      <c r="HQ1" s="731" t="s">
        <v>77</v>
      </c>
      <c r="HR1" s="731" t="s">
        <v>78</v>
      </c>
      <c r="HS1" s="731" t="s">
        <v>79</v>
      </c>
      <c r="HT1" s="731" t="s">
        <v>80</v>
      </c>
      <c r="HU1" s="739">
        <v>45962</v>
      </c>
      <c r="HV1" s="739"/>
      <c r="HW1" s="739"/>
      <c r="HX1" s="739"/>
      <c r="HY1" s="739"/>
      <c r="HZ1" s="740"/>
      <c r="IA1" s="728" t="s">
        <v>81</v>
      </c>
      <c r="IB1" s="729"/>
      <c r="IC1" s="729"/>
      <c r="ID1" s="729"/>
      <c r="IE1" s="739">
        <v>45992</v>
      </c>
      <c r="IF1" s="739"/>
      <c r="IG1" s="739"/>
      <c r="IH1" s="739"/>
      <c r="II1" s="739"/>
      <c r="IJ1" s="740"/>
      <c r="IK1" s="728" t="s">
        <v>82</v>
      </c>
      <c r="IL1" s="729"/>
      <c r="IM1" s="729"/>
      <c r="IN1" s="729"/>
      <c r="IO1" s="739">
        <v>46023</v>
      </c>
      <c r="IP1" s="739"/>
      <c r="IQ1" s="739"/>
      <c r="IR1" s="739"/>
      <c r="IS1" s="739"/>
      <c r="IT1" s="740"/>
      <c r="IU1" s="728" t="s">
        <v>83</v>
      </c>
      <c r="IV1" s="729"/>
      <c r="IW1" s="729"/>
      <c r="IX1" s="729"/>
      <c r="IY1" s="739">
        <v>46054</v>
      </c>
      <c r="IZ1" s="739"/>
      <c r="JA1" s="739"/>
      <c r="JB1" s="739"/>
      <c r="JC1" s="739"/>
      <c r="JD1" s="740"/>
      <c r="JE1" s="728" t="s">
        <v>84</v>
      </c>
      <c r="JF1" s="729"/>
      <c r="JG1" s="729"/>
      <c r="JH1" s="729"/>
      <c r="JI1" s="729" t="s">
        <v>97</v>
      </c>
      <c r="JJ1" s="729"/>
      <c r="JK1" s="729"/>
      <c r="JL1" s="725"/>
      <c r="JM1" s="728" t="s">
        <v>97</v>
      </c>
      <c r="JN1" s="729"/>
      <c r="JO1" s="725"/>
      <c r="JP1" s="796">
        <v>46082</v>
      </c>
      <c r="JQ1" s="739"/>
      <c r="JR1" s="739"/>
      <c r="JS1" s="739"/>
      <c r="JT1" s="739"/>
      <c r="JU1" s="740"/>
      <c r="JV1" s="786" t="s">
        <v>87</v>
      </c>
      <c r="JW1" s="787"/>
      <c r="JX1" s="787"/>
      <c r="JY1" s="788"/>
      <c r="JZ1" s="804" t="s">
        <v>98</v>
      </c>
      <c r="KA1" s="784" t="s">
        <v>99</v>
      </c>
      <c r="KB1" s="785"/>
      <c r="KC1" s="785"/>
      <c r="KD1" s="785"/>
      <c r="KE1" s="785"/>
      <c r="KF1" s="785"/>
      <c r="KG1" s="771" t="s">
        <v>100</v>
      </c>
      <c r="KH1" s="772"/>
      <c r="KI1" s="772"/>
      <c r="KJ1" s="773"/>
      <c r="KK1" s="359"/>
      <c r="KL1" s="359"/>
      <c r="KM1" s="359"/>
      <c r="KN1" s="359"/>
      <c r="KO1" s="359"/>
      <c r="KP1" s="359"/>
      <c r="KQ1" s="359"/>
    </row>
    <row r="2" spans="1:303" ht="15" customHeight="1" x14ac:dyDescent="0.3">
      <c r="A2" s="353"/>
      <c r="B2" s="360"/>
      <c r="C2" s="353"/>
      <c r="D2" s="354"/>
      <c r="E2" s="725" t="s">
        <v>101</v>
      </c>
      <c r="F2" s="726"/>
      <c r="G2" s="727"/>
      <c r="H2" s="727" t="s">
        <v>102</v>
      </c>
      <c r="I2" s="727"/>
      <c r="J2" s="728"/>
      <c r="K2" s="754"/>
      <c r="L2" s="755"/>
      <c r="M2" s="755"/>
      <c r="N2" s="756"/>
      <c r="O2" s="725" t="s">
        <v>101</v>
      </c>
      <c r="P2" s="726"/>
      <c r="Q2" s="727"/>
      <c r="R2" s="727" t="s">
        <v>102</v>
      </c>
      <c r="S2" s="727"/>
      <c r="T2" s="728"/>
      <c r="U2" s="752"/>
      <c r="V2" s="726"/>
      <c r="W2" s="726"/>
      <c r="X2" s="753"/>
      <c r="Y2" s="725" t="s">
        <v>101</v>
      </c>
      <c r="Z2" s="726"/>
      <c r="AA2" s="727"/>
      <c r="AB2" s="727" t="s">
        <v>102</v>
      </c>
      <c r="AC2" s="727"/>
      <c r="AD2" s="728"/>
      <c r="AE2" s="746"/>
      <c r="AF2" s="730"/>
      <c r="AG2" s="730"/>
      <c r="AH2" s="747"/>
      <c r="AI2" s="725" t="s">
        <v>101</v>
      </c>
      <c r="AJ2" s="726"/>
      <c r="AK2" s="727"/>
      <c r="AL2" s="727" t="s">
        <v>102</v>
      </c>
      <c r="AM2" s="727"/>
      <c r="AN2" s="728"/>
      <c r="AO2" s="752"/>
      <c r="AP2" s="726"/>
      <c r="AQ2" s="726"/>
      <c r="AR2" s="770"/>
      <c r="AS2" s="484"/>
      <c r="AT2" s="485"/>
      <c r="AU2" s="485"/>
      <c r="AV2" s="485"/>
      <c r="AW2" s="535"/>
      <c r="AX2" s="535"/>
      <c r="AY2" s="536"/>
      <c r="AZ2" s="732"/>
      <c r="BA2" s="732"/>
      <c r="BB2" s="732"/>
      <c r="BC2" s="732"/>
      <c r="BD2" s="725" t="s">
        <v>101</v>
      </c>
      <c r="BE2" s="726"/>
      <c r="BF2" s="727"/>
      <c r="BG2" s="727" t="s">
        <v>102</v>
      </c>
      <c r="BH2" s="727"/>
      <c r="BI2" s="728"/>
      <c r="BJ2" s="765"/>
      <c r="BK2" s="765"/>
      <c r="BL2" s="765"/>
      <c r="BM2" s="766"/>
      <c r="BN2" s="725" t="s">
        <v>101</v>
      </c>
      <c r="BO2" s="726"/>
      <c r="BP2" s="727"/>
      <c r="BQ2" s="727" t="s">
        <v>102</v>
      </c>
      <c r="BR2" s="727"/>
      <c r="BS2" s="726"/>
      <c r="BT2" s="770"/>
      <c r="BU2" s="730"/>
      <c r="BV2" s="730"/>
      <c r="BW2" s="730"/>
      <c r="BX2" s="723" t="s">
        <v>77</v>
      </c>
      <c r="BY2" s="723" t="s">
        <v>78</v>
      </c>
      <c r="BZ2" s="723" t="s">
        <v>79</v>
      </c>
      <c r="CA2" s="723" t="s">
        <v>80</v>
      </c>
      <c r="CB2" s="724" t="s">
        <v>86</v>
      </c>
      <c r="CC2" s="725" t="s">
        <v>101</v>
      </c>
      <c r="CD2" s="726"/>
      <c r="CE2" s="727"/>
      <c r="CF2" s="727" t="s">
        <v>102</v>
      </c>
      <c r="CG2" s="727"/>
      <c r="CH2" s="726"/>
      <c r="CI2" s="362"/>
      <c r="CJ2" s="363"/>
      <c r="CK2" s="363"/>
      <c r="CL2" s="364"/>
      <c r="CM2" s="738" t="s">
        <v>101</v>
      </c>
      <c r="CN2" s="727"/>
      <c r="CO2" s="727"/>
      <c r="CP2" s="727" t="s">
        <v>102</v>
      </c>
      <c r="CQ2" s="727"/>
      <c r="CR2" s="727"/>
      <c r="CS2" s="770"/>
      <c r="CT2" s="730"/>
      <c r="CU2" s="730"/>
      <c r="CV2" s="738"/>
      <c r="CW2" s="490"/>
      <c r="CX2" s="491"/>
      <c r="CY2" s="491"/>
      <c r="CZ2" s="491"/>
      <c r="DA2" s="477"/>
      <c r="DB2" s="477"/>
      <c r="DC2" s="477"/>
      <c r="DD2" s="732"/>
      <c r="DE2" s="732"/>
      <c r="DF2" s="732"/>
      <c r="DG2" s="732"/>
      <c r="DH2" s="775"/>
      <c r="DI2" s="725" t="s">
        <v>101</v>
      </c>
      <c r="DJ2" s="726"/>
      <c r="DK2" s="727"/>
      <c r="DL2" s="727" t="s">
        <v>102</v>
      </c>
      <c r="DM2" s="727"/>
      <c r="DN2" s="728"/>
      <c r="DO2" s="365"/>
      <c r="DP2" s="365"/>
      <c r="DQ2" s="365"/>
      <c r="DR2" s="365"/>
      <c r="DS2" s="725" t="s">
        <v>101</v>
      </c>
      <c r="DT2" s="726"/>
      <c r="DU2" s="727"/>
      <c r="DV2" s="727" t="s">
        <v>102</v>
      </c>
      <c r="DW2" s="727"/>
      <c r="DX2" s="728"/>
      <c r="DY2" s="365"/>
      <c r="DZ2" s="365"/>
      <c r="EA2" s="365"/>
      <c r="EB2" s="365"/>
      <c r="EC2" s="725" t="s">
        <v>101</v>
      </c>
      <c r="ED2" s="726"/>
      <c r="EE2" s="727"/>
      <c r="EF2" s="727" t="s">
        <v>102</v>
      </c>
      <c r="EG2" s="727"/>
      <c r="EH2" s="728"/>
      <c r="EI2" s="365"/>
      <c r="EJ2" s="366"/>
      <c r="EK2" s="365"/>
      <c r="EL2" s="365"/>
      <c r="EM2" s="725" t="s">
        <v>101</v>
      </c>
      <c r="EN2" s="726"/>
      <c r="EO2" s="727"/>
      <c r="EP2" s="727" t="s">
        <v>102</v>
      </c>
      <c r="EQ2" s="727"/>
      <c r="ER2" s="726"/>
      <c r="ES2" s="356"/>
      <c r="ET2" s="357"/>
      <c r="EU2" s="355"/>
      <c r="EV2" s="355"/>
      <c r="EW2" s="493"/>
      <c r="EX2" s="485"/>
      <c r="EY2" s="485"/>
      <c r="EZ2" s="485"/>
      <c r="FA2" s="471"/>
      <c r="FB2" s="471"/>
      <c r="FC2" s="471"/>
      <c r="FD2" s="732"/>
      <c r="FE2" s="732"/>
      <c r="FF2" s="732"/>
      <c r="FG2" s="735"/>
      <c r="FH2" s="742"/>
      <c r="FI2" s="724"/>
      <c r="FJ2" s="724"/>
      <c r="FK2" s="741" t="s">
        <v>103</v>
      </c>
      <c r="FL2" s="741" t="s">
        <v>104</v>
      </c>
      <c r="FM2" s="741" t="s">
        <v>105</v>
      </c>
      <c r="FN2" s="725" t="s">
        <v>101</v>
      </c>
      <c r="FO2" s="726"/>
      <c r="FP2" s="727"/>
      <c r="FQ2" s="727" t="s">
        <v>102</v>
      </c>
      <c r="FR2" s="727"/>
      <c r="FS2" s="726"/>
      <c r="FT2" s="356"/>
      <c r="FU2" s="357"/>
      <c r="FV2" s="355"/>
      <c r="FW2" s="355"/>
      <c r="FX2" s="725" t="s">
        <v>101</v>
      </c>
      <c r="FY2" s="726"/>
      <c r="FZ2" s="727"/>
      <c r="GA2" s="727" t="s">
        <v>102</v>
      </c>
      <c r="GB2" s="727"/>
      <c r="GC2" s="726"/>
      <c r="GD2" s="356"/>
      <c r="GE2" s="357"/>
      <c r="GF2" s="355"/>
      <c r="GG2" s="355"/>
      <c r="GH2" s="725" t="s">
        <v>101</v>
      </c>
      <c r="GI2" s="726"/>
      <c r="GJ2" s="727"/>
      <c r="GK2" s="727" t="s">
        <v>102</v>
      </c>
      <c r="GL2" s="727"/>
      <c r="GM2" s="726"/>
      <c r="GN2" s="356"/>
      <c r="GO2" s="357"/>
      <c r="GP2" s="355"/>
      <c r="GQ2" s="355"/>
      <c r="GR2" s="800" t="s">
        <v>106</v>
      </c>
      <c r="GS2" s="800" t="s">
        <v>107</v>
      </c>
      <c r="GT2" s="800" t="s">
        <v>77</v>
      </c>
      <c r="GU2" s="800" t="s">
        <v>78</v>
      </c>
      <c r="GV2" s="800" t="s">
        <v>79</v>
      </c>
      <c r="GW2" s="800" t="s">
        <v>80</v>
      </c>
      <c r="GX2" s="725" t="s">
        <v>101</v>
      </c>
      <c r="GY2" s="726"/>
      <c r="GZ2" s="727"/>
      <c r="HA2" s="727" t="s">
        <v>102</v>
      </c>
      <c r="HB2" s="727"/>
      <c r="HC2" s="726"/>
      <c r="HD2" s="356"/>
      <c r="HE2" s="357"/>
      <c r="HF2" s="355"/>
      <c r="HG2" s="355"/>
      <c r="HH2" s="806" t="s">
        <v>108</v>
      </c>
      <c r="HI2" s="806" t="s">
        <v>109</v>
      </c>
      <c r="HJ2" s="806" t="s">
        <v>110</v>
      </c>
      <c r="HK2" s="806" t="s">
        <v>78</v>
      </c>
      <c r="HL2" s="806" t="s">
        <v>79</v>
      </c>
      <c r="HM2" s="806" t="s">
        <v>80</v>
      </c>
      <c r="HN2" s="808" t="s">
        <v>70</v>
      </c>
      <c r="HO2" s="808" t="s">
        <v>111</v>
      </c>
      <c r="HP2" s="808" t="s">
        <v>112</v>
      </c>
      <c r="HQ2" s="732"/>
      <c r="HR2" s="732"/>
      <c r="HS2" s="732"/>
      <c r="HT2" s="732"/>
      <c r="HU2" s="728" t="s">
        <v>101</v>
      </c>
      <c r="HV2" s="729"/>
      <c r="HW2" s="725"/>
      <c r="HX2" s="728" t="s">
        <v>102</v>
      </c>
      <c r="HY2" s="729"/>
      <c r="HZ2" s="725"/>
      <c r="IA2" s="356"/>
      <c r="IB2" s="357"/>
      <c r="IC2" s="355"/>
      <c r="ID2" s="355"/>
      <c r="IE2" s="728" t="s">
        <v>101</v>
      </c>
      <c r="IF2" s="729"/>
      <c r="IG2" s="725"/>
      <c r="IH2" s="728" t="s">
        <v>102</v>
      </c>
      <c r="II2" s="729"/>
      <c r="IJ2" s="725"/>
      <c r="IK2" s="356"/>
      <c r="IL2" s="357"/>
      <c r="IM2" s="355"/>
      <c r="IN2" s="355"/>
      <c r="IO2" s="728" t="s">
        <v>101</v>
      </c>
      <c r="IP2" s="729"/>
      <c r="IQ2" s="725"/>
      <c r="IR2" s="728" t="s">
        <v>102</v>
      </c>
      <c r="IS2" s="729"/>
      <c r="IT2" s="725"/>
      <c r="IU2" s="356"/>
      <c r="IV2" s="357"/>
      <c r="IW2" s="355"/>
      <c r="IX2" s="355"/>
      <c r="IY2" s="728" t="s">
        <v>101</v>
      </c>
      <c r="IZ2" s="729"/>
      <c r="JA2" s="725"/>
      <c r="JB2" s="728" t="s">
        <v>102</v>
      </c>
      <c r="JC2" s="729"/>
      <c r="JD2" s="725"/>
      <c r="JE2" s="356"/>
      <c r="JF2" s="357"/>
      <c r="JG2" s="355"/>
      <c r="JH2" s="355"/>
      <c r="JI2" s="358"/>
      <c r="JJ2" s="367"/>
      <c r="JK2" s="367"/>
      <c r="JL2" s="367"/>
      <c r="JM2" s="368"/>
      <c r="JN2" s="368"/>
      <c r="JO2" s="368"/>
      <c r="JP2" s="728" t="s">
        <v>101</v>
      </c>
      <c r="JQ2" s="729"/>
      <c r="JR2" s="725"/>
      <c r="JS2" s="728" t="s">
        <v>102</v>
      </c>
      <c r="JT2" s="729"/>
      <c r="JU2" s="725"/>
      <c r="JV2" s="369"/>
      <c r="JW2" s="370"/>
      <c r="JX2" s="361"/>
      <c r="JY2" s="371"/>
      <c r="JZ2" s="804"/>
      <c r="KA2" s="780" t="s">
        <v>106</v>
      </c>
      <c r="KB2" s="780" t="s">
        <v>107</v>
      </c>
      <c r="KC2" s="780" t="s">
        <v>77</v>
      </c>
      <c r="KD2" s="780" t="s">
        <v>78</v>
      </c>
      <c r="KE2" s="780" t="s">
        <v>79</v>
      </c>
      <c r="KF2" s="782" t="s">
        <v>80</v>
      </c>
      <c r="KG2" s="684"/>
      <c r="KH2" s="682"/>
      <c r="KI2" s="682"/>
      <c r="KJ2" s="683"/>
      <c r="KK2" s="359"/>
      <c r="KL2" s="359"/>
      <c r="KM2" s="359"/>
      <c r="KN2" s="359"/>
      <c r="KO2" s="359"/>
      <c r="KP2" s="359"/>
      <c r="KQ2" s="359"/>
    </row>
    <row r="3" spans="1:303" ht="36.75" customHeight="1" x14ac:dyDescent="0.3">
      <c r="A3" s="759" t="s">
        <v>6</v>
      </c>
      <c r="B3" s="759"/>
      <c r="C3" s="372"/>
      <c r="D3" s="372"/>
      <c r="E3" s="373" t="s">
        <v>113</v>
      </c>
      <c r="F3" s="374" t="s">
        <v>114</v>
      </c>
      <c r="G3" s="316" t="s">
        <v>115</v>
      </c>
      <c r="H3" s="375" t="s">
        <v>113</v>
      </c>
      <c r="I3" s="375" t="s">
        <v>114</v>
      </c>
      <c r="J3" s="321" t="s">
        <v>116</v>
      </c>
      <c r="K3" s="376" t="s">
        <v>106</v>
      </c>
      <c r="L3" s="377" t="s">
        <v>107</v>
      </c>
      <c r="M3" s="377" t="s">
        <v>94</v>
      </c>
      <c r="N3" s="378" t="s">
        <v>117</v>
      </c>
      <c r="O3" s="373" t="s">
        <v>113</v>
      </c>
      <c r="P3" s="374" t="s">
        <v>114</v>
      </c>
      <c r="Q3" s="316" t="s">
        <v>115</v>
      </c>
      <c r="R3" s="375" t="s">
        <v>113</v>
      </c>
      <c r="S3" s="375" t="s">
        <v>114</v>
      </c>
      <c r="T3" s="321" t="s">
        <v>94</v>
      </c>
      <c r="U3" s="376" t="s">
        <v>106</v>
      </c>
      <c r="V3" s="377" t="s">
        <v>107</v>
      </c>
      <c r="W3" s="377" t="s">
        <v>94</v>
      </c>
      <c r="X3" s="378" t="s">
        <v>117</v>
      </c>
      <c r="Y3" s="373" t="s">
        <v>113</v>
      </c>
      <c r="Z3" s="374" t="s">
        <v>114</v>
      </c>
      <c r="AA3" s="316" t="s">
        <v>94</v>
      </c>
      <c r="AB3" s="375" t="s">
        <v>113</v>
      </c>
      <c r="AC3" s="375" t="s">
        <v>114</v>
      </c>
      <c r="AD3" s="321" t="s">
        <v>94</v>
      </c>
      <c r="AE3" s="379" t="s">
        <v>106</v>
      </c>
      <c r="AF3" s="380" t="s">
        <v>107</v>
      </c>
      <c r="AG3" s="381" t="s">
        <v>94</v>
      </c>
      <c r="AH3" s="382" t="s">
        <v>117</v>
      </c>
      <c r="AI3" s="373" t="s">
        <v>113</v>
      </c>
      <c r="AJ3" s="374" t="s">
        <v>114</v>
      </c>
      <c r="AK3" s="316" t="s">
        <v>94</v>
      </c>
      <c r="AL3" s="375" t="s">
        <v>113</v>
      </c>
      <c r="AM3" s="375" t="s">
        <v>114</v>
      </c>
      <c r="AN3" s="321" t="s">
        <v>94</v>
      </c>
      <c r="AO3" s="376" t="s">
        <v>106</v>
      </c>
      <c r="AP3" s="377" t="s">
        <v>107</v>
      </c>
      <c r="AQ3" s="377" t="s">
        <v>94</v>
      </c>
      <c r="AR3" s="383" t="s">
        <v>117</v>
      </c>
      <c r="AS3" s="473" t="s">
        <v>108</v>
      </c>
      <c r="AT3" s="473" t="s">
        <v>109</v>
      </c>
      <c r="AU3" s="473" t="s">
        <v>118</v>
      </c>
      <c r="AV3" s="473" t="s">
        <v>119</v>
      </c>
      <c r="AW3" s="541" t="s">
        <v>70</v>
      </c>
      <c r="AX3" s="542" t="s">
        <v>111</v>
      </c>
      <c r="AY3" s="543" t="s">
        <v>112</v>
      </c>
      <c r="AZ3" s="733"/>
      <c r="BA3" s="733"/>
      <c r="BB3" s="733"/>
      <c r="BC3" s="733"/>
      <c r="BD3" s="373" t="s">
        <v>113</v>
      </c>
      <c r="BE3" s="374" t="s">
        <v>114</v>
      </c>
      <c r="BF3" s="316" t="s">
        <v>94</v>
      </c>
      <c r="BG3" s="375" t="s">
        <v>113</v>
      </c>
      <c r="BH3" s="375" t="s">
        <v>114</v>
      </c>
      <c r="BI3" s="321" t="s">
        <v>94</v>
      </c>
      <c r="BJ3" s="376" t="s">
        <v>106</v>
      </c>
      <c r="BK3" s="377" t="s">
        <v>107</v>
      </c>
      <c r="BL3" s="384" t="s">
        <v>94</v>
      </c>
      <c r="BM3" s="381" t="s">
        <v>117</v>
      </c>
      <c r="BN3" s="373" t="s">
        <v>113</v>
      </c>
      <c r="BO3" s="374" t="s">
        <v>114</v>
      </c>
      <c r="BP3" s="316" t="s">
        <v>94</v>
      </c>
      <c r="BQ3" s="375" t="s">
        <v>113</v>
      </c>
      <c r="BR3" s="375" t="s">
        <v>114</v>
      </c>
      <c r="BS3" s="321" t="s">
        <v>94</v>
      </c>
      <c r="BT3" s="381" t="s">
        <v>106</v>
      </c>
      <c r="BU3" s="380" t="s">
        <v>107</v>
      </c>
      <c r="BV3" s="381" t="s">
        <v>94</v>
      </c>
      <c r="BW3" s="380" t="s">
        <v>117</v>
      </c>
      <c r="BX3" s="723"/>
      <c r="BY3" s="723"/>
      <c r="BZ3" s="723"/>
      <c r="CA3" s="723"/>
      <c r="CB3" s="724"/>
      <c r="CC3" s="373" t="s">
        <v>113</v>
      </c>
      <c r="CD3" s="374" t="s">
        <v>114</v>
      </c>
      <c r="CE3" s="316" t="s">
        <v>94</v>
      </c>
      <c r="CF3" s="375" t="s">
        <v>113</v>
      </c>
      <c r="CG3" s="375" t="s">
        <v>114</v>
      </c>
      <c r="CH3" s="321" t="s">
        <v>94</v>
      </c>
      <c r="CI3" s="381" t="s">
        <v>106</v>
      </c>
      <c r="CJ3" s="381" t="s">
        <v>107</v>
      </c>
      <c r="CK3" s="381" t="s">
        <v>94</v>
      </c>
      <c r="CL3" s="381" t="s">
        <v>117</v>
      </c>
      <c r="CM3" s="375" t="s">
        <v>113</v>
      </c>
      <c r="CN3" s="375" t="s">
        <v>114</v>
      </c>
      <c r="CO3" s="385" t="s">
        <v>94</v>
      </c>
      <c r="CP3" s="375" t="s">
        <v>113</v>
      </c>
      <c r="CQ3" s="375" t="s">
        <v>114</v>
      </c>
      <c r="CR3" s="385" t="s">
        <v>94</v>
      </c>
      <c r="CS3" s="381" t="s">
        <v>106</v>
      </c>
      <c r="CT3" s="381" t="s">
        <v>107</v>
      </c>
      <c r="CU3" s="381" t="s">
        <v>94</v>
      </c>
      <c r="CV3" s="381" t="s">
        <v>117</v>
      </c>
      <c r="CW3" s="472" t="s">
        <v>120</v>
      </c>
      <c r="CX3" s="473" t="s">
        <v>121</v>
      </c>
      <c r="CY3" s="473" t="s">
        <v>122</v>
      </c>
      <c r="CZ3" s="473" t="s">
        <v>123</v>
      </c>
      <c r="DA3" s="472" t="s">
        <v>70</v>
      </c>
      <c r="DB3" s="473" t="s">
        <v>111</v>
      </c>
      <c r="DC3" s="473" t="s">
        <v>112</v>
      </c>
      <c r="DD3" s="733"/>
      <c r="DE3" s="733"/>
      <c r="DF3" s="733"/>
      <c r="DG3" s="733"/>
      <c r="DH3" s="776"/>
      <c r="DI3" s="373" t="s">
        <v>113</v>
      </c>
      <c r="DJ3" s="374" t="s">
        <v>114</v>
      </c>
      <c r="DK3" s="316" t="s">
        <v>94</v>
      </c>
      <c r="DL3" s="375" t="s">
        <v>113</v>
      </c>
      <c r="DM3" s="375" t="s">
        <v>114</v>
      </c>
      <c r="DN3" s="321" t="s">
        <v>94</v>
      </c>
      <c r="DO3" s="376" t="s">
        <v>106</v>
      </c>
      <c r="DP3" s="384" t="s">
        <v>107</v>
      </c>
      <c r="DQ3" s="386" t="s">
        <v>94</v>
      </c>
      <c r="DR3" s="386" t="s">
        <v>117</v>
      </c>
      <c r="DS3" s="373" t="s">
        <v>113</v>
      </c>
      <c r="DT3" s="374" t="s">
        <v>114</v>
      </c>
      <c r="DU3" s="316" t="s">
        <v>94</v>
      </c>
      <c r="DV3" s="375" t="s">
        <v>113</v>
      </c>
      <c r="DW3" s="375" t="s">
        <v>114</v>
      </c>
      <c r="DX3" s="321" t="s">
        <v>94</v>
      </c>
      <c r="DY3" s="376" t="s">
        <v>106</v>
      </c>
      <c r="DZ3" s="384" t="s">
        <v>107</v>
      </c>
      <c r="EA3" s="386" t="s">
        <v>94</v>
      </c>
      <c r="EB3" s="386" t="s">
        <v>117</v>
      </c>
      <c r="EC3" s="373" t="s">
        <v>113</v>
      </c>
      <c r="ED3" s="374" t="s">
        <v>114</v>
      </c>
      <c r="EE3" s="316" t="s">
        <v>94</v>
      </c>
      <c r="EF3" s="375" t="s">
        <v>113</v>
      </c>
      <c r="EG3" s="375" t="s">
        <v>114</v>
      </c>
      <c r="EH3" s="321" t="s">
        <v>94</v>
      </c>
      <c r="EI3" s="376" t="s">
        <v>106</v>
      </c>
      <c r="EJ3" s="384" t="s">
        <v>107</v>
      </c>
      <c r="EK3" s="381" t="s">
        <v>94</v>
      </c>
      <c r="EL3" s="381" t="s">
        <v>117</v>
      </c>
      <c r="EM3" s="373" t="s">
        <v>113</v>
      </c>
      <c r="EN3" s="374" t="s">
        <v>114</v>
      </c>
      <c r="EO3" s="316" t="s">
        <v>94</v>
      </c>
      <c r="EP3" s="375" t="s">
        <v>113</v>
      </c>
      <c r="EQ3" s="375" t="s">
        <v>114</v>
      </c>
      <c r="ER3" s="321" t="s">
        <v>94</v>
      </c>
      <c r="ES3" s="381" t="s">
        <v>106</v>
      </c>
      <c r="ET3" s="381" t="s">
        <v>107</v>
      </c>
      <c r="EU3" s="387" t="s">
        <v>94</v>
      </c>
      <c r="EV3" s="381" t="s">
        <v>117</v>
      </c>
      <c r="EW3" s="472" t="s">
        <v>124</v>
      </c>
      <c r="EX3" s="473" t="s">
        <v>125</v>
      </c>
      <c r="EY3" s="473" t="s">
        <v>126</v>
      </c>
      <c r="EZ3" s="473" t="s">
        <v>127</v>
      </c>
      <c r="FA3" s="472" t="s">
        <v>70</v>
      </c>
      <c r="FB3" s="473" t="s">
        <v>111</v>
      </c>
      <c r="FC3" s="473" t="s">
        <v>112</v>
      </c>
      <c r="FD3" s="733"/>
      <c r="FE3" s="733"/>
      <c r="FF3" s="733"/>
      <c r="FG3" s="736"/>
      <c r="FH3" s="743"/>
      <c r="FI3" s="724"/>
      <c r="FJ3" s="724"/>
      <c r="FK3" s="742"/>
      <c r="FL3" s="742"/>
      <c r="FM3" s="742"/>
      <c r="FN3" s="373" t="s">
        <v>113</v>
      </c>
      <c r="FO3" s="374" t="s">
        <v>114</v>
      </c>
      <c r="FP3" s="316" t="s">
        <v>94</v>
      </c>
      <c r="FQ3" s="375" t="s">
        <v>113</v>
      </c>
      <c r="FR3" s="375" t="s">
        <v>114</v>
      </c>
      <c r="FS3" s="321" t="s">
        <v>94</v>
      </c>
      <c r="FT3" s="388" t="s">
        <v>106</v>
      </c>
      <c r="FU3" s="389" t="s">
        <v>107</v>
      </c>
      <c r="FV3" s="381" t="s">
        <v>94</v>
      </c>
      <c r="FW3" s="381" t="s">
        <v>117</v>
      </c>
      <c r="FX3" s="373" t="s">
        <v>113</v>
      </c>
      <c r="FY3" s="374" t="s">
        <v>114</v>
      </c>
      <c r="FZ3" s="316" t="s">
        <v>94</v>
      </c>
      <c r="GA3" s="375" t="s">
        <v>113</v>
      </c>
      <c r="GB3" s="375" t="s">
        <v>114</v>
      </c>
      <c r="GC3" s="321" t="s">
        <v>94</v>
      </c>
      <c r="GD3" s="388" t="s">
        <v>106</v>
      </c>
      <c r="GE3" s="389" t="s">
        <v>107</v>
      </c>
      <c r="GF3" s="381" t="s">
        <v>94</v>
      </c>
      <c r="GG3" s="381" t="s">
        <v>117</v>
      </c>
      <c r="GH3" s="373" t="s">
        <v>113</v>
      </c>
      <c r="GI3" s="374" t="s">
        <v>114</v>
      </c>
      <c r="GJ3" s="316" t="s">
        <v>94</v>
      </c>
      <c r="GK3" s="375" t="s">
        <v>113</v>
      </c>
      <c r="GL3" s="375" t="s">
        <v>114</v>
      </c>
      <c r="GM3" s="321" t="s">
        <v>94</v>
      </c>
      <c r="GN3" s="388" t="s">
        <v>106</v>
      </c>
      <c r="GO3" s="389" t="s">
        <v>107</v>
      </c>
      <c r="GP3" s="381" t="s">
        <v>94</v>
      </c>
      <c r="GQ3" s="381" t="s">
        <v>117</v>
      </c>
      <c r="GR3" s="801"/>
      <c r="GS3" s="801"/>
      <c r="GT3" s="801"/>
      <c r="GU3" s="801"/>
      <c r="GV3" s="801"/>
      <c r="GW3" s="801"/>
      <c r="GX3" s="373" t="s">
        <v>113</v>
      </c>
      <c r="GY3" s="374" t="s">
        <v>114</v>
      </c>
      <c r="GZ3" s="316" t="s">
        <v>94</v>
      </c>
      <c r="HA3" s="375" t="s">
        <v>113</v>
      </c>
      <c r="HB3" s="375" t="s">
        <v>114</v>
      </c>
      <c r="HC3" s="321" t="s">
        <v>94</v>
      </c>
      <c r="HD3" s="388" t="s">
        <v>106</v>
      </c>
      <c r="HE3" s="389" t="s">
        <v>107</v>
      </c>
      <c r="HF3" s="381" t="s">
        <v>94</v>
      </c>
      <c r="HG3" s="381" t="s">
        <v>117</v>
      </c>
      <c r="HH3" s="807"/>
      <c r="HI3" s="807"/>
      <c r="HJ3" s="807"/>
      <c r="HK3" s="807"/>
      <c r="HL3" s="807"/>
      <c r="HM3" s="807"/>
      <c r="HN3" s="809"/>
      <c r="HO3" s="809"/>
      <c r="HP3" s="809"/>
      <c r="HQ3" s="733"/>
      <c r="HR3" s="733"/>
      <c r="HS3" s="733"/>
      <c r="HT3" s="733"/>
      <c r="HU3" s="373" t="s">
        <v>113</v>
      </c>
      <c r="HV3" s="374" t="s">
        <v>114</v>
      </c>
      <c r="HW3" s="316" t="s">
        <v>94</v>
      </c>
      <c r="HX3" s="375" t="s">
        <v>113</v>
      </c>
      <c r="HY3" s="375" t="s">
        <v>114</v>
      </c>
      <c r="HZ3" s="321" t="s">
        <v>94</v>
      </c>
      <c r="IA3" s="388" t="s">
        <v>106</v>
      </c>
      <c r="IB3" s="389" t="s">
        <v>107</v>
      </c>
      <c r="IC3" s="381" t="s">
        <v>94</v>
      </c>
      <c r="ID3" s="381" t="s">
        <v>117</v>
      </c>
      <c r="IE3" s="373" t="s">
        <v>113</v>
      </c>
      <c r="IF3" s="374" t="s">
        <v>114</v>
      </c>
      <c r="IG3" s="316" t="s">
        <v>94</v>
      </c>
      <c r="IH3" s="375" t="s">
        <v>113</v>
      </c>
      <c r="II3" s="375" t="s">
        <v>114</v>
      </c>
      <c r="IJ3" s="321" t="s">
        <v>94</v>
      </c>
      <c r="IK3" s="388" t="s">
        <v>106</v>
      </c>
      <c r="IL3" s="389" t="s">
        <v>107</v>
      </c>
      <c r="IM3" s="381" t="s">
        <v>94</v>
      </c>
      <c r="IN3" s="381" t="s">
        <v>117</v>
      </c>
      <c r="IO3" s="373" t="s">
        <v>113</v>
      </c>
      <c r="IP3" s="374" t="s">
        <v>114</v>
      </c>
      <c r="IQ3" s="316" t="s">
        <v>94</v>
      </c>
      <c r="IR3" s="375" t="s">
        <v>113</v>
      </c>
      <c r="IS3" s="375" t="s">
        <v>114</v>
      </c>
      <c r="IT3" s="321" t="s">
        <v>94</v>
      </c>
      <c r="IU3" s="388" t="s">
        <v>106</v>
      </c>
      <c r="IV3" s="389" t="s">
        <v>107</v>
      </c>
      <c r="IW3" s="381" t="s">
        <v>94</v>
      </c>
      <c r="IX3" s="381" t="s">
        <v>117</v>
      </c>
      <c r="IY3" s="373" t="s">
        <v>113</v>
      </c>
      <c r="IZ3" s="374" t="s">
        <v>114</v>
      </c>
      <c r="JA3" s="316" t="s">
        <v>94</v>
      </c>
      <c r="JB3" s="375" t="s">
        <v>113</v>
      </c>
      <c r="JC3" s="375" t="s">
        <v>114</v>
      </c>
      <c r="JD3" s="321" t="s">
        <v>94</v>
      </c>
      <c r="JE3" s="388" t="s">
        <v>106</v>
      </c>
      <c r="JF3" s="389" t="s">
        <v>107</v>
      </c>
      <c r="JG3" s="381" t="s">
        <v>94</v>
      </c>
      <c r="JH3" s="381"/>
      <c r="JI3" s="472" t="s">
        <v>108</v>
      </c>
      <c r="JJ3" s="473" t="s">
        <v>109</v>
      </c>
      <c r="JK3" s="473" t="s">
        <v>118</v>
      </c>
      <c r="JL3" s="473" t="s">
        <v>119</v>
      </c>
      <c r="JM3" s="472" t="s">
        <v>70</v>
      </c>
      <c r="JN3" s="473" t="s">
        <v>111</v>
      </c>
      <c r="JO3" s="473" t="s">
        <v>112</v>
      </c>
      <c r="JP3" s="373" t="s">
        <v>113</v>
      </c>
      <c r="JQ3" s="374" t="s">
        <v>114</v>
      </c>
      <c r="JR3" s="316" t="s">
        <v>94</v>
      </c>
      <c r="JS3" s="375" t="s">
        <v>113</v>
      </c>
      <c r="JT3" s="375" t="s">
        <v>114</v>
      </c>
      <c r="JU3" s="321" t="s">
        <v>94</v>
      </c>
      <c r="JV3" s="388" t="s">
        <v>106</v>
      </c>
      <c r="JW3" s="389" t="s">
        <v>107</v>
      </c>
      <c r="JX3" s="381" t="s">
        <v>94</v>
      </c>
      <c r="JY3" s="380" t="s">
        <v>117</v>
      </c>
      <c r="JZ3" s="805"/>
      <c r="KA3" s="781"/>
      <c r="KB3" s="781"/>
      <c r="KC3" s="781"/>
      <c r="KD3" s="781"/>
      <c r="KE3" s="781"/>
      <c r="KF3" s="783"/>
      <c r="KG3" s="685" t="s">
        <v>100</v>
      </c>
      <c r="KH3" s="673" t="s">
        <v>70</v>
      </c>
      <c r="KI3" s="673" t="s">
        <v>128</v>
      </c>
      <c r="KJ3" s="686" t="s">
        <v>111</v>
      </c>
      <c r="KK3" s="359"/>
      <c r="KL3" s="359"/>
      <c r="KM3" s="359"/>
      <c r="KN3" s="359"/>
      <c r="KO3" s="359"/>
      <c r="KP3" s="359"/>
      <c r="KQ3" s="359"/>
    </row>
    <row r="4" spans="1:303" ht="33.75" customHeight="1" x14ac:dyDescent="0.3">
      <c r="A4" s="744" t="s">
        <v>7</v>
      </c>
      <c r="B4" s="391" t="s">
        <v>129</v>
      </c>
      <c r="C4" s="391" t="s">
        <v>130</v>
      </c>
      <c r="D4" s="392">
        <v>550</v>
      </c>
      <c r="E4" s="393"/>
      <c r="F4" s="394"/>
      <c r="G4" s="395"/>
      <c r="H4" s="396"/>
      <c r="I4" s="394"/>
      <c r="J4" s="395"/>
      <c r="K4" s="397"/>
      <c r="L4" s="398"/>
      <c r="M4" s="398"/>
      <c r="N4" s="399"/>
      <c r="O4" s="393">
        <v>8</v>
      </c>
      <c r="P4" s="394">
        <v>1</v>
      </c>
      <c r="Q4" s="400">
        <f>SUM(O4:P4)</f>
        <v>9</v>
      </c>
      <c r="R4" s="396">
        <v>0</v>
      </c>
      <c r="S4" s="394">
        <v>0</v>
      </c>
      <c r="T4" s="400">
        <f>SUM(R4:S4)</f>
        <v>0</v>
      </c>
      <c r="U4" s="397">
        <f>SUM(O4+R4)</f>
        <v>8</v>
      </c>
      <c r="V4" s="398">
        <f>SUM(P4+S4)</f>
        <v>1</v>
      </c>
      <c r="W4" s="398">
        <f>SUM(U4:V4)</f>
        <v>9</v>
      </c>
      <c r="X4" s="399"/>
      <c r="Y4" s="393">
        <v>11</v>
      </c>
      <c r="Z4" s="394">
        <v>1</v>
      </c>
      <c r="AA4" s="400">
        <f>SUM(Y4:Z4)</f>
        <v>12</v>
      </c>
      <c r="AB4" s="396">
        <v>1</v>
      </c>
      <c r="AC4" s="394">
        <v>0</v>
      </c>
      <c r="AD4" s="400">
        <f>SUM(AB4:AC4)</f>
        <v>1</v>
      </c>
      <c r="AE4" s="401">
        <f>SUM(Y4+AB4)</f>
        <v>12</v>
      </c>
      <c r="AF4" s="402">
        <f>SUM(Z4+AC4)</f>
        <v>1</v>
      </c>
      <c r="AG4" s="398">
        <f>SUM(AE4:AF4)</f>
        <v>13</v>
      </c>
      <c r="AH4" s="403"/>
      <c r="AI4" s="393">
        <v>17</v>
      </c>
      <c r="AJ4" s="394">
        <v>0</v>
      </c>
      <c r="AK4" s="395">
        <f>SUM(AI4:AJ4)</f>
        <v>17</v>
      </c>
      <c r="AL4" s="396">
        <v>0</v>
      </c>
      <c r="AM4" s="394">
        <v>0</v>
      </c>
      <c r="AN4" s="395">
        <f>SUM(AL4:AM4)</f>
        <v>0</v>
      </c>
      <c r="AO4" s="397">
        <f>SUM(AI4+AL4)</f>
        <v>17</v>
      </c>
      <c r="AP4" s="398">
        <f>SUM(AJ4+AM4)</f>
        <v>0</v>
      </c>
      <c r="AQ4" s="398">
        <f>SUM(AO4:AP4)</f>
        <v>17</v>
      </c>
      <c r="AR4" s="404"/>
      <c r="AS4" s="486">
        <f>AO4+AE4+U4+K4</f>
        <v>37</v>
      </c>
      <c r="AT4" s="487">
        <f>AP4+AF4+V4+L4</f>
        <v>2</v>
      </c>
      <c r="AU4" s="487">
        <f>AK4+AA4+Q4+G4</f>
        <v>38</v>
      </c>
      <c r="AV4" s="487">
        <f>J4+T4+AD4+AN4</f>
        <v>1</v>
      </c>
      <c r="AW4" s="478">
        <v>220</v>
      </c>
      <c r="AX4" s="479">
        <f>SUM(AQ4+AG4+W4+M4)</f>
        <v>39</v>
      </c>
      <c r="AY4" s="537">
        <f>AX4/AW4</f>
        <v>0.17727272727272728</v>
      </c>
      <c r="AZ4" s="547">
        <f>SUM(E4+O4+Y4+AI4)</f>
        <v>36</v>
      </c>
      <c r="BA4" s="547">
        <f>F4+P4+Z4+AJ4</f>
        <v>2</v>
      </c>
      <c r="BB4" s="547">
        <f>H4+R4+AB4+AL4</f>
        <v>1</v>
      </c>
      <c r="BC4" s="547">
        <f>I4+S4+AC4+AM4</f>
        <v>0</v>
      </c>
      <c r="BD4" s="393">
        <v>19</v>
      </c>
      <c r="BE4" s="394">
        <v>0</v>
      </c>
      <c r="BF4" s="395">
        <f>SUM(BD4:BE4)</f>
        <v>19</v>
      </c>
      <c r="BG4" s="396">
        <v>1</v>
      </c>
      <c r="BH4" s="394">
        <v>0</v>
      </c>
      <c r="BI4" s="395">
        <f>SUM(BG4:BH4)</f>
        <v>1</v>
      </c>
      <c r="BJ4" s="397">
        <f>SUM(BD4+BG4)</f>
        <v>20</v>
      </c>
      <c r="BK4" s="398">
        <f>SUM(BE4+BH4)</f>
        <v>0</v>
      </c>
      <c r="BL4" s="405">
        <f>SUM(BJ4:BK4)</f>
        <v>20</v>
      </c>
      <c r="BM4" s="398"/>
      <c r="BN4" s="393">
        <v>9</v>
      </c>
      <c r="BO4" s="394">
        <v>0</v>
      </c>
      <c r="BP4" s="395">
        <f>SUM(BN4:BO4)</f>
        <v>9</v>
      </c>
      <c r="BQ4" s="396">
        <v>0</v>
      </c>
      <c r="BR4" s="394">
        <v>0</v>
      </c>
      <c r="BS4" s="395">
        <f>SUM(BQ4:BR4)</f>
        <v>0</v>
      </c>
      <c r="BT4" s="401">
        <f>SUM(BN4+BQ4)</f>
        <v>9</v>
      </c>
      <c r="BU4" s="402">
        <f>SUM(BO4+BR4)</f>
        <v>0</v>
      </c>
      <c r="BV4" s="398">
        <f>SUM(BT4:BU4)</f>
        <v>9</v>
      </c>
      <c r="BW4" s="405"/>
      <c r="BX4" s="626">
        <f>BN4+BD4+AI4+Y4+O4+E4</f>
        <v>64</v>
      </c>
      <c r="BY4" s="626">
        <f>BO4+BE4+AJ4+Z4+P4+F4</f>
        <v>2</v>
      </c>
      <c r="BZ4" s="626">
        <f>BQ4+BG4+AL4+AB4+R4+H4</f>
        <v>2</v>
      </c>
      <c r="CA4" s="626">
        <f>BR4+BH4+AM4+AC4+S4+I4</f>
        <v>0</v>
      </c>
      <c r="CB4" s="625">
        <f>BX4+BY4+BZ4+CA4</f>
        <v>68</v>
      </c>
      <c r="CC4" s="393">
        <v>11</v>
      </c>
      <c r="CD4" s="394">
        <v>0</v>
      </c>
      <c r="CE4" s="395">
        <f>SUM(CC4:CD4)</f>
        <v>11</v>
      </c>
      <c r="CF4" s="396">
        <v>0</v>
      </c>
      <c r="CG4" s="394">
        <v>0</v>
      </c>
      <c r="CH4" s="395">
        <f>SUM(CF4:CG4)</f>
        <v>0</v>
      </c>
      <c r="CI4" s="401">
        <f>SUM(CC4+CF4)</f>
        <v>11</v>
      </c>
      <c r="CJ4" s="406">
        <f>SUM(CD4+CG4)</f>
        <v>0</v>
      </c>
      <c r="CK4" s="406">
        <f>SUM(CI4:CJ4)</f>
        <v>11</v>
      </c>
      <c r="CL4" s="407"/>
      <c r="CM4" s="408">
        <v>18</v>
      </c>
      <c r="CN4" s="409">
        <v>0</v>
      </c>
      <c r="CO4" s="410">
        <f>SUM(CM4:CN4)</f>
        <v>18</v>
      </c>
      <c r="CP4" s="411">
        <v>0</v>
      </c>
      <c r="CQ4" s="409">
        <v>0</v>
      </c>
      <c r="CR4" s="410">
        <f>SUM(CP4:CQ4)</f>
        <v>0</v>
      </c>
      <c r="CS4" s="401">
        <v>18</v>
      </c>
      <c r="CT4" s="406">
        <f>SUM(CN4+CQ4)</f>
        <v>0</v>
      </c>
      <c r="CU4" s="402">
        <f>SUM(CS4:CT4)</f>
        <v>18</v>
      </c>
      <c r="CV4" s="402"/>
      <c r="CW4" s="492">
        <f t="shared" ref="CW4:CY6" si="0">SUM(CS4+CI4+BT4+BJ4)</f>
        <v>58</v>
      </c>
      <c r="CX4" s="487">
        <f t="shared" si="0"/>
        <v>0</v>
      </c>
      <c r="CY4" s="487">
        <f t="shared" si="0"/>
        <v>58</v>
      </c>
      <c r="CZ4" s="487">
        <f>SUM(CR4+CH4+BS4+BI4)</f>
        <v>1</v>
      </c>
      <c r="DA4" s="474">
        <v>220</v>
      </c>
      <c r="DB4" s="474">
        <f>SUM(CW4:CX4)</f>
        <v>58</v>
      </c>
      <c r="DC4" s="475">
        <f>DB4/DA4</f>
        <v>0.26363636363636361</v>
      </c>
      <c r="DD4" s="547">
        <f>BD4+BN4+CC4+CM4</f>
        <v>57</v>
      </c>
      <c r="DE4" s="547">
        <f>BE4+BO4+CD4+CN4</f>
        <v>0</v>
      </c>
      <c r="DF4" s="547">
        <f>BG4+BQ4+CF4+CP4</f>
        <v>1</v>
      </c>
      <c r="DG4" s="547">
        <f>BH4+BR4+CG4+CQ4</f>
        <v>0</v>
      </c>
      <c r="DH4" s="576">
        <f>DB4+AX4</f>
        <v>97</v>
      </c>
      <c r="DI4" s="393">
        <v>20</v>
      </c>
      <c r="DJ4" s="394">
        <v>0</v>
      </c>
      <c r="DK4" s="395">
        <f>SUM(DI4:DJ4)</f>
        <v>20</v>
      </c>
      <c r="DL4" s="396">
        <v>0</v>
      </c>
      <c r="DM4" s="394">
        <v>0</v>
      </c>
      <c r="DN4" s="395">
        <f>SUM(DL4:DM4)</f>
        <v>0</v>
      </c>
      <c r="DO4" s="397">
        <f>SUM(DI4+DL4)</f>
        <v>20</v>
      </c>
      <c r="DP4" s="405">
        <v>0</v>
      </c>
      <c r="DQ4" s="398">
        <f>SUM(DO4:DP4)</f>
        <v>20</v>
      </c>
      <c r="DR4" s="398"/>
      <c r="DS4" s="393">
        <v>24</v>
      </c>
      <c r="DT4" s="394">
        <v>0</v>
      </c>
      <c r="DU4" s="395">
        <f>SUM(DS4:DT4)</f>
        <v>24</v>
      </c>
      <c r="DV4" s="396">
        <v>0</v>
      </c>
      <c r="DW4" s="394">
        <v>0</v>
      </c>
      <c r="DX4" s="395">
        <f ca="1">SUM(DV4:DX4)</f>
        <v>0</v>
      </c>
      <c r="DY4" s="397">
        <f>SUM(DS4+DV4)</f>
        <v>24</v>
      </c>
      <c r="DZ4" s="405">
        <f>SUM(DT4+DW4)</f>
        <v>0</v>
      </c>
      <c r="EA4" s="398">
        <f>SUM(DY4:DZ4)</f>
        <v>24</v>
      </c>
      <c r="EB4" s="398"/>
      <c r="EC4" s="393">
        <v>14</v>
      </c>
      <c r="ED4" s="394">
        <v>0</v>
      </c>
      <c r="EE4" s="395">
        <f>SUM(EC4:ED4)</f>
        <v>14</v>
      </c>
      <c r="EF4" s="396">
        <v>0</v>
      </c>
      <c r="EG4" s="394">
        <v>0</v>
      </c>
      <c r="EH4" s="395">
        <f>SUM(EF4:EG4)</f>
        <v>0</v>
      </c>
      <c r="EI4" s="397">
        <v>14</v>
      </c>
      <c r="EJ4" s="405">
        <f>SUM(ED4+EG4)</f>
        <v>0</v>
      </c>
      <c r="EK4" s="398">
        <f>SUM(EI4:EJ4)</f>
        <v>14</v>
      </c>
      <c r="EL4" s="398"/>
      <c r="EM4" s="393">
        <v>17</v>
      </c>
      <c r="EN4" s="394">
        <v>0</v>
      </c>
      <c r="EO4" s="395">
        <f>SUM(EM4:EN4)</f>
        <v>17</v>
      </c>
      <c r="EP4" s="396">
        <v>0</v>
      </c>
      <c r="EQ4" s="394">
        <v>0</v>
      </c>
      <c r="ER4" s="395">
        <f>SUM(EP4:EQ4)</f>
        <v>0</v>
      </c>
      <c r="ES4" s="401">
        <f>SUM(EM4+EP4)</f>
        <v>17</v>
      </c>
      <c r="ET4" s="402">
        <f>SUM(EN4+EQ4)</f>
        <v>0</v>
      </c>
      <c r="EU4" s="398">
        <f>SUM(ES4:ET4)</f>
        <v>17</v>
      </c>
      <c r="EV4" s="398"/>
      <c r="EW4" s="492">
        <f>SUM(ES4+EI4+DY4+DO4)</f>
        <v>75</v>
      </c>
      <c r="EX4" s="487">
        <f>SUM(ET4+EJ4+DZ4+DP4)</f>
        <v>0</v>
      </c>
      <c r="EY4" s="487">
        <f>SUM(EO4+EE4+DU4+DK4)</f>
        <v>75</v>
      </c>
      <c r="EZ4" s="487">
        <f ca="1">SUM(ER4+EH4+DX4+DN4)</f>
        <v>0</v>
      </c>
      <c r="FA4" s="474">
        <v>75</v>
      </c>
      <c r="FB4" s="474">
        <f>SUM(EW4:EX4)</f>
        <v>75</v>
      </c>
      <c r="FC4" s="475">
        <f>FB4/FA4</f>
        <v>1</v>
      </c>
      <c r="FD4" s="547">
        <f>DI4+DS4+EC4+EM4+CM4+CC4</f>
        <v>104</v>
      </c>
      <c r="FE4" s="547">
        <f>DJ4+DT4+ED4+EN4+CD4+CN4</f>
        <v>0</v>
      </c>
      <c r="FF4" s="547">
        <f>DL4+DV4+EF4+EP4+CP4+CF4</f>
        <v>0</v>
      </c>
      <c r="FG4" s="547">
        <f>DM4+DW4+EG4+EQ4+CG4+CQ4</f>
        <v>0</v>
      </c>
      <c r="FH4" s="577">
        <f>FD4+FF4</f>
        <v>104</v>
      </c>
      <c r="FI4" s="577">
        <f>FE4+FG4</f>
        <v>0</v>
      </c>
      <c r="FJ4" s="577">
        <f>FH4+FI4</f>
        <v>104</v>
      </c>
      <c r="FK4" s="577">
        <f>EW4+CW4+AS4</f>
        <v>170</v>
      </c>
      <c r="FL4" s="577">
        <f>EX4+CX4+AT4</f>
        <v>2</v>
      </c>
      <c r="FM4" s="577">
        <f>FK4+FL4</f>
        <v>172</v>
      </c>
      <c r="FN4" s="393">
        <v>15</v>
      </c>
      <c r="FO4" s="394">
        <v>0</v>
      </c>
      <c r="FP4" s="395">
        <f>SUM(FN4:FO4)</f>
        <v>15</v>
      </c>
      <c r="FQ4" s="396">
        <v>0</v>
      </c>
      <c r="FR4" s="394">
        <v>0</v>
      </c>
      <c r="FS4" s="395">
        <f>SUM(FQ4:FR4)</f>
        <v>0</v>
      </c>
      <c r="FT4" s="397">
        <f>FN4+FQ4</f>
        <v>15</v>
      </c>
      <c r="FU4" s="405">
        <f>FO4+FR4</f>
        <v>0</v>
      </c>
      <c r="FV4" s="398">
        <f>SUM(FT4:FU4)</f>
        <v>15</v>
      </c>
      <c r="FW4" s="398"/>
      <c r="FX4" s="393">
        <v>31</v>
      </c>
      <c r="FY4" s="394">
        <v>0</v>
      </c>
      <c r="FZ4" s="395">
        <f>SUM(FX4:FY4)</f>
        <v>31</v>
      </c>
      <c r="GA4" s="396">
        <v>0</v>
      </c>
      <c r="GB4" s="394">
        <v>0</v>
      </c>
      <c r="GC4" s="395">
        <f>SUM(GA4:GB4)</f>
        <v>0</v>
      </c>
      <c r="GD4" s="397">
        <f>FX4+GA4</f>
        <v>31</v>
      </c>
      <c r="GE4" s="405">
        <f>FY4+GB4</f>
        <v>0</v>
      </c>
      <c r="GF4" s="398">
        <f>GD4+GE4</f>
        <v>31</v>
      </c>
      <c r="GG4" s="398"/>
      <c r="GH4" s="393">
        <v>21</v>
      </c>
      <c r="GI4" s="394">
        <v>0</v>
      </c>
      <c r="GJ4" s="395">
        <f>SUM(GH4:GI4)</f>
        <v>21</v>
      </c>
      <c r="GK4" s="396">
        <v>0</v>
      </c>
      <c r="GL4" s="394">
        <v>0</v>
      </c>
      <c r="GM4" s="395">
        <f>SUM(GK4:GL4)</f>
        <v>0</v>
      </c>
      <c r="GN4" s="397">
        <f>GH4+GK4</f>
        <v>21</v>
      </c>
      <c r="GO4" s="405">
        <f>GI4+GL4</f>
        <v>0</v>
      </c>
      <c r="GP4" s="398">
        <f>GN4+GO4</f>
        <v>21</v>
      </c>
      <c r="GQ4" s="398"/>
      <c r="GR4" s="650">
        <f>GN4+GD4+FT4+ES4+EI4+DY4+DO4+CS4+CI4+BT4+BJ4</f>
        <v>200</v>
      </c>
      <c r="GS4" s="650">
        <f>GO4+GE4+FU4+ET4+EJ4+DZ4+DP4+CT4+CJ4+BU4+BK4</f>
        <v>0</v>
      </c>
      <c r="GT4" s="650">
        <f>GH4+FX4+FN4+EM4+EC4+DS4+DI4+CM4+CC4+BN4+BD4</f>
        <v>199</v>
      </c>
      <c r="GU4" s="650">
        <f>GI4+FY4+FO4+EN4+ED4+DT4+DJ4+CN4+CD4+BO4+BE4</f>
        <v>0</v>
      </c>
      <c r="GV4" s="650">
        <f>GK4+GA4+FQ4+EP4+EF4+DV4+DL4+CP4+CF4+BQ4+BG4</f>
        <v>1</v>
      </c>
      <c r="GW4" s="650">
        <f>GL4+GB4+FR4+EQ4+EG4+DW4+DM4+CQ4+CG4+BR4+BH4</f>
        <v>0</v>
      </c>
      <c r="GX4" s="393">
        <v>16</v>
      </c>
      <c r="GY4" s="394">
        <v>0</v>
      </c>
      <c r="GZ4" s="395">
        <f>GX4+GY4</f>
        <v>16</v>
      </c>
      <c r="HA4" s="396">
        <v>0</v>
      </c>
      <c r="HB4" s="394">
        <v>0</v>
      </c>
      <c r="HC4" s="395">
        <f>HA4+HB4</f>
        <v>0</v>
      </c>
      <c r="HD4" s="397">
        <f>GX4+HA4</f>
        <v>16</v>
      </c>
      <c r="HE4" s="405">
        <f>GY4+HB4</f>
        <v>0</v>
      </c>
      <c r="HF4" s="398">
        <f>HD4+HE4</f>
        <v>16</v>
      </c>
      <c r="HG4" s="398"/>
      <c r="HH4" s="492">
        <f>HD4+GN4+GD4+FT4</f>
        <v>83</v>
      </c>
      <c r="HI4" s="487">
        <f>GO4+GE4+FU4+HE4</f>
        <v>0</v>
      </c>
      <c r="HJ4" s="487">
        <f>GX4+GH4+FX4+FN4</f>
        <v>83</v>
      </c>
      <c r="HK4" s="487">
        <f>GI4+FY4+GY4+FO4</f>
        <v>0</v>
      </c>
      <c r="HL4" s="487">
        <f>GK4+GA4+FQ4+HA4</f>
        <v>0</v>
      </c>
      <c r="HM4" s="487">
        <f>GL4+HB4+GB4+FR4</f>
        <v>0</v>
      </c>
      <c r="HN4" s="474"/>
      <c r="HO4" s="474">
        <f>HF4+GP4+GF4+FV4</f>
        <v>83</v>
      </c>
      <c r="HP4" s="475" t="e">
        <f>HO4/HN4</f>
        <v>#DIV/0!</v>
      </c>
      <c r="HQ4" s="547">
        <f>FN4+FX4+GH4+GX4</f>
        <v>83</v>
      </c>
      <c r="HR4" s="547">
        <f>FO4+FY4+GI4+GY4</f>
        <v>0</v>
      </c>
      <c r="HS4" s="547">
        <f>FQ4+GA4+GK4+HA4</f>
        <v>0</v>
      </c>
      <c r="HT4" s="547">
        <f>FR4+GB4+GL4+HB4</f>
        <v>0</v>
      </c>
      <c r="HU4" s="393">
        <v>11</v>
      </c>
      <c r="HV4" s="394">
        <v>0</v>
      </c>
      <c r="HW4" s="395">
        <f>HU4+HV4</f>
        <v>11</v>
      </c>
      <c r="HX4" s="396">
        <v>1</v>
      </c>
      <c r="HY4" s="394">
        <v>0</v>
      </c>
      <c r="HZ4" s="395">
        <f>HX4+HY4</f>
        <v>1</v>
      </c>
      <c r="IA4" s="397">
        <f>HU4+HX4</f>
        <v>12</v>
      </c>
      <c r="IB4" s="405">
        <f>HV4+HY4</f>
        <v>0</v>
      </c>
      <c r="IC4" s="398">
        <f>IA4+IB4</f>
        <v>12</v>
      </c>
      <c r="ID4" s="398"/>
      <c r="IE4" s="393"/>
      <c r="IF4" s="394"/>
      <c r="IG4" s="395"/>
      <c r="IH4" s="396"/>
      <c r="II4" s="394"/>
      <c r="IJ4" s="395"/>
      <c r="IK4" s="397"/>
      <c r="IL4" s="405"/>
      <c r="IM4" s="398"/>
      <c r="IN4" s="398"/>
      <c r="IO4" s="393"/>
      <c r="IP4" s="394"/>
      <c r="IQ4" s="395"/>
      <c r="IR4" s="396"/>
      <c r="IS4" s="394"/>
      <c r="IT4" s="395"/>
      <c r="IU4" s="397"/>
      <c r="IV4" s="405"/>
      <c r="IW4" s="398"/>
      <c r="IX4" s="398"/>
      <c r="IY4" s="393"/>
      <c r="IZ4" s="394"/>
      <c r="JA4" s="395"/>
      <c r="JB4" s="396"/>
      <c r="JC4" s="394"/>
      <c r="JD4" s="395"/>
      <c r="JE4" s="397"/>
      <c r="JF4" s="405"/>
      <c r="JG4" s="398"/>
      <c r="JH4" s="398"/>
      <c r="JI4" s="492"/>
      <c r="JJ4" s="487"/>
      <c r="JK4" s="487"/>
      <c r="JL4" s="487"/>
      <c r="JM4" s="474"/>
      <c r="JN4" s="474">
        <f>JG4+IW4+IM4+IC4</f>
        <v>12</v>
      </c>
      <c r="JO4" s="475" t="e">
        <f>JN4/JM4</f>
        <v>#DIV/0!</v>
      </c>
      <c r="JP4" s="393"/>
      <c r="JQ4" s="394"/>
      <c r="JR4" s="395"/>
      <c r="JS4" s="396"/>
      <c r="JT4" s="394"/>
      <c r="JU4" s="395"/>
      <c r="JV4" s="397"/>
      <c r="JW4" s="405"/>
      <c r="JX4" s="398"/>
      <c r="JY4" s="398"/>
      <c r="JZ4" s="577">
        <f t="shared" ref="JZ4:JZ17" si="1">JX4+JN4+HO4+FB4</f>
        <v>170</v>
      </c>
      <c r="KA4" s="412">
        <f t="shared" ref="KA4:KA17" si="2">SUM(JV4+JE4+IU4+IK4+IA4+HD4+GN4+GD4+FT4+ES4+EI4+DY4+DO4+CS4+CI4+BT4+BJ4+AO4+AE4+U4+K4)</f>
        <v>265</v>
      </c>
      <c r="KB4" s="412">
        <f t="shared" ref="KB4:KB17" si="3">SUM(JW4+JF4+IV4+IL4+IB4+HE4+GO4+GE4+FU4+ET4+EJ4+DZ4+DP4+CT4+CJ4+BU4+BK4+AP4+AF4+V4+L4)</f>
        <v>2</v>
      </c>
      <c r="KC4" s="412">
        <f t="shared" ref="KC4:KC17" si="4">SUM(JP4+IY4+IO4+IE4+HU4+GX4+GH4+FX4+FN4+EM4+EC4+DS4+DI4+CM4+CC4+BN4+BD4+AI4+Y4+O4+E4)</f>
        <v>262</v>
      </c>
      <c r="KD4" s="412">
        <f t="shared" ref="KD4:KD17" si="5">SUM(JQ4+IZ4+IP4+IF4+HV4+GY4+GI4+FY4+FO4+EN4+ED4+DT4+DJ4+CN4+CD4+BO4+BE4+AJ4+Z4+P4+F4)</f>
        <v>2</v>
      </c>
      <c r="KE4" s="412">
        <f t="shared" ref="KE4:KF8" si="6">SUM(JS4+JB4+IR4+IH4+HX4+HA4+GK4+GA4+FQ4+EP4+EF4+DV4+DL4+CP4+CF4+BQ4+BG4+AL4+AB4+R4+H4)</f>
        <v>3</v>
      </c>
      <c r="KF4" s="693">
        <f t="shared" si="6"/>
        <v>0</v>
      </c>
      <c r="KG4" s="687">
        <f>SUM(KA4:KB4)</f>
        <v>267</v>
      </c>
      <c r="KH4" s="674">
        <v>550</v>
      </c>
      <c r="KI4" s="674">
        <f>KH4-(KG4+KG5)</f>
        <v>83</v>
      </c>
      <c r="KJ4" s="675">
        <f>(KG4+KG5)/KH4</f>
        <v>0.84909090909090912</v>
      </c>
      <c r="KK4" s="359">
        <f>KG4+KG5</f>
        <v>467</v>
      </c>
      <c r="KL4" s="359"/>
      <c r="KM4" s="359"/>
      <c r="KN4" s="359"/>
      <c r="KO4" s="359"/>
      <c r="KP4" s="359"/>
      <c r="KQ4" s="359"/>
    </row>
    <row r="5" spans="1:303" ht="45.75" customHeight="1" x14ac:dyDescent="0.3">
      <c r="A5" s="744"/>
      <c r="B5" s="391" t="s">
        <v>8</v>
      </c>
      <c r="C5" s="391" t="s">
        <v>131</v>
      </c>
      <c r="D5" s="392"/>
      <c r="E5" s="393"/>
      <c r="F5" s="394"/>
      <c r="G5" s="395"/>
      <c r="H5" s="396"/>
      <c r="I5" s="394"/>
      <c r="J5" s="395"/>
      <c r="K5" s="397"/>
      <c r="L5" s="398"/>
      <c r="M5" s="398"/>
      <c r="N5" s="399"/>
      <c r="O5" s="393"/>
      <c r="P5" s="394"/>
      <c r="Q5" s="400"/>
      <c r="R5" s="396"/>
      <c r="S5" s="394"/>
      <c r="T5" s="400"/>
      <c r="U5" s="397"/>
      <c r="V5" s="398"/>
      <c r="W5" s="398"/>
      <c r="X5" s="399"/>
      <c r="Y5" s="393"/>
      <c r="Z5" s="394"/>
      <c r="AA5" s="400"/>
      <c r="AB5" s="396"/>
      <c r="AC5" s="394"/>
      <c r="AD5" s="400"/>
      <c r="AE5" s="401"/>
      <c r="AF5" s="402"/>
      <c r="AG5" s="398"/>
      <c r="AH5" s="403"/>
      <c r="AI5" s="393"/>
      <c r="AJ5" s="394"/>
      <c r="AK5" s="395"/>
      <c r="AL5" s="396"/>
      <c r="AM5" s="394"/>
      <c r="AN5" s="395"/>
      <c r="AO5" s="397"/>
      <c r="AP5" s="398"/>
      <c r="AQ5" s="398"/>
      <c r="AR5" s="413"/>
      <c r="AS5" s="486">
        <f t="shared" ref="AS5:AS79" si="7">AO5+AE5+U5+K5</f>
        <v>0</v>
      </c>
      <c r="AT5" s="487">
        <f t="shared" ref="AT5:AT79" si="8">AP5+AF5+V5+L5</f>
        <v>0</v>
      </c>
      <c r="AU5" s="487">
        <f t="shared" ref="AU5:AU79" si="9">AK5+AA5+Q5+G5</f>
        <v>0</v>
      </c>
      <c r="AV5" s="487">
        <f t="shared" ref="AV5:AV79" si="10">AN5</f>
        <v>0</v>
      </c>
      <c r="AW5" s="478"/>
      <c r="AX5" s="479">
        <f t="shared" ref="AX5:AX79" si="11">SUM(AQ5+AG5+W5+M5)</f>
        <v>0</v>
      </c>
      <c r="AY5" s="537"/>
      <c r="AZ5" s="547">
        <f t="shared" ref="AZ5:AZ17" si="12">SUM(E5+O5+Y5+AI5)</f>
        <v>0</v>
      </c>
      <c r="BA5" s="547">
        <f t="shared" ref="BA5:BA17" si="13">F5+P5+Z5+AJ5</f>
        <v>0</v>
      </c>
      <c r="BB5" s="547">
        <f t="shared" ref="BB5:BB17" si="14">H5+R5+AB5+AL5</f>
        <v>0</v>
      </c>
      <c r="BC5" s="547">
        <f t="shared" ref="BC5:BC17" si="15">I5+S5+AC5+AM5</f>
        <v>0</v>
      </c>
      <c r="BD5" s="393"/>
      <c r="BE5" s="394"/>
      <c r="BF5" s="395"/>
      <c r="BG5" s="396"/>
      <c r="BH5" s="394"/>
      <c r="BI5" s="395"/>
      <c r="BJ5" s="397"/>
      <c r="BK5" s="398"/>
      <c r="BL5" s="405"/>
      <c r="BM5" s="398"/>
      <c r="BN5" s="393"/>
      <c r="BO5" s="394"/>
      <c r="BP5" s="395"/>
      <c r="BQ5" s="396"/>
      <c r="BR5" s="394"/>
      <c r="BS5" s="395"/>
      <c r="BT5" s="397"/>
      <c r="BU5" s="405"/>
      <c r="BV5" s="398"/>
      <c r="BW5" s="398"/>
      <c r="BX5" s="626">
        <f t="shared" ref="BX5:BX72" si="16">BN5+BD5+AI5+Y5+O5+E5</f>
        <v>0</v>
      </c>
      <c r="BY5" s="626">
        <f t="shared" ref="BY5:BY72" si="17">BO5+BE5+AJ5+Z5+P5+F5</f>
        <v>0</v>
      </c>
      <c r="BZ5" s="626">
        <f t="shared" ref="BZ5:BZ72" si="18">BQ5+BG5+AL5+AB5+R5+H5</f>
        <v>0</v>
      </c>
      <c r="CA5" s="626">
        <f t="shared" ref="CA5:CA72" si="19">BR5+BH5+AM5+AC5+S5+I5</f>
        <v>0</v>
      </c>
      <c r="CB5" s="625">
        <f t="shared" ref="CB5:CB72" si="20">BX5+BY5+BZ5+CA5</f>
        <v>0</v>
      </c>
      <c r="CC5" s="393"/>
      <c r="CD5" s="394"/>
      <c r="CE5" s="395"/>
      <c r="CF5" s="396"/>
      <c r="CG5" s="394"/>
      <c r="CH5" s="395"/>
      <c r="CI5" s="397"/>
      <c r="CJ5" s="398"/>
      <c r="CK5" s="398"/>
      <c r="CL5" s="414"/>
      <c r="CM5" s="393">
        <v>20</v>
      </c>
      <c r="CN5" s="394"/>
      <c r="CO5" s="395">
        <f>SUM(CM5:CN5)</f>
        <v>20</v>
      </c>
      <c r="CP5" s="396">
        <v>0</v>
      </c>
      <c r="CQ5" s="394">
        <v>0</v>
      </c>
      <c r="CR5" s="395">
        <v>0</v>
      </c>
      <c r="CS5" s="397">
        <v>20</v>
      </c>
      <c r="CT5" s="415">
        <f>(CN5+CQ5)</f>
        <v>0</v>
      </c>
      <c r="CU5" s="405">
        <f>SUM(CS5:CT5)</f>
        <v>20</v>
      </c>
      <c r="CV5" s="402"/>
      <c r="CW5" s="492">
        <f t="shared" si="0"/>
        <v>20</v>
      </c>
      <c r="CX5" s="487">
        <f t="shared" si="0"/>
        <v>0</v>
      </c>
      <c r="CY5" s="487">
        <f t="shared" si="0"/>
        <v>20</v>
      </c>
      <c r="CZ5" s="487">
        <f>SUM(CR5+CH5+BS5+BI5)</f>
        <v>0</v>
      </c>
      <c r="DA5" s="474"/>
      <c r="DB5" s="474">
        <f>CU5+CK5</f>
        <v>20</v>
      </c>
      <c r="DC5" s="475"/>
      <c r="DD5" s="547">
        <f t="shared" ref="DD5:DD79" si="21">BD5+BN5+CC5+CM5</f>
        <v>20</v>
      </c>
      <c r="DE5" s="547">
        <f t="shared" ref="DE5:DE79" si="22">BE5+BO5+CD5+CN5</f>
        <v>0</v>
      </c>
      <c r="DF5" s="547">
        <f t="shared" ref="DF5:DF79" si="23">BG5+BQ5+CF5+CP5</f>
        <v>0</v>
      </c>
      <c r="DG5" s="547">
        <f t="shared" ref="DG5:DG79" si="24">BH5+BR5+CG5+CQ5</f>
        <v>0</v>
      </c>
      <c r="DH5" s="576">
        <f t="shared" ref="DH5:DH73" si="25">DB5+AX5</f>
        <v>20</v>
      </c>
      <c r="DI5" s="393">
        <v>54</v>
      </c>
      <c r="DJ5" s="394">
        <v>0</v>
      </c>
      <c r="DK5" s="395">
        <f>SUM(DI5:DJ5)</f>
        <v>54</v>
      </c>
      <c r="DL5" s="396">
        <v>0</v>
      </c>
      <c r="DM5" s="394">
        <v>0</v>
      </c>
      <c r="DN5" s="395">
        <v>0</v>
      </c>
      <c r="DO5" s="416">
        <f>DI5+DL5</f>
        <v>54</v>
      </c>
      <c r="DP5" s="405">
        <v>0</v>
      </c>
      <c r="DQ5" s="398">
        <f>SUM(DO5:DP5)</f>
        <v>54</v>
      </c>
      <c r="DR5" s="398"/>
      <c r="DS5" s="393">
        <v>32</v>
      </c>
      <c r="DT5" s="394">
        <v>0</v>
      </c>
      <c r="DU5" s="395">
        <f>SUM(DS5:DT5)</f>
        <v>32</v>
      </c>
      <c r="DV5" s="396">
        <v>0</v>
      </c>
      <c r="DW5" s="394">
        <v>0</v>
      </c>
      <c r="DX5" s="395">
        <f>SUM(DV5:DW5)</f>
        <v>0</v>
      </c>
      <c r="DY5" s="397">
        <f>SUM(DS5+DV5)</f>
        <v>32</v>
      </c>
      <c r="DZ5" s="405">
        <f>SUM(DT5+DW5)</f>
        <v>0</v>
      </c>
      <c r="EA5" s="398">
        <f>SUM(DY5:DZ5)</f>
        <v>32</v>
      </c>
      <c r="EB5" s="398"/>
      <c r="EC5" s="393">
        <v>30</v>
      </c>
      <c r="ED5" s="394">
        <v>1</v>
      </c>
      <c r="EE5" s="395">
        <f>SUM(EC5:ED5)</f>
        <v>31</v>
      </c>
      <c r="EF5" s="396">
        <v>0</v>
      </c>
      <c r="EG5" s="394">
        <v>0</v>
      </c>
      <c r="EH5" s="395">
        <f>SUM(EF5:EG5)</f>
        <v>0</v>
      </c>
      <c r="EI5" s="397">
        <v>30</v>
      </c>
      <c r="EJ5" s="405">
        <f>SUM(ED5+EG5)</f>
        <v>1</v>
      </c>
      <c r="EK5" s="398">
        <f>SUM(EI5:EJ5)</f>
        <v>31</v>
      </c>
      <c r="EL5" s="398"/>
      <c r="EM5" s="393">
        <v>17</v>
      </c>
      <c r="EN5" s="394">
        <v>0</v>
      </c>
      <c r="EO5" s="395">
        <f>SUM(EM5:EN5)</f>
        <v>17</v>
      </c>
      <c r="EP5" s="396">
        <v>0</v>
      </c>
      <c r="EQ5" s="394">
        <v>0</v>
      </c>
      <c r="ER5" s="395">
        <f>SUM(EP5:EQ5)</f>
        <v>0</v>
      </c>
      <c r="ES5" s="397">
        <f>SUM(EM5+EP5)</f>
        <v>17</v>
      </c>
      <c r="ET5" s="405">
        <f>SUM(EN5+EQ5)</f>
        <v>0</v>
      </c>
      <c r="EU5" s="398">
        <f>SUM(ES5:ET5)</f>
        <v>17</v>
      </c>
      <c r="EV5" s="398"/>
      <c r="EW5" s="492">
        <f t="shared" ref="EW5:EW79" si="26">SUM(ES5+EI5+DY5+DO5)</f>
        <v>133</v>
      </c>
      <c r="EX5" s="487">
        <f t="shared" ref="EX5:EX79" si="27">SUM(ET5+EJ5+DZ5+DP5)</f>
        <v>1</v>
      </c>
      <c r="EY5" s="487">
        <f t="shared" ref="EY5:EY79" si="28">SUM(EO5+EE5+DU5+DK5)</f>
        <v>134</v>
      </c>
      <c r="EZ5" s="487">
        <f t="shared" ref="EZ5:EZ79" si="29">SUM(ER5+EH5+DX5+DN5)</f>
        <v>0</v>
      </c>
      <c r="FA5" s="474"/>
      <c r="FB5" s="474">
        <f t="shared" ref="FB5:FB79" si="30">SUM(EW5:EX5)</f>
        <v>134</v>
      </c>
      <c r="FC5" s="475"/>
      <c r="FD5" s="547">
        <f t="shared" ref="FD5:FD72" si="31">DI5+DS5+EC5+EM5+CM5+CC5</f>
        <v>153</v>
      </c>
      <c r="FE5" s="547">
        <f t="shared" ref="FE5:FE72" si="32">DJ5+DT5+ED5+EN5+CD5+CN5</f>
        <v>1</v>
      </c>
      <c r="FF5" s="547">
        <f t="shared" ref="FF5:FF72" si="33">DL5+DV5+EF5+EP5+CP5+CF5</f>
        <v>0</v>
      </c>
      <c r="FG5" s="547">
        <f t="shared" ref="FG5:FG72" si="34">DM5+DW5+EG5+EQ5+CG5+CQ5</f>
        <v>0</v>
      </c>
      <c r="FH5" s="577">
        <f t="shared" ref="FH5:FH72" si="35">FD5+FF5</f>
        <v>153</v>
      </c>
      <c r="FI5" s="577">
        <f t="shared" ref="FI5:FI72" si="36">FE5+FG5</f>
        <v>1</v>
      </c>
      <c r="FJ5" s="577">
        <f t="shared" ref="FJ5:FJ73" si="37">FH5+FI5</f>
        <v>154</v>
      </c>
      <c r="FK5" s="577">
        <f t="shared" ref="FK5:FK72" si="38">EW5+CW5+AS5</f>
        <v>153</v>
      </c>
      <c r="FL5" s="577">
        <f t="shared" ref="FL5:FL72" si="39">EX5+CX5+AT5</f>
        <v>1</v>
      </c>
      <c r="FM5" s="577">
        <f t="shared" ref="FM5:FM72" si="40">FK5+FL5</f>
        <v>154</v>
      </c>
      <c r="FN5" s="393">
        <v>10</v>
      </c>
      <c r="FO5" s="394">
        <v>0</v>
      </c>
      <c r="FP5" s="395">
        <f>SUM(FN5:FO5)</f>
        <v>10</v>
      </c>
      <c r="FQ5" s="396">
        <v>0</v>
      </c>
      <c r="FR5" s="394">
        <v>0</v>
      </c>
      <c r="FS5" s="395">
        <f>SUM(FQ5:FR5)</f>
        <v>0</v>
      </c>
      <c r="FT5" s="397">
        <f>FN5+FQ5</f>
        <v>10</v>
      </c>
      <c r="FU5" s="405">
        <f>FO5+FR5</f>
        <v>0</v>
      </c>
      <c r="FV5" s="398">
        <f>SUM(FT5:FU5)</f>
        <v>10</v>
      </c>
      <c r="FW5" s="398"/>
      <c r="FX5" s="393">
        <v>7</v>
      </c>
      <c r="FY5" s="394">
        <v>0</v>
      </c>
      <c r="FZ5" s="395">
        <f>SUM(FX5:FY5)</f>
        <v>7</v>
      </c>
      <c r="GA5" s="396">
        <v>0</v>
      </c>
      <c r="GB5" s="394">
        <v>0</v>
      </c>
      <c r="GC5" s="395"/>
      <c r="GD5" s="397">
        <f t="shared" ref="GD5:GD72" si="41">FX5+GA5</f>
        <v>7</v>
      </c>
      <c r="GE5" s="405">
        <f t="shared" ref="GE5:GE72" si="42">FY5+GB5</f>
        <v>0</v>
      </c>
      <c r="GF5" s="398">
        <f t="shared" ref="GF5:GF72" si="43">GD5+GE5</f>
        <v>7</v>
      </c>
      <c r="GG5" s="398"/>
      <c r="GH5" s="393">
        <v>9</v>
      </c>
      <c r="GI5" s="394">
        <v>0</v>
      </c>
      <c r="GJ5" s="395">
        <f>SUM(GH5:GI5)</f>
        <v>9</v>
      </c>
      <c r="GK5" s="396">
        <v>0</v>
      </c>
      <c r="GL5" s="394">
        <v>0</v>
      </c>
      <c r="GM5" s="395">
        <f>SUM(GK5:GL5)</f>
        <v>0</v>
      </c>
      <c r="GN5" s="397">
        <f t="shared" ref="GN5:GN7" si="44">GH5+GK5</f>
        <v>9</v>
      </c>
      <c r="GO5" s="405">
        <f t="shared" ref="GO5:GO8" si="45">GI5+GL5</f>
        <v>0</v>
      </c>
      <c r="GP5" s="398">
        <f t="shared" ref="GP5:GP8" si="46">GN5+GO5</f>
        <v>9</v>
      </c>
      <c r="GQ5" s="398"/>
      <c r="GR5" s="650">
        <f t="shared" ref="GR5:GR72" si="47">GN5+GD5+FT5+ES5+EI5+DY5+DO5+CS5+CI5+BT5+BJ5</f>
        <v>179</v>
      </c>
      <c r="GS5" s="650">
        <f t="shared" ref="GS5:GS72" si="48">GO5+GE5+FU5+ET5+EJ5+DZ5+DP5+CT5+CJ5+BU5+BK5</f>
        <v>1</v>
      </c>
      <c r="GT5" s="650">
        <f t="shared" ref="GT5:GT72" si="49">GH5+FX5+FN5+EM5+EC5+DS5+DI5+CM5+CC5+BN5+BD5</f>
        <v>179</v>
      </c>
      <c r="GU5" s="650">
        <f t="shared" ref="GU5:GU72" si="50">GI5+FY5+FO5+EN5+ED5+DT5+DJ5+CN5+CD5+BO5+BE5</f>
        <v>1</v>
      </c>
      <c r="GV5" s="650">
        <f t="shared" ref="GV5:GV72" si="51">GK5+GA5+FQ5+EP5+EF5+DV5+DL5+CP5+CF5+BQ5+BG5</f>
        <v>0</v>
      </c>
      <c r="GW5" s="650">
        <f t="shared" ref="GW5:GW72" si="52">GL5+GB5+FR5+EQ5+EG5+DW5+DM5+CQ5+CG5+BR5+BH5</f>
        <v>0</v>
      </c>
      <c r="GX5" s="393">
        <v>6</v>
      </c>
      <c r="GY5" s="394">
        <v>0</v>
      </c>
      <c r="GZ5" s="395">
        <f t="shared" ref="GZ5:GZ69" si="53">GX5+GY5</f>
        <v>6</v>
      </c>
      <c r="HA5" s="396">
        <v>0</v>
      </c>
      <c r="HB5" s="394">
        <v>0</v>
      </c>
      <c r="HC5" s="395">
        <f t="shared" ref="HC5:HC69" si="54">HA5+HB5</f>
        <v>0</v>
      </c>
      <c r="HD5" s="397">
        <f t="shared" ref="HD5:HD69" si="55">GX5+HA5</f>
        <v>6</v>
      </c>
      <c r="HE5" s="405">
        <f t="shared" ref="HE5:HE69" si="56">GY5+HB5</f>
        <v>0</v>
      </c>
      <c r="HF5" s="398">
        <f t="shared" ref="HF5:HF69" si="57">HD5+HE5</f>
        <v>6</v>
      </c>
      <c r="HG5" s="398"/>
      <c r="HH5" s="492">
        <f t="shared" ref="HH5:HH71" si="58">HD5+GN5+GD5+FT5</f>
        <v>32</v>
      </c>
      <c r="HI5" s="487">
        <f t="shared" ref="HI5:HI71" si="59">GO5+GE5+FU5+HE5</f>
        <v>0</v>
      </c>
      <c r="HJ5" s="487">
        <f t="shared" ref="HJ5:HJ71" si="60">GX5+GH5+FX5+FN5</f>
        <v>32</v>
      </c>
      <c r="HK5" s="487">
        <f t="shared" ref="HK5:HK71" si="61">GI5+FY5+GY5+FO5</f>
        <v>0</v>
      </c>
      <c r="HL5" s="487">
        <f t="shared" ref="HL5:HL71" si="62">GK5+GA5+FQ5+HA5</f>
        <v>0</v>
      </c>
      <c r="HM5" s="487">
        <f t="shared" ref="HM5:HM71" si="63">GL5+HB5+GB5+FR5</f>
        <v>0</v>
      </c>
      <c r="HN5" s="474"/>
      <c r="HO5" s="474">
        <f t="shared" ref="HO5:HO73" si="64">HF5+GP5+GF5+FV5</f>
        <v>32</v>
      </c>
      <c r="HP5" s="475"/>
      <c r="HQ5" s="547">
        <f t="shared" ref="HQ5:HQ11" si="65">FN5+FX5+GH5+GX5</f>
        <v>32</v>
      </c>
      <c r="HR5" s="547">
        <f t="shared" ref="HR5:HR11" si="66">FO5+FY5+GI5+GY5</f>
        <v>0</v>
      </c>
      <c r="HS5" s="547">
        <f t="shared" ref="HS5:HS11" si="67">FQ5+GA5+GK5+HA5</f>
        <v>0</v>
      </c>
      <c r="HT5" s="547">
        <f t="shared" ref="HT5:HT11" si="68">FR5+GB5+GL5+HB5</f>
        <v>0</v>
      </c>
      <c r="HU5" s="393">
        <v>14</v>
      </c>
      <c r="HV5" s="394">
        <v>0</v>
      </c>
      <c r="HW5" s="395">
        <f t="shared" ref="HW5:HW69" si="69">HU5+HV5</f>
        <v>14</v>
      </c>
      <c r="HX5" s="396">
        <v>0</v>
      </c>
      <c r="HY5" s="394">
        <v>0</v>
      </c>
      <c r="HZ5" s="395">
        <f t="shared" ref="HZ5:HZ69" si="70">HX5+HY5</f>
        <v>0</v>
      </c>
      <c r="IA5" s="397">
        <f t="shared" ref="IA5:IA69" si="71">HU5+HX5</f>
        <v>14</v>
      </c>
      <c r="IB5" s="405">
        <f t="shared" ref="IB5:IB69" si="72">HV5+HY5</f>
        <v>0</v>
      </c>
      <c r="IC5" s="398">
        <f t="shared" ref="IC5:IC69" si="73">IA5+IB5</f>
        <v>14</v>
      </c>
      <c r="ID5" s="398"/>
      <c r="IE5" s="393"/>
      <c r="IF5" s="394"/>
      <c r="IG5" s="395"/>
      <c r="IH5" s="396"/>
      <c r="II5" s="394"/>
      <c r="IJ5" s="395"/>
      <c r="IK5" s="397"/>
      <c r="IL5" s="405"/>
      <c r="IM5" s="398"/>
      <c r="IN5" s="398"/>
      <c r="IO5" s="393"/>
      <c r="IP5" s="394"/>
      <c r="IQ5" s="395"/>
      <c r="IR5" s="396"/>
      <c r="IS5" s="394"/>
      <c r="IT5" s="395"/>
      <c r="IU5" s="397"/>
      <c r="IV5" s="405"/>
      <c r="IW5" s="398"/>
      <c r="IX5" s="398"/>
      <c r="IY5" s="393"/>
      <c r="IZ5" s="394"/>
      <c r="JA5" s="395"/>
      <c r="JB5" s="396"/>
      <c r="JC5" s="394"/>
      <c r="JD5" s="395"/>
      <c r="JE5" s="397"/>
      <c r="JF5" s="405"/>
      <c r="JG5" s="398"/>
      <c r="JH5" s="398"/>
      <c r="JI5" s="492"/>
      <c r="JJ5" s="487"/>
      <c r="JK5" s="487"/>
      <c r="JL5" s="487"/>
      <c r="JM5" s="474"/>
      <c r="JN5" s="474">
        <f t="shared" ref="JN5:JN73" si="74">JG5+IW5+IM5+IC5</f>
        <v>14</v>
      </c>
      <c r="JO5" s="475"/>
      <c r="JP5" s="393"/>
      <c r="JQ5" s="394"/>
      <c r="JR5" s="395"/>
      <c r="JS5" s="396"/>
      <c r="JT5" s="394"/>
      <c r="JU5" s="395"/>
      <c r="JV5" s="397"/>
      <c r="JW5" s="405"/>
      <c r="JX5" s="398"/>
      <c r="JY5" s="398"/>
      <c r="JZ5" s="577">
        <f t="shared" si="1"/>
        <v>180</v>
      </c>
      <c r="KA5" s="412">
        <f t="shared" si="2"/>
        <v>199</v>
      </c>
      <c r="KB5" s="412">
        <f t="shared" si="3"/>
        <v>1</v>
      </c>
      <c r="KC5" s="412">
        <f t="shared" si="4"/>
        <v>199</v>
      </c>
      <c r="KD5" s="412">
        <f t="shared" si="5"/>
        <v>1</v>
      </c>
      <c r="KE5" s="412">
        <f t="shared" si="6"/>
        <v>0</v>
      </c>
      <c r="KF5" s="693">
        <f t="shared" si="6"/>
        <v>0</v>
      </c>
      <c r="KG5" s="687">
        <f t="shared" ref="KG5:KG79" si="75">SUM(KA5:KB5)</f>
        <v>200</v>
      </c>
      <c r="KH5" s="674"/>
      <c r="KI5" s="674"/>
      <c r="KJ5" s="676"/>
      <c r="KK5" s="359">
        <f>FY326</f>
        <v>0</v>
      </c>
      <c r="KL5" s="359">
        <f>SUM(KH4-KK5)</f>
        <v>550</v>
      </c>
      <c r="KM5" s="359"/>
      <c r="KN5" s="359"/>
      <c r="KO5" s="359"/>
      <c r="KP5" s="359"/>
      <c r="KQ5" s="359"/>
    </row>
    <row r="6" spans="1:303" ht="43.5" customHeight="1" x14ac:dyDescent="0.3">
      <c r="A6" s="745"/>
      <c r="B6" s="385" t="s">
        <v>132</v>
      </c>
      <c r="C6" s="391" t="s">
        <v>133</v>
      </c>
      <c r="D6" s="392"/>
      <c r="E6" s="393"/>
      <c r="F6" s="394"/>
      <c r="G6" s="395"/>
      <c r="H6" s="396"/>
      <c r="I6" s="394"/>
      <c r="J6" s="395"/>
      <c r="K6" s="397"/>
      <c r="L6" s="398"/>
      <c r="M6" s="398"/>
      <c r="N6" s="399"/>
      <c r="O6" s="393"/>
      <c r="P6" s="394"/>
      <c r="Q6" s="400"/>
      <c r="R6" s="396"/>
      <c r="S6" s="394"/>
      <c r="T6" s="400">
        <f>SUM(R6:S6)</f>
        <v>0</v>
      </c>
      <c r="U6" s="397">
        <f>SUM(O6+R6)</f>
        <v>0</v>
      </c>
      <c r="V6" s="398">
        <f>SUM(P6+S6)</f>
        <v>0</v>
      </c>
      <c r="W6" s="398">
        <f>SUM(U6:V6)</f>
        <v>0</v>
      </c>
      <c r="X6" s="399"/>
      <c r="Y6" s="393"/>
      <c r="Z6" s="394"/>
      <c r="AA6" s="400">
        <f>SUM(Y6:Z6)</f>
        <v>0</v>
      </c>
      <c r="AB6" s="396"/>
      <c r="AC6" s="394"/>
      <c r="AD6" s="400">
        <f>SUM(AB6:AC6)</f>
        <v>0</v>
      </c>
      <c r="AE6" s="397">
        <f>SUM(Y6+AB6)</f>
        <v>0</v>
      </c>
      <c r="AF6" s="405">
        <f>SUM(Z6+AC6)</f>
        <v>0</v>
      </c>
      <c r="AG6" s="398">
        <f>SUM(AE6:AF6)</f>
        <v>0</v>
      </c>
      <c r="AH6" s="403"/>
      <c r="AI6" s="393"/>
      <c r="AJ6" s="394"/>
      <c r="AK6" s="395"/>
      <c r="AL6" s="396"/>
      <c r="AM6" s="394"/>
      <c r="AN6" s="395"/>
      <c r="AO6" s="397"/>
      <c r="AP6" s="398"/>
      <c r="AQ6" s="398"/>
      <c r="AR6" s="413"/>
      <c r="AS6" s="486">
        <f t="shared" si="7"/>
        <v>0</v>
      </c>
      <c r="AT6" s="487">
        <f t="shared" si="8"/>
        <v>0</v>
      </c>
      <c r="AU6" s="487">
        <f t="shared" si="9"/>
        <v>0</v>
      </c>
      <c r="AV6" s="487">
        <f t="shared" si="10"/>
        <v>0</v>
      </c>
      <c r="AW6" s="478"/>
      <c r="AX6" s="479">
        <f t="shared" si="11"/>
        <v>0</v>
      </c>
      <c r="AY6" s="537" t="e">
        <f>AX6/AW6</f>
        <v>#DIV/0!</v>
      </c>
      <c r="AZ6" s="547">
        <f t="shared" si="12"/>
        <v>0</v>
      </c>
      <c r="BA6" s="547">
        <f t="shared" si="13"/>
        <v>0</v>
      </c>
      <c r="BB6" s="547">
        <f t="shared" si="14"/>
        <v>0</v>
      </c>
      <c r="BC6" s="547">
        <f t="shared" si="15"/>
        <v>0</v>
      </c>
      <c r="BD6" s="393"/>
      <c r="BE6" s="394"/>
      <c r="BF6" s="395">
        <f>SUM(BD6:BE6)</f>
        <v>0</v>
      </c>
      <c r="BG6" s="396"/>
      <c r="BH6" s="394"/>
      <c r="BI6" s="395">
        <f>SUM(BG6:BH6)</f>
        <v>0</v>
      </c>
      <c r="BJ6" s="397">
        <f>SUM(BD6+BG6)</f>
        <v>0</v>
      </c>
      <c r="BK6" s="398">
        <f>SUM(BE6+BH6)</f>
        <v>0</v>
      </c>
      <c r="BL6" s="405">
        <f>SUM(BJ6:BK6)</f>
        <v>0</v>
      </c>
      <c r="BM6" s="398"/>
      <c r="BN6" s="393"/>
      <c r="BO6" s="394"/>
      <c r="BP6" s="395"/>
      <c r="BQ6" s="396"/>
      <c r="BR6" s="394"/>
      <c r="BS6" s="395"/>
      <c r="BT6" s="397"/>
      <c r="BU6" s="405"/>
      <c r="BV6" s="398"/>
      <c r="BW6" s="398"/>
      <c r="BX6" s="626">
        <f t="shared" si="16"/>
        <v>0</v>
      </c>
      <c r="BY6" s="626">
        <f t="shared" si="17"/>
        <v>0</v>
      </c>
      <c r="BZ6" s="626">
        <f t="shared" si="18"/>
        <v>0</v>
      </c>
      <c r="CA6" s="626">
        <f t="shared" si="19"/>
        <v>0</v>
      </c>
      <c r="CB6" s="625">
        <f t="shared" si="20"/>
        <v>0</v>
      </c>
      <c r="CC6" s="393"/>
      <c r="CD6" s="394"/>
      <c r="CE6" s="395"/>
      <c r="CF6" s="396"/>
      <c r="CG6" s="394"/>
      <c r="CH6" s="395"/>
      <c r="CI6" s="397"/>
      <c r="CJ6" s="398"/>
      <c r="CK6" s="398"/>
      <c r="CL6" s="414"/>
      <c r="CM6" s="393"/>
      <c r="CN6" s="394"/>
      <c r="CO6" s="395"/>
      <c r="CP6" s="396"/>
      <c r="CQ6" s="394"/>
      <c r="CR6" s="395"/>
      <c r="CS6" s="397"/>
      <c r="CT6" s="398"/>
      <c r="CU6" s="405"/>
      <c r="CV6" s="402"/>
      <c r="CW6" s="492">
        <f t="shared" si="0"/>
        <v>0</v>
      </c>
      <c r="CX6" s="487">
        <f t="shared" si="0"/>
        <v>0</v>
      </c>
      <c r="CY6" s="487">
        <f t="shared" si="0"/>
        <v>0</v>
      </c>
      <c r="CZ6" s="487">
        <f>SUM(CR6+CH6+BS6+BI6)</f>
        <v>0</v>
      </c>
      <c r="DA6" s="474"/>
      <c r="DB6" s="474">
        <f>SUM(CW6:CX6)</f>
        <v>0</v>
      </c>
      <c r="DC6" s="475" t="e">
        <f>DB6/DA6</f>
        <v>#DIV/0!</v>
      </c>
      <c r="DD6" s="547">
        <f t="shared" si="21"/>
        <v>0</v>
      </c>
      <c r="DE6" s="547">
        <f t="shared" si="22"/>
        <v>0</v>
      </c>
      <c r="DF6" s="547">
        <f t="shared" si="23"/>
        <v>0</v>
      </c>
      <c r="DG6" s="547">
        <f t="shared" si="24"/>
        <v>0</v>
      </c>
      <c r="DH6" s="576">
        <f t="shared" si="25"/>
        <v>0</v>
      </c>
      <c r="DI6" s="393"/>
      <c r="DJ6" s="394"/>
      <c r="DK6" s="395"/>
      <c r="DL6" s="396"/>
      <c r="DM6" s="394"/>
      <c r="DN6" s="395"/>
      <c r="DO6" s="397"/>
      <c r="DP6" s="405"/>
      <c r="DQ6" s="398"/>
      <c r="DR6" s="398"/>
      <c r="DS6" s="393"/>
      <c r="DT6" s="394"/>
      <c r="DU6" s="395">
        <f t="shared" ref="DU6:DU79" si="76">SUM(DS6:DT6)</f>
        <v>0</v>
      </c>
      <c r="DV6" s="396"/>
      <c r="DW6" s="394"/>
      <c r="DX6" s="395">
        <f t="shared" ref="DX6:DX79" si="77">SUM(DV6:DW6)</f>
        <v>0</v>
      </c>
      <c r="DY6" s="397">
        <f t="shared" ref="DY6:DY79" si="78">SUM(DS6+DV6)</f>
        <v>0</v>
      </c>
      <c r="DZ6" s="405">
        <f t="shared" ref="DZ6:DZ79" si="79">SUM(DT6+DW6)</f>
        <v>0</v>
      </c>
      <c r="EA6" s="398">
        <f t="shared" ref="EA6:EA79" si="80">SUM(DY6:DZ6)</f>
        <v>0</v>
      </c>
      <c r="EB6" s="398"/>
      <c r="EC6" s="393"/>
      <c r="ED6" s="394"/>
      <c r="EE6" s="395"/>
      <c r="EF6" s="396"/>
      <c r="EG6" s="394"/>
      <c r="EH6" s="395"/>
      <c r="EI6" s="397"/>
      <c r="EJ6" s="405"/>
      <c r="EK6" s="398"/>
      <c r="EL6" s="398"/>
      <c r="EM6" s="393"/>
      <c r="EN6" s="394"/>
      <c r="EO6" s="395"/>
      <c r="EP6" s="396"/>
      <c r="EQ6" s="394"/>
      <c r="ER6" s="395"/>
      <c r="ES6" s="397"/>
      <c r="ET6" s="405"/>
      <c r="EU6" s="398"/>
      <c r="EV6" s="398"/>
      <c r="EW6" s="492">
        <f t="shared" ref="EW6:EW8" si="81">SUM(ES6+EI6+DY6+DO6)</f>
        <v>0</v>
      </c>
      <c r="EX6" s="487">
        <f t="shared" ref="EX6:EX8" si="82">SUM(ET6+EJ6+DZ6+DP6)</f>
        <v>0</v>
      </c>
      <c r="EY6" s="487">
        <f t="shared" ref="EY6:EY8" si="83">SUM(EO6+EE6+DU6+DK6)</f>
        <v>0</v>
      </c>
      <c r="EZ6" s="487">
        <f t="shared" ref="EZ6:EZ8" si="84">SUM(ER6+EH6+DX6+DN6)</f>
        <v>0</v>
      </c>
      <c r="FA6" s="474"/>
      <c r="FB6" s="474">
        <f t="shared" ref="FB6:FB8" si="85">SUM(EW6:EX6)</f>
        <v>0</v>
      </c>
      <c r="FC6" s="475"/>
      <c r="FD6" s="547">
        <f t="shared" si="31"/>
        <v>0</v>
      </c>
      <c r="FE6" s="547">
        <f t="shared" si="32"/>
        <v>0</v>
      </c>
      <c r="FF6" s="547">
        <f t="shared" si="33"/>
        <v>0</v>
      </c>
      <c r="FG6" s="547">
        <f t="shared" si="34"/>
        <v>0</v>
      </c>
      <c r="FH6" s="577">
        <f t="shared" si="35"/>
        <v>0</v>
      </c>
      <c r="FI6" s="577">
        <f t="shared" si="36"/>
        <v>0</v>
      </c>
      <c r="FJ6" s="577">
        <f t="shared" si="37"/>
        <v>0</v>
      </c>
      <c r="FK6" s="577">
        <f t="shared" si="38"/>
        <v>0</v>
      </c>
      <c r="FL6" s="577">
        <f t="shared" si="39"/>
        <v>0</v>
      </c>
      <c r="FM6" s="577">
        <f t="shared" si="40"/>
        <v>0</v>
      </c>
      <c r="FN6" s="393">
        <v>0</v>
      </c>
      <c r="FO6" s="394">
        <v>0</v>
      </c>
      <c r="FP6" s="395">
        <f t="shared" ref="FP6:FP11" si="86">SUM(FN6:FO6)</f>
        <v>0</v>
      </c>
      <c r="FQ6" s="396">
        <v>0</v>
      </c>
      <c r="FR6" s="394">
        <v>0</v>
      </c>
      <c r="FS6" s="395">
        <f t="shared" ref="FS6:FS11" si="87">SUM(FQ6:FR6)</f>
        <v>0</v>
      </c>
      <c r="FT6" s="397">
        <f t="shared" ref="FT6:FT11" si="88">FN6+FQ6</f>
        <v>0</v>
      </c>
      <c r="FU6" s="405">
        <f t="shared" ref="FU6:FU11" si="89">FO6+FR6</f>
        <v>0</v>
      </c>
      <c r="FV6" s="398">
        <f t="shared" ref="FV6:FV11" si="90">SUM(FT6:FU6)</f>
        <v>0</v>
      </c>
      <c r="FW6" s="398"/>
      <c r="FX6" s="393"/>
      <c r="FY6" s="394"/>
      <c r="FZ6" s="395"/>
      <c r="GA6" s="396"/>
      <c r="GB6" s="394"/>
      <c r="GC6" s="395"/>
      <c r="GD6" s="397">
        <f t="shared" si="41"/>
        <v>0</v>
      </c>
      <c r="GE6" s="405">
        <f t="shared" si="42"/>
        <v>0</v>
      </c>
      <c r="GF6" s="398">
        <f t="shared" si="43"/>
        <v>0</v>
      </c>
      <c r="GG6" s="398"/>
      <c r="GH6" s="393"/>
      <c r="GI6" s="394"/>
      <c r="GJ6" s="395"/>
      <c r="GK6" s="396"/>
      <c r="GL6" s="394"/>
      <c r="GM6" s="395"/>
      <c r="GN6" s="397">
        <f t="shared" si="44"/>
        <v>0</v>
      </c>
      <c r="GO6" s="405">
        <f t="shared" si="45"/>
        <v>0</v>
      </c>
      <c r="GP6" s="398">
        <f t="shared" si="46"/>
        <v>0</v>
      </c>
      <c r="GQ6" s="398"/>
      <c r="GR6" s="650">
        <f t="shared" si="47"/>
        <v>0</v>
      </c>
      <c r="GS6" s="650">
        <f t="shared" si="48"/>
        <v>0</v>
      </c>
      <c r="GT6" s="650">
        <f t="shared" si="49"/>
        <v>0</v>
      </c>
      <c r="GU6" s="650">
        <f t="shared" si="50"/>
        <v>0</v>
      </c>
      <c r="GV6" s="650">
        <f t="shared" si="51"/>
        <v>0</v>
      </c>
      <c r="GW6" s="650">
        <f t="shared" si="52"/>
        <v>0</v>
      </c>
      <c r="GX6" s="393"/>
      <c r="GY6" s="394"/>
      <c r="GZ6" s="395">
        <f t="shared" si="53"/>
        <v>0</v>
      </c>
      <c r="HA6" s="396"/>
      <c r="HB6" s="394"/>
      <c r="HC6" s="395">
        <f t="shared" si="54"/>
        <v>0</v>
      </c>
      <c r="HD6" s="397">
        <f t="shared" si="55"/>
        <v>0</v>
      </c>
      <c r="HE6" s="405">
        <f t="shared" si="56"/>
        <v>0</v>
      </c>
      <c r="HF6" s="398">
        <f t="shared" si="57"/>
        <v>0</v>
      </c>
      <c r="HG6" s="398"/>
      <c r="HH6" s="492">
        <f t="shared" si="58"/>
        <v>0</v>
      </c>
      <c r="HI6" s="487">
        <f t="shared" si="59"/>
        <v>0</v>
      </c>
      <c r="HJ6" s="487">
        <f t="shared" si="60"/>
        <v>0</v>
      </c>
      <c r="HK6" s="487">
        <f t="shared" si="61"/>
        <v>0</v>
      </c>
      <c r="HL6" s="487">
        <f t="shared" si="62"/>
        <v>0</v>
      </c>
      <c r="HM6" s="487">
        <f t="shared" si="63"/>
        <v>0</v>
      </c>
      <c r="HN6" s="474"/>
      <c r="HO6" s="474">
        <f t="shared" si="64"/>
        <v>0</v>
      </c>
      <c r="HP6" s="475" t="e">
        <f>HO6/HN6</f>
        <v>#DIV/0!</v>
      </c>
      <c r="HQ6" s="547">
        <f t="shared" si="65"/>
        <v>0</v>
      </c>
      <c r="HR6" s="547">
        <f t="shared" si="66"/>
        <v>0</v>
      </c>
      <c r="HS6" s="547">
        <f t="shared" si="67"/>
        <v>0</v>
      </c>
      <c r="HT6" s="547">
        <f t="shared" si="68"/>
        <v>0</v>
      </c>
      <c r="HU6" s="393"/>
      <c r="HV6" s="394"/>
      <c r="HW6" s="395">
        <f t="shared" si="69"/>
        <v>0</v>
      </c>
      <c r="HX6" s="396"/>
      <c r="HY6" s="394"/>
      <c r="HZ6" s="395">
        <f t="shared" si="70"/>
        <v>0</v>
      </c>
      <c r="IA6" s="397">
        <f t="shared" si="71"/>
        <v>0</v>
      </c>
      <c r="IB6" s="405">
        <f t="shared" si="72"/>
        <v>0</v>
      </c>
      <c r="IC6" s="398">
        <f t="shared" si="73"/>
        <v>0</v>
      </c>
      <c r="ID6" s="398"/>
      <c r="IE6" s="393"/>
      <c r="IF6" s="394"/>
      <c r="IG6" s="395"/>
      <c r="IH6" s="396"/>
      <c r="II6" s="394"/>
      <c r="IJ6" s="395"/>
      <c r="IK6" s="397"/>
      <c r="IL6" s="405"/>
      <c r="IM6" s="398"/>
      <c r="IN6" s="398"/>
      <c r="IO6" s="393"/>
      <c r="IP6" s="394"/>
      <c r="IQ6" s="395"/>
      <c r="IR6" s="396"/>
      <c r="IS6" s="394"/>
      <c r="IT6" s="395"/>
      <c r="IU6" s="397"/>
      <c r="IV6" s="405"/>
      <c r="IW6" s="398"/>
      <c r="IX6" s="398"/>
      <c r="IY6" s="393"/>
      <c r="IZ6" s="394"/>
      <c r="JA6" s="395"/>
      <c r="JB6" s="396"/>
      <c r="JC6" s="394"/>
      <c r="JD6" s="395"/>
      <c r="JE6" s="397"/>
      <c r="JF6" s="405"/>
      <c r="JG6" s="398"/>
      <c r="JH6" s="398"/>
      <c r="JI6" s="494"/>
      <c r="JJ6" s="479"/>
      <c r="JK6" s="479"/>
      <c r="JL6" s="479"/>
      <c r="JM6" s="474"/>
      <c r="JN6" s="474">
        <f t="shared" si="74"/>
        <v>0</v>
      </c>
      <c r="JO6" s="475" t="e">
        <f>JN6/JM6</f>
        <v>#DIV/0!</v>
      </c>
      <c r="JP6" s="393"/>
      <c r="JQ6" s="394"/>
      <c r="JR6" s="395"/>
      <c r="JS6" s="396"/>
      <c r="JT6" s="394"/>
      <c r="JU6" s="395"/>
      <c r="JV6" s="397"/>
      <c r="JW6" s="405"/>
      <c r="JX6" s="398"/>
      <c r="JY6" s="398"/>
      <c r="JZ6" s="577">
        <f t="shared" si="1"/>
        <v>0</v>
      </c>
      <c r="KA6" s="412">
        <f t="shared" si="2"/>
        <v>0</v>
      </c>
      <c r="KB6" s="412">
        <f t="shared" si="3"/>
        <v>0</v>
      </c>
      <c r="KC6" s="412">
        <f t="shared" si="4"/>
        <v>0</v>
      </c>
      <c r="KD6" s="412">
        <f t="shared" si="5"/>
        <v>0</v>
      </c>
      <c r="KE6" s="412">
        <f t="shared" si="6"/>
        <v>0</v>
      </c>
      <c r="KF6" s="693">
        <f t="shared" si="6"/>
        <v>0</v>
      </c>
      <c r="KG6" s="687">
        <f t="shared" si="75"/>
        <v>0</v>
      </c>
      <c r="KH6" s="677"/>
      <c r="KI6" s="677">
        <f>KH6-KG6</f>
        <v>0</v>
      </c>
      <c r="KJ6" s="676" t="e">
        <f>KG6/KH6</f>
        <v>#DIV/0!</v>
      </c>
      <c r="KK6" s="359">
        <f>KA4+KA5</f>
        <v>464</v>
      </c>
      <c r="KL6" s="359"/>
      <c r="KM6" s="359"/>
      <c r="KN6" s="359"/>
      <c r="KO6" s="359"/>
      <c r="KP6" s="359"/>
      <c r="KQ6" s="359"/>
    </row>
    <row r="7" spans="1:303" ht="34.5" customHeight="1" x14ac:dyDescent="0.3">
      <c r="A7" s="745"/>
      <c r="B7" s="385" t="s">
        <v>134</v>
      </c>
      <c r="C7" s="391"/>
      <c r="D7" s="392"/>
      <c r="E7" s="393"/>
      <c r="F7" s="394"/>
      <c r="G7" s="395"/>
      <c r="H7" s="396"/>
      <c r="I7" s="394"/>
      <c r="J7" s="395"/>
      <c r="K7" s="397"/>
      <c r="L7" s="398"/>
      <c r="M7" s="398"/>
      <c r="N7" s="399"/>
      <c r="O7" s="393"/>
      <c r="P7" s="394"/>
      <c r="Q7" s="400"/>
      <c r="R7" s="396"/>
      <c r="S7" s="394"/>
      <c r="T7" s="400"/>
      <c r="U7" s="397"/>
      <c r="V7" s="398"/>
      <c r="W7" s="398"/>
      <c r="X7" s="399"/>
      <c r="Y7" s="393"/>
      <c r="Z7" s="394"/>
      <c r="AA7" s="400"/>
      <c r="AB7" s="396"/>
      <c r="AC7" s="394"/>
      <c r="AD7" s="400"/>
      <c r="AE7" s="397"/>
      <c r="AF7" s="405"/>
      <c r="AG7" s="398"/>
      <c r="AH7" s="403"/>
      <c r="AI7" s="393"/>
      <c r="AJ7" s="394"/>
      <c r="AK7" s="395"/>
      <c r="AL7" s="396"/>
      <c r="AM7" s="394"/>
      <c r="AN7" s="395"/>
      <c r="AO7" s="397"/>
      <c r="AP7" s="398"/>
      <c r="AQ7" s="398"/>
      <c r="AR7" s="413"/>
      <c r="AS7" s="486"/>
      <c r="AT7" s="487"/>
      <c r="AU7" s="487"/>
      <c r="AV7" s="487"/>
      <c r="AW7" s="478"/>
      <c r="AX7" s="479"/>
      <c r="AY7" s="537"/>
      <c r="AZ7" s="547">
        <f t="shared" si="12"/>
        <v>0</v>
      </c>
      <c r="BA7" s="547">
        <f t="shared" si="13"/>
        <v>0</v>
      </c>
      <c r="BB7" s="547">
        <f t="shared" si="14"/>
        <v>0</v>
      </c>
      <c r="BC7" s="547">
        <f t="shared" si="15"/>
        <v>0</v>
      </c>
      <c r="BD7" s="393"/>
      <c r="BE7" s="394"/>
      <c r="BF7" s="395"/>
      <c r="BG7" s="396"/>
      <c r="BH7" s="394"/>
      <c r="BI7" s="395"/>
      <c r="BJ7" s="397"/>
      <c r="BK7" s="398"/>
      <c r="BL7" s="405"/>
      <c r="BM7" s="398"/>
      <c r="BN7" s="393"/>
      <c r="BO7" s="394"/>
      <c r="BP7" s="395"/>
      <c r="BQ7" s="396"/>
      <c r="BR7" s="394"/>
      <c r="BS7" s="395"/>
      <c r="BT7" s="397"/>
      <c r="BU7" s="405"/>
      <c r="BV7" s="398"/>
      <c r="BW7" s="398"/>
      <c r="BX7" s="626">
        <f t="shared" si="16"/>
        <v>0</v>
      </c>
      <c r="BY7" s="626">
        <f t="shared" si="17"/>
        <v>0</v>
      </c>
      <c r="BZ7" s="626">
        <f t="shared" si="18"/>
        <v>0</v>
      </c>
      <c r="CA7" s="626">
        <f t="shared" si="19"/>
        <v>0</v>
      </c>
      <c r="CB7" s="625">
        <f t="shared" si="20"/>
        <v>0</v>
      </c>
      <c r="CC7" s="393"/>
      <c r="CD7" s="394"/>
      <c r="CE7" s="395"/>
      <c r="CF7" s="396"/>
      <c r="CG7" s="394"/>
      <c r="CH7" s="495"/>
      <c r="CI7" s="397"/>
      <c r="CJ7" s="398"/>
      <c r="CK7" s="398"/>
      <c r="CL7" s="414"/>
      <c r="CM7" s="393"/>
      <c r="CN7" s="394"/>
      <c r="CO7" s="395"/>
      <c r="CP7" s="396"/>
      <c r="CQ7" s="394"/>
      <c r="CR7" s="395"/>
      <c r="CS7" s="397"/>
      <c r="CT7" s="398"/>
      <c r="CU7" s="405"/>
      <c r="CV7" s="402"/>
      <c r="CW7" s="492"/>
      <c r="CX7" s="487"/>
      <c r="CY7" s="487"/>
      <c r="CZ7" s="487"/>
      <c r="DA7" s="474"/>
      <c r="DB7" s="474"/>
      <c r="DC7" s="475"/>
      <c r="DD7" s="547">
        <f t="shared" si="21"/>
        <v>0</v>
      </c>
      <c r="DE7" s="547">
        <f t="shared" si="22"/>
        <v>0</v>
      </c>
      <c r="DF7" s="547">
        <f t="shared" si="23"/>
        <v>0</v>
      </c>
      <c r="DG7" s="547">
        <f t="shared" si="24"/>
        <v>0</v>
      </c>
      <c r="DH7" s="576">
        <f t="shared" si="25"/>
        <v>0</v>
      </c>
      <c r="DI7" s="393"/>
      <c r="DJ7" s="394"/>
      <c r="DK7" s="395"/>
      <c r="DL7" s="396"/>
      <c r="DM7" s="394"/>
      <c r="DN7" s="395"/>
      <c r="DO7" s="397"/>
      <c r="DP7" s="405"/>
      <c r="DQ7" s="398"/>
      <c r="DR7" s="398"/>
      <c r="DS7" s="393"/>
      <c r="DT7" s="394"/>
      <c r="DU7" s="395"/>
      <c r="DV7" s="396"/>
      <c r="DW7" s="394"/>
      <c r="DX7" s="395"/>
      <c r="DY7" s="397"/>
      <c r="DZ7" s="405"/>
      <c r="EA7" s="398"/>
      <c r="EB7" s="398"/>
      <c r="EC7" s="393">
        <v>2</v>
      </c>
      <c r="ED7" s="394">
        <v>0</v>
      </c>
      <c r="EE7" s="395">
        <f>SUM(EC7:ED7)</f>
        <v>2</v>
      </c>
      <c r="EF7" s="396">
        <v>0</v>
      </c>
      <c r="EG7" s="394">
        <v>0</v>
      </c>
      <c r="EH7" s="395">
        <f>SUM(EF7:EG7)</f>
        <v>0</v>
      </c>
      <c r="EI7" s="397">
        <f t="shared" ref="EI7:EJ9" si="91">SUM(EC7+EF7)</f>
        <v>2</v>
      </c>
      <c r="EJ7" s="405">
        <f t="shared" si="91"/>
        <v>0</v>
      </c>
      <c r="EK7" s="398">
        <f>SUM(EI7:EJ7)</f>
        <v>2</v>
      </c>
      <c r="EL7" s="398"/>
      <c r="EM7" s="393"/>
      <c r="EN7" s="394"/>
      <c r="EO7" s="395"/>
      <c r="EP7" s="396"/>
      <c r="EQ7" s="394"/>
      <c r="ER7" s="395"/>
      <c r="ES7" s="397"/>
      <c r="ET7" s="405"/>
      <c r="EU7" s="398"/>
      <c r="EV7" s="398"/>
      <c r="EW7" s="492">
        <f t="shared" si="81"/>
        <v>2</v>
      </c>
      <c r="EX7" s="487">
        <f t="shared" si="82"/>
        <v>0</v>
      </c>
      <c r="EY7" s="487">
        <f t="shared" si="83"/>
        <v>2</v>
      </c>
      <c r="EZ7" s="487">
        <f t="shared" si="84"/>
        <v>0</v>
      </c>
      <c r="FA7" s="474"/>
      <c r="FB7" s="474">
        <f t="shared" si="85"/>
        <v>2</v>
      </c>
      <c r="FC7" s="475"/>
      <c r="FD7" s="547">
        <f t="shared" si="31"/>
        <v>2</v>
      </c>
      <c r="FE7" s="547">
        <f t="shared" si="32"/>
        <v>0</v>
      </c>
      <c r="FF7" s="547">
        <f t="shared" si="33"/>
        <v>0</v>
      </c>
      <c r="FG7" s="547">
        <f t="shared" si="34"/>
        <v>0</v>
      </c>
      <c r="FH7" s="577">
        <f t="shared" si="35"/>
        <v>2</v>
      </c>
      <c r="FI7" s="577">
        <f t="shared" si="36"/>
        <v>0</v>
      </c>
      <c r="FJ7" s="577">
        <f t="shared" si="37"/>
        <v>2</v>
      </c>
      <c r="FK7" s="577">
        <f t="shared" si="38"/>
        <v>2</v>
      </c>
      <c r="FL7" s="577">
        <f t="shared" si="39"/>
        <v>0</v>
      </c>
      <c r="FM7" s="577">
        <f t="shared" si="40"/>
        <v>2</v>
      </c>
      <c r="FN7" s="393">
        <v>0</v>
      </c>
      <c r="FO7" s="394">
        <v>0</v>
      </c>
      <c r="FP7" s="395">
        <f t="shared" si="86"/>
        <v>0</v>
      </c>
      <c r="FQ7" s="396">
        <v>0</v>
      </c>
      <c r="FR7" s="394">
        <v>0</v>
      </c>
      <c r="FS7" s="395">
        <f t="shared" si="87"/>
        <v>0</v>
      </c>
      <c r="FT7" s="397">
        <f t="shared" si="88"/>
        <v>0</v>
      </c>
      <c r="FU7" s="405">
        <f t="shared" si="89"/>
        <v>0</v>
      </c>
      <c r="FV7" s="398">
        <f t="shared" si="90"/>
        <v>0</v>
      </c>
      <c r="FW7" s="398"/>
      <c r="FX7" s="393"/>
      <c r="FY7" s="394"/>
      <c r="FZ7" s="395"/>
      <c r="GA7" s="396"/>
      <c r="GB7" s="394"/>
      <c r="GC7" s="395"/>
      <c r="GD7" s="397">
        <f t="shared" si="41"/>
        <v>0</v>
      </c>
      <c r="GE7" s="405">
        <f t="shared" si="42"/>
        <v>0</v>
      </c>
      <c r="GF7" s="398">
        <f t="shared" si="43"/>
        <v>0</v>
      </c>
      <c r="GG7" s="398"/>
      <c r="GH7" s="393"/>
      <c r="GI7" s="394"/>
      <c r="GJ7" s="395"/>
      <c r="GK7" s="396"/>
      <c r="GL7" s="394"/>
      <c r="GM7" s="395"/>
      <c r="GN7" s="397">
        <f t="shared" si="44"/>
        <v>0</v>
      </c>
      <c r="GO7" s="405">
        <f t="shared" si="45"/>
        <v>0</v>
      </c>
      <c r="GP7" s="398">
        <f t="shared" si="46"/>
        <v>0</v>
      </c>
      <c r="GQ7" s="398"/>
      <c r="GR7" s="650">
        <f t="shared" si="47"/>
        <v>2</v>
      </c>
      <c r="GS7" s="650">
        <f t="shared" si="48"/>
        <v>0</v>
      </c>
      <c r="GT7" s="650">
        <f t="shared" si="49"/>
        <v>2</v>
      </c>
      <c r="GU7" s="650">
        <f t="shared" si="50"/>
        <v>0</v>
      </c>
      <c r="GV7" s="650">
        <f t="shared" si="51"/>
        <v>0</v>
      </c>
      <c r="GW7" s="650">
        <f t="shared" si="52"/>
        <v>0</v>
      </c>
      <c r="GX7" s="393"/>
      <c r="GY7" s="394"/>
      <c r="GZ7" s="395">
        <f t="shared" si="53"/>
        <v>0</v>
      </c>
      <c r="HA7" s="396"/>
      <c r="HB7" s="394"/>
      <c r="HC7" s="395">
        <f t="shared" si="54"/>
        <v>0</v>
      </c>
      <c r="HD7" s="397">
        <f t="shared" si="55"/>
        <v>0</v>
      </c>
      <c r="HE7" s="405">
        <f t="shared" si="56"/>
        <v>0</v>
      </c>
      <c r="HF7" s="398">
        <f t="shared" si="57"/>
        <v>0</v>
      </c>
      <c r="HG7" s="398"/>
      <c r="HH7" s="492">
        <f t="shared" si="58"/>
        <v>0</v>
      </c>
      <c r="HI7" s="487">
        <f t="shared" si="59"/>
        <v>0</v>
      </c>
      <c r="HJ7" s="487">
        <f t="shared" si="60"/>
        <v>0</v>
      </c>
      <c r="HK7" s="487">
        <f t="shared" si="61"/>
        <v>0</v>
      </c>
      <c r="HL7" s="487">
        <f t="shared" si="62"/>
        <v>0</v>
      </c>
      <c r="HM7" s="487">
        <f t="shared" si="63"/>
        <v>0</v>
      </c>
      <c r="HN7" s="474"/>
      <c r="HO7" s="474">
        <f t="shared" si="64"/>
        <v>0</v>
      </c>
      <c r="HP7" s="475"/>
      <c r="HQ7" s="547">
        <f t="shared" si="65"/>
        <v>0</v>
      </c>
      <c r="HR7" s="547">
        <f t="shared" si="66"/>
        <v>0</v>
      </c>
      <c r="HS7" s="547">
        <f t="shared" si="67"/>
        <v>0</v>
      </c>
      <c r="HT7" s="547">
        <f t="shared" si="68"/>
        <v>0</v>
      </c>
      <c r="HU7" s="393"/>
      <c r="HV7" s="394"/>
      <c r="HW7" s="395">
        <f t="shared" si="69"/>
        <v>0</v>
      </c>
      <c r="HX7" s="396"/>
      <c r="HY7" s="394"/>
      <c r="HZ7" s="395">
        <f t="shared" si="70"/>
        <v>0</v>
      </c>
      <c r="IA7" s="397">
        <f t="shared" si="71"/>
        <v>0</v>
      </c>
      <c r="IB7" s="405">
        <f t="shared" si="72"/>
        <v>0</v>
      </c>
      <c r="IC7" s="398">
        <f t="shared" si="73"/>
        <v>0</v>
      </c>
      <c r="ID7" s="398"/>
      <c r="IE7" s="393"/>
      <c r="IF7" s="394"/>
      <c r="IG7" s="395"/>
      <c r="IH7" s="396"/>
      <c r="II7" s="394"/>
      <c r="IJ7" s="395"/>
      <c r="IK7" s="397"/>
      <c r="IL7" s="405"/>
      <c r="IM7" s="398"/>
      <c r="IN7" s="398"/>
      <c r="IO7" s="393"/>
      <c r="IP7" s="394"/>
      <c r="IQ7" s="395"/>
      <c r="IR7" s="396"/>
      <c r="IS7" s="394"/>
      <c r="IT7" s="395"/>
      <c r="IU7" s="397"/>
      <c r="IV7" s="405"/>
      <c r="IW7" s="398"/>
      <c r="IX7" s="398"/>
      <c r="IY7" s="393"/>
      <c r="IZ7" s="394"/>
      <c r="JA7" s="395"/>
      <c r="JB7" s="396"/>
      <c r="JC7" s="394"/>
      <c r="JD7" s="395"/>
      <c r="JE7" s="397"/>
      <c r="JF7" s="405"/>
      <c r="JG7" s="398"/>
      <c r="JH7" s="398"/>
      <c r="JI7" s="494"/>
      <c r="JJ7" s="479"/>
      <c r="JK7" s="479"/>
      <c r="JL7" s="479"/>
      <c r="JM7" s="474"/>
      <c r="JN7" s="474">
        <f t="shared" si="74"/>
        <v>0</v>
      </c>
      <c r="JO7" s="475"/>
      <c r="JP7" s="393"/>
      <c r="JQ7" s="394"/>
      <c r="JR7" s="395"/>
      <c r="JS7" s="396"/>
      <c r="JT7" s="394"/>
      <c r="JU7" s="395"/>
      <c r="JV7" s="397"/>
      <c r="JW7" s="405"/>
      <c r="JX7" s="398"/>
      <c r="JY7" s="398"/>
      <c r="JZ7" s="577">
        <f t="shared" si="1"/>
        <v>2</v>
      </c>
      <c r="KA7" s="412">
        <f t="shared" si="2"/>
        <v>2</v>
      </c>
      <c r="KB7" s="412">
        <f t="shared" si="3"/>
        <v>0</v>
      </c>
      <c r="KC7" s="412">
        <f t="shared" si="4"/>
        <v>2</v>
      </c>
      <c r="KD7" s="412">
        <f t="shared" si="5"/>
        <v>0</v>
      </c>
      <c r="KE7" s="412">
        <f t="shared" si="6"/>
        <v>0</v>
      </c>
      <c r="KF7" s="693">
        <f t="shared" si="6"/>
        <v>0</v>
      </c>
      <c r="KG7" s="687"/>
      <c r="KH7" s="677"/>
      <c r="KI7" s="677"/>
      <c r="KJ7" s="676"/>
      <c r="KK7" s="359"/>
      <c r="KL7" s="359"/>
      <c r="KM7" s="359"/>
      <c r="KN7" s="359"/>
      <c r="KO7" s="359"/>
      <c r="KP7" s="359"/>
      <c r="KQ7" s="359"/>
    </row>
    <row r="8" spans="1:303" ht="36.75" customHeight="1" x14ac:dyDescent="0.3">
      <c r="A8" s="745"/>
      <c r="B8" s="385" t="s">
        <v>9</v>
      </c>
      <c r="C8" s="391" t="s">
        <v>130</v>
      </c>
      <c r="D8" s="392">
        <v>100</v>
      </c>
      <c r="E8" s="393"/>
      <c r="F8" s="394"/>
      <c r="G8" s="395"/>
      <c r="H8" s="396"/>
      <c r="I8" s="394"/>
      <c r="J8" s="395"/>
      <c r="K8" s="397"/>
      <c r="L8" s="398"/>
      <c r="M8" s="398"/>
      <c r="N8" s="399"/>
      <c r="O8" s="393"/>
      <c r="P8" s="394"/>
      <c r="Q8" s="400"/>
      <c r="R8" s="396"/>
      <c r="S8" s="394"/>
      <c r="T8" s="400"/>
      <c r="U8" s="397"/>
      <c r="V8" s="398"/>
      <c r="W8" s="398"/>
      <c r="X8" s="399"/>
      <c r="Y8" s="393"/>
      <c r="Z8" s="394"/>
      <c r="AA8" s="400"/>
      <c r="AB8" s="396"/>
      <c r="AC8" s="394"/>
      <c r="AD8" s="400"/>
      <c r="AE8" s="397"/>
      <c r="AF8" s="405"/>
      <c r="AG8" s="398"/>
      <c r="AH8" s="403"/>
      <c r="AI8" s="393">
        <v>2</v>
      </c>
      <c r="AJ8" s="394">
        <v>0</v>
      </c>
      <c r="AK8" s="395">
        <f>AI8+AJ8</f>
        <v>2</v>
      </c>
      <c r="AL8" s="396">
        <v>0</v>
      </c>
      <c r="AM8" s="394">
        <v>0</v>
      </c>
      <c r="AN8" s="395">
        <f>AL8+AM8</f>
        <v>0</v>
      </c>
      <c r="AO8" s="397">
        <f>AI8+AL8</f>
        <v>2</v>
      </c>
      <c r="AP8" s="398">
        <f>AJ8+AM8</f>
        <v>0</v>
      </c>
      <c r="AQ8" s="398">
        <f>AP8+AO8</f>
        <v>2</v>
      </c>
      <c r="AR8" s="404"/>
      <c r="AS8" s="486">
        <f t="shared" si="7"/>
        <v>2</v>
      </c>
      <c r="AT8" s="487">
        <f t="shared" si="8"/>
        <v>0</v>
      </c>
      <c r="AU8" s="487">
        <f t="shared" si="9"/>
        <v>2</v>
      </c>
      <c r="AV8" s="487">
        <f t="shared" si="10"/>
        <v>0</v>
      </c>
      <c r="AW8" s="478"/>
      <c r="AX8" s="479">
        <f t="shared" si="11"/>
        <v>2</v>
      </c>
      <c r="AY8" s="537"/>
      <c r="AZ8" s="547">
        <f t="shared" si="12"/>
        <v>2</v>
      </c>
      <c r="BA8" s="547">
        <f t="shared" si="13"/>
        <v>0</v>
      </c>
      <c r="BB8" s="547">
        <f t="shared" si="14"/>
        <v>0</v>
      </c>
      <c r="BC8" s="547">
        <f t="shared" si="15"/>
        <v>0</v>
      </c>
      <c r="BD8" s="393">
        <v>2</v>
      </c>
      <c r="BE8" s="394">
        <v>0</v>
      </c>
      <c r="BF8" s="395">
        <f>BD8+BE8</f>
        <v>2</v>
      </c>
      <c r="BG8" s="396">
        <v>0</v>
      </c>
      <c r="BH8" s="394">
        <v>0</v>
      </c>
      <c r="BI8" s="395">
        <f>BG8+BH8</f>
        <v>0</v>
      </c>
      <c r="BJ8" s="397">
        <f>BD8+BG8</f>
        <v>2</v>
      </c>
      <c r="BK8" s="398">
        <f>BE8+BH8</f>
        <v>0</v>
      </c>
      <c r="BL8" s="405">
        <f>BJ8+BK8</f>
        <v>2</v>
      </c>
      <c r="BM8" s="398"/>
      <c r="BN8" s="393"/>
      <c r="BO8" s="394"/>
      <c r="BP8" s="395"/>
      <c r="BQ8" s="396"/>
      <c r="BR8" s="394"/>
      <c r="BS8" s="395"/>
      <c r="BT8" s="397"/>
      <c r="BU8" s="405"/>
      <c r="BV8" s="398"/>
      <c r="BW8" s="398"/>
      <c r="BX8" s="626">
        <f t="shared" si="16"/>
        <v>4</v>
      </c>
      <c r="BY8" s="626">
        <f t="shared" si="17"/>
        <v>0</v>
      </c>
      <c r="BZ8" s="626">
        <f t="shared" si="18"/>
        <v>0</v>
      </c>
      <c r="CA8" s="626">
        <f t="shared" si="19"/>
        <v>0</v>
      </c>
      <c r="CB8" s="625">
        <f t="shared" si="20"/>
        <v>4</v>
      </c>
      <c r="CC8" s="393">
        <v>4</v>
      </c>
      <c r="CD8" s="394">
        <v>0</v>
      </c>
      <c r="CE8" s="395">
        <f>SUM(CC8:CD8)</f>
        <v>4</v>
      </c>
      <c r="CF8" s="396">
        <v>0</v>
      </c>
      <c r="CG8" s="394">
        <v>0</v>
      </c>
      <c r="CH8" s="417">
        <f>SUM(CF8:CG8)</f>
        <v>0</v>
      </c>
      <c r="CI8" s="397">
        <f>SUM(CC8+CF8)</f>
        <v>4</v>
      </c>
      <c r="CJ8" s="398">
        <f>SUM(CD8+CG8)</f>
        <v>0</v>
      </c>
      <c r="CK8" s="398">
        <f>SUM(CI8:CJ8)</f>
        <v>4</v>
      </c>
      <c r="CL8" s="414"/>
      <c r="CM8" s="393"/>
      <c r="CN8" s="394"/>
      <c r="CO8" s="395"/>
      <c r="CP8" s="396"/>
      <c r="CQ8" s="394"/>
      <c r="CR8" s="395"/>
      <c r="CS8" s="397"/>
      <c r="CT8" s="398"/>
      <c r="CU8" s="405"/>
      <c r="CV8" s="405"/>
      <c r="CW8" s="492">
        <f t="shared" ref="CW8:CY14" si="92">SUM(CS8+CI8+BT8+BJ8)</f>
        <v>6</v>
      </c>
      <c r="CX8" s="487">
        <f t="shared" si="92"/>
        <v>0</v>
      </c>
      <c r="CY8" s="487">
        <f t="shared" si="92"/>
        <v>6</v>
      </c>
      <c r="CZ8" s="487">
        <f t="shared" ref="CZ8:CZ14" si="93">SUM(CR8+CH8+BS8+BI8)</f>
        <v>0</v>
      </c>
      <c r="DA8" s="474">
        <v>1000</v>
      </c>
      <c r="DB8" s="474">
        <f t="shared" ref="DB8:DB14" si="94">SUM(CW8:CX8)</f>
        <v>6</v>
      </c>
      <c r="DC8" s="475"/>
      <c r="DD8" s="547">
        <f t="shared" si="21"/>
        <v>6</v>
      </c>
      <c r="DE8" s="547">
        <f t="shared" si="22"/>
        <v>0</v>
      </c>
      <c r="DF8" s="547">
        <f t="shared" si="23"/>
        <v>0</v>
      </c>
      <c r="DG8" s="547">
        <f t="shared" si="24"/>
        <v>0</v>
      </c>
      <c r="DH8" s="576">
        <f t="shared" si="25"/>
        <v>8</v>
      </c>
      <c r="DI8" s="393"/>
      <c r="DJ8" s="394"/>
      <c r="DK8" s="395"/>
      <c r="DL8" s="396"/>
      <c r="DM8" s="394"/>
      <c r="DN8" s="395"/>
      <c r="DO8" s="397"/>
      <c r="DP8" s="405"/>
      <c r="DQ8" s="398"/>
      <c r="DR8" s="398"/>
      <c r="DS8" s="393">
        <v>3</v>
      </c>
      <c r="DT8" s="394">
        <v>0</v>
      </c>
      <c r="DU8" s="395">
        <f t="shared" si="76"/>
        <v>3</v>
      </c>
      <c r="DV8" s="396">
        <v>0</v>
      </c>
      <c r="DW8" s="394">
        <v>0</v>
      </c>
      <c r="DX8" s="395">
        <f t="shared" si="77"/>
        <v>0</v>
      </c>
      <c r="DY8" s="397">
        <f t="shared" si="78"/>
        <v>3</v>
      </c>
      <c r="DZ8" s="405">
        <f t="shared" si="79"/>
        <v>0</v>
      </c>
      <c r="EA8" s="398">
        <f t="shared" si="80"/>
        <v>3</v>
      </c>
      <c r="EB8" s="398"/>
      <c r="EC8" s="393">
        <v>21</v>
      </c>
      <c r="ED8" s="394">
        <v>0</v>
      </c>
      <c r="EE8" s="395">
        <f>SUM(EC8:ED8)</f>
        <v>21</v>
      </c>
      <c r="EF8" s="396">
        <v>0</v>
      </c>
      <c r="EG8" s="394">
        <v>0</v>
      </c>
      <c r="EH8" s="395">
        <f>SUM(EF8:EG8)</f>
        <v>0</v>
      </c>
      <c r="EI8" s="397">
        <f t="shared" si="91"/>
        <v>21</v>
      </c>
      <c r="EJ8" s="405">
        <f t="shared" si="91"/>
        <v>0</v>
      </c>
      <c r="EK8" s="398">
        <f>SUM(EI8:EJ8)</f>
        <v>21</v>
      </c>
      <c r="EL8" s="398"/>
      <c r="EM8" s="393">
        <v>13</v>
      </c>
      <c r="EN8" s="394">
        <v>0</v>
      </c>
      <c r="EO8" s="395">
        <f>SUM(EM8:EN8)</f>
        <v>13</v>
      </c>
      <c r="EP8" s="396">
        <v>0</v>
      </c>
      <c r="EQ8" s="394">
        <v>0</v>
      </c>
      <c r="ER8" s="395">
        <f>SUM(EP8:EQ8)</f>
        <v>0</v>
      </c>
      <c r="ES8" s="397">
        <f>SUM(EM8+EP8)</f>
        <v>13</v>
      </c>
      <c r="ET8" s="405">
        <f>SUM(EN8+EQ8)</f>
        <v>0</v>
      </c>
      <c r="EU8" s="398">
        <f>SUM(ES8:ET8)</f>
        <v>13</v>
      </c>
      <c r="EV8" s="398"/>
      <c r="EW8" s="492">
        <f t="shared" si="81"/>
        <v>37</v>
      </c>
      <c r="EX8" s="487">
        <f t="shared" si="82"/>
        <v>0</v>
      </c>
      <c r="EY8" s="487">
        <f t="shared" si="83"/>
        <v>37</v>
      </c>
      <c r="EZ8" s="487">
        <f t="shared" si="84"/>
        <v>0</v>
      </c>
      <c r="FA8" s="474"/>
      <c r="FB8" s="474">
        <f t="shared" si="85"/>
        <v>37</v>
      </c>
      <c r="FC8" s="475"/>
      <c r="FD8" s="547">
        <f t="shared" si="31"/>
        <v>41</v>
      </c>
      <c r="FE8" s="547">
        <f t="shared" si="32"/>
        <v>0</v>
      </c>
      <c r="FF8" s="547">
        <f t="shared" si="33"/>
        <v>0</v>
      </c>
      <c r="FG8" s="547">
        <f t="shared" si="34"/>
        <v>0</v>
      </c>
      <c r="FH8" s="577">
        <f t="shared" si="35"/>
        <v>41</v>
      </c>
      <c r="FI8" s="577">
        <f t="shared" si="36"/>
        <v>0</v>
      </c>
      <c r="FJ8" s="577">
        <f t="shared" si="37"/>
        <v>41</v>
      </c>
      <c r="FK8" s="577">
        <f t="shared" si="38"/>
        <v>45</v>
      </c>
      <c r="FL8" s="577">
        <f t="shared" si="39"/>
        <v>0</v>
      </c>
      <c r="FM8" s="577">
        <f t="shared" si="40"/>
        <v>45</v>
      </c>
      <c r="FN8" s="393">
        <v>7</v>
      </c>
      <c r="FO8" s="394">
        <v>0</v>
      </c>
      <c r="FP8" s="395">
        <f t="shared" si="86"/>
        <v>7</v>
      </c>
      <c r="FQ8" s="396">
        <v>0</v>
      </c>
      <c r="FR8" s="394">
        <v>0</v>
      </c>
      <c r="FS8" s="395">
        <f t="shared" si="87"/>
        <v>0</v>
      </c>
      <c r="FT8" s="397">
        <f t="shared" si="88"/>
        <v>7</v>
      </c>
      <c r="FU8" s="405">
        <f t="shared" si="89"/>
        <v>0</v>
      </c>
      <c r="FV8" s="398">
        <f t="shared" si="90"/>
        <v>7</v>
      </c>
      <c r="FW8" s="398"/>
      <c r="FX8" s="393"/>
      <c r="FY8" s="394"/>
      <c r="FZ8" s="395"/>
      <c r="GA8" s="396"/>
      <c r="GB8" s="394"/>
      <c r="GC8" s="395"/>
      <c r="GD8" s="397">
        <f t="shared" si="41"/>
        <v>0</v>
      </c>
      <c r="GE8" s="405">
        <f t="shared" si="42"/>
        <v>0</v>
      </c>
      <c r="GF8" s="398">
        <f t="shared" si="43"/>
        <v>0</v>
      </c>
      <c r="GG8" s="398"/>
      <c r="GH8" s="393"/>
      <c r="GI8" s="394"/>
      <c r="GJ8" s="395"/>
      <c r="GK8" s="396"/>
      <c r="GL8" s="394"/>
      <c r="GM8" s="395"/>
      <c r="GN8" s="397">
        <f>GH8+GK8</f>
        <v>0</v>
      </c>
      <c r="GO8" s="405">
        <f t="shared" si="45"/>
        <v>0</v>
      </c>
      <c r="GP8" s="398">
        <f t="shared" si="46"/>
        <v>0</v>
      </c>
      <c r="GQ8" s="398"/>
      <c r="GR8" s="650">
        <f t="shared" si="47"/>
        <v>50</v>
      </c>
      <c r="GS8" s="650">
        <f t="shared" si="48"/>
        <v>0</v>
      </c>
      <c r="GT8" s="650">
        <f t="shared" si="49"/>
        <v>50</v>
      </c>
      <c r="GU8" s="650">
        <f t="shared" si="50"/>
        <v>0</v>
      </c>
      <c r="GV8" s="650">
        <f t="shared" si="51"/>
        <v>0</v>
      </c>
      <c r="GW8" s="650">
        <f t="shared" si="52"/>
        <v>0</v>
      </c>
      <c r="GX8" s="393"/>
      <c r="GY8" s="394"/>
      <c r="GZ8" s="395">
        <f t="shared" si="53"/>
        <v>0</v>
      </c>
      <c r="HA8" s="396"/>
      <c r="HB8" s="394"/>
      <c r="HC8" s="395">
        <f t="shared" si="54"/>
        <v>0</v>
      </c>
      <c r="HD8" s="397">
        <f t="shared" si="55"/>
        <v>0</v>
      </c>
      <c r="HE8" s="405">
        <f t="shared" si="56"/>
        <v>0</v>
      </c>
      <c r="HF8" s="398">
        <f t="shared" si="57"/>
        <v>0</v>
      </c>
      <c r="HG8" s="398"/>
      <c r="HH8" s="492">
        <f t="shared" si="58"/>
        <v>7</v>
      </c>
      <c r="HI8" s="487">
        <f t="shared" si="59"/>
        <v>0</v>
      </c>
      <c r="HJ8" s="487">
        <f t="shared" si="60"/>
        <v>7</v>
      </c>
      <c r="HK8" s="487">
        <f t="shared" si="61"/>
        <v>0</v>
      </c>
      <c r="HL8" s="487">
        <f t="shared" si="62"/>
        <v>0</v>
      </c>
      <c r="HM8" s="487">
        <f t="shared" si="63"/>
        <v>0</v>
      </c>
      <c r="HN8" s="474">
        <v>100</v>
      </c>
      <c r="HO8" s="474">
        <f t="shared" si="64"/>
        <v>7</v>
      </c>
      <c r="HP8" s="475"/>
      <c r="HQ8" s="547">
        <f t="shared" si="65"/>
        <v>7</v>
      </c>
      <c r="HR8" s="547">
        <f t="shared" si="66"/>
        <v>0</v>
      </c>
      <c r="HS8" s="547">
        <f t="shared" si="67"/>
        <v>0</v>
      </c>
      <c r="HT8" s="547">
        <f t="shared" si="68"/>
        <v>0</v>
      </c>
      <c r="HU8" s="393"/>
      <c r="HV8" s="394"/>
      <c r="HW8" s="395">
        <f t="shared" si="69"/>
        <v>0</v>
      </c>
      <c r="HX8" s="396"/>
      <c r="HY8" s="394"/>
      <c r="HZ8" s="395">
        <f t="shared" si="70"/>
        <v>0</v>
      </c>
      <c r="IA8" s="397">
        <f t="shared" si="71"/>
        <v>0</v>
      </c>
      <c r="IB8" s="405">
        <f t="shared" si="72"/>
        <v>0</v>
      </c>
      <c r="IC8" s="398">
        <f t="shared" si="73"/>
        <v>0</v>
      </c>
      <c r="ID8" s="398"/>
      <c r="IE8" s="393"/>
      <c r="IF8" s="394"/>
      <c r="IG8" s="395"/>
      <c r="IH8" s="396"/>
      <c r="II8" s="394"/>
      <c r="IJ8" s="395"/>
      <c r="IK8" s="397"/>
      <c r="IL8" s="405"/>
      <c r="IM8" s="398"/>
      <c r="IN8" s="398"/>
      <c r="IO8" s="393"/>
      <c r="IP8" s="394"/>
      <c r="IQ8" s="395"/>
      <c r="IR8" s="396"/>
      <c r="IS8" s="394"/>
      <c r="IT8" s="395"/>
      <c r="IU8" s="397"/>
      <c r="IV8" s="405"/>
      <c r="IW8" s="398"/>
      <c r="IX8" s="398"/>
      <c r="IY8" s="393"/>
      <c r="IZ8" s="394"/>
      <c r="JA8" s="395"/>
      <c r="JB8" s="396"/>
      <c r="JC8" s="394"/>
      <c r="JD8" s="395"/>
      <c r="JE8" s="397"/>
      <c r="JF8" s="405"/>
      <c r="JG8" s="398"/>
      <c r="JH8" s="398"/>
      <c r="JI8" s="494">
        <f>SUM(JE8+IU8+IK8+IA8)</f>
        <v>0</v>
      </c>
      <c r="JJ8" s="479">
        <v>0</v>
      </c>
      <c r="JK8" s="479"/>
      <c r="JL8" s="479"/>
      <c r="JM8" s="474">
        <v>100</v>
      </c>
      <c r="JN8" s="474">
        <f t="shared" si="74"/>
        <v>0</v>
      </c>
      <c r="JO8" s="475"/>
      <c r="JP8" s="393"/>
      <c r="JQ8" s="394"/>
      <c r="JR8" s="395"/>
      <c r="JS8" s="396"/>
      <c r="JT8" s="394"/>
      <c r="JU8" s="395"/>
      <c r="JV8" s="397"/>
      <c r="JW8" s="405"/>
      <c r="JX8" s="398"/>
      <c r="JY8" s="398"/>
      <c r="JZ8" s="577">
        <f t="shared" si="1"/>
        <v>44</v>
      </c>
      <c r="KA8" s="412">
        <f t="shared" si="2"/>
        <v>52</v>
      </c>
      <c r="KB8" s="412">
        <f t="shared" si="3"/>
        <v>0</v>
      </c>
      <c r="KC8" s="412">
        <f t="shared" si="4"/>
        <v>52</v>
      </c>
      <c r="KD8" s="412">
        <f t="shared" si="5"/>
        <v>0</v>
      </c>
      <c r="KE8" s="412">
        <f t="shared" si="6"/>
        <v>0</v>
      </c>
      <c r="KF8" s="693">
        <f t="shared" si="6"/>
        <v>0</v>
      </c>
      <c r="KG8" s="687">
        <f t="shared" si="75"/>
        <v>52</v>
      </c>
      <c r="KH8" s="677">
        <v>100</v>
      </c>
      <c r="KI8" s="677">
        <f t="shared" ref="KI8:KI17" si="95">KH8-KG8</f>
        <v>48</v>
      </c>
      <c r="KJ8" s="676">
        <f t="shared" ref="KJ8:KJ17" si="96">KG8/KH8</f>
        <v>0.52</v>
      </c>
      <c r="KK8" s="359"/>
      <c r="KL8" s="359"/>
      <c r="KM8" s="359"/>
      <c r="KN8" s="359"/>
      <c r="KO8" s="359"/>
      <c r="KP8" s="359"/>
      <c r="KQ8" s="359"/>
    </row>
    <row r="9" spans="1:303" ht="33.75" customHeight="1" x14ac:dyDescent="0.3">
      <c r="A9" s="745"/>
      <c r="B9" s="391" t="s">
        <v>10</v>
      </c>
      <c r="C9" s="391" t="s">
        <v>130</v>
      </c>
      <c r="D9" s="392">
        <v>9</v>
      </c>
      <c r="E9" s="393"/>
      <c r="F9" s="394"/>
      <c r="G9" s="395"/>
      <c r="H9" s="396"/>
      <c r="I9" s="394"/>
      <c r="J9" s="395"/>
      <c r="K9" s="397"/>
      <c r="L9" s="398"/>
      <c r="M9" s="398"/>
      <c r="N9" s="399"/>
      <c r="O9" s="393"/>
      <c r="P9" s="394"/>
      <c r="Q9" s="400"/>
      <c r="R9" s="396"/>
      <c r="S9" s="394"/>
      <c r="T9" s="400">
        <f>SUM(R9:S9)</f>
        <v>0</v>
      </c>
      <c r="U9" s="397">
        <f>SUM(O9+R9)</f>
        <v>0</v>
      </c>
      <c r="V9" s="398">
        <f>SUM(P9+S9)</f>
        <v>0</v>
      </c>
      <c r="W9" s="398">
        <f>SUM(U9:V9)</f>
        <v>0</v>
      </c>
      <c r="X9" s="399"/>
      <c r="Y9" s="393"/>
      <c r="Z9" s="394"/>
      <c r="AA9" s="400"/>
      <c r="AB9" s="396"/>
      <c r="AC9" s="394"/>
      <c r="AD9" s="400"/>
      <c r="AE9" s="397"/>
      <c r="AF9" s="405"/>
      <c r="AG9" s="398"/>
      <c r="AH9" s="403"/>
      <c r="AI9" s="393"/>
      <c r="AJ9" s="394"/>
      <c r="AK9" s="395"/>
      <c r="AL9" s="396"/>
      <c r="AM9" s="394"/>
      <c r="AN9" s="395"/>
      <c r="AO9" s="397">
        <f>SUM(AI9+AL9)</f>
        <v>0</v>
      </c>
      <c r="AP9" s="398">
        <f>SUM(AJ9+AM9)</f>
        <v>0</v>
      </c>
      <c r="AQ9" s="398">
        <f>SUM(AO9:AP9)</f>
        <v>0</v>
      </c>
      <c r="AR9" s="404"/>
      <c r="AS9" s="486">
        <f t="shared" si="7"/>
        <v>0</v>
      </c>
      <c r="AT9" s="487">
        <f t="shared" si="8"/>
        <v>0</v>
      </c>
      <c r="AU9" s="487">
        <f t="shared" si="9"/>
        <v>0</v>
      </c>
      <c r="AV9" s="487">
        <f t="shared" si="10"/>
        <v>0</v>
      </c>
      <c r="AW9" s="478"/>
      <c r="AX9" s="479">
        <f t="shared" si="11"/>
        <v>0</v>
      </c>
      <c r="AY9" s="537" t="e">
        <f>AX9/AW9</f>
        <v>#DIV/0!</v>
      </c>
      <c r="AZ9" s="547">
        <f t="shared" si="12"/>
        <v>0</v>
      </c>
      <c r="BA9" s="547">
        <f t="shared" si="13"/>
        <v>0</v>
      </c>
      <c r="BB9" s="547">
        <f t="shared" si="14"/>
        <v>0</v>
      </c>
      <c r="BC9" s="547">
        <f t="shared" si="15"/>
        <v>0</v>
      </c>
      <c r="BD9" s="393"/>
      <c r="BE9" s="394"/>
      <c r="BF9" s="395">
        <f>SUM(BD9:BE9)</f>
        <v>0</v>
      </c>
      <c r="BG9" s="396"/>
      <c r="BH9" s="394"/>
      <c r="BI9" s="395">
        <f>SUM(BG9:BH9)</f>
        <v>0</v>
      </c>
      <c r="BJ9" s="397">
        <f>SUM(BD9+BG9)</f>
        <v>0</v>
      </c>
      <c r="BK9" s="398">
        <f>SUM(BE9+BH9)</f>
        <v>0</v>
      </c>
      <c r="BL9" s="405">
        <v>1</v>
      </c>
      <c r="BM9" s="398"/>
      <c r="BN9" s="393"/>
      <c r="BO9" s="394"/>
      <c r="BP9" s="395"/>
      <c r="BQ9" s="396"/>
      <c r="BR9" s="394"/>
      <c r="BS9" s="395">
        <f>SUM(BQ9:BR9)</f>
        <v>0</v>
      </c>
      <c r="BT9" s="397">
        <f>SUM(BN9+BQ9)</f>
        <v>0</v>
      </c>
      <c r="BU9" s="405">
        <f>SUM(BO9+BR9)</f>
        <v>0</v>
      </c>
      <c r="BV9" s="398">
        <f>SUM(BT9:BU9)</f>
        <v>0</v>
      </c>
      <c r="BW9" s="398"/>
      <c r="BX9" s="626">
        <f t="shared" si="16"/>
        <v>0</v>
      </c>
      <c r="BY9" s="626">
        <f t="shared" si="17"/>
        <v>0</v>
      </c>
      <c r="BZ9" s="626">
        <f t="shared" si="18"/>
        <v>0</v>
      </c>
      <c r="CA9" s="626">
        <f t="shared" si="19"/>
        <v>0</v>
      </c>
      <c r="CB9" s="625">
        <f t="shared" si="20"/>
        <v>0</v>
      </c>
      <c r="CC9" s="393"/>
      <c r="CD9" s="394"/>
      <c r="CE9" s="395"/>
      <c r="CF9" s="396"/>
      <c r="CG9" s="394"/>
      <c r="CH9" s="410">
        <f>SUM(CF9:CG9)</f>
        <v>0</v>
      </c>
      <c r="CI9" s="397">
        <f>SUM(CC9+CF9)</f>
        <v>0</v>
      </c>
      <c r="CJ9" s="398">
        <f>SUM(CD9+CG9)</f>
        <v>0</v>
      </c>
      <c r="CK9" s="398">
        <f>SUM(CI9:CJ9)</f>
        <v>0</v>
      </c>
      <c r="CL9" s="414"/>
      <c r="CM9" s="393"/>
      <c r="CN9" s="394"/>
      <c r="CO9" s="395"/>
      <c r="CP9" s="396"/>
      <c r="CQ9" s="394"/>
      <c r="CR9" s="395">
        <f>SUM(CP9:CQ9)</f>
        <v>0</v>
      </c>
      <c r="CS9" s="397">
        <f>SUM(CM9+CP9)</f>
        <v>0</v>
      </c>
      <c r="CT9" s="398">
        <f>SUM(CN9+CQ9)</f>
        <v>0</v>
      </c>
      <c r="CU9" s="405">
        <f>SUM(CS9:CT9)</f>
        <v>0</v>
      </c>
      <c r="CV9" s="405"/>
      <c r="CW9" s="492">
        <f t="shared" si="92"/>
        <v>0</v>
      </c>
      <c r="CX9" s="487">
        <f t="shared" si="92"/>
        <v>0</v>
      </c>
      <c r="CY9" s="487">
        <f t="shared" si="92"/>
        <v>1</v>
      </c>
      <c r="CZ9" s="487">
        <f t="shared" si="93"/>
        <v>0</v>
      </c>
      <c r="DA9" s="474">
        <v>9</v>
      </c>
      <c r="DB9" s="474">
        <f t="shared" si="94"/>
        <v>0</v>
      </c>
      <c r="DC9" s="475">
        <f>DB9/DA9</f>
        <v>0</v>
      </c>
      <c r="DD9" s="547">
        <f t="shared" si="21"/>
        <v>0</v>
      </c>
      <c r="DE9" s="547">
        <f t="shared" si="22"/>
        <v>0</v>
      </c>
      <c r="DF9" s="547">
        <f t="shared" si="23"/>
        <v>0</v>
      </c>
      <c r="DG9" s="547">
        <f t="shared" si="24"/>
        <v>0</v>
      </c>
      <c r="DH9" s="576">
        <f t="shared" si="25"/>
        <v>0</v>
      </c>
      <c r="DI9" s="393"/>
      <c r="DJ9" s="394"/>
      <c r="DK9" s="395"/>
      <c r="DL9" s="396"/>
      <c r="DM9" s="394"/>
      <c r="DN9" s="395">
        <f>SUM(DL9:DM9)</f>
        <v>0</v>
      </c>
      <c r="DO9" s="397">
        <f>SUM(DI9+DL9)</f>
        <v>0</v>
      </c>
      <c r="DP9" s="405">
        <f>SUM(DJ9+DM9)</f>
        <v>0</v>
      </c>
      <c r="DQ9" s="398">
        <f>SUM(DO9:DP9)</f>
        <v>0</v>
      </c>
      <c r="DR9" s="398"/>
      <c r="DS9" s="393"/>
      <c r="DT9" s="394"/>
      <c r="DU9" s="395">
        <f t="shared" si="76"/>
        <v>0</v>
      </c>
      <c r="DV9" s="396"/>
      <c r="DW9" s="394"/>
      <c r="DX9" s="395">
        <f t="shared" si="77"/>
        <v>0</v>
      </c>
      <c r="DY9" s="397">
        <f t="shared" si="78"/>
        <v>0</v>
      </c>
      <c r="DZ9" s="405">
        <f t="shared" si="79"/>
        <v>0</v>
      </c>
      <c r="EA9" s="398">
        <f t="shared" si="80"/>
        <v>0</v>
      </c>
      <c r="EB9" s="398"/>
      <c r="EC9" s="393"/>
      <c r="ED9" s="394"/>
      <c r="EE9" s="395"/>
      <c r="EF9" s="396"/>
      <c r="EG9" s="394"/>
      <c r="EH9" s="395">
        <f>SUM(EF9:EG9)</f>
        <v>0</v>
      </c>
      <c r="EI9" s="397">
        <f t="shared" si="91"/>
        <v>0</v>
      </c>
      <c r="EJ9" s="405">
        <f t="shared" si="91"/>
        <v>0</v>
      </c>
      <c r="EK9" s="398">
        <v>0</v>
      </c>
      <c r="EL9" s="398"/>
      <c r="EM9" s="393"/>
      <c r="EN9" s="394"/>
      <c r="EO9" s="395"/>
      <c r="EP9" s="396"/>
      <c r="EQ9" s="394"/>
      <c r="ER9" s="395">
        <f>SUM(EP9:EQ9)</f>
        <v>0</v>
      </c>
      <c r="ES9" s="397">
        <f>SUM(EM9+EP9)</f>
        <v>0</v>
      </c>
      <c r="ET9" s="405">
        <f>SUM(EN9+EQ9)</f>
        <v>0</v>
      </c>
      <c r="EU9" s="398">
        <v>1</v>
      </c>
      <c r="EV9" s="398"/>
      <c r="EW9" s="492">
        <f t="shared" si="26"/>
        <v>0</v>
      </c>
      <c r="EX9" s="487">
        <f t="shared" si="27"/>
        <v>0</v>
      </c>
      <c r="EY9" s="487">
        <f t="shared" si="28"/>
        <v>0</v>
      </c>
      <c r="EZ9" s="487">
        <f t="shared" si="29"/>
        <v>0</v>
      </c>
      <c r="FA9" s="474"/>
      <c r="FB9" s="474">
        <v>1</v>
      </c>
      <c r="FC9" s="475" t="e">
        <f>FB9/FA9</f>
        <v>#DIV/0!</v>
      </c>
      <c r="FD9" s="547">
        <f t="shared" si="31"/>
        <v>0</v>
      </c>
      <c r="FE9" s="547">
        <f t="shared" si="32"/>
        <v>0</v>
      </c>
      <c r="FF9" s="547">
        <f t="shared" si="33"/>
        <v>0</v>
      </c>
      <c r="FG9" s="547">
        <f t="shared" si="34"/>
        <v>0</v>
      </c>
      <c r="FH9" s="577">
        <f t="shared" si="35"/>
        <v>0</v>
      </c>
      <c r="FI9" s="577">
        <f t="shared" si="36"/>
        <v>0</v>
      </c>
      <c r="FJ9" s="577">
        <v>2</v>
      </c>
      <c r="FK9" s="577">
        <f t="shared" si="38"/>
        <v>0</v>
      </c>
      <c r="FL9" s="577">
        <f t="shared" si="39"/>
        <v>0</v>
      </c>
      <c r="FM9" s="577">
        <f t="shared" si="40"/>
        <v>0</v>
      </c>
      <c r="FN9" s="393">
        <v>0</v>
      </c>
      <c r="FO9" s="394">
        <v>0</v>
      </c>
      <c r="FP9" s="395">
        <f t="shared" si="86"/>
        <v>0</v>
      </c>
      <c r="FQ9" s="396">
        <v>0</v>
      </c>
      <c r="FR9" s="394">
        <v>0</v>
      </c>
      <c r="FS9" s="395">
        <f t="shared" si="87"/>
        <v>0</v>
      </c>
      <c r="FT9" s="397">
        <f t="shared" si="88"/>
        <v>0</v>
      </c>
      <c r="FU9" s="405">
        <f t="shared" si="89"/>
        <v>0</v>
      </c>
      <c r="FV9" s="398">
        <f t="shared" si="90"/>
        <v>0</v>
      </c>
      <c r="FW9" s="398"/>
      <c r="FX9" s="393"/>
      <c r="FY9" s="394"/>
      <c r="FZ9" s="395"/>
      <c r="GA9" s="396"/>
      <c r="GB9" s="394"/>
      <c r="GC9" s="395">
        <f>SUM(GA9:GB9)</f>
        <v>0</v>
      </c>
      <c r="GD9" s="397">
        <f t="shared" si="41"/>
        <v>0</v>
      </c>
      <c r="GE9" s="405">
        <f t="shared" si="42"/>
        <v>0</v>
      </c>
      <c r="GF9" s="398">
        <f t="shared" si="43"/>
        <v>0</v>
      </c>
      <c r="GG9" s="398"/>
      <c r="GH9" s="393"/>
      <c r="GI9" s="394"/>
      <c r="GJ9" s="395"/>
      <c r="GK9" s="396"/>
      <c r="GL9" s="394"/>
      <c r="GM9" s="395">
        <f>SUM(GK9:GL9)</f>
        <v>0</v>
      </c>
      <c r="GN9" s="397">
        <f t="shared" ref="GN9:GN32" si="97">GH9+GK9</f>
        <v>0</v>
      </c>
      <c r="GO9" s="405">
        <f t="shared" ref="GO9:GO32" si="98">GI9+GL9</f>
        <v>0</v>
      </c>
      <c r="GP9" s="398">
        <f t="shared" ref="GP9:GP32" si="99">GN9+GO9</f>
        <v>0</v>
      </c>
      <c r="GQ9" s="398"/>
      <c r="GR9" s="650">
        <f t="shared" si="47"/>
        <v>0</v>
      </c>
      <c r="GS9" s="650">
        <f t="shared" si="48"/>
        <v>0</v>
      </c>
      <c r="GT9" s="650">
        <f t="shared" si="49"/>
        <v>0</v>
      </c>
      <c r="GU9" s="650">
        <f t="shared" si="50"/>
        <v>0</v>
      </c>
      <c r="GV9" s="650">
        <f t="shared" si="51"/>
        <v>0</v>
      </c>
      <c r="GW9" s="650">
        <f t="shared" si="52"/>
        <v>0</v>
      </c>
      <c r="GX9" s="393"/>
      <c r="GY9" s="394"/>
      <c r="GZ9" s="395">
        <f t="shared" si="53"/>
        <v>0</v>
      </c>
      <c r="HA9" s="396"/>
      <c r="HB9" s="394"/>
      <c r="HC9" s="395">
        <f t="shared" si="54"/>
        <v>0</v>
      </c>
      <c r="HD9" s="397">
        <f t="shared" si="55"/>
        <v>0</v>
      </c>
      <c r="HE9" s="405">
        <f t="shared" si="56"/>
        <v>0</v>
      </c>
      <c r="HF9" s="398">
        <f t="shared" si="57"/>
        <v>0</v>
      </c>
      <c r="HG9" s="398"/>
      <c r="HH9" s="492">
        <f t="shared" si="58"/>
        <v>0</v>
      </c>
      <c r="HI9" s="487">
        <f t="shared" si="59"/>
        <v>0</v>
      </c>
      <c r="HJ9" s="487">
        <f t="shared" si="60"/>
        <v>0</v>
      </c>
      <c r="HK9" s="487">
        <f t="shared" si="61"/>
        <v>0</v>
      </c>
      <c r="HL9" s="487">
        <f t="shared" si="62"/>
        <v>0</v>
      </c>
      <c r="HM9" s="487">
        <f t="shared" si="63"/>
        <v>0</v>
      </c>
      <c r="HN9" s="474"/>
      <c r="HO9" s="474">
        <f t="shared" si="64"/>
        <v>0</v>
      </c>
      <c r="HP9" s="475" t="e">
        <f>HO9/HN9</f>
        <v>#DIV/0!</v>
      </c>
      <c r="HQ9" s="547">
        <f t="shared" si="65"/>
        <v>0</v>
      </c>
      <c r="HR9" s="547">
        <f t="shared" si="66"/>
        <v>0</v>
      </c>
      <c r="HS9" s="547">
        <f t="shared" si="67"/>
        <v>0</v>
      </c>
      <c r="HT9" s="547">
        <f t="shared" si="68"/>
        <v>0</v>
      </c>
      <c r="HU9" s="393"/>
      <c r="HV9" s="394"/>
      <c r="HW9" s="395">
        <f t="shared" si="69"/>
        <v>0</v>
      </c>
      <c r="HX9" s="396"/>
      <c r="HY9" s="394"/>
      <c r="HZ9" s="395">
        <f t="shared" si="70"/>
        <v>0</v>
      </c>
      <c r="IA9" s="397">
        <f t="shared" si="71"/>
        <v>0</v>
      </c>
      <c r="IB9" s="405">
        <f t="shared" si="72"/>
        <v>0</v>
      </c>
      <c r="IC9" s="398">
        <f t="shared" si="73"/>
        <v>0</v>
      </c>
      <c r="ID9" s="398"/>
      <c r="IE9" s="393"/>
      <c r="IF9" s="394"/>
      <c r="IG9" s="395"/>
      <c r="IH9" s="396"/>
      <c r="II9" s="394"/>
      <c r="IJ9" s="395">
        <f>SUM(IH9:II9)</f>
        <v>0</v>
      </c>
      <c r="IK9" s="397">
        <f>SUM(IE9+IH9)</f>
        <v>0</v>
      </c>
      <c r="IL9" s="405">
        <f>SUM(IF9+II9)</f>
        <v>0</v>
      </c>
      <c r="IM9" s="398">
        <f>SUM(IK9:IL9)</f>
        <v>0</v>
      </c>
      <c r="IN9" s="398"/>
      <c r="IO9" s="393"/>
      <c r="IP9" s="394"/>
      <c r="IQ9" s="395"/>
      <c r="IR9" s="396"/>
      <c r="IS9" s="394"/>
      <c r="IT9" s="395">
        <f>SUM(IR9:IS9)</f>
        <v>0</v>
      </c>
      <c r="IU9" s="397">
        <f>SUM(IO9+IR9)</f>
        <v>0</v>
      </c>
      <c r="IV9" s="405">
        <f>SUM(IP9+IS9)</f>
        <v>0</v>
      </c>
      <c r="IW9" s="398">
        <f>SUM(IU9:IV9)</f>
        <v>0</v>
      </c>
      <c r="IX9" s="398"/>
      <c r="IY9" s="393"/>
      <c r="IZ9" s="394"/>
      <c r="JA9" s="395"/>
      <c r="JB9" s="396"/>
      <c r="JC9" s="394"/>
      <c r="JD9" s="395">
        <f>SUM(JB9:JC9)</f>
        <v>0</v>
      </c>
      <c r="JE9" s="397">
        <f>SUM(IY9+JB9)</f>
        <v>0</v>
      </c>
      <c r="JF9" s="405">
        <f>SUM(IZ9+JC9)</f>
        <v>0</v>
      </c>
      <c r="JG9" s="398">
        <f>SUM(JE9:JF9)</f>
        <v>0</v>
      </c>
      <c r="JH9" s="398"/>
      <c r="JI9" s="494">
        <f>SUM(IA9+IK9+IU9)</f>
        <v>0</v>
      </c>
      <c r="JJ9" s="479">
        <f>SUM(IB9+IL9+IV9)</f>
        <v>0</v>
      </c>
      <c r="JK9" s="479">
        <f>SUM(IG9+IQ9+HW9)</f>
        <v>0</v>
      </c>
      <c r="JL9" s="479">
        <f>SUM(HZ9+IJ9+IT9)</f>
        <v>0</v>
      </c>
      <c r="JM9" s="474"/>
      <c r="JN9" s="474">
        <f t="shared" si="74"/>
        <v>0</v>
      </c>
      <c r="JO9" s="475" t="e">
        <f>JN9/JM9</f>
        <v>#DIV/0!</v>
      </c>
      <c r="JP9" s="393"/>
      <c r="JQ9" s="394"/>
      <c r="JR9" s="395"/>
      <c r="JS9" s="396"/>
      <c r="JT9" s="394"/>
      <c r="JU9" s="395">
        <f>SUM(JS9:JT9)</f>
        <v>0</v>
      </c>
      <c r="JV9" s="397">
        <f>SUM(JP9+JS9)</f>
        <v>0</v>
      </c>
      <c r="JW9" s="405">
        <f>SUM(JQ9+JT9)</f>
        <v>0</v>
      </c>
      <c r="JX9" s="398">
        <f>SUM(JV9:JW9)</f>
        <v>0</v>
      </c>
      <c r="JY9" s="398"/>
      <c r="JZ9" s="577">
        <f t="shared" si="1"/>
        <v>1</v>
      </c>
      <c r="KA9" s="412">
        <f t="shared" si="2"/>
        <v>0</v>
      </c>
      <c r="KB9" s="412">
        <f t="shared" si="3"/>
        <v>0</v>
      </c>
      <c r="KC9" s="412">
        <f t="shared" si="4"/>
        <v>0</v>
      </c>
      <c r="KD9" s="412">
        <f t="shared" si="5"/>
        <v>0</v>
      </c>
      <c r="KE9" s="412">
        <v>2</v>
      </c>
      <c r="KF9" s="693">
        <f t="shared" ref="KF9:KF17" si="100">SUM(JT9+JC9+IS9+II9+HY9+HB9+GL9+GB9+FR9+EQ9+EG9+DW9+DM9+CQ9+CG9+BR9+BH9+AM9+AC9+S9+I9)</f>
        <v>0</v>
      </c>
      <c r="KG9" s="687">
        <v>2</v>
      </c>
      <c r="KH9" s="678">
        <v>9</v>
      </c>
      <c r="KI9" s="678">
        <f t="shared" si="95"/>
        <v>7</v>
      </c>
      <c r="KJ9" s="679">
        <f t="shared" si="96"/>
        <v>0.22222222222222221</v>
      </c>
      <c r="KK9" s="359"/>
      <c r="KL9" s="359"/>
      <c r="KM9" s="359"/>
      <c r="KN9" s="359"/>
      <c r="KO9" s="359"/>
      <c r="KP9" s="359"/>
      <c r="KQ9" s="359"/>
    </row>
    <row r="10" spans="1:303" ht="30.75" customHeight="1" x14ac:dyDescent="0.3">
      <c r="A10" s="757" t="s">
        <v>11</v>
      </c>
      <c r="B10" s="391" t="s">
        <v>135</v>
      </c>
      <c r="C10" s="391" t="s">
        <v>130</v>
      </c>
      <c r="D10" s="392">
        <v>130</v>
      </c>
      <c r="E10" s="393"/>
      <c r="F10" s="394"/>
      <c r="G10" s="395"/>
      <c r="H10" s="396"/>
      <c r="I10" s="394"/>
      <c r="J10" s="395"/>
      <c r="K10" s="397"/>
      <c r="L10" s="398"/>
      <c r="M10" s="398"/>
      <c r="N10" s="399"/>
      <c r="O10" s="393"/>
      <c r="P10" s="394"/>
      <c r="Q10" s="400"/>
      <c r="R10" s="396"/>
      <c r="S10" s="394"/>
      <c r="T10" s="400"/>
      <c r="U10" s="397"/>
      <c r="V10" s="398"/>
      <c r="W10" s="398"/>
      <c r="X10" s="399"/>
      <c r="Y10" s="393">
        <v>16</v>
      </c>
      <c r="Z10" s="394">
        <v>17</v>
      </c>
      <c r="AA10" s="400">
        <f>SUM(Y10:Z10)</f>
        <v>33</v>
      </c>
      <c r="AB10" s="396">
        <v>7</v>
      </c>
      <c r="AC10" s="394">
        <v>5</v>
      </c>
      <c r="AD10" s="400">
        <f>SUM(AB10:AC10)</f>
        <v>12</v>
      </c>
      <c r="AE10" s="397">
        <f t="shared" ref="AE10:AF12" si="101">SUM(Y10+AB10)</f>
        <v>23</v>
      </c>
      <c r="AF10" s="405">
        <f t="shared" si="101"/>
        <v>22</v>
      </c>
      <c r="AG10" s="398">
        <f>SUM(AE10:AF10)</f>
        <v>45</v>
      </c>
      <c r="AH10" s="403"/>
      <c r="AI10" s="393"/>
      <c r="AJ10" s="394"/>
      <c r="AK10" s="395"/>
      <c r="AL10" s="396"/>
      <c r="AM10" s="394"/>
      <c r="AN10" s="395"/>
      <c r="AO10" s="397"/>
      <c r="AP10" s="398"/>
      <c r="AQ10" s="398"/>
      <c r="AR10" s="404"/>
      <c r="AS10" s="486">
        <f t="shared" si="7"/>
        <v>23</v>
      </c>
      <c r="AT10" s="487">
        <f t="shared" si="8"/>
        <v>22</v>
      </c>
      <c r="AU10" s="487">
        <f t="shared" si="9"/>
        <v>33</v>
      </c>
      <c r="AV10" s="487">
        <f t="shared" si="10"/>
        <v>0</v>
      </c>
      <c r="AW10" s="478"/>
      <c r="AX10" s="479">
        <f t="shared" si="11"/>
        <v>45</v>
      </c>
      <c r="AY10" s="537" t="e">
        <f>AX10/AW10</f>
        <v>#DIV/0!</v>
      </c>
      <c r="AZ10" s="547">
        <f t="shared" si="12"/>
        <v>16</v>
      </c>
      <c r="BA10" s="547">
        <f t="shared" si="13"/>
        <v>17</v>
      </c>
      <c r="BB10" s="547">
        <f t="shared" si="14"/>
        <v>7</v>
      </c>
      <c r="BC10" s="547">
        <f t="shared" si="15"/>
        <v>5</v>
      </c>
      <c r="BD10" s="393">
        <v>20</v>
      </c>
      <c r="BE10" s="394">
        <v>20</v>
      </c>
      <c r="BF10" s="395">
        <f>SUM(BD10:BE10)</f>
        <v>40</v>
      </c>
      <c r="BG10" s="396">
        <v>0</v>
      </c>
      <c r="BH10" s="394">
        <v>0</v>
      </c>
      <c r="BI10" s="395">
        <f>SUM(BG10:BH10)</f>
        <v>0</v>
      </c>
      <c r="BJ10" s="397">
        <f>SUM(BD10+BG10)</f>
        <v>20</v>
      </c>
      <c r="BK10" s="398">
        <f>SUM(BE10+BH10)</f>
        <v>20</v>
      </c>
      <c r="BL10" s="405">
        <f>SUM(BJ10:BK10)</f>
        <v>40</v>
      </c>
      <c r="BM10" s="398">
        <v>1</v>
      </c>
      <c r="BN10" s="393"/>
      <c r="BO10" s="394"/>
      <c r="BP10" s="395"/>
      <c r="BQ10" s="396"/>
      <c r="BR10" s="394"/>
      <c r="BS10" s="395"/>
      <c r="BT10" s="397"/>
      <c r="BU10" s="405"/>
      <c r="BV10" s="398"/>
      <c r="BW10" s="398"/>
      <c r="BX10" s="626">
        <f t="shared" si="16"/>
        <v>36</v>
      </c>
      <c r="BY10" s="626">
        <f t="shared" si="17"/>
        <v>37</v>
      </c>
      <c r="BZ10" s="626">
        <f t="shared" si="18"/>
        <v>7</v>
      </c>
      <c r="CA10" s="626">
        <f t="shared" si="19"/>
        <v>5</v>
      </c>
      <c r="CB10" s="625">
        <f t="shared" si="20"/>
        <v>85</v>
      </c>
      <c r="CC10" s="393"/>
      <c r="CD10" s="394"/>
      <c r="CE10" s="395"/>
      <c r="CF10" s="396"/>
      <c r="CG10" s="394"/>
      <c r="CH10" s="395"/>
      <c r="CI10" s="397"/>
      <c r="CJ10" s="398"/>
      <c r="CK10" s="398"/>
      <c r="CL10" s="414"/>
      <c r="CM10" s="393"/>
      <c r="CN10" s="394"/>
      <c r="CO10" s="395"/>
      <c r="CP10" s="396"/>
      <c r="CQ10" s="394"/>
      <c r="CR10" s="395"/>
      <c r="CS10" s="397"/>
      <c r="CT10" s="398"/>
      <c r="CU10" s="405"/>
      <c r="CV10" s="405"/>
      <c r="CW10" s="492">
        <f t="shared" si="92"/>
        <v>20</v>
      </c>
      <c r="CX10" s="487">
        <f t="shared" si="92"/>
        <v>20</v>
      </c>
      <c r="CY10" s="487">
        <f t="shared" si="92"/>
        <v>40</v>
      </c>
      <c r="CZ10" s="487">
        <f t="shared" si="93"/>
        <v>0</v>
      </c>
      <c r="DA10" s="474"/>
      <c r="DB10" s="474">
        <f t="shared" si="94"/>
        <v>40</v>
      </c>
      <c r="DC10" s="475" t="e">
        <f>DB10/DA10</f>
        <v>#DIV/0!</v>
      </c>
      <c r="DD10" s="547">
        <f t="shared" si="21"/>
        <v>20</v>
      </c>
      <c r="DE10" s="547">
        <f t="shared" si="22"/>
        <v>20</v>
      </c>
      <c r="DF10" s="547">
        <f t="shared" si="23"/>
        <v>0</v>
      </c>
      <c r="DG10" s="547">
        <f t="shared" si="24"/>
        <v>0</v>
      </c>
      <c r="DH10" s="576">
        <f t="shared" si="25"/>
        <v>85</v>
      </c>
      <c r="DI10" s="393"/>
      <c r="DJ10" s="394"/>
      <c r="DK10" s="395"/>
      <c r="DL10" s="396"/>
      <c r="DM10" s="394"/>
      <c r="DN10" s="395"/>
      <c r="DO10" s="397"/>
      <c r="DP10" s="405"/>
      <c r="DQ10" s="398"/>
      <c r="DR10" s="398"/>
      <c r="DS10" s="393"/>
      <c r="DT10" s="394"/>
      <c r="DU10" s="395">
        <f t="shared" si="76"/>
        <v>0</v>
      </c>
      <c r="DV10" s="396"/>
      <c r="DW10" s="394"/>
      <c r="DX10" s="395">
        <f t="shared" si="77"/>
        <v>0</v>
      </c>
      <c r="DY10" s="397">
        <f t="shared" si="78"/>
        <v>0</v>
      </c>
      <c r="DZ10" s="405">
        <f t="shared" si="79"/>
        <v>0</v>
      </c>
      <c r="EA10" s="398">
        <f t="shared" si="80"/>
        <v>0</v>
      </c>
      <c r="EB10" s="398"/>
      <c r="EC10" s="393"/>
      <c r="ED10" s="394"/>
      <c r="EE10" s="395"/>
      <c r="EF10" s="396"/>
      <c r="EG10" s="394"/>
      <c r="EH10" s="395"/>
      <c r="EI10" s="397"/>
      <c r="EJ10" s="405"/>
      <c r="EK10" s="398"/>
      <c r="EL10" s="398"/>
      <c r="EM10" s="393"/>
      <c r="EN10" s="394"/>
      <c r="EO10" s="395"/>
      <c r="EP10" s="396"/>
      <c r="EQ10" s="394"/>
      <c r="ER10" s="395"/>
      <c r="ES10" s="397"/>
      <c r="ET10" s="405"/>
      <c r="EU10" s="398">
        <v>0</v>
      </c>
      <c r="EV10" s="398"/>
      <c r="EW10" s="492">
        <f t="shared" si="26"/>
        <v>0</v>
      </c>
      <c r="EX10" s="487">
        <f t="shared" si="27"/>
        <v>0</v>
      </c>
      <c r="EY10" s="487">
        <f t="shared" si="28"/>
        <v>0</v>
      </c>
      <c r="EZ10" s="487">
        <f t="shared" si="29"/>
        <v>0</v>
      </c>
      <c r="FA10" s="474"/>
      <c r="FB10" s="474">
        <f t="shared" si="30"/>
        <v>0</v>
      </c>
      <c r="FC10" s="475" t="e">
        <f>FB10/FA10</f>
        <v>#DIV/0!</v>
      </c>
      <c r="FD10" s="547">
        <f t="shared" si="31"/>
        <v>0</v>
      </c>
      <c r="FE10" s="547">
        <f t="shared" si="32"/>
        <v>0</v>
      </c>
      <c r="FF10" s="547">
        <f t="shared" si="33"/>
        <v>0</v>
      </c>
      <c r="FG10" s="547">
        <f t="shared" si="34"/>
        <v>0</v>
      </c>
      <c r="FH10" s="577">
        <f t="shared" si="35"/>
        <v>0</v>
      </c>
      <c r="FI10" s="577">
        <f t="shared" si="36"/>
        <v>0</v>
      </c>
      <c r="FJ10" s="577">
        <f t="shared" si="37"/>
        <v>0</v>
      </c>
      <c r="FK10" s="577">
        <f t="shared" si="38"/>
        <v>43</v>
      </c>
      <c r="FL10" s="577">
        <f t="shared" si="39"/>
        <v>42</v>
      </c>
      <c r="FM10" s="577">
        <f t="shared" si="40"/>
        <v>85</v>
      </c>
      <c r="FN10" s="393">
        <v>0</v>
      </c>
      <c r="FO10" s="394">
        <v>0</v>
      </c>
      <c r="FP10" s="395">
        <f t="shared" si="86"/>
        <v>0</v>
      </c>
      <c r="FQ10" s="396">
        <v>0</v>
      </c>
      <c r="FR10" s="394">
        <v>0</v>
      </c>
      <c r="FS10" s="395">
        <f t="shared" si="87"/>
        <v>0</v>
      </c>
      <c r="FT10" s="397">
        <f t="shared" si="88"/>
        <v>0</v>
      </c>
      <c r="FU10" s="405">
        <f t="shared" si="89"/>
        <v>0</v>
      </c>
      <c r="FV10" s="398">
        <f t="shared" si="90"/>
        <v>0</v>
      </c>
      <c r="FW10" s="398"/>
      <c r="FX10" s="393">
        <v>5</v>
      </c>
      <c r="FY10" s="394">
        <v>7</v>
      </c>
      <c r="FZ10" s="395">
        <f>SUM(FX10:FY10)</f>
        <v>12</v>
      </c>
      <c r="GA10" s="396">
        <v>0</v>
      </c>
      <c r="GB10" s="394">
        <v>0</v>
      </c>
      <c r="GC10" s="395">
        <f>SUM(GA10:GB10)</f>
        <v>0</v>
      </c>
      <c r="GD10" s="397">
        <f t="shared" si="41"/>
        <v>5</v>
      </c>
      <c r="GE10" s="405">
        <f t="shared" si="42"/>
        <v>7</v>
      </c>
      <c r="GF10" s="398">
        <f t="shared" si="43"/>
        <v>12</v>
      </c>
      <c r="GG10" s="398"/>
      <c r="GH10" s="393"/>
      <c r="GI10" s="394"/>
      <c r="GJ10" s="395"/>
      <c r="GK10" s="396"/>
      <c r="GL10" s="394"/>
      <c r="GM10" s="395"/>
      <c r="GN10" s="397">
        <f t="shared" si="97"/>
        <v>0</v>
      </c>
      <c r="GO10" s="405">
        <f t="shared" si="98"/>
        <v>0</v>
      </c>
      <c r="GP10" s="398">
        <f t="shared" si="99"/>
        <v>0</v>
      </c>
      <c r="GQ10" s="398"/>
      <c r="GR10" s="650">
        <f t="shared" si="47"/>
        <v>25</v>
      </c>
      <c r="GS10" s="650">
        <f t="shared" si="48"/>
        <v>27</v>
      </c>
      <c r="GT10" s="650">
        <f t="shared" si="49"/>
        <v>25</v>
      </c>
      <c r="GU10" s="650">
        <f t="shared" si="50"/>
        <v>27</v>
      </c>
      <c r="GV10" s="650">
        <f t="shared" si="51"/>
        <v>0</v>
      </c>
      <c r="GW10" s="650">
        <f t="shared" si="52"/>
        <v>0</v>
      </c>
      <c r="GX10" s="393"/>
      <c r="GY10" s="394"/>
      <c r="GZ10" s="395">
        <f t="shared" si="53"/>
        <v>0</v>
      </c>
      <c r="HA10" s="396"/>
      <c r="HB10" s="394"/>
      <c r="HC10" s="395">
        <f t="shared" si="54"/>
        <v>0</v>
      </c>
      <c r="HD10" s="397">
        <f t="shared" si="55"/>
        <v>0</v>
      </c>
      <c r="HE10" s="405">
        <f t="shared" si="56"/>
        <v>0</v>
      </c>
      <c r="HF10" s="398">
        <f t="shared" si="57"/>
        <v>0</v>
      </c>
      <c r="HG10" s="398"/>
      <c r="HH10" s="492">
        <f t="shared" si="58"/>
        <v>5</v>
      </c>
      <c r="HI10" s="487">
        <f t="shared" si="59"/>
        <v>7</v>
      </c>
      <c r="HJ10" s="487">
        <f t="shared" si="60"/>
        <v>5</v>
      </c>
      <c r="HK10" s="487">
        <f t="shared" si="61"/>
        <v>7</v>
      </c>
      <c r="HL10" s="487">
        <f t="shared" si="62"/>
        <v>0</v>
      </c>
      <c r="HM10" s="487">
        <f t="shared" si="63"/>
        <v>0</v>
      </c>
      <c r="HN10" s="474"/>
      <c r="HO10" s="474">
        <f t="shared" si="64"/>
        <v>12</v>
      </c>
      <c r="HP10" s="475" t="e">
        <f>HO10/HN10</f>
        <v>#DIV/0!</v>
      </c>
      <c r="HQ10" s="547">
        <f t="shared" si="65"/>
        <v>5</v>
      </c>
      <c r="HR10" s="547">
        <f t="shared" si="66"/>
        <v>7</v>
      </c>
      <c r="HS10" s="547">
        <f t="shared" si="67"/>
        <v>0</v>
      </c>
      <c r="HT10" s="547">
        <f t="shared" si="68"/>
        <v>0</v>
      </c>
      <c r="HU10" s="393"/>
      <c r="HV10" s="394"/>
      <c r="HW10" s="395">
        <f t="shared" si="69"/>
        <v>0</v>
      </c>
      <c r="HX10" s="396"/>
      <c r="HY10" s="394"/>
      <c r="HZ10" s="395">
        <f t="shared" si="70"/>
        <v>0</v>
      </c>
      <c r="IA10" s="397">
        <f t="shared" si="71"/>
        <v>0</v>
      </c>
      <c r="IB10" s="405">
        <f t="shared" si="72"/>
        <v>0</v>
      </c>
      <c r="IC10" s="398">
        <f t="shared" si="73"/>
        <v>0</v>
      </c>
      <c r="ID10" s="398"/>
      <c r="IE10" s="393"/>
      <c r="IF10" s="394"/>
      <c r="IG10" s="395"/>
      <c r="IH10" s="396"/>
      <c r="II10" s="394"/>
      <c r="IJ10" s="395"/>
      <c r="IK10" s="397"/>
      <c r="IL10" s="405"/>
      <c r="IM10" s="398"/>
      <c r="IN10" s="398"/>
      <c r="IO10" s="393"/>
      <c r="IP10" s="394"/>
      <c r="IQ10" s="395"/>
      <c r="IR10" s="396"/>
      <c r="IS10" s="394"/>
      <c r="IT10" s="395"/>
      <c r="IU10" s="397"/>
      <c r="IV10" s="405"/>
      <c r="IW10" s="398"/>
      <c r="IX10" s="398"/>
      <c r="IY10" s="393"/>
      <c r="IZ10" s="394"/>
      <c r="JA10" s="395"/>
      <c r="JB10" s="396"/>
      <c r="JC10" s="394"/>
      <c r="JD10" s="395"/>
      <c r="JE10" s="397"/>
      <c r="JF10" s="405"/>
      <c r="JG10" s="398"/>
      <c r="JH10" s="398"/>
      <c r="JI10" s="494"/>
      <c r="JJ10" s="479"/>
      <c r="JK10" s="479"/>
      <c r="JL10" s="479"/>
      <c r="JM10" s="474"/>
      <c r="JN10" s="474">
        <f t="shared" si="74"/>
        <v>0</v>
      </c>
      <c r="JO10" s="475" t="e">
        <f>JN10/JM10</f>
        <v>#DIV/0!</v>
      </c>
      <c r="JP10" s="393"/>
      <c r="JQ10" s="394"/>
      <c r="JR10" s="395"/>
      <c r="JS10" s="396"/>
      <c r="JT10" s="394"/>
      <c r="JU10" s="395"/>
      <c r="JV10" s="397"/>
      <c r="JW10" s="405"/>
      <c r="JX10" s="398"/>
      <c r="JY10" s="398"/>
      <c r="JZ10" s="577">
        <f t="shared" si="1"/>
        <v>12</v>
      </c>
      <c r="KA10" s="412">
        <f t="shared" si="2"/>
        <v>48</v>
      </c>
      <c r="KB10" s="412">
        <f t="shared" si="3"/>
        <v>49</v>
      </c>
      <c r="KC10" s="412">
        <f t="shared" si="4"/>
        <v>41</v>
      </c>
      <c r="KD10" s="412">
        <f t="shared" si="5"/>
        <v>44</v>
      </c>
      <c r="KE10" s="412">
        <f t="shared" ref="KE10:KE17" si="102">SUM(JS10+JB10+IR10+IH10+HX10+HA10+GK10+GA10+FQ10+EP10+EF10+DV10+DL10+CP10+CF10+BQ10+BG10+AL10+AB10+R10+H10)</f>
        <v>7</v>
      </c>
      <c r="KF10" s="693">
        <f t="shared" si="100"/>
        <v>5</v>
      </c>
      <c r="KG10" s="687">
        <f t="shared" si="75"/>
        <v>97</v>
      </c>
      <c r="KH10" s="680">
        <v>130</v>
      </c>
      <c r="KI10" s="680">
        <f t="shared" si="95"/>
        <v>33</v>
      </c>
      <c r="KJ10" s="681">
        <f t="shared" si="96"/>
        <v>0.74615384615384617</v>
      </c>
      <c r="KK10" s="359"/>
      <c r="KL10" s="359"/>
      <c r="KM10" s="359"/>
      <c r="KN10" s="359"/>
      <c r="KO10" s="359"/>
      <c r="KP10" s="359"/>
      <c r="KQ10" s="359"/>
    </row>
    <row r="11" spans="1:303" ht="37.5" customHeight="1" x14ac:dyDescent="0.3">
      <c r="A11" s="758"/>
      <c r="B11" s="385" t="s">
        <v>13</v>
      </c>
      <c r="C11" s="391" t="s">
        <v>130</v>
      </c>
      <c r="D11" s="392">
        <v>60</v>
      </c>
      <c r="E11" s="393"/>
      <c r="F11" s="394"/>
      <c r="G11" s="395"/>
      <c r="H11" s="396"/>
      <c r="I11" s="394"/>
      <c r="J11" s="395"/>
      <c r="K11" s="397"/>
      <c r="L11" s="398"/>
      <c r="M11" s="398"/>
      <c r="N11" s="399"/>
      <c r="O11" s="393"/>
      <c r="P11" s="394"/>
      <c r="Q11" s="400"/>
      <c r="R11" s="396"/>
      <c r="S11" s="394"/>
      <c r="T11" s="400">
        <f>SUM(R11:S11)</f>
        <v>0</v>
      </c>
      <c r="U11" s="397">
        <f>SUM(O11+R11)</f>
        <v>0</v>
      </c>
      <c r="V11" s="398">
        <f>SUM(P11+S11)</f>
        <v>0</v>
      </c>
      <c r="W11" s="398">
        <f>SUM(U11:V11)</f>
        <v>0</v>
      </c>
      <c r="X11" s="399"/>
      <c r="Y11" s="393"/>
      <c r="Z11" s="394"/>
      <c r="AA11" s="400">
        <f>SUM(Y11:Z11)</f>
        <v>0</v>
      </c>
      <c r="AB11" s="396"/>
      <c r="AC11" s="394"/>
      <c r="AD11" s="400">
        <f>SUM(AB11:AC11)</f>
        <v>0</v>
      </c>
      <c r="AE11" s="397">
        <f t="shared" si="101"/>
        <v>0</v>
      </c>
      <c r="AF11" s="405">
        <f t="shared" si="101"/>
        <v>0</v>
      </c>
      <c r="AG11" s="398">
        <f>SUM(AE11:AF11)</f>
        <v>0</v>
      </c>
      <c r="AH11" s="403"/>
      <c r="AI11" s="393"/>
      <c r="AJ11" s="394"/>
      <c r="AK11" s="395"/>
      <c r="AL11" s="396"/>
      <c r="AM11" s="394"/>
      <c r="AN11" s="395"/>
      <c r="AO11" s="397"/>
      <c r="AP11" s="398"/>
      <c r="AQ11" s="398"/>
      <c r="AR11" s="404"/>
      <c r="AS11" s="486">
        <f t="shared" si="7"/>
        <v>0</v>
      </c>
      <c r="AT11" s="487">
        <f t="shared" si="8"/>
        <v>0</v>
      </c>
      <c r="AU11" s="487">
        <f t="shared" si="9"/>
        <v>0</v>
      </c>
      <c r="AV11" s="487">
        <f t="shared" si="10"/>
        <v>0</v>
      </c>
      <c r="AW11" s="478"/>
      <c r="AX11" s="479">
        <f t="shared" si="11"/>
        <v>0</v>
      </c>
      <c r="AY11" s="537" t="e">
        <f>AX11/AW11</f>
        <v>#DIV/0!</v>
      </c>
      <c r="AZ11" s="547">
        <f t="shared" si="12"/>
        <v>0</v>
      </c>
      <c r="BA11" s="547">
        <f t="shared" si="13"/>
        <v>0</v>
      </c>
      <c r="BB11" s="547">
        <f t="shared" si="14"/>
        <v>0</v>
      </c>
      <c r="BC11" s="547">
        <f t="shared" si="15"/>
        <v>0</v>
      </c>
      <c r="BD11" s="393"/>
      <c r="BE11" s="394"/>
      <c r="BF11" s="395"/>
      <c r="BG11" s="396"/>
      <c r="BH11" s="394"/>
      <c r="BI11" s="395"/>
      <c r="BJ11" s="397"/>
      <c r="BK11" s="398"/>
      <c r="BL11" s="405"/>
      <c r="BM11" s="398"/>
      <c r="BN11" s="393"/>
      <c r="BO11" s="394"/>
      <c r="BP11" s="395"/>
      <c r="BQ11" s="396"/>
      <c r="BR11" s="394"/>
      <c r="BS11" s="395"/>
      <c r="BT11" s="397"/>
      <c r="BU11" s="405"/>
      <c r="BV11" s="398"/>
      <c r="BW11" s="398"/>
      <c r="BX11" s="626">
        <f t="shared" si="16"/>
        <v>0</v>
      </c>
      <c r="BY11" s="626">
        <f t="shared" si="17"/>
        <v>0</v>
      </c>
      <c r="BZ11" s="626">
        <f t="shared" si="18"/>
        <v>0</v>
      </c>
      <c r="CA11" s="626">
        <f t="shared" si="19"/>
        <v>0</v>
      </c>
      <c r="CB11" s="625">
        <f t="shared" si="20"/>
        <v>0</v>
      </c>
      <c r="CC11" s="393"/>
      <c r="CD11" s="394"/>
      <c r="CE11" s="395"/>
      <c r="CF11" s="396"/>
      <c r="CG11" s="394"/>
      <c r="CH11" s="395"/>
      <c r="CI11" s="397"/>
      <c r="CJ11" s="398"/>
      <c r="CK11" s="398"/>
      <c r="CL11" s="414"/>
      <c r="CM11" s="393"/>
      <c r="CN11" s="394"/>
      <c r="CO11" s="395"/>
      <c r="CP11" s="396"/>
      <c r="CQ11" s="394"/>
      <c r="CR11" s="395"/>
      <c r="CS11" s="397"/>
      <c r="CT11" s="398"/>
      <c r="CU11" s="405"/>
      <c r="CV11" s="405"/>
      <c r="CW11" s="492">
        <f t="shared" si="92"/>
        <v>0</v>
      </c>
      <c r="CX11" s="487">
        <f t="shared" si="92"/>
        <v>0</v>
      </c>
      <c r="CY11" s="487">
        <f t="shared" si="92"/>
        <v>0</v>
      </c>
      <c r="CZ11" s="487">
        <f t="shared" si="93"/>
        <v>0</v>
      </c>
      <c r="DA11" s="474"/>
      <c r="DB11" s="474">
        <f t="shared" si="94"/>
        <v>0</v>
      </c>
      <c r="DC11" s="475" t="e">
        <f>DB11/DA11</f>
        <v>#DIV/0!</v>
      </c>
      <c r="DD11" s="547">
        <f t="shared" si="21"/>
        <v>0</v>
      </c>
      <c r="DE11" s="547">
        <f t="shared" si="22"/>
        <v>0</v>
      </c>
      <c r="DF11" s="547">
        <f t="shared" si="23"/>
        <v>0</v>
      </c>
      <c r="DG11" s="547">
        <f t="shared" si="24"/>
        <v>0</v>
      </c>
      <c r="DH11" s="576">
        <f t="shared" si="25"/>
        <v>0</v>
      </c>
      <c r="DI11" s="393"/>
      <c r="DJ11" s="394"/>
      <c r="DK11" s="395"/>
      <c r="DL11" s="396"/>
      <c r="DM11" s="394"/>
      <c r="DN11" s="395"/>
      <c r="DO11" s="397"/>
      <c r="DP11" s="405"/>
      <c r="DQ11" s="398"/>
      <c r="DR11" s="398"/>
      <c r="DS11" s="393"/>
      <c r="DT11" s="394"/>
      <c r="DU11" s="395">
        <f t="shared" si="76"/>
        <v>0</v>
      </c>
      <c r="DV11" s="396"/>
      <c r="DW11" s="394"/>
      <c r="DX11" s="395">
        <f t="shared" si="77"/>
        <v>0</v>
      </c>
      <c r="DY11" s="397">
        <f t="shared" si="78"/>
        <v>0</v>
      </c>
      <c r="DZ11" s="405">
        <f t="shared" si="79"/>
        <v>0</v>
      </c>
      <c r="EA11" s="398">
        <f t="shared" si="80"/>
        <v>0</v>
      </c>
      <c r="EB11" s="398"/>
      <c r="EC11" s="393"/>
      <c r="ED11" s="394"/>
      <c r="EE11" s="395"/>
      <c r="EF11" s="396"/>
      <c r="EG11" s="394"/>
      <c r="EH11" s="395"/>
      <c r="EI11" s="397"/>
      <c r="EJ11" s="405"/>
      <c r="EK11" s="398"/>
      <c r="EL11" s="398"/>
      <c r="EM11" s="393"/>
      <c r="EN11" s="394"/>
      <c r="EO11" s="395"/>
      <c r="EP11" s="396"/>
      <c r="EQ11" s="394"/>
      <c r="ER11" s="395"/>
      <c r="ES11" s="397"/>
      <c r="ET11" s="405"/>
      <c r="EU11" s="398"/>
      <c r="EV11" s="398"/>
      <c r="EW11" s="492">
        <f t="shared" si="26"/>
        <v>0</v>
      </c>
      <c r="EX11" s="487">
        <f t="shared" si="27"/>
        <v>0</v>
      </c>
      <c r="EY11" s="487">
        <f t="shared" si="28"/>
        <v>0</v>
      </c>
      <c r="EZ11" s="487">
        <f t="shared" si="29"/>
        <v>0</v>
      </c>
      <c r="FA11" s="474"/>
      <c r="FB11" s="474">
        <f t="shared" si="30"/>
        <v>0</v>
      </c>
      <c r="FC11" s="475" t="e">
        <f>FB11/FA11</f>
        <v>#DIV/0!</v>
      </c>
      <c r="FD11" s="547">
        <f t="shared" si="31"/>
        <v>0</v>
      </c>
      <c r="FE11" s="547">
        <f t="shared" si="32"/>
        <v>0</v>
      </c>
      <c r="FF11" s="547">
        <f t="shared" si="33"/>
        <v>0</v>
      </c>
      <c r="FG11" s="547">
        <f t="shared" si="34"/>
        <v>0</v>
      </c>
      <c r="FH11" s="577">
        <f t="shared" si="35"/>
        <v>0</v>
      </c>
      <c r="FI11" s="577">
        <f t="shared" si="36"/>
        <v>0</v>
      </c>
      <c r="FJ11" s="577">
        <f t="shared" si="37"/>
        <v>0</v>
      </c>
      <c r="FK11" s="577">
        <f t="shared" si="38"/>
        <v>0</v>
      </c>
      <c r="FL11" s="577">
        <f t="shared" si="39"/>
        <v>0</v>
      </c>
      <c r="FM11" s="577">
        <f t="shared" si="40"/>
        <v>0</v>
      </c>
      <c r="FN11" s="393">
        <v>0</v>
      </c>
      <c r="FO11" s="394">
        <v>0</v>
      </c>
      <c r="FP11" s="395">
        <f t="shared" si="86"/>
        <v>0</v>
      </c>
      <c r="FQ11" s="396">
        <v>0</v>
      </c>
      <c r="FR11" s="394">
        <v>0</v>
      </c>
      <c r="FS11" s="395">
        <f t="shared" si="87"/>
        <v>0</v>
      </c>
      <c r="FT11" s="397">
        <f t="shared" si="88"/>
        <v>0</v>
      </c>
      <c r="FU11" s="405">
        <f t="shared" si="89"/>
        <v>0</v>
      </c>
      <c r="FV11" s="398">
        <f t="shared" si="90"/>
        <v>0</v>
      </c>
      <c r="FW11" s="398"/>
      <c r="FX11" s="393"/>
      <c r="FY11" s="394"/>
      <c r="FZ11" s="395"/>
      <c r="GA11" s="396"/>
      <c r="GB11" s="394"/>
      <c r="GC11" s="395"/>
      <c r="GD11" s="397">
        <f t="shared" si="41"/>
        <v>0</v>
      </c>
      <c r="GE11" s="405">
        <f t="shared" si="42"/>
        <v>0</v>
      </c>
      <c r="GF11" s="398">
        <f t="shared" si="43"/>
        <v>0</v>
      </c>
      <c r="GG11" s="398"/>
      <c r="GH11" s="393"/>
      <c r="GI11" s="394"/>
      <c r="GJ11" s="395"/>
      <c r="GK11" s="396"/>
      <c r="GL11" s="394"/>
      <c r="GM11" s="395"/>
      <c r="GN11" s="397">
        <f t="shared" si="97"/>
        <v>0</v>
      </c>
      <c r="GO11" s="405">
        <f t="shared" si="98"/>
        <v>0</v>
      </c>
      <c r="GP11" s="398">
        <f t="shared" si="99"/>
        <v>0</v>
      </c>
      <c r="GQ11" s="398"/>
      <c r="GR11" s="650">
        <f t="shared" si="47"/>
        <v>0</v>
      </c>
      <c r="GS11" s="650">
        <f t="shared" si="48"/>
        <v>0</v>
      </c>
      <c r="GT11" s="650">
        <f t="shared" si="49"/>
        <v>0</v>
      </c>
      <c r="GU11" s="650">
        <f t="shared" si="50"/>
        <v>0</v>
      </c>
      <c r="GV11" s="650">
        <f t="shared" si="51"/>
        <v>0</v>
      </c>
      <c r="GW11" s="650">
        <f t="shared" si="52"/>
        <v>0</v>
      </c>
      <c r="GX11" s="393"/>
      <c r="GY11" s="394"/>
      <c r="GZ11" s="395">
        <f t="shared" si="53"/>
        <v>0</v>
      </c>
      <c r="HA11" s="396"/>
      <c r="HB11" s="394"/>
      <c r="HC11" s="395">
        <f t="shared" si="54"/>
        <v>0</v>
      </c>
      <c r="HD11" s="397">
        <f t="shared" si="55"/>
        <v>0</v>
      </c>
      <c r="HE11" s="405">
        <f t="shared" si="56"/>
        <v>0</v>
      </c>
      <c r="HF11" s="398">
        <f t="shared" si="57"/>
        <v>0</v>
      </c>
      <c r="HG11" s="398"/>
      <c r="HH11" s="492">
        <f t="shared" si="58"/>
        <v>0</v>
      </c>
      <c r="HI11" s="487">
        <f t="shared" si="59"/>
        <v>0</v>
      </c>
      <c r="HJ11" s="487">
        <f t="shared" si="60"/>
        <v>0</v>
      </c>
      <c r="HK11" s="487">
        <f t="shared" si="61"/>
        <v>0</v>
      </c>
      <c r="HL11" s="487">
        <f t="shared" si="62"/>
        <v>0</v>
      </c>
      <c r="HM11" s="487">
        <f t="shared" si="63"/>
        <v>0</v>
      </c>
      <c r="HN11" s="474"/>
      <c r="HO11" s="474">
        <f t="shared" si="64"/>
        <v>0</v>
      </c>
      <c r="HP11" s="475" t="e">
        <f>HO11/HN11</f>
        <v>#DIV/0!</v>
      </c>
      <c r="HQ11" s="547">
        <f t="shared" si="65"/>
        <v>0</v>
      </c>
      <c r="HR11" s="547">
        <f t="shared" si="66"/>
        <v>0</v>
      </c>
      <c r="HS11" s="547">
        <f t="shared" si="67"/>
        <v>0</v>
      </c>
      <c r="HT11" s="547">
        <f t="shared" si="68"/>
        <v>0</v>
      </c>
      <c r="HU11" s="393"/>
      <c r="HV11" s="394"/>
      <c r="HW11" s="395">
        <f t="shared" si="69"/>
        <v>0</v>
      </c>
      <c r="HX11" s="396"/>
      <c r="HY11" s="394"/>
      <c r="HZ11" s="395">
        <f t="shared" si="70"/>
        <v>0</v>
      </c>
      <c r="IA11" s="397">
        <f t="shared" si="71"/>
        <v>0</v>
      </c>
      <c r="IB11" s="405">
        <f t="shared" si="72"/>
        <v>0</v>
      </c>
      <c r="IC11" s="398">
        <f t="shared" si="73"/>
        <v>0</v>
      </c>
      <c r="ID11" s="398"/>
      <c r="IE11" s="393"/>
      <c r="IF11" s="394"/>
      <c r="IG11" s="395"/>
      <c r="IH11" s="396"/>
      <c r="II11" s="394"/>
      <c r="IJ11" s="395"/>
      <c r="IK11" s="397"/>
      <c r="IL11" s="405"/>
      <c r="IM11" s="398"/>
      <c r="IN11" s="398"/>
      <c r="IO11" s="393"/>
      <c r="IP11" s="394"/>
      <c r="IQ11" s="395"/>
      <c r="IR11" s="396"/>
      <c r="IS11" s="394"/>
      <c r="IT11" s="395"/>
      <c r="IU11" s="397"/>
      <c r="IV11" s="405"/>
      <c r="IW11" s="398"/>
      <c r="IX11" s="398"/>
      <c r="IY11" s="393"/>
      <c r="IZ11" s="394"/>
      <c r="JA11" s="395"/>
      <c r="JB11" s="396"/>
      <c r="JC11" s="394"/>
      <c r="JD11" s="395"/>
      <c r="JE11" s="397"/>
      <c r="JF11" s="405"/>
      <c r="JG11" s="398"/>
      <c r="JH11" s="398"/>
      <c r="JI11" s="494">
        <f>SUM(IA11+IK11+IU11)</f>
        <v>0</v>
      </c>
      <c r="JJ11" s="479">
        <f>SUM(IB11+IL11+IV11)</f>
        <v>0</v>
      </c>
      <c r="JK11" s="479">
        <f>SUM(HW11+IG11+IQ11)</f>
        <v>0</v>
      </c>
      <c r="JL11" s="479">
        <f>SUM(IJ11+IC11+IT11)</f>
        <v>0</v>
      </c>
      <c r="JM11" s="474"/>
      <c r="JN11" s="474">
        <f t="shared" si="74"/>
        <v>0</v>
      </c>
      <c r="JO11" s="475" t="e">
        <f>JN11/JM11</f>
        <v>#DIV/0!</v>
      </c>
      <c r="JP11" s="393"/>
      <c r="JQ11" s="394"/>
      <c r="JR11" s="395"/>
      <c r="JS11" s="396"/>
      <c r="JT11" s="394"/>
      <c r="JU11" s="395"/>
      <c r="JV11" s="397"/>
      <c r="JW11" s="405"/>
      <c r="JX11" s="398"/>
      <c r="JY11" s="398"/>
      <c r="JZ11" s="577">
        <f t="shared" si="1"/>
        <v>0</v>
      </c>
      <c r="KA11" s="412">
        <f t="shared" si="2"/>
        <v>0</v>
      </c>
      <c r="KB11" s="412">
        <f t="shared" si="3"/>
        <v>0</v>
      </c>
      <c r="KC11" s="412">
        <f t="shared" si="4"/>
        <v>0</v>
      </c>
      <c r="KD11" s="412">
        <f t="shared" si="5"/>
        <v>0</v>
      </c>
      <c r="KE11" s="412">
        <f t="shared" si="102"/>
        <v>0</v>
      </c>
      <c r="KF11" s="693">
        <f t="shared" si="100"/>
        <v>0</v>
      </c>
      <c r="KG11" s="687">
        <f t="shared" si="75"/>
        <v>0</v>
      </c>
      <c r="KH11" s="680">
        <v>60</v>
      </c>
      <c r="KI11" s="680">
        <f t="shared" si="95"/>
        <v>60</v>
      </c>
      <c r="KJ11" s="681">
        <f t="shared" si="96"/>
        <v>0</v>
      </c>
      <c r="KK11" s="359"/>
      <c r="KL11" s="359"/>
      <c r="KM11" s="359"/>
      <c r="KN11" s="359"/>
      <c r="KO11" s="359"/>
      <c r="KP11" s="359"/>
      <c r="KQ11" s="359"/>
    </row>
    <row r="12" spans="1:303" ht="48" customHeight="1" x14ac:dyDescent="0.3">
      <c r="A12" s="385"/>
      <c r="B12" s="660" t="s">
        <v>17</v>
      </c>
      <c r="C12" s="391" t="s">
        <v>130</v>
      </c>
      <c r="D12" s="392">
        <v>25</v>
      </c>
      <c r="E12" s="393"/>
      <c r="F12" s="394"/>
      <c r="G12" s="395"/>
      <c r="H12" s="396"/>
      <c r="I12" s="394"/>
      <c r="J12" s="395"/>
      <c r="K12" s="397"/>
      <c r="L12" s="398"/>
      <c r="M12" s="398"/>
      <c r="N12" s="399"/>
      <c r="O12" s="393">
        <v>0</v>
      </c>
      <c r="P12" s="394">
        <v>0</v>
      </c>
      <c r="Q12" s="400">
        <f>SUM(O12:P12)</f>
        <v>0</v>
      </c>
      <c r="R12" s="396"/>
      <c r="S12" s="394"/>
      <c r="T12" s="400">
        <f>SUM(R12:S12)</f>
        <v>0</v>
      </c>
      <c r="U12" s="397">
        <f>SUM(O12+R12)</f>
        <v>0</v>
      </c>
      <c r="V12" s="398">
        <f>SUM(P12+S12)</f>
        <v>0</v>
      </c>
      <c r="W12" s="398">
        <f>SUM(U12:V12)</f>
        <v>0</v>
      </c>
      <c r="X12" s="399"/>
      <c r="Y12" s="393"/>
      <c r="Z12" s="394"/>
      <c r="AA12" s="400">
        <f>SUM(Y12:Z12)</f>
        <v>0</v>
      </c>
      <c r="AB12" s="396"/>
      <c r="AC12" s="394"/>
      <c r="AD12" s="400">
        <f>SUM(AB12:AC12)</f>
        <v>0</v>
      </c>
      <c r="AE12" s="397">
        <f t="shared" si="101"/>
        <v>0</v>
      </c>
      <c r="AF12" s="405">
        <f t="shared" si="101"/>
        <v>0</v>
      </c>
      <c r="AG12" s="398">
        <f>SUM(AE12:AF12)</f>
        <v>0</v>
      </c>
      <c r="AH12" s="403"/>
      <c r="AI12" s="393"/>
      <c r="AJ12" s="394"/>
      <c r="AK12" s="395">
        <f>SUM(AI12:AJ12)</f>
        <v>0</v>
      </c>
      <c r="AL12" s="396"/>
      <c r="AM12" s="394"/>
      <c r="AN12" s="395">
        <f>SUM(AL12:AM12)</f>
        <v>0</v>
      </c>
      <c r="AO12" s="397">
        <f>SUM(AI12+AL12)</f>
        <v>0</v>
      </c>
      <c r="AP12" s="398">
        <f>SUM(AJ12+AM12)</f>
        <v>0</v>
      </c>
      <c r="AQ12" s="398">
        <f>SUM(AO12:AP12)</f>
        <v>0</v>
      </c>
      <c r="AR12" s="404"/>
      <c r="AS12" s="486">
        <f t="shared" si="7"/>
        <v>0</v>
      </c>
      <c r="AT12" s="487">
        <f t="shared" si="8"/>
        <v>0</v>
      </c>
      <c r="AU12" s="487">
        <f t="shared" si="9"/>
        <v>0</v>
      </c>
      <c r="AV12" s="487">
        <f t="shared" si="10"/>
        <v>0</v>
      </c>
      <c r="AW12" s="478"/>
      <c r="AX12" s="479">
        <f t="shared" si="11"/>
        <v>0</v>
      </c>
      <c r="AY12" s="537" t="e">
        <f>AX12/AW12</f>
        <v>#DIV/0!</v>
      </c>
      <c r="AZ12" s="547">
        <f t="shared" si="12"/>
        <v>0</v>
      </c>
      <c r="BA12" s="547">
        <f t="shared" si="13"/>
        <v>0</v>
      </c>
      <c r="BB12" s="547">
        <f t="shared" si="14"/>
        <v>0</v>
      </c>
      <c r="BC12" s="547">
        <f t="shared" si="15"/>
        <v>0</v>
      </c>
      <c r="BD12" s="393"/>
      <c r="BE12" s="394"/>
      <c r="BF12" s="395"/>
      <c r="BG12" s="396"/>
      <c r="BH12" s="394"/>
      <c r="BI12" s="395">
        <f>SUM(BG12:BH12)</f>
        <v>0</v>
      </c>
      <c r="BJ12" s="397">
        <f>SUM(BD12+BG12)</f>
        <v>0</v>
      </c>
      <c r="BK12" s="398">
        <f>SUM(BE12+BH12)</f>
        <v>0</v>
      </c>
      <c r="BL12" s="405">
        <f>SUM(BJ12:BK12)</f>
        <v>0</v>
      </c>
      <c r="BM12" s="398"/>
      <c r="BN12" s="393"/>
      <c r="BO12" s="394"/>
      <c r="BP12" s="395"/>
      <c r="BQ12" s="396"/>
      <c r="BR12" s="394"/>
      <c r="BS12" s="395">
        <f>SUM(BQ12:BR12)</f>
        <v>0</v>
      </c>
      <c r="BT12" s="397">
        <f>SUM(BN12+BQ12)</f>
        <v>0</v>
      </c>
      <c r="BU12" s="405">
        <f>SUM(BO12+BR12)</f>
        <v>0</v>
      </c>
      <c r="BV12" s="398">
        <f>SUM(BT12:BU12)</f>
        <v>0</v>
      </c>
      <c r="BW12" s="398"/>
      <c r="BX12" s="626">
        <f t="shared" si="16"/>
        <v>0</v>
      </c>
      <c r="BY12" s="626">
        <f t="shared" si="17"/>
        <v>0</v>
      </c>
      <c r="BZ12" s="626">
        <f t="shared" si="18"/>
        <v>0</v>
      </c>
      <c r="CA12" s="626">
        <f t="shared" si="19"/>
        <v>0</v>
      </c>
      <c r="CB12" s="625">
        <f t="shared" si="20"/>
        <v>0</v>
      </c>
      <c r="CC12" s="393"/>
      <c r="CD12" s="394"/>
      <c r="CE12" s="395"/>
      <c r="CF12" s="396"/>
      <c r="CG12" s="394"/>
      <c r="CH12" s="395">
        <f>SUM(CF12:CG12)</f>
        <v>0</v>
      </c>
      <c r="CI12" s="397">
        <f>SUM(CC12+CF12)</f>
        <v>0</v>
      </c>
      <c r="CJ12" s="398">
        <f>SUM(CD12+CG12)</f>
        <v>0</v>
      </c>
      <c r="CK12" s="398">
        <f>SUM(CI12:CJ12)</f>
        <v>0</v>
      </c>
      <c r="CL12" s="414"/>
      <c r="CM12" s="393"/>
      <c r="CN12" s="394"/>
      <c r="CO12" s="395"/>
      <c r="CP12" s="396"/>
      <c r="CQ12" s="394"/>
      <c r="CR12" s="395">
        <f>SUM(CP12:CQ12)</f>
        <v>0</v>
      </c>
      <c r="CS12" s="397">
        <f>SUM(CM12+CP12)</f>
        <v>0</v>
      </c>
      <c r="CT12" s="398">
        <f>SUM(CN12+CQ12)</f>
        <v>0</v>
      </c>
      <c r="CU12" s="405">
        <f>SUM(CS12:CT12)</f>
        <v>0</v>
      </c>
      <c r="CV12" s="405"/>
      <c r="CW12" s="492">
        <f t="shared" si="92"/>
        <v>0</v>
      </c>
      <c r="CX12" s="487">
        <f t="shared" si="92"/>
        <v>0</v>
      </c>
      <c r="CY12" s="487">
        <f t="shared" si="92"/>
        <v>0</v>
      </c>
      <c r="CZ12" s="487">
        <f t="shared" si="93"/>
        <v>0</v>
      </c>
      <c r="DA12" s="474"/>
      <c r="DB12" s="474">
        <f t="shared" si="94"/>
        <v>0</v>
      </c>
      <c r="DC12" s="475" t="e">
        <f>DB12/DA12</f>
        <v>#DIV/0!</v>
      </c>
      <c r="DD12" s="547">
        <f t="shared" si="21"/>
        <v>0</v>
      </c>
      <c r="DE12" s="547">
        <f t="shared" si="22"/>
        <v>0</v>
      </c>
      <c r="DF12" s="547">
        <f t="shared" si="23"/>
        <v>0</v>
      </c>
      <c r="DG12" s="547">
        <f t="shared" si="24"/>
        <v>0</v>
      </c>
      <c r="DH12" s="576">
        <f t="shared" si="25"/>
        <v>0</v>
      </c>
      <c r="DI12" s="393"/>
      <c r="DJ12" s="394"/>
      <c r="DK12" s="395"/>
      <c r="DL12" s="396"/>
      <c r="DM12" s="394"/>
      <c r="DN12" s="395">
        <f>SUM(DL12:DM12)</f>
        <v>0</v>
      </c>
      <c r="DO12" s="397">
        <f>SUM(DI12+DL12)</f>
        <v>0</v>
      </c>
      <c r="DP12" s="405">
        <f>SUM(DJ12+DM12)</f>
        <v>0</v>
      </c>
      <c r="DQ12" s="398">
        <f>SUM(DO12:DP12)</f>
        <v>0</v>
      </c>
      <c r="DR12" s="398"/>
      <c r="DS12" s="393"/>
      <c r="DT12" s="394"/>
      <c r="DU12" s="395">
        <f t="shared" si="76"/>
        <v>0</v>
      </c>
      <c r="DV12" s="396"/>
      <c r="DW12" s="394"/>
      <c r="DX12" s="395">
        <f t="shared" si="77"/>
        <v>0</v>
      </c>
      <c r="DY12" s="397">
        <f t="shared" si="78"/>
        <v>0</v>
      </c>
      <c r="DZ12" s="405">
        <f t="shared" si="79"/>
        <v>0</v>
      </c>
      <c r="EA12" s="398">
        <f t="shared" si="80"/>
        <v>0</v>
      </c>
      <c r="EB12" s="398"/>
      <c r="EC12" s="393"/>
      <c r="ED12" s="394"/>
      <c r="EE12" s="395"/>
      <c r="EF12" s="396"/>
      <c r="EG12" s="394"/>
      <c r="EH12" s="395">
        <f>SUM(EF12:EG12)</f>
        <v>0</v>
      </c>
      <c r="EI12" s="397">
        <f>SUM(EC12+EF12)</f>
        <v>0</v>
      </c>
      <c r="EJ12" s="405">
        <f>SUM(ED12+EG12)</f>
        <v>0</v>
      </c>
      <c r="EK12" s="398">
        <f>SUM(EI12:EJ12)</f>
        <v>0</v>
      </c>
      <c r="EL12" s="398"/>
      <c r="EM12" s="393">
        <v>26</v>
      </c>
      <c r="EN12" s="394">
        <v>0</v>
      </c>
      <c r="EO12" s="395">
        <f>SUM(EM12:EN12)</f>
        <v>26</v>
      </c>
      <c r="EP12" s="396">
        <v>1</v>
      </c>
      <c r="EQ12" s="394">
        <v>0</v>
      </c>
      <c r="ER12" s="395">
        <f>SUM(EP12:EQ12)</f>
        <v>1</v>
      </c>
      <c r="ES12" s="397">
        <f>SUM(EM12+EP12)</f>
        <v>27</v>
      </c>
      <c r="ET12" s="405">
        <f>SUM(EN12+EQ12)</f>
        <v>0</v>
      </c>
      <c r="EU12" s="398">
        <f>SUM(ES12:ET12)</f>
        <v>27</v>
      </c>
      <c r="EV12" s="398"/>
      <c r="EW12" s="492">
        <f t="shared" si="26"/>
        <v>27</v>
      </c>
      <c r="EX12" s="487">
        <f t="shared" si="27"/>
        <v>0</v>
      </c>
      <c r="EY12" s="487">
        <f t="shared" si="28"/>
        <v>26</v>
      </c>
      <c r="EZ12" s="487">
        <f t="shared" si="29"/>
        <v>1</v>
      </c>
      <c r="FA12" s="474"/>
      <c r="FB12" s="474">
        <f t="shared" si="30"/>
        <v>27</v>
      </c>
      <c r="FC12" s="475" t="e">
        <f>FB12/FA12</f>
        <v>#DIV/0!</v>
      </c>
      <c r="FD12" s="547">
        <f t="shared" si="31"/>
        <v>26</v>
      </c>
      <c r="FE12" s="547">
        <f t="shared" si="32"/>
        <v>0</v>
      </c>
      <c r="FF12" s="547">
        <f t="shared" si="33"/>
        <v>1</v>
      </c>
      <c r="FG12" s="547">
        <f t="shared" si="34"/>
        <v>0</v>
      </c>
      <c r="FH12" s="577">
        <f t="shared" si="35"/>
        <v>27</v>
      </c>
      <c r="FI12" s="577">
        <f t="shared" si="36"/>
        <v>0</v>
      </c>
      <c r="FJ12" s="577">
        <f t="shared" si="37"/>
        <v>27</v>
      </c>
      <c r="FK12" s="577">
        <f t="shared" si="38"/>
        <v>27</v>
      </c>
      <c r="FL12" s="577">
        <f t="shared" si="39"/>
        <v>0</v>
      </c>
      <c r="FM12" s="577">
        <f t="shared" si="40"/>
        <v>27</v>
      </c>
      <c r="FN12" s="393"/>
      <c r="FO12" s="394"/>
      <c r="FP12" s="395"/>
      <c r="FQ12" s="396"/>
      <c r="FR12" s="394"/>
      <c r="FS12" s="395">
        <f>SUM(FQ12:FR12)</f>
        <v>0</v>
      </c>
      <c r="FT12" s="397">
        <f>SUM(FN12+FQ12)</f>
        <v>0</v>
      </c>
      <c r="FU12" s="405">
        <f>SUM(FO12+FR12)</f>
        <v>0</v>
      </c>
      <c r="FV12" s="398">
        <f>SUM(FT12:FU12)</f>
        <v>0</v>
      </c>
      <c r="FW12" s="398"/>
      <c r="FX12" s="393"/>
      <c r="FY12" s="394"/>
      <c r="FZ12" s="395"/>
      <c r="GA12" s="396"/>
      <c r="GB12" s="394"/>
      <c r="GC12" s="395">
        <f>SUM(GA12:GB12)</f>
        <v>0</v>
      </c>
      <c r="GD12" s="397">
        <f t="shared" si="41"/>
        <v>0</v>
      </c>
      <c r="GE12" s="405">
        <f t="shared" si="42"/>
        <v>0</v>
      </c>
      <c r="GF12" s="398">
        <f t="shared" si="43"/>
        <v>0</v>
      </c>
      <c r="GG12" s="398"/>
      <c r="GH12" s="393"/>
      <c r="GI12" s="394"/>
      <c r="GJ12" s="395"/>
      <c r="GK12" s="396"/>
      <c r="GL12" s="394"/>
      <c r="GM12" s="395">
        <f>SUM(GK12:GL12)</f>
        <v>0</v>
      </c>
      <c r="GN12" s="397">
        <f t="shared" si="97"/>
        <v>0</v>
      </c>
      <c r="GO12" s="405">
        <f t="shared" si="98"/>
        <v>0</v>
      </c>
      <c r="GP12" s="398">
        <f t="shared" si="99"/>
        <v>0</v>
      </c>
      <c r="GQ12" s="398"/>
      <c r="GR12" s="650">
        <f t="shared" si="47"/>
        <v>27</v>
      </c>
      <c r="GS12" s="650">
        <f t="shared" si="48"/>
        <v>0</v>
      </c>
      <c r="GT12" s="650">
        <f t="shared" si="49"/>
        <v>26</v>
      </c>
      <c r="GU12" s="650">
        <f t="shared" si="50"/>
        <v>0</v>
      </c>
      <c r="GV12" s="650">
        <f t="shared" si="51"/>
        <v>1</v>
      </c>
      <c r="GW12" s="650">
        <f t="shared" si="52"/>
        <v>0</v>
      </c>
      <c r="GX12" s="393"/>
      <c r="GY12" s="394"/>
      <c r="GZ12" s="395">
        <f t="shared" si="53"/>
        <v>0</v>
      </c>
      <c r="HA12" s="396"/>
      <c r="HB12" s="394"/>
      <c r="HC12" s="395">
        <f t="shared" si="54"/>
        <v>0</v>
      </c>
      <c r="HD12" s="397">
        <f t="shared" si="55"/>
        <v>0</v>
      </c>
      <c r="HE12" s="405">
        <f t="shared" si="56"/>
        <v>0</v>
      </c>
      <c r="HF12" s="398">
        <f t="shared" si="57"/>
        <v>0</v>
      </c>
      <c r="HG12" s="398"/>
      <c r="HH12" s="492">
        <f t="shared" si="58"/>
        <v>0</v>
      </c>
      <c r="HI12" s="487">
        <f t="shared" si="59"/>
        <v>0</v>
      </c>
      <c r="HJ12" s="487">
        <f t="shared" si="60"/>
        <v>0</v>
      </c>
      <c r="HK12" s="487">
        <f t="shared" si="61"/>
        <v>0</v>
      </c>
      <c r="HL12" s="487">
        <f t="shared" si="62"/>
        <v>0</v>
      </c>
      <c r="HM12" s="487">
        <f t="shared" si="63"/>
        <v>0</v>
      </c>
      <c r="HN12" s="474"/>
      <c r="HO12" s="474">
        <f t="shared" si="64"/>
        <v>0</v>
      </c>
      <c r="HP12" s="475" t="e">
        <f>HO12/HN12</f>
        <v>#DIV/0!</v>
      </c>
      <c r="HQ12" s="547">
        <f t="shared" ref="HQ12:HQ14" si="103">FN12+FX12+GH12+GX12</f>
        <v>0</v>
      </c>
      <c r="HR12" s="547">
        <f t="shared" ref="HR12:HR14" si="104">FO12+FY12+GI12+GY12</f>
        <v>0</v>
      </c>
      <c r="HS12" s="547">
        <f t="shared" ref="HS12:HS14" si="105">FQ12+GA12+GK12+HA12</f>
        <v>0</v>
      </c>
      <c r="HT12" s="547">
        <f t="shared" ref="HT12:HT14" si="106">FR12+GB12+GL12+HB12</f>
        <v>0</v>
      </c>
      <c r="HU12" s="393">
        <v>21</v>
      </c>
      <c r="HV12" s="394">
        <v>0</v>
      </c>
      <c r="HW12" s="395">
        <f t="shared" si="69"/>
        <v>21</v>
      </c>
      <c r="HX12" s="396">
        <v>0</v>
      </c>
      <c r="HY12" s="394">
        <v>0</v>
      </c>
      <c r="HZ12" s="395">
        <f t="shared" si="70"/>
        <v>0</v>
      </c>
      <c r="IA12" s="397">
        <f t="shared" si="71"/>
        <v>21</v>
      </c>
      <c r="IB12" s="405">
        <f t="shared" si="72"/>
        <v>0</v>
      </c>
      <c r="IC12" s="398">
        <f t="shared" si="73"/>
        <v>21</v>
      </c>
      <c r="ID12" s="398"/>
      <c r="IE12" s="393"/>
      <c r="IF12" s="394"/>
      <c r="IG12" s="395"/>
      <c r="IH12" s="396"/>
      <c r="II12" s="394"/>
      <c r="IJ12" s="395">
        <f>SUM(IH12:II12)</f>
        <v>0</v>
      </c>
      <c r="IK12" s="397">
        <f>SUM(IE12+IH12)</f>
        <v>0</v>
      </c>
      <c r="IL12" s="405">
        <f>SUM(IF12+II12)</f>
        <v>0</v>
      </c>
      <c r="IM12" s="398">
        <f>SUM(IK12:IL12)</f>
        <v>0</v>
      </c>
      <c r="IN12" s="398"/>
      <c r="IO12" s="393"/>
      <c r="IP12" s="394"/>
      <c r="IQ12" s="395"/>
      <c r="IR12" s="396"/>
      <c r="IS12" s="394"/>
      <c r="IT12" s="395">
        <f>SUM(IR12:IS12)</f>
        <v>0</v>
      </c>
      <c r="IU12" s="397">
        <f>SUM(IO12+IR12)</f>
        <v>0</v>
      </c>
      <c r="IV12" s="405">
        <f>SUM(IP12+IS12)</f>
        <v>0</v>
      </c>
      <c r="IW12" s="398">
        <f>SUM(IU12:IV12)</f>
        <v>0</v>
      </c>
      <c r="IX12" s="398"/>
      <c r="IY12" s="393"/>
      <c r="IZ12" s="394"/>
      <c r="JA12" s="395"/>
      <c r="JB12" s="396">
        <v>0</v>
      </c>
      <c r="JC12" s="394">
        <v>0</v>
      </c>
      <c r="JD12" s="395">
        <f>SUM(JB12:JC12)</f>
        <v>0</v>
      </c>
      <c r="JE12" s="397">
        <f>SUM(IY12+JB12)</f>
        <v>0</v>
      </c>
      <c r="JF12" s="405">
        <f>SUM(IZ12+JC12)</f>
        <v>0</v>
      </c>
      <c r="JG12" s="398">
        <f>SUM(JE12:JF12)</f>
        <v>0</v>
      </c>
      <c r="JH12" s="398"/>
      <c r="JI12" s="494">
        <f>SUM(IA12+IK12+IU12)</f>
        <v>21</v>
      </c>
      <c r="JJ12" s="479">
        <f>SUM(IB12+IL12+IV12)</f>
        <v>0</v>
      </c>
      <c r="JK12" s="479">
        <f>SUM(HW12+IG12+IQ12)</f>
        <v>21</v>
      </c>
      <c r="JL12" s="479">
        <f>SUM(IJ12+HZ12+IT12)</f>
        <v>0</v>
      </c>
      <c r="JM12" s="474">
        <f>SUM(JI12:JJ12)</f>
        <v>21</v>
      </c>
      <c r="JN12" s="474">
        <f t="shared" si="74"/>
        <v>21</v>
      </c>
      <c r="JO12" s="475">
        <f>JN12/JM12</f>
        <v>1</v>
      </c>
      <c r="JP12" s="393"/>
      <c r="JQ12" s="394"/>
      <c r="JR12" s="395"/>
      <c r="JS12" s="396">
        <v>0</v>
      </c>
      <c r="JT12" s="394">
        <v>0</v>
      </c>
      <c r="JU12" s="395">
        <f>SUM(JS12:JT12)</f>
        <v>0</v>
      </c>
      <c r="JV12" s="397">
        <f>SUM(JP12+JS12)</f>
        <v>0</v>
      </c>
      <c r="JW12" s="405">
        <f>SUM(JQ12+JT12)</f>
        <v>0</v>
      </c>
      <c r="JX12" s="398">
        <f>SUM(JV12:JW12)</f>
        <v>0</v>
      </c>
      <c r="JY12" s="398"/>
      <c r="JZ12" s="577">
        <f t="shared" si="1"/>
        <v>48</v>
      </c>
      <c r="KA12" s="412">
        <f t="shared" si="2"/>
        <v>48</v>
      </c>
      <c r="KB12" s="412">
        <f t="shared" si="3"/>
        <v>0</v>
      </c>
      <c r="KC12" s="412">
        <f t="shared" si="4"/>
        <v>47</v>
      </c>
      <c r="KD12" s="412">
        <f t="shared" si="5"/>
        <v>0</v>
      </c>
      <c r="KE12" s="412">
        <f t="shared" si="102"/>
        <v>1</v>
      </c>
      <c r="KF12" s="693">
        <f t="shared" si="100"/>
        <v>0</v>
      </c>
      <c r="KG12" s="687">
        <f t="shared" si="75"/>
        <v>48</v>
      </c>
      <c r="KH12" s="680">
        <v>25</v>
      </c>
      <c r="KI12" s="680">
        <f t="shared" si="95"/>
        <v>-23</v>
      </c>
      <c r="KJ12" s="681">
        <f t="shared" si="96"/>
        <v>1.92</v>
      </c>
      <c r="KK12" s="359"/>
      <c r="KL12" s="359"/>
      <c r="KM12" s="359"/>
      <c r="KN12" s="359"/>
      <c r="KO12" s="359"/>
      <c r="KP12" s="359"/>
      <c r="KQ12" s="359"/>
    </row>
    <row r="13" spans="1:303" ht="36" hidden="1" customHeight="1" x14ac:dyDescent="0.3">
      <c r="A13" s="385"/>
      <c r="B13" s="660" t="s">
        <v>18</v>
      </c>
      <c r="C13" s="391" t="s">
        <v>130</v>
      </c>
      <c r="D13" s="392">
        <v>2</v>
      </c>
      <c r="E13" s="393"/>
      <c r="F13" s="394"/>
      <c r="G13" s="395"/>
      <c r="H13" s="396"/>
      <c r="I13" s="394"/>
      <c r="J13" s="395"/>
      <c r="K13" s="397"/>
      <c r="L13" s="398"/>
      <c r="M13" s="398"/>
      <c r="N13" s="399"/>
      <c r="O13" s="393"/>
      <c r="P13" s="394"/>
      <c r="Q13" s="400"/>
      <c r="R13" s="396"/>
      <c r="S13" s="394"/>
      <c r="T13" s="400"/>
      <c r="U13" s="397"/>
      <c r="V13" s="398"/>
      <c r="W13" s="398"/>
      <c r="X13" s="399"/>
      <c r="Y13" s="393"/>
      <c r="Z13" s="394"/>
      <c r="AA13" s="400"/>
      <c r="AB13" s="396"/>
      <c r="AC13" s="394"/>
      <c r="AD13" s="400"/>
      <c r="AE13" s="397"/>
      <c r="AF13" s="405"/>
      <c r="AG13" s="398"/>
      <c r="AH13" s="403"/>
      <c r="AI13" s="393"/>
      <c r="AJ13" s="394"/>
      <c r="AK13" s="395"/>
      <c r="AL13" s="396"/>
      <c r="AM13" s="394"/>
      <c r="AN13" s="395"/>
      <c r="AO13" s="397"/>
      <c r="AP13" s="398"/>
      <c r="AQ13" s="398"/>
      <c r="AR13" s="404"/>
      <c r="AS13" s="486">
        <f t="shared" si="7"/>
        <v>0</v>
      </c>
      <c r="AT13" s="487">
        <f t="shared" si="8"/>
        <v>0</v>
      </c>
      <c r="AU13" s="487">
        <f t="shared" si="9"/>
        <v>0</v>
      </c>
      <c r="AV13" s="487">
        <f t="shared" si="10"/>
        <v>0</v>
      </c>
      <c r="AW13" s="478"/>
      <c r="AX13" s="479">
        <f t="shared" si="11"/>
        <v>0</v>
      </c>
      <c r="AY13" s="537"/>
      <c r="AZ13" s="547">
        <f t="shared" si="12"/>
        <v>0</v>
      </c>
      <c r="BA13" s="547">
        <f t="shared" si="13"/>
        <v>0</v>
      </c>
      <c r="BB13" s="547">
        <f t="shared" si="14"/>
        <v>0</v>
      </c>
      <c r="BC13" s="547">
        <f t="shared" si="15"/>
        <v>0</v>
      </c>
      <c r="BD13" s="393"/>
      <c r="BE13" s="394"/>
      <c r="BF13" s="395"/>
      <c r="BG13" s="396"/>
      <c r="BH13" s="394"/>
      <c r="BI13" s="395"/>
      <c r="BJ13" s="397"/>
      <c r="BK13" s="398"/>
      <c r="BL13" s="405"/>
      <c r="BM13" s="398"/>
      <c r="BN13" s="393"/>
      <c r="BO13" s="394"/>
      <c r="BP13" s="395"/>
      <c r="BQ13" s="396"/>
      <c r="BR13" s="394"/>
      <c r="BS13" s="395"/>
      <c r="BT13" s="397"/>
      <c r="BU13" s="405"/>
      <c r="BV13" s="398"/>
      <c r="BW13" s="398"/>
      <c r="BX13" s="626">
        <f t="shared" si="16"/>
        <v>0</v>
      </c>
      <c r="BY13" s="626">
        <f t="shared" si="17"/>
        <v>0</v>
      </c>
      <c r="BZ13" s="626">
        <f t="shared" si="18"/>
        <v>0</v>
      </c>
      <c r="CA13" s="626">
        <f t="shared" si="19"/>
        <v>0</v>
      </c>
      <c r="CB13" s="625">
        <f t="shared" si="20"/>
        <v>0</v>
      </c>
      <c r="CC13" s="393"/>
      <c r="CD13" s="394"/>
      <c r="CE13" s="395"/>
      <c r="CF13" s="396"/>
      <c r="CG13" s="394"/>
      <c r="CH13" s="395"/>
      <c r="CI13" s="397"/>
      <c r="CJ13" s="398"/>
      <c r="CK13" s="398"/>
      <c r="CL13" s="414"/>
      <c r="CM13" s="393"/>
      <c r="CN13" s="394"/>
      <c r="CO13" s="395"/>
      <c r="CP13" s="396"/>
      <c r="CQ13" s="394"/>
      <c r="CR13" s="395"/>
      <c r="CS13" s="397"/>
      <c r="CT13" s="398"/>
      <c r="CU13" s="405"/>
      <c r="CV13" s="405"/>
      <c r="CW13" s="492">
        <f t="shared" si="92"/>
        <v>0</v>
      </c>
      <c r="CX13" s="487">
        <f t="shared" si="92"/>
        <v>0</v>
      </c>
      <c r="CY13" s="487">
        <f t="shared" si="92"/>
        <v>0</v>
      </c>
      <c r="CZ13" s="487">
        <f t="shared" si="93"/>
        <v>0</v>
      </c>
      <c r="DA13" s="474"/>
      <c r="DB13" s="474">
        <f t="shared" si="94"/>
        <v>0</v>
      </c>
      <c r="DC13" s="475"/>
      <c r="DD13" s="547">
        <f t="shared" si="21"/>
        <v>0</v>
      </c>
      <c r="DE13" s="547">
        <f t="shared" si="22"/>
        <v>0</v>
      </c>
      <c r="DF13" s="547">
        <f t="shared" si="23"/>
        <v>0</v>
      </c>
      <c r="DG13" s="547">
        <f t="shared" si="24"/>
        <v>0</v>
      </c>
      <c r="DH13" s="576">
        <f t="shared" si="25"/>
        <v>0</v>
      </c>
      <c r="DI13" s="393"/>
      <c r="DJ13" s="394"/>
      <c r="DK13" s="395"/>
      <c r="DL13" s="396"/>
      <c r="DM13" s="394"/>
      <c r="DN13" s="395"/>
      <c r="DO13" s="397"/>
      <c r="DP13" s="405"/>
      <c r="DQ13" s="398"/>
      <c r="DR13" s="398"/>
      <c r="DS13" s="393"/>
      <c r="DT13" s="394"/>
      <c r="DU13" s="395">
        <f t="shared" si="76"/>
        <v>0</v>
      </c>
      <c r="DV13" s="396"/>
      <c r="DW13" s="394"/>
      <c r="DX13" s="395">
        <f t="shared" si="77"/>
        <v>0</v>
      </c>
      <c r="DY13" s="397">
        <f t="shared" si="78"/>
        <v>0</v>
      </c>
      <c r="DZ13" s="405">
        <f t="shared" si="79"/>
        <v>0</v>
      </c>
      <c r="EA13" s="398">
        <f t="shared" si="80"/>
        <v>0</v>
      </c>
      <c r="EB13" s="398"/>
      <c r="EC13" s="393"/>
      <c r="ED13" s="394"/>
      <c r="EE13" s="395"/>
      <c r="EF13" s="396"/>
      <c r="EG13" s="394"/>
      <c r="EH13" s="395"/>
      <c r="EI13" s="397"/>
      <c r="EJ13" s="405"/>
      <c r="EK13" s="398"/>
      <c r="EL13" s="398"/>
      <c r="EM13" s="393"/>
      <c r="EN13" s="394"/>
      <c r="EO13" s="395"/>
      <c r="EP13" s="396"/>
      <c r="EQ13" s="394"/>
      <c r="ER13" s="395"/>
      <c r="ES13" s="397"/>
      <c r="ET13" s="405"/>
      <c r="EU13" s="398"/>
      <c r="EV13" s="398"/>
      <c r="EW13" s="492">
        <f t="shared" si="26"/>
        <v>0</v>
      </c>
      <c r="EX13" s="487">
        <f t="shared" si="27"/>
        <v>0</v>
      </c>
      <c r="EY13" s="487">
        <f t="shared" si="28"/>
        <v>0</v>
      </c>
      <c r="EZ13" s="487">
        <f t="shared" si="29"/>
        <v>0</v>
      </c>
      <c r="FA13" s="474"/>
      <c r="FB13" s="474">
        <f t="shared" si="30"/>
        <v>0</v>
      </c>
      <c r="FC13" s="475"/>
      <c r="FD13" s="547">
        <f t="shared" si="31"/>
        <v>0</v>
      </c>
      <c r="FE13" s="547">
        <f t="shared" si="32"/>
        <v>0</v>
      </c>
      <c r="FF13" s="547">
        <f t="shared" si="33"/>
        <v>0</v>
      </c>
      <c r="FG13" s="547">
        <f t="shared" si="34"/>
        <v>0</v>
      </c>
      <c r="FH13" s="577">
        <f t="shared" si="35"/>
        <v>0</v>
      </c>
      <c r="FI13" s="577">
        <f t="shared" si="36"/>
        <v>0</v>
      </c>
      <c r="FJ13" s="577">
        <f t="shared" si="37"/>
        <v>0</v>
      </c>
      <c r="FK13" s="577">
        <f t="shared" si="38"/>
        <v>0</v>
      </c>
      <c r="FL13" s="577">
        <f t="shared" si="39"/>
        <v>0</v>
      </c>
      <c r="FM13" s="577">
        <f t="shared" si="40"/>
        <v>0</v>
      </c>
      <c r="FN13" s="393"/>
      <c r="FO13" s="394"/>
      <c r="FP13" s="395"/>
      <c r="FQ13" s="396"/>
      <c r="FR13" s="394"/>
      <c r="FS13" s="395"/>
      <c r="FT13" s="397"/>
      <c r="FU13" s="405"/>
      <c r="FV13" s="398"/>
      <c r="FW13" s="398"/>
      <c r="FX13" s="393"/>
      <c r="FY13" s="394"/>
      <c r="FZ13" s="395"/>
      <c r="GA13" s="396"/>
      <c r="GB13" s="394"/>
      <c r="GC13" s="395"/>
      <c r="GD13" s="397">
        <f t="shared" si="41"/>
        <v>0</v>
      </c>
      <c r="GE13" s="405">
        <f t="shared" si="42"/>
        <v>0</v>
      </c>
      <c r="GF13" s="398">
        <f t="shared" si="43"/>
        <v>0</v>
      </c>
      <c r="GG13" s="398"/>
      <c r="GH13" s="393"/>
      <c r="GI13" s="394"/>
      <c r="GJ13" s="395"/>
      <c r="GK13" s="396"/>
      <c r="GL13" s="394"/>
      <c r="GM13" s="395"/>
      <c r="GN13" s="397">
        <f t="shared" si="97"/>
        <v>0</v>
      </c>
      <c r="GO13" s="405">
        <f t="shared" si="98"/>
        <v>0</v>
      </c>
      <c r="GP13" s="398">
        <f t="shared" si="99"/>
        <v>0</v>
      </c>
      <c r="GQ13" s="398"/>
      <c r="GR13" s="650">
        <f t="shared" si="47"/>
        <v>0</v>
      </c>
      <c r="GS13" s="650">
        <f t="shared" si="48"/>
        <v>0</v>
      </c>
      <c r="GT13" s="650">
        <f t="shared" si="49"/>
        <v>0</v>
      </c>
      <c r="GU13" s="650">
        <f t="shared" si="50"/>
        <v>0</v>
      </c>
      <c r="GV13" s="650">
        <f t="shared" si="51"/>
        <v>0</v>
      </c>
      <c r="GW13" s="650">
        <f t="shared" si="52"/>
        <v>0</v>
      </c>
      <c r="GX13" s="393"/>
      <c r="GY13" s="394"/>
      <c r="GZ13" s="395">
        <f t="shared" si="53"/>
        <v>0</v>
      </c>
      <c r="HA13" s="396"/>
      <c r="HB13" s="394"/>
      <c r="HC13" s="395">
        <f t="shared" si="54"/>
        <v>0</v>
      </c>
      <c r="HD13" s="397">
        <f t="shared" si="55"/>
        <v>0</v>
      </c>
      <c r="HE13" s="405">
        <f t="shared" si="56"/>
        <v>0</v>
      </c>
      <c r="HF13" s="398">
        <f t="shared" si="57"/>
        <v>0</v>
      </c>
      <c r="HG13" s="398"/>
      <c r="HH13" s="492">
        <f t="shared" si="58"/>
        <v>0</v>
      </c>
      <c r="HI13" s="487">
        <f t="shared" si="59"/>
        <v>0</v>
      </c>
      <c r="HJ13" s="487">
        <f t="shared" si="60"/>
        <v>0</v>
      </c>
      <c r="HK13" s="487">
        <f t="shared" si="61"/>
        <v>0</v>
      </c>
      <c r="HL13" s="487">
        <f t="shared" si="62"/>
        <v>0</v>
      </c>
      <c r="HM13" s="487">
        <f t="shared" si="63"/>
        <v>0</v>
      </c>
      <c r="HN13" s="474"/>
      <c r="HO13" s="474">
        <f t="shared" si="64"/>
        <v>0</v>
      </c>
      <c r="HP13" s="475"/>
      <c r="HQ13" s="547">
        <f t="shared" si="103"/>
        <v>0</v>
      </c>
      <c r="HR13" s="547">
        <f t="shared" si="104"/>
        <v>0</v>
      </c>
      <c r="HS13" s="547">
        <f t="shared" si="105"/>
        <v>0</v>
      </c>
      <c r="HT13" s="547">
        <f t="shared" si="106"/>
        <v>0</v>
      </c>
      <c r="HU13" s="393"/>
      <c r="HV13" s="394"/>
      <c r="HW13" s="395">
        <f t="shared" si="69"/>
        <v>0</v>
      </c>
      <c r="HX13" s="396"/>
      <c r="HY13" s="394"/>
      <c r="HZ13" s="395">
        <f t="shared" si="70"/>
        <v>0</v>
      </c>
      <c r="IA13" s="397">
        <f t="shared" si="71"/>
        <v>0</v>
      </c>
      <c r="IB13" s="405">
        <f t="shared" si="72"/>
        <v>0</v>
      </c>
      <c r="IC13" s="398">
        <f t="shared" si="73"/>
        <v>0</v>
      </c>
      <c r="ID13" s="398"/>
      <c r="IE13" s="393"/>
      <c r="IF13" s="394"/>
      <c r="IG13" s="395"/>
      <c r="IH13" s="396"/>
      <c r="II13" s="394"/>
      <c r="IJ13" s="395"/>
      <c r="IK13" s="397"/>
      <c r="IL13" s="405"/>
      <c r="IM13" s="398"/>
      <c r="IN13" s="398"/>
      <c r="IO13" s="393"/>
      <c r="IP13" s="394"/>
      <c r="IQ13" s="395"/>
      <c r="IR13" s="396"/>
      <c r="IS13" s="394"/>
      <c r="IT13" s="395"/>
      <c r="IU13" s="397"/>
      <c r="IV13" s="405"/>
      <c r="IW13" s="398"/>
      <c r="IX13" s="398"/>
      <c r="IY13" s="393"/>
      <c r="IZ13" s="394"/>
      <c r="JA13" s="395"/>
      <c r="JB13" s="396"/>
      <c r="JC13" s="394"/>
      <c r="JD13" s="395"/>
      <c r="JE13" s="397"/>
      <c r="JF13" s="405"/>
      <c r="JG13" s="398"/>
      <c r="JH13" s="398"/>
      <c r="JI13" s="494"/>
      <c r="JJ13" s="479"/>
      <c r="JK13" s="479"/>
      <c r="JL13" s="479"/>
      <c r="JM13" s="474"/>
      <c r="JN13" s="474">
        <f t="shared" si="74"/>
        <v>0</v>
      </c>
      <c r="JO13" s="475"/>
      <c r="JP13" s="393"/>
      <c r="JQ13" s="394"/>
      <c r="JR13" s="395"/>
      <c r="JS13" s="396"/>
      <c r="JT13" s="394"/>
      <c r="JU13" s="395"/>
      <c r="JV13" s="397"/>
      <c r="JW13" s="405"/>
      <c r="JX13" s="398"/>
      <c r="JY13" s="398"/>
      <c r="JZ13" s="577">
        <f t="shared" si="1"/>
        <v>0</v>
      </c>
      <c r="KA13" s="412">
        <f t="shared" si="2"/>
        <v>0</v>
      </c>
      <c r="KB13" s="412">
        <f t="shared" si="3"/>
        <v>0</v>
      </c>
      <c r="KC13" s="412">
        <f t="shared" si="4"/>
        <v>0</v>
      </c>
      <c r="KD13" s="412">
        <f t="shared" si="5"/>
        <v>0</v>
      </c>
      <c r="KE13" s="412">
        <f t="shared" si="102"/>
        <v>0</v>
      </c>
      <c r="KF13" s="693">
        <f t="shared" si="100"/>
        <v>0</v>
      </c>
      <c r="KG13" s="687">
        <f t="shared" si="75"/>
        <v>0</v>
      </c>
      <c r="KH13" s="680">
        <v>2</v>
      </c>
      <c r="KI13" s="680">
        <f t="shared" si="95"/>
        <v>2</v>
      </c>
      <c r="KJ13" s="681">
        <f t="shared" si="96"/>
        <v>0</v>
      </c>
      <c r="KK13" s="359"/>
      <c r="KL13" s="359"/>
      <c r="KM13" s="359"/>
      <c r="KN13" s="359"/>
      <c r="KO13" s="359"/>
      <c r="KP13" s="359"/>
      <c r="KQ13" s="359"/>
    </row>
    <row r="14" spans="1:303" ht="37.5" customHeight="1" x14ac:dyDescent="0.3">
      <c r="A14" s="385"/>
      <c r="B14" s="660" t="s">
        <v>19</v>
      </c>
      <c r="C14" s="391" t="s">
        <v>130</v>
      </c>
      <c r="D14" s="392">
        <v>50</v>
      </c>
      <c r="E14" s="393"/>
      <c r="F14" s="394"/>
      <c r="G14" s="395"/>
      <c r="H14" s="396"/>
      <c r="I14" s="394"/>
      <c r="J14" s="395"/>
      <c r="K14" s="397"/>
      <c r="L14" s="398"/>
      <c r="M14" s="398"/>
      <c r="N14" s="399"/>
      <c r="O14" s="393"/>
      <c r="P14" s="394"/>
      <c r="Q14" s="400"/>
      <c r="R14" s="396"/>
      <c r="S14" s="394"/>
      <c r="T14" s="400"/>
      <c r="U14" s="397"/>
      <c r="V14" s="398"/>
      <c r="W14" s="398"/>
      <c r="X14" s="399"/>
      <c r="Y14" s="393"/>
      <c r="Z14" s="394"/>
      <c r="AA14" s="400"/>
      <c r="AB14" s="396"/>
      <c r="AC14" s="394"/>
      <c r="AD14" s="400"/>
      <c r="AE14" s="397"/>
      <c r="AF14" s="405"/>
      <c r="AG14" s="398"/>
      <c r="AH14" s="403"/>
      <c r="AI14" s="393"/>
      <c r="AJ14" s="394"/>
      <c r="AK14" s="395"/>
      <c r="AL14" s="396"/>
      <c r="AM14" s="394"/>
      <c r="AN14" s="395"/>
      <c r="AO14" s="397"/>
      <c r="AP14" s="398"/>
      <c r="AQ14" s="398"/>
      <c r="AR14" s="404"/>
      <c r="AS14" s="486">
        <f t="shared" si="7"/>
        <v>0</v>
      </c>
      <c r="AT14" s="487">
        <f t="shared" si="8"/>
        <v>0</v>
      </c>
      <c r="AU14" s="487">
        <f t="shared" si="9"/>
        <v>0</v>
      </c>
      <c r="AV14" s="487">
        <f t="shared" si="10"/>
        <v>0</v>
      </c>
      <c r="AW14" s="478"/>
      <c r="AX14" s="479">
        <f t="shared" si="11"/>
        <v>0</v>
      </c>
      <c r="AY14" s="537" t="e">
        <f>AX14/AW14</f>
        <v>#DIV/0!</v>
      </c>
      <c r="AZ14" s="547">
        <f t="shared" si="12"/>
        <v>0</v>
      </c>
      <c r="BA14" s="547">
        <f t="shared" si="13"/>
        <v>0</v>
      </c>
      <c r="BB14" s="547">
        <f t="shared" si="14"/>
        <v>0</v>
      </c>
      <c r="BC14" s="547">
        <f t="shared" si="15"/>
        <v>0</v>
      </c>
      <c r="BD14" s="393">
        <v>22</v>
      </c>
      <c r="BE14" s="394">
        <v>18</v>
      </c>
      <c r="BF14" s="395">
        <f>SUM(BD14:BE14)</f>
        <v>40</v>
      </c>
      <c r="BG14" s="396">
        <v>7</v>
      </c>
      <c r="BH14" s="394">
        <v>3</v>
      </c>
      <c r="BI14" s="395">
        <f>SUM(BG14:BH14)</f>
        <v>10</v>
      </c>
      <c r="BJ14" s="397">
        <f>SUM(BD14+BG14)</f>
        <v>29</v>
      </c>
      <c r="BK14" s="398">
        <f>SUM(BE14+BH14)</f>
        <v>21</v>
      </c>
      <c r="BL14" s="405">
        <f>SUM(BJ14:BK14)</f>
        <v>50</v>
      </c>
      <c r="BM14" s="398"/>
      <c r="BN14" s="393"/>
      <c r="BO14" s="394"/>
      <c r="BP14" s="395"/>
      <c r="BQ14" s="396"/>
      <c r="BR14" s="394"/>
      <c r="BS14" s="395">
        <f>SUM(BQ14:BR14)</f>
        <v>0</v>
      </c>
      <c r="BT14" s="397">
        <f>SUM(BN14+BQ14)</f>
        <v>0</v>
      </c>
      <c r="BU14" s="405">
        <f>SUM(BO14+BR14)</f>
        <v>0</v>
      </c>
      <c r="BV14" s="398">
        <f>SUM(BT14:BU14)</f>
        <v>0</v>
      </c>
      <c r="BW14" s="398"/>
      <c r="BX14" s="626">
        <f t="shared" si="16"/>
        <v>22</v>
      </c>
      <c r="BY14" s="626">
        <f t="shared" si="17"/>
        <v>18</v>
      </c>
      <c r="BZ14" s="626">
        <f t="shared" si="18"/>
        <v>7</v>
      </c>
      <c r="CA14" s="626">
        <f t="shared" si="19"/>
        <v>3</v>
      </c>
      <c r="CB14" s="625">
        <f t="shared" si="20"/>
        <v>50</v>
      </c>
      <c r="CC14" s="393"/>
      <c r="CD14" s="394"/>
      <c r="CE14" s="395"/>
      <c r="CF14" s="396"/>
      <c r="CG14" s="394"/>
      <c r="CH14" s="395">
        <f>SUM(CF14:CG14)</f>
        <v>0</v>
      </c>
      <c r="CI14" s="397">
        <f>SUM(CC14+CF14)</f>
        <v>0</v>
      </c>
      <c r="CJ14" s="398">
        <f>SUM(CD14+CG14)</f>
        <v>0</v>
      </c>
      <c r="CK14" s="398">
        <f>SUM(CI14:CJ14)</f>
        <v>0</v>
      </c>
      <c r="CL14" s="414"/>
      <c r="CM14" s="393"/>
      <c r="CN14" s="394"/>
      <c r="CO14" s="395"/>
      <c r="CP14" s="396"/>
      <c r="CQ14" s="394"/>
      <c r="CR14" s="395">
        <f>SUM(CP14:CQ14)</f>
        <v>0</v>
      </c>
      <c r="CS14" s="397">
        <f>SUM(CM14+CP14)</f>
        <v>0</v>
      </c>
      <c r="CT14" s="398">
        <f>SUM(CN14+CQ14)</f>
        <v>0</v>
      </c>
      <c r="CU14" s="405">
        <f>SUM(CS14:CT14)</f>
        <v>0</v>
      </c>
      <c r="CV14" s="405"/>
      <c r="CW14" s="492">
        <f t="shared" si="92"/>
        <v>29</v>
      </c>
      <c r="CX14" s="487">
        <f t="shared" si="92"/>
        <v>21</v>
      </c>
      <c r="CY14" s="487">
        <f t="shared" si="92"/>
        <v>50</v>
      </c>
      <c r="CZ14" s="487">
        <f t="shared" si="93"/>
        <v>10</v>
      </c>
      <c r="DA14" s="474"/>
      <c r="DB14" s="474">
        <f t="shared" si="94"/>
        <v>50</v>
      </c>
      <c r="DC14" s="475" t="e">
        <f>DB14/DA14</f>
        <v>#DIV/0!</v>
      </c>
      <c r="DD14" s="547">
        <f t="shared" si="21"/>
        <v>22</v>
      </c>
      <c r="DE14" s="547">
        <f t="shared" si="22"/>
        <v>18</v>
      </c>
      <c r="DF14" s="547">
        <f t="shared" si="23"/>
        <v>7</v>
      </c>
      <c r="DG14" s="547">
        <f t="shared" si="24"/>
        <v>3</v>
      </c>
      <c r="DH14" s="576">
        <f t="shared" si="25"/>
        <v>50</v>
      </c>
      <c r="DI14" s="393"/>
      <c r="DJ14" s="394"/>
      <c r="DK14" s="395"/>
      <c r="DL14" s="396"/>
      <c r="DM14" s="394"/>
      <c r="DN14" s="395">
        <f>SUM(DL14:DM14)</f>
        <v>0</v>
      </c>
      <c r="DO14" s="397">
        <f>SUM(DI14+DL14)</f>
        <v>0</v>
      </c>
      <c r="DP14" s="405">
        <f>SUM(DJ14+DM14)</f>
        <v>0</v>
      </c>
      <c r="DQ14" s="398">
        <f>SUM(DO14:DP14)</f>
        <v>0</v>
      </c>
      <c r="DR14" s="398"/>
      <c r="DS14" s="393"/>
      <c r="DT14" s="394"/>
      <c r="DU14" s="395">
        <f t="shared" si="76"/>
        <v>0</v>
      </c>
      <c r="DV14" s="396"/>
      <c r="DW14" s="394"/>
      <c r="DX14" s="395">
        <f t="shared" si="77"/>
        <v>0</v>
      </c>
      <c r="DY14" s="397">
        <f t="shared" si="78"/>
        <v>0</v>
      </c>
      <c r="DZ14" s="405">
        <f t="shared" si="79"/>
        <v>0</v>
      </c>
      <c r="EA14" s="398">
        <f t="shared" si="80"/>
        <v>0</v>
      </c>
      <c r="EB14" s="398"/>
      <c r="EC14" s="393"/>
      <c r="ED14" s="394"/>
      <c r="EE14" s="395"/>
      <c r="EF14" s="396"/>
      <c r="EG14" s="394"/>
      <c r="EH14" s="395">
        <f>SUM(EF14:EG14)</f>
        <v>0</v>
      </c>
      <c r="EI14" s="397">
        <f>SUM(EC14+EF14)</f>
        <v>0</v>
      </c>
      <c r="EJ14" s="405">
        <f>SUM(ED14+EG14)</f>
        <v>0</v>
      </c>
      <c r="EK14" s="398">
        <f>SUM(EI14:EJ14)</f>
        <v>0</v>
      </c>
      <c r="EL14" s="398"/>
      <c r="EM14" s="393"/>
      <c r="EN14" s="394"/>
      <c r="EO14" s="395"/>
      <c r="EP14" s="396"/>
      <c r="EQ14" s="394"/>
      <c r="ER14" s="395">
        <f>SUM(EP14:EQ14)</f>
        <v>0</v>
      </c>
      <c r="ES14" s="397">
        <f>SUM(EM14+EP14)</f>
        <v>0</v>
      </c>
      <c r="ET14" s="405">
        <f>SUM(EN14+EQ14)</f>
        <v>0</v>
      </c>
      <c r="EU14" s="398">
        <f>SUM(ES14:ET14)</f>
        <v>0</v>
      </c>
      <c r="EV14" s="398"/>
      <c r="EW14" s="492">
        <f t="shared" si="26"/>
        <v>0</v>
      </c>
      <c r="EX14" s="487">
        <f t="shared" si="27"/>
        <v>0</v>
      </c>
      <c r="EY14" s="487">
        <f t="shared" si="28"/>
        <v>0</v>
      </c>
      <c r="EZ14" s="487">
        <f t="shared" si="29"/>
        <v>0</v>
      </c>
      <c r="FA14" s="474"/>
      <c r="FB14" s="474">
        <f t="shared" si="30"/>
        <v>0</v>
      </c>
      <c r="FC14" s="475" t="e">
        <f>FB14/FA14</f>
        <v>#DIV/0!</v>
      </c>
      <c r="FD14" s="547">
        <f t="shared" si="31"/>
        <v>0</v>
      </c>
      <c r="FE14" s="547">
        <f t="shared" si="32"/>
        <v>0</v>
      </c>
      <c r="FF14" s="547">
        <f t="shared" si="33"/>
        <v>0</v>
      </c>
      <c r="FG14" s="547">
        <f t="shared" si="34"/>
        <v>0</v>
      </c>
      <c r="FH14" s="577">
        <f t="shared" si="35"/>
        <v>0</v>
      </c>
      <c r="FI14" s="577">
        <f t="shared" si="36"/>
        <v>0</v>
      </c>
      <c r="FJ14" s="577">
        <f t="shared" si="37"/>
        <v>0</v>
      </c>
      <c r="FK14" s="577">
        <f t="shared" si="38"/>
        <v>29</v>
      </c>
      <c r="FL14" s="577">
        <f t="shared" si="39"/>
        <v>21</v>
      </c>
      <c r="FM14" s="577">
        <f t="shared" si="40"/>
        <v>50</v>
      </c>
      <c r="FN14" s="393"/>
      <c r="FO14" s="394"/>
      <c r="FP14" s="395"/>
      <c r="FQ14" s="396"/>
      <c r="FR14" s="394"/>
      <c r="FS14" s="395">
        <f>SUM(FQ14:FR14)</f>
        <v>0</v>
      </c>
      <c r="FT14" s="397">
        <f>SUM(FN14+FQ14)</f>
        <v>0</v>
      </c>
      <c r="FU14" s="405">
        <f>SUM(FO14+FR14)</f>
        <v>0</v>
      </c>
      <c r="FV14" s="398">
        <f>SUM(FT14:FU14)</f>
        <v>0</v>
      </c>
      <c r="FW14" s="398"/>
      <c r="FX14" s="393"/>
      <c r="FY14" s="394"/>
      <c r="FZ14" s="395"/>
      <c r="GA14" s="396"/>
      <c r="GB14" s="394"/>
      <c r="GC14" s="395">
        <f>SUM(GA14:GB14)</f>
        <v>0</v>
      </c>
      <c r="GD14" s="397">
        <f t="shared" si="41"/>
        <v>0</v>
      </c>
      <c r="GE14" s="405">
        <f t="shared" si="42"/>
        <v>0</v>
      </c>
      <c r="GF14" s="398">
        <f t="shared" si="43"/>
        <v>0</v>
      </c>
      <c r="GG14" s="398"/>
      <c r="GH14" s="393"/>
      <c r="GI14" s="394"/>
      <c r="GJ14" s="395"/>
      <c r="GK14" s="396"/>
      <c r="GL14" s="394"/>
      <c r="GM14" s="395">
        <f>SUM(GK14:GL14)</f>
        <v>0</v>
      </c>
      <c r="GN14" s="397">
        <f t="shared" si="97"/>
        <v>0</v>
      </c>
      <c r="GO14" s="405">
        <f t="shared" si="98"/>
        <v>0</v>
      </c>
      <c r="GP14" s="398">
        <f t="shared" si="99"/>
        <v>0</v>
      </c>
      <c r="GQ14" s="398"/>
      <c r="GR14" s="650">
        <f t="shared" si="47"/>
        <v>29</v>
      </c>
      <c r="GS14" s="650">
        <f t="shared" si="48"/>
        <v>21</v>
      </c>
      <c r="GT14" s="650">
        <f t="shared" si="49"/>
        <v>22</v>
      </c>
      <c r="GU14" s="650">
        <f t="shared" si="50"/>
        <v>18</v>
      </c>
      <c r="GV14" s="650">
        <f t="shared" si="51"/>
        <v>7</v>
      </c>
      <c r="GW14" s="650">
        <f t="shared" si="52"/>
        <v>3</v>
      </c>
      <c r="GX14" s="393"/>
      <c r="GY14" s="394"/>
      <c r="GZ14" s="395">
        <f t="shared" si="53"/>
        <v>0</v>
      </c>
      <c r="HA14" s="396"/>
      <c r="HB14" s="394"/>
      <c r="HC14" s="395">
        <f t="shared" si="54"/>
        <v>0</v>
      </c>
      <c r="HD14" s="397">
        <f t="shared" si="55"/>
        <v>0</v>
      </c>
      <c r="HE14" s="405">
        <f t="shared" si="56"/>
        <v>0</v>
      </c>
      <c r="HF14" s="398">
        <f t="shared" si="57"/>
        <v>0</v>
      </c>
      <c r="HG14" s="398"/>
      <c r="HH14" s="492">
        <f t="shared" si="58"/>
        <v>0</v>
      </c>
      <c r="HI14" s="487">
        <f t="shared" si="59"/>
        <v>0</v>
      </c>
      <c r="HJ14" s="487">
        <f t="shared" si="60"/>
        <v>0</v>
      </c>
      <c r="HK14" s="487">
        <f t="shared" si="61"/>
        <v>0</v>
      </c>
      <c r="HL14" s="487">
        <f t="shared" si="62"/>
        <v>0</v>
      </c>
      <c r="HM14" s="487">
        <f t="shared" si="63"/>
        <v>0</v>
      </c>
      <c r="HN14" s="474"/>
      <c r="HO14" s="474">
        <f t="shared" si="64"/>
        <v>0</v>
      </c>
      <c r="HP14" s="475" t="e">
        <f>HO14/HN14</f>
        <v>#DIV/0!</v>
      </c>
      <c r="HQ14" s="547">
        <f t="shared" si="103"/>
        <v>0</v>
      </c>
      <c r="HR14" s="547">
        <f t="shared" si="104"/>
        <v>0</v>
      </c>
      <c r="HS14" s="547">
        <f t="shared" si="105"/>
        <v>0</v>
      </c>
      <c r="HT14" s="547">
        <f t="shared" si="106"/>
        <v>0</v>
      </c>
      <c r="HU14" s="393"/>
      <c r="HV14" s="394"/>
      <c r="HW14" s="395">
        <f t="shared" si="69"/>
        <v>0</v>
      </c>
      <c r="HX14" s="396"/>
      <c r="HY14" s="394"/>
      <c r="HZ14" s="395">
        <f t="shared" si="70"/>
        <v>0</v>
      </c>
      <c r="IA14" s="397">
        <f t="shared" si="71"/>
        <v>0</v>
      </c>
      <c r="IB14" s="405">
        <f t="shared" si="72"/>
        <v>0</v>
      </c>
      <c r="IC14" s="398">
        <f t="shared" si="73"/>
        <v>0</v>
      </c>
      <c r="ID14" s="398"/>
      <c r="IE14" s="393"/>
      <c r="IF14" s="394"/>
      <c r="IG14" s="395"/>
      <c r="IH14" s="396"/>
      <c r="II14" s="394"/>
      <c r="IJ14" s="395">
        <f>SUM(IH14:II14)</f>
        <v>0</v>
      </c>
      <c r="IK14" s="397">
        <f>SUM(IE14+IH14)</f>
        <v>0</v>
      </c>
      <c r="IL14" s="405">
        <f>SUM(IF14+II14)</f>
        <v>0</v>
      </c>
      <c r="IM14" s="398">
        <f>SUM(IK14:IL14)</f>
        <v>0</v>
      </c>
      <c r="IN14" s="398"/>
      <c r="IO14" s="393"/>
      <c r="IP14" s="394"/>
      <c r="IQ14" s="395"/>
      <c r="IR14" s="396"/>
      <c r="IS14" s="394"/>
      <c r="IT14" s="395">
        <f>SUM(IR14:IS14)</f>
        <v>0</v>
      </c>
      <c r="IU14" s="397">
        <f>SUM(IO14+IR14)</f>
        <v>0</v>
      </c>
      <c r="IV14" s="405">
        <f>SUM(IP14+IS14)</f>
        <v>0</v>
      </c>
      <c r="IW14" s="398">
        <f>SUM(IU14:IV14)</f>
        <v>0</v>
      </c>
      <c r="IX14" s="398"/>
      <c r="IY14" s="393"/>
      <c r="IZ14" s="394"/>
      <c r="JA14" s="395"/>
      <c r="JB14" s="396"/>
      <c r="JC14" s="394"/>
      <c r="JD14" s="395">
        <f>SUM(JB14:JC14)</f>
        <v>0</v>
      </c>
      <c r="JE14" s="397">
        <f>SUM(IY14+JB14)</f>
        <v>0</v>
      </c>
      <c r="JF14" s="405">
        <f>SUM(IZ14+JC14)</f>
        <v>0</v>
      </c>
      <c r="JG14" s="398">
        <f>SUM(JE14:JF14)</f>
        <v>0</v>
      </c>
      <c r="JH14" s="398"/>
      <c r="JI14" s="494"/>
      <c r="JJ14" s="479"/>
      <c r="JK14" s="479"/>
      <c r="JL14" s="479"/>
      <c r="JM14" s="474"/>
      <c r="JN14" s="474">
        <f t="shared" si="74"/>
        <v>0</v>
      </c>
      <c r="JO14" s="475" t="e">
        <f>JN14/JM14</f>
        <v>#DIV/0!</v>
      </c>
      <c r="JP14" s="393"/>
      <c r="JQ14" s="394"/>
      <c r="JR14" s="395"/>
      <c r="JS14" s="396"/>
      <c r="JT14" s="394"/>
      <c r="JU14" s="395">
        <f>SUM(JS14:JT14)</f>
        <v>0</v>
      </c>
      <c r="JV14" s="397">
        <f>SUM(JP14+JS14)</f>
        <v>0</v>
      </c>
      <c r="JW14" s="405">
        <f>SUM(JQ14+JT14)</f>
        <v>0</v>
      </c>
      <c r="JX14" s="398">
        <f>SUM(JV14:JW14)</f>
        <v>0</v>
      </c>
      <c r="JY14" s="398"/>
      <c r="JZ14" s="577">
        <f t="shared" si="1"/>
        <v>0</v>
      </c>
      <c r="KA14" s="412">
        <f t="shared" si="2"/>
        <v>29</v>
      </c>
      <c r="KB14" s="412">
        <f t="shared" si="3"/>
        <v>21</v>
      </c>
      <c r="KC14" s="412">
        <f t="shared" si="4"/>
        <v>22</v>
      </c>
      <c r="KD14" s="412">
        <f t="shared" si="5"/>
        <v>18</v>
      </c>
      <c r="KE14" s="412">
        <f t="shared" si="102"/>
        <v>7</v>
      </c>
      <c r="KF14" s="693">
        <f t="shared" si="100"/>
        <v>3</v>
      </c>
      <c r="KG14" s="687">
        <f t="shared" si="75"/>
        <v>50</v>
      </c>
      <c r="KH14" s="677">
        <v>50</v>
      </c>
      <c r="KI14" s="677">
        <f t="shared" si="95"/>
        <v>0</v>
      </c>
      <c r="KJ14" s="676">
        <f t="shared" si="96"/>
        <v>1</v>
      </c>
      <c r="KK14" s="359"/>
      <c r="KL14" s="359"/>
      <c r="KM14" s="359"/>
      <c r="KN14" s="359"/>
      <c r="KO14" s="359"/>
      <c r="KP14" s="359"/>
      <c r="KQ14" s="359"/>
    </row>
    <row r="15" spans="1:303" ht="37.5" customHeight="1" x14ac:dyDescent="0.3">
      <c r="A15" s="661"/>
      <c r="B15" s="391" t="s">
        <v>136</v>
      </c>
      <c r="C15" s="391" t="s">
        <v>130</v>
      </c>
      <c r="D15" s="392">
        <v>200</v>
      </c>
      <c r="E15" s="393"/>
      <c r="F15" s="394"/>
      <c r="G15" s="395"/>
      <c r="H15" s="396"/>
      <c r="I15" s="394"/>
      <c r="J15" s="395"/>
      <c r="K15" s="397"/>
      <c r="L15" s="398"/>
      <c r="M15" s="398"/>
      <c r="N15" s="399"/>
      <c r="O15" s="393"/>
      <c r="P15" s="394"/>
      <c r="Q15" s="400"/>
      <c r="R15" s="396"/>
      <c r="S15" s="394"/>
      <c r="T15" s="400"/>
      <c r="U15" s="397"/>
      <c r="V15" s="398"/>
      <c r="W15" s="398"/>
      <c r="X15" s="399"/>
      <c r="Y15" s="393"/>
      <c r="Z15" s="394"/>
      <c r="AA15" s="400"/>
      <c r="AB15" s="396"/>
      <c r="AC15" s="394"/>
      <c r="AD15" s="400"/>
      <c r="AE15" s="397"/>
      <c r="AF15" s="405"/>
      <c r="AG15" s="398"/>
      <c r="AH15" s="403"/>
      <c r="AI15" s="393"/>
      <c r="AJ15" s="394"/>
      <c r="AK15" s="395"/>
      <c r="AL15" s="396"/>
      <c r="AM15" s="394"/>
      <c r="AN15" s="395"/>
      <c r="AO15" s="397"/>
      <c r="AP15" s="398"/>
      <c r="AQ15" s="398"/>
      <c r="AR15" s="404"/>
      <c r="AS15" s="486"/>
      <c r="AT15" s="487"/>
      <c r="AU15" s="487"/>
      <c r="AV15" s="487"/>
      <c r="AW15" s="478"/>
      <c r="AX15" s="479"/>
      <c r="AY15" s="537"/>
      <c r="AZ15" s="548"/>
      <c r="BA15" s="548"/>
      <c r="BB15" s="548"/>
      <c r="BC15" s="548"/>
      <c r="BD15" s="393"/>
      <c r="BE15" s="394"/>
      <c r="BF15" s="395"/>
      <c r="BG15" s="396"/>
      <c r="BH15" s="394"/>
      <c r="BI15" s="395"/>
      <c r="BJ15" s="397"/>
      <c r="BK15" s="398"/>
      <c r="BL15" s="405"/>
      <c r="BM15" s="398"/>
      <c r="BN15" s="393"/>
      <c r="BO15" s="394"/>
      <c r="BP15" s="395"/>
      <c r="BQ15" s="396"/>
      <c r="BR15" s="394"/>
      <c r="BS15" s="395"/>
      <c r="BT15" s="397"/>
      <c r="BU15" s="405"/>
      <c r="BV15" s="398"/>
      <c r="BW15" s="398"/>
      <c r="BX15" s="626">
        <f t="shared" si="16"/>
        <v>0</v>
      </c>
      <c r="BY15" s="626">
        <f t="shared" si="17"/>
        <v>0</v>
      </c>
      <c r="BZ15" s="626">
        <f t="shared" si="18"/>
        <v>0</v>
      </c>
      <c r="CA15" s="626">
        <f t="shared" si="19"/>
        <v>0</v>
      </c>
      <c r="CB15" s="625">
        <f t="shared" si="20"/>
        <v>0</v>
      </c>
      <c r="CC15" s="393"/>
      <c r="CD15" s="394"/>
      <c r="CE15" s="395"/>
      <c r="CF15" s="396"/>
      <c r="CG15" s="394"/>
      <c r="CH15" s="395"/>
      <c r="CI15" s="397"/>
      <c r="CJ15" s="398"/>
      <c r="CK15" s="398"/>
      <c r="CL15" s="414"/>
      <c r="CM15" s="393"/>
      <c r="CN15" s="394"/>
      <c r="CO15" s="395"/>
      <c r="CP15" s="396"/>
      <c r="CQ15" s="394"/>
      <c r="CR15" s="395"/>
      <c r="CS15" s="397"/>
      <c r="CT15" s="398"/>
      <c r="CU15" s="405"/>
      <c r="CV15" s="405"/>
      <c r="CW15" s="492"/>
      <c r="CX15" s="487"/>
      <c r="CY15" s="487"/>
      <c r="CZ15" s="487"/>
      <c r="DA15" s="474"/>
      <c r="DB15" s="474"/>
      <c r="DC15" s="475"/>
      <c r="DD15" s="547"/>
      <c r="DE15" s="547"/>
      <c r="DF15" s="547"/>
      <c r="DG15" s="547"/>
      <c r="DH15" s="576">
        <f t="shared" si="25"/>
        <v>0</v>
      </c>
      <c r="DI15" s="393"/>
      <c r="DJ15" s="394"/>
      <c r="DK15" s="395"/>
      <c r="DL15" s="396"/>
      <c r="DM15" s="394"/>
      <c r="DN15" s="395"/>
      <c r="DO15" s="397"/>
      <c r="DP15" s="405"/>
      <c r="DQ15" s="398"/>
      <c r="DR15" s="398"/>
      <c r="DS15" s="393"/>
      <c r="DT15" s="394"/>
      <c r="DU15" s="395"/>
      <c r="DV15" s="396"/>
      <c r="DW15" s="394"/>
      <c r="DX15" s="395"/>
      <c r="DY15" s="397"/>
      <c r="DZ15" s="405"/>
      <c r="EA15" s="398"/>
      <c r="EB15" s="398"/>
      <c r="EC15" s="393"/>
      <c r="ED15" s="394"/>
      <c r="EE15" s="395"/>
      <c r="EF15" s="396"/>
      <c r="EG15" s="394"/>
      <c r="EH15" s="395"/>
      <c r="EI15" s="397"/>
      <c r="EJ15" s="405"/>
      <c r="EK15" s="398"/>
      <c r="EL15" s="398"/>
      <c r="EM15" s="393"/>
      <c r="EN15" s="394"/>
      <c r="EO15" s="395"/>
      <c r="EP15" s="396"/>
      <c r="EQ15" s="394"/>
      <c r="ER15" s="395"/>
      <c r="ES15" s="397"/>
      <c r="ET15" s="405"/>
      <c r="EU15" s="398"/>
      <c r="EV15" s="398"/>
      <c r="EW15" s="492"/>
      <c r="EX15" s="487"/>
      <c r="EY15" s="487"/>
      <c r="EZ15" s="487"/>
      <c r="FA15" s="474"/>
      <c r="FB15" s="474"/>
      <c r="FC15" s="475"/>
      <c r="FD15" s="547">
        <f t="shared" si="31"/>
        <v>0</v>
      </c>
      <c r="FE15" s="547">
        <f t="shared" si="32"/>
        <v>0</v>
      </c>
      <c r="FF15" s="547">
        <f t="shared" si="33"/>
        <v>0</v>
      </c>
      <c r="FG15" s="547">
        <f t="shared" si="34"/>
        <v>0</v>
      </c>
      <c r="FH15" s="577">
        <f t="shared" si="35"/>
        <v>0</v>
      </c>
      <c r="FI15" s="577">
        <f t="shared" si="36"/>
        <v>0</v>
      </c>
      <c r="FJ15" s="577">
        <f t="shared" si="37"/>
        <v>0</v>
      </c>
      <c r="FK15" s="577">
        <f t="shared" si="38"/>
        <v>0</v>
      </c>
      <c r="FL15" s="577">
        <f t="shared" si="39"/>
        <v>0</v>
      </c>
      <c r="FM15" s="577">
        <f t="shared" si="40"/>
        <v>0</v>
      </c>
      <c r="FN15" s="393"/>
      <c r="FO15" s="394"/>
      <c r="FP15" s="395"/>
      <c r="FQ15" s="396"/>
      <c r="FR15" s="394"/>
      <c r="FS15" s="395"/>
      <c r="FT15" s="397"/>
      <c r="FU15" s="405"/>
      <c r="FV15" s="398"/>
      <c r="FW15" s="398"/>
      <c r="FX15" s="393">
        <v>73</v>
      </c>
      <c r="FY15" s="394">
        <v>0</v>
      </c>
      <c r="FZ15" s="395">
        <f>FX15+FY15</f>
        <v>73</v>
      </c>
      <c r="GA15" s="396">
        <v>0</v>
      </c>
      <c r="GB15" s="394">
        <v>0</v>
      </c>
      <c r="GC15" s="395">
        <f>SUM(GA15:GB15)</f>
        <v>0</v>
      </c>
      <c r="GD15" s="397">
        <f t="shared" si="41"/>
        <v>73</v>
      </c>
      <c r="GE15" s="405">
        <f t="shared" si="42"/>
        <v>0</v>
      </c>
      <c r="GF15" s="398">
        <f t="shared" si="43"/>
        <v>73</v>
      </c>
      <c r="GG15" s="398"/>
      <c r="GH15" s="393">
        <v>103</v>
      </c>
      <c r="GI15" s="394">
        <v>0</v>
      </c>
      <c r="GJ15" s="395">
        <f>GH15+GI15</f>
        <v>103</v>
      </c>
      <c r="GK15" s="396">
        <v>0</v>
      </c>
      <c r="GL15" s="394">
        <v>0</v>
      </c>
      <c r="GM15" s="395">
        <f>GK15+GL15</f>
        <v>0</v>
      </c>
      <c r="GN15" s="397">
        <f t="shared" si="97"/>
        <v>103</v>
      </c>
      <c r="GO15" s="405">
        <f t="shared" si="98"/>
        <v>0</v>
      </c>
      <c r="GP15" s="398">
        <f t="shared" si="99"/>
        <v>103</v>
      </c>
      <c r="GQ15" s="398"/>
      <c r="GR15" s="650">
        <f t="shared" si="47"/>
        <v>176</v>
      </c>
      <c r="GS15" s="650">
        <f t="shared" si="48"/>
        <v>0</v>
      </c>
      <c r="GT15" s="650">
        <f t="shared" si="49"/>
        <v>176</v>
      </c>
      <c r="GU15" s="650">
        <f t="shared" si="50"/>
        <v>0</v>
      </c>
      <c r="GV15" s="650">
        <f t="shared" si="51"/>
        <v>0</v>
      </c>
      <c r="GW15" s="650">
        <f t="shared" si="52"/>
        <v>0</v>
      </c>
      <c r="GX15" s="393"/>
      <c r="GY15" s="394"/>
      <c r="GZ15" s="395">
        <f t="shared" si="53"/>
        <v>0</v>
      </c>
      <c r="HA15" s="396"/>
      <c r="HB15" s="394"/>
      <c r="HC15" s="395">
        <f t="shared" si="54"/>
        <v>0</v>
      </c>
      <c r="HD15" s="397">
        <f t="shared" si="55"/>
        <v>0</v>
      </c>
      <c r="HE15" s="405">
        <f t="shared" si="56"/>
        <v>0</v>
      </c>
      <c r="HF15" s="398">
        <f t="shared" si="57"/>
        <v>0</v>
      </c>
      <c r="HG15" s="398"/>
      <c r="HH15" s="492">
        <f t="shared" si="58"/>
        <v>176</v>
      </c>
      <c r="HI15" s="487">
        <f t="shared" si="59"/>
        <v>0</v>
      </c>
      <c r="HJ15" s="487">
        <f t="shared" si="60"/>
        <v>176</v>
      </c>
      <c r="HK15" s="487">
        <f t="shared" si="61"/>
        <v>0</v>
      </c>
      <c r="HL15" s="487">
        <f t="shared" si="62"/>
        <v>0</v>
      </c>
      <c r="HM15" s="487">
        <f t="shared" si="63"/>
        <v>0</v>
      </c>
      <c r="HN15" s="474"/>
      <c r="HO15" s="474">
        <f t="shared" si="64"/>
        <v>176</v>
      </c>
      <c r="HP15" s="475"/>
      <c r="HQ15" s="547">
        <f t="shared" ref="HQ15" si="107">FN15+FX15+GH15+GX15</f>
        <v>176</v>
      </c>
      <c r="HR15" s="547">
        <f t="shared" ref="HR15" si="108">FO15+FY15+GI15+GY15</f>
        <v>0</v>
      </c>
      <c r="HS15" s="547">
        <f t="shared" ref="HS15" si="109">FQ15+GA15+GK15+HA15</f>
        <v>0</v>
      </c>
      <c r="HT15" s="547">
        <f t="shared" ref="HT15" si="110">FR15+GB15+GL15+HB15</f>
        <v>0</v>
      </c>
      <c r="HU15" s="393">
        <v>136</v>
      </c>
      <c r="HV15" s="394">
        <v>0</v>
      </c>
      <c r="HW15" s="395">
        <f t="shared" si="69"/>
        <v>136</v>
      </c>
      <c r="HX15" s="396">
        <v>0</v>
      </c>
      <c r="HY15" s="394">
        <v>0</v>
      </c>
      <c r="HZ15" s="395">
        <f t="shared" si="70"/>
        <v>0</v>
      </c>
      <c r="IA15" s="397">
        <f t="shared" si="71"/>
        <v>136</v>
      </c>
      <c r="IB15" s="405">
        <f t="shared" si="72"/>
        <v>0</v>
      </c>
      <c r="IC15" s="398">
        <f t="shared" si="73"/>
        <v>136</v>
      </c>
      <c r="ID15" s="398"/>
      <c r="IE15" s="393"/>
      <c r="IF15" s="394"/>
      <c r="IG15" s="395"/>
      <c r="IH15" s="396"/>
      <c r="II15" s="394"/>
      <c r="IJ15" s="395">
        <f>SUM(IH15:II15)</f>
        <v>0</v>
      </c>
      <c r="IK15" s="397">
        <f>SUM(IE15+IH15)</f>
        <v>0</v>
      </c>
      <c r="IL15" s="405">
        <f>SUM(IF15+II15)</f>
        <v>0</v>
      </c>
      <c r="IM15" s="398">
        <f>SUM(IK15:IL15)</f>
        <v>0</v>
      </c>
      <c r="IN15" s="398"/>
      <c r="IO15" s="393"/>
      <c r="IP15" s="394"/>
      <c r="IQ15" s="395"/>
      <c r="IR15" s="396"/>
      <c r="IS15" s="394"/>
      <c r="IT15" s="395">
        <f>SUM(IR15:IS15)</f>
        <v>0</v>
      </c>
      <c r="IU15" s="397">
        <f>SUM(IO15+IR15)</f>
        <v>0</v>
      </c>
      <c r="IV15" s="405">
        <f>SUM(IP15+IS15)</f>
        <v>0</v>
      </c>
      <c r="IW15" s="398">
        <f>SUM(IU15:IV15)</f>
        <v>0</v>
      </c>
      <c r="IX15" s="398"/>
      <c r="IY15" s="393"/>
      <c r="IZ15" s="394"/>
      <c r="JA15" s="395"/>
      <c r="JB15" s="396"/>
      <c r="JC15" s="394"/>
      <c r="JD15" s="395">
        <f>SUM(JB15:JC15)</f>
        <v>0</v>
      </c>
      <c r="JE15" s="397">
        <f>SUM(IY15+JB15)</f>
        <v>0</v>
      </c>
      <c r="JF15" s="405">
        <f>SUM(IZ15+JC15)</f>
        <v>0</v>
      </c>
      <c r="JG15" s="398">
        <f>SUM(JE15:JF15)</f>
        <v>0</v>
      </c>
      <c r="JH15" s="398"/>
      <c r="JI15" s="494"/>
      <c r="JJ15" s="479"/>
      <c r="JK15" s="479"/>
      <c r="JL15" s="479"/>
      <c r="JM15" s="474"/>
      <c r="JN15" s="474">
        <f t="shared" ref="JN15" si="111">JG15+IW15+IM15+IC15</f>
        <v>136</v>
      </c>
      <c r="JO15" s="475" t="e">
        <f>JN15/JM15</f>
        <v>#DIV/0!</v>
      </c>
      <c r="JP15" s="393"/>
      <c r="JQ15" s="394"/>
      <c r="JR15" s="395"/>
      <c r="JS15" s="396"/>
      <c r="JT15" s="394"/>
      <c r="JU15" s="395">
        <f>SUM(JS15:JT15)</f>
        <v>0</v>
      </c>
      <c r="JV15" s="397">
        <f>SUM(JP15+JS15)</f>
        <v>0</v>
      </c>
      <c r="JW15" s="405">
        <f>SUM(JQ15+JT15)</f>
        <v>0</v>
      </c>
      <c r="JX15" s="398">
        <f>SUM(JV15:JW15)</f>
        <v>0</v>
      </c>
      <c r="JY15" s="398"/>
      <c r="JZ15" s="577">
        <f t="shared" si="1"/>
        <v>312</v>
      </c>
      <c r="KA15" s="412">
        <f t="shared" si="2"/>
        <v>312</v>
      </c>
      <c r="KB15" s="412">
        <f t="shared" si="3"/>
        <v>0</v>
      </c>
      <c r="KC15" s="412">
        <f t="shared" si="4"/>
        <v>312</v>
      </c>
      <c r="KD15" s="412">
        <f t="shared" si="5"/>
        <v>0</v>
      </c>
      <c r="KE15" s="412">
        <f t="shared" si="102"/>
        <v>0</v>
      </c>
      <c r="KF15" s="693">
        <f t="shared" si="100"/>
        <v>0</v>
      </c>
      <c r="KG15" s="687">
        <f t="shared" ref="KG15" si="112">SUM(KA15:KB15)</f>
        <v>312</v>
      </c>
      <c r="KH15" s="677">
        <v>200</v>
      </c>
      <c r="KI15" s="677">
        <f t="shared" si="95"/>
        <v>-112</v>
      </c>
      <c r="KJ15" s="676">
        <f t="shared" si="96"/>
        <v>1.56</v>
      </c>
      <c r="KK15" s="359"/>
      <c r="KL15" s="359"/>
      <c r="KM15" s="359"/>
      <c r="KN15" s="359"/>
      <c r="KO15" s="359"/>
      <c r="KP15" s="359"/>
      <c r="KQ15" s="359"/>
    </row>
    <row r="16" spans="1:303" ht="36" hidden="1" customHeight="1" x14ac:dyDescent="0.3">
      <c r="A16" s="385"/>
      <c r="B16" s="391" t="s">
        <v>23</v>
      </c>
      <c r="C16" s="391" t="s">
        <v>130</v>
      </c>
      <c r="D16" s="392">
        <v>450</v>
      </c>
      <c r="E16" s="393"/>
      <c r="F16" s="394"/>
      <c r="G16" s="395"/>
      <c r="H16" s="396"/>
      <c r="I16" s="394"/>
      <c r="J16" s="395"/>
      <c r="K16" s="397"/>
      <c r="L16" s="398"/>
      <c r="M16" s="398"/>
      <c r="N16" s="399"/>
      <c r="O16" s="393"/>
      <c r="P16" s="394"/>
      <c r="Q16" s="400"/>
      <c r="R16" s="396"/>
      <c r="S16" s="394"/>
      <c r="T16" s="400"/>
      <c r="U16" s="397"/>
      <c r="V16" s="398"/>
      <c r="W16" s="398"/>
      <c r="X16" s="399"/>
      <c r="Y16" s="393"/>
      <c r="Z16" s="394"/>
      <c r="AA16" s="400"/>
      <c r="AB16" s="396"/>
      <c r="AC16" s="394"/>
      <c r="AD16" s="400"/>
      <c r="AE16" s="397"/>
      <c r="AF16" s="405"/>
      <c r="AG16" s="398"/>
      <c r="AH16" s="403"/>
      <c r="AI16" s="393"/>
      <c r="AJ16" s="394"/>
      <c r="AK16" s="395"/>
      <c r="AL16" s="396"/>
      <c r="AM16" s="394"/>
      <c r="AN16" s="395"/>
      <c r="AO16" s="397"/>
      <c r="AP16" s="398"/>
      <c r="AQ16" s="398"/>
      <c r="AR16" s="404"/>
      <c r="AS16" s="486">
        <f t="shared" si="7"/>
        <v>0</v>
      </c>
      <c r="AT16" s="487">
        <f t="shared" si="8"/>
        <v>0</v>
      </c>
      <c r="AU16" s="487">
        <f t="shared" si="9"/>
        <v>0</v>
      </c>
      <c r="AV16" s="487">
        <f t="shared" si="10"/>
        <v>0</v>
      </c>
      <c r="AW16" s="478"/>
      <c r="AX16" s="479">
        <f t="shared" si="11"/>
        <v>0</v>
      </c>
      <c r="AY16" s="537"/>
      <c r="AZ16" s="547">
        <f t="shared" si="12"/>
        <v>0</v>
      </c>
      <c r="BA16" s="547">
        <f t="shared" si="13"/>
        <v>0</v>
      </c>
      <c r="BB16" s="547">
        <f t="shared" si="14"/>
        <v>0</v>
      </c>
      <c r="BC16" s="547">
        <f t="shared" si="15"/>
        <v>0</v>
      </c>
      <c r="BD16" s="393"/>
      <c r="BE16" s="394"/>
      <c r="BF16" s="395"/>
      <c r="BG16" s="396"/>
      <c r="BH16" s="394"/>
      <c r="BI16" s="395"/>
      <c r="BJ16" s="397"/>
      <c r="BK16" s="398"/>
      <c r="BL16" s="405"/>
      <c r="BM16" s="398"/>
      <c r="BN16" s="393"/>
      <c r="BO16" s="394"/>
      <c r="BP16" s="395"/>
      <c r="BQ16" s="396"/>
      <c r="BR16" s="394"/>
      <c r="BS16" s="395"/>
      <c r="BT16" s="397"/>
      <c r="BU16" s="405"/>
      <c r="BV16" s="398"/>
      <c r="BW16" s="398"/>
      <c r="BX16" s="626">
        <f t="shared" si="16"/>
        <v>0</v>
      </c>
      <c r="BY16" s="626">
        <f t="shared" si="17"/>
        <v>0</v>
      </c>
      <c r="BZ16" s="626">
        <f t="shared" si="18"/>
        <v>0</v>
      </c>
      <c r="CA16" s="626">
        <f t="shared" si="19"/>
        <v>0</v>
      </c>
      <c r="CB16" s="625">
        <f t="shared" si="20"/>
        <v>0</v>
      </c>
      <c r="CC16" s="393"/>
      <c r="CD16" s="394"/>
      <c r="CE16" s="395"/>
      <c r="CF16" s="396"/>
      <c r="CG16" s="394"/>
      <c r="CH16" s="395"/>
      <c r="CI16" s="397"/>
      <c r="CJ16" s="398"/>
      <c r="CK16" s="398"/>
      <c r="CL16" s="414"/>
      <c r="CM16" s="393"/>
      <c r="CN16" s="394"/>
      <c r="CO16" s="395"/>
      <c r="CP16" s="396"/>
      <c r="CQ16" s="394"/>
      <c r="CR16" s="395"/>
      <c r="CS16" s="397"/>
      <c r="CT16" s="398"/>
      <c r="CU16" s="405"/>
      <c r="CV16" s="405"/>
      <c r="CW16" s="492">
        <f t="shared" ref="CW16:CY17" si="113">SUM(CS16+CI16+BT16+BJ16)</f>
        <v>0</v>
      </c>
      <c r="CX16" s="487">
        <f t="shared" si="113"/>
        <v>0</v>
      </c>
      <c r="CY16" s="487">
        <f t="shared" si="113"/>
        <v>0</v>
      </c>
      <c r="CZ16" s="487">
        <f>SUM(CR16+CH16+BS16+BI16)</f>
        <v>0</v>
      </c>
      <c r="DA16" s="474"/>
      <c r="DB16" s="474">
        <f>SUM(CW16:CX16)</f>
        <v>0</v>
      </c>
      <c r="DC16" s="475"/>
      <c r="DD16" s="547">
        <f t="shared" si="21"/>
        <v>0</v>
      </c>
      <c r="DE16" s="547">
        <f t="shared" si="22"/>
        <v>0</v>
      </c>
      <c r="DF16" s="547">
        <f t="shared" si="23"/>
        <v>0</v>
      </c>
      <c r="DG16" s="547">
        <f t="shared" si="24"/>
        <v>0</v>
      </c>
      <c r="DH16" s="576">
        <f t="shared" si="25"/>
        <v>0</v>
      </c>
      <c r="DI16" s="393"/>
      <c r="DJ16" s="394"/>
      <c r="DK16" s="395"/>
      <c r="DL16" s="396"/>
      <c r="DM16" s="394"/>
      <c r="DN16" s="395"/>
      <c r="DO16" s="397"/>
      <c r="DP16" s="405"/>
      <c r="DQ16" s="398"/>
      <c r="DR16" s="398"/>
      <c r="DS16" s="393"/>
      <c r="DT16" s="394"/>
      <c r="DU16" s="395">
        <f t="shared" si="76"/>
        <v>0</v>
      </c>
      <c r="DV16" s="396"/>
      <c r="DW16" s="394"/>
      <c r="DX16" s="395">
        <f t="shared" si="77"/>
        <v>0</v>
      </c>
      <c r="DY16" s="397">
        <f t="shared" si="78"/>
        <v>0</v>
      </c>
      <c r="DZ16" s="405">
        <f t="shared" si="79"/>
        <v>0</v>
      </c>
      <c r="EA16" s="398">
        <f t="shared" si="80"/>
        <v>0</v>
      </c>
      <c r="EB16" s="398"/>
      <c r="EC16" s="393"/>
      <c r="ED16" s="394"/>
      <c r="EE16" s="395"/>
      <c r="EF16" s="396"/>
      <c r="EG16" s="394"/>
      <c r="EH16" s="395"/>
      <c r="EI16" s="397">
        <f t="shared" ref="EI16" si="114">SUM(EC16+EF16)</f>
        <v>0</v>
      </c>
      <c r="EJ16" s="405">
        <f t="shared" ref="EJ16" si="115">SUM(ED16+EG16)</f>
        <v>0</v>
      </c>
      <c r="EK16" s="398">
        <f t="shared" ref="EK16" si="116">SUM(EI16:EJ16)</f>
        <v>0</v>
      </c>
      <c r="EL16" s="398"/>
      <c r="EM16" s="393"/>
      <c r="EN16" s="394"/>
      <c r="EO16" s="395"/>
      <c r="EP16" s="396"/>
      <c r="EQ16" s="394"/>
      <c r="ER16" s="395"/>
      <c r="ES16" s="397"/>
      <c r="ET16" s="405"/>
      <c r="EU16" s="398"/>
      <c r="EV16" s="398"/>
      <c r="EW16" s="492">
        <f t="shared" si="26"/>
        <v>0</v>
      </c>
      <c r="EX16" s="487">
        <f t="shared" si="27"/>
        <v>0</v>
      </c>
      <c r="EY16" s="487">
        <f t="shared" si="28"/>
        <v>0</v>
      </c>
      <c r="EZ16" s="487">
        <f t="shared" si="29"/>
        <v>0</v>
      </c>
      <c r="FA16" s="474"/>
      <c r="FB16" s="474">
        <f t="shared" si="30"/>
        <v>0</v>
      </c>
      <c r="FC16" s="475"/>
      <c r="FD16" s="547">
        <f t="shared" si="31"/>
        <v>0</v>
      </c>
      <c r="FE16" s="547">
        <f t="shared" si="32"/>
        <v>0</v>
      </c>
      <c r="FF16" s="547">
        <f t="shared" si="33"/>
        <v>0</v>
      </c>
      <c r="FG16" s="547">
        <f t="shared" si="34"/>
        <v>0</v>
      </c>
      <c r="FH16" s="577">
        <f t="shared" si="35"/>
        <v>0</v>
      </c>
      <c r="FI16" s="577">
        <f t="shared" si="36"/>
        <v>0</v>
      </c>
      <c r="FJ16" s="577">
        <f t="shared" si="37"/>
        <v>0</v>
      </c>
      <c r="FK16" s="577">
        <f t="shared" si="38"/>
        <v>0</v>
      </c>
      <c r="FL16" s="577">
        <f t="shared" si="39"/>
        <v>0</v>
      </c>
      <c r="FM16" s="577">
        <f t="shared" si="40"/>
        <v>0</v>
      </c>
      <c r="FN16" s="393">
        <v>22</v>
      </c>
      <c r="FO16" s="394">
        <v>0</v>
      </c>
      <c r="FP16" s="395">
        <f t="shared" ref="FP16" si="117">SUM(FN16:FO16)</f>
        <v>22</v>
      </c>
      <c r="FQ16" s="396">
        <v>0</v>
      </c>
      <c r="FR16" s="394">
        <v>0</v>
      </c>
      <c r="FS16" s="395">
        <f t="shared" ref="FS16" si="118">SUM(FQ16:FR16)</f>
        <v>0</v>
      </c>
      <c r="FT16" s="397">
        <f t="shared" ref="FT16" si="119">SUM(FN16+FQ16)</f>
        <v>22</v>
      </c>
      <c r="FU16" s="405">
        <f t="shared" ref="FU16" si="120">SUM(FO16+FR16)</f>
        <v>0</v>
      </c>
      <c r="FV16" s="398">
        <f t="shared" ref="FV16" si="121">SUM(FT16:FU16)</f>
        <v>22</v>
      </c>
      <c r="FW16" s="398"/>
      <c r="FX16" s="393"/>
      <c r="FY16" s="394"/>
      <c r="FZ16" s="395"/>
      <c r="GA16" s="396"/>
      <c r="GB16" s="394"/>
      <c r="GC16" s="395"/>
      <c r="GD16" s="397">
        <f t="shared" si="41"/>
        <v>0</v>
      </c>
      <c r="GE16" s="405">
        <f t="shared" si="42"/>
        <v>0</v>
      </c>
      <c r="GF16" s="398">
        <f t="shared" si="43"/>
        <v>0</v>
      </c>
      <c r="GG16" s="398"/>
      <c r="GH16" s="393"/>
      <c r="GI16" s="394"/>
      <c r="GJ16" s="395"/>
      <c r="GK16" s="396"/>
      <c r="GL16" s="394"/>
      <c r="GM16" s="395"/>
      <c r="GN16" s="397">
        <f t="shared" si="97"/>
        <v>0</v>
      </c>
      <c r="GO16" s="405">
        <f t="shared" si="98"/>
        <v>0</v>
      </c>
      <c r="GP16" s="398">
        <f t="shared" si="99"/>
        <v>0</v>
      </c>
      <c r="GQ16" s="398"/>
      <c r="GR16" s="412">
        <f t="shared" si="47"/>
        <v>22</v>
      </c>
      <c r="GS16" s="412">
        <f t="shared" si="48"/>
        <v>0</v>
      </c>
      <c r="GT16" s="412">
        <f t="shared" si="49"/>
        <v>22</v>
      </c>
      <c r="GU16" s="412">
        <f t="shared" si="50"/>
        <v>0</v>
      </c>
      <c r="GV16" s="412">
        <f t="shared" si="51"/>
        <v>0</v>
      </c>
      <c r="GW16" s="412">
        <f t="shared" si="52"/>
        <v>0</v>
      </c>
      <c r="GX16" s="393"/>
      <c r="GY16" s="394"/>
      <c r="GZ16" s="395">
        <f t="shared" si="53"/>
        <v>0</v>
      </c>
      <c r="HA16" s="396"/>
      <c r="HB16" s="394"/>
      <c r="HC16" s="395">
        <f t="shared" si="54"/>
        <v>0</v>
      </c>
      <c r="HD16" s="397">
        <f t="shared" si="55"/>
        <v>0</v>
      </c>
      <c r="HE16" s="405">
        <f t="shared" si="56"/>
        <v>0</v>
      </c>
      <c r="HF16" s="398">
        <f t="shared" si="57"/>
        <v>0</v>
      </c>
      <c r="HG16" s="398"/>
      <c r="HH16" s="492">
        <f t="shared" si="58"/>
        <v>22</v>
      </c>
      <c r="HI16" s="487">
        <f t="shared" si="59"/>
        <v>0</v>
      </c>
      <c r="HJ16" s="487">
        <f t="shared" si="60"/>
        <v>22</v>
      </c>
      <c r="HK16" s="487">
        <f t="shared" si="61"/>
        <v>0</v>
      </c>
      <c r="HL16" s="487">
        <f t="shared" si="62"/>
        <v>0</v>
      </c>
      <c r="HM16" s="487">
        <f t="shared" si="63"/>
        <v>0</v>
      </c>
      <c r="HN16" s="474"/>
      <c r="HO16" s="474">
        <f t="shared" si="64"/>
        <v>22</v>
      </c>
      <c r="HP16" s="475"/>
      <c r="HQ16" s="547">
        <f t="shared" ref="HQ16:HQ20" si="122">FN16+FX16+GH16+GX16</f>
        <v>22</v>
      </c>
      <c r="HR16" s="547">
        <f t="shared" ref="HR16:HR20" si="123">FO16+FY16+GI16+GY16</f>
        <v>0</v>
      </c>
      <c r="HS16" s="547">
        <f t="shared" ref="HS16:HS20" si="124">FQ16+GA16+GK16+HA16</f>
        <v>0</v>
      </c>
      <c r="HT16" s="547">
        <f t="shared" ref="HT16:HT20" si="125">FR16+GB16+GL16+HB16</f>
        <v>0</v>
      </c>
      <c r="HU16" s="393"/>
      <c r="HV16" s="394"/>
      <c r="HW16" s="395">
        <f t="shared" si="69"/>
        <v>0</v>
      </c>
      <c r="HX16" s="396"/>
      <c r="HY16" s="394"/>
      <c r="HZ16" s="395">
        <f t="shared" si="70"/>
        <v>0</v>
      </c>
      <c r="IA16" s="397">
        <f t="shared" si="71"/>
        <v>0</v>
      </c>
      <c r="IB16" s="405">
        <f t="shared" si="72"/>
        <v>0</v>
      </c>
      <c r="IC16" s="398">
        <f t="shared" si="73"/>
        <v>0</v>
      </c>
      <c r="ID16" s="398"/>
      <c r="IE16" s="393"/>
      <c r="IF16" s="394"/>
      <c r="IG16" s="395"/>
      <c r="IH16" s="396"/>
      <c r="II16" s="394"/>
      <c r="IJ16" s="395"/>
      <c r="IK16" s="397"/>
      <c r="IL16" s="405"/>
      <c r="IM16" s="398"/>
      <c r="IN16" s="398"/>
      <c r="IO16" s="393"/>
      <c r="IP16" s="394"/>
      <c r="IQ16" s="395"/>
      <c r="IR16" s="396"/>
      <c r="IS16" s="394"/>
      <c r="IT16" s="395"/>
      <c r="IU16" s="397"/>
      <c r="IV16" s="405"/>
      <c r="IW16" s="398"/>
      <c r="IX16" s="398"/>
      <c r="IY16" s="393"/>
      <c r="IZ16" s="394"/>
      <c r="JA16" s="395"/>
      <c r="JB16" s="396"/>
      <c r="JC16" s="394"/>
      <c r="JD16" s="395"/>
      <c r="JE16" s="397"/>
      <c r="JF16" s="405"/>
      <c r="JG16" s="398"/>
      <c r="JH16" s="398"/>
      <c r="JI16" s="494"/>
      <c r="JJ16" s="479"/>
      <c r="JK16" s="479"/>
      <c r="JL16" s="479"/>
      <c r="JM16" s="474"/>
      <c r="JN16" s="474">
        <f t="shared" si="74"/>
        <v>0</v>
      </c>
      <c r="JO16" s="475"/>
      <c r="JP16" s="393"/>
      <c r="JQ16" s="394"/>
      <c r="JR16" s="395"/>
      <c r="JS16" s="396"/>
      <c r="JT16" s="394"/>
      <c r="JU16" s="395"/>
      <c r="JV16" s="397"/>
      <c r="JW16" s="405"/>
      <c r="JX16" s="398"/>
      <c r="JY16" s="398"/>
      <c r="JZ16" s="577">
        <f t="shared" si="1"/>
        <v>22</v>
      </c>
      <c r="KA16" s="412">
        <f t="shared" si="2"/>
        <v>22</v>
      </c>
      <c r="KB16" s="412">
        <f t="shared" si="3"/>
        <v>0</v>
      </c>
      <c r="KC16" s="412">
        <f t="shared" si="4"/>
        <v>22</v>
      </c>
      <c r="KD16" s="412">
        <f t="shared" si="5"/>
        <v>0</v>
      </c>
      <c r="KE16" s="412">
        <f t="shared" si="102"/>
        <v>0</v>
      </c>
      <c r="KF16" s="693">
        <f t="shared" si="100"/>
        <v>0</v>
      </c>
      <c r="KG16" s="687">
        <f t="shared" si="75"/>
        <v>22</v>
      </c>
      <c r="KH16" s="680">
        <v>450</v>
      </c>
      <c r="KI16" s="680">
        <f t="shared" si="95"/>
        <v>428</v>
      </c>
      <c r="KJ16" s="681">
        <f t="shared" si="96"/>
        <v>4.8888888888888891E-2</v>
      </c>
      <c r="KK16" s="359" t="e">
        <f>SUM(#REF!+44+60)</f>
        <v>#REF!</v>
      </c>
      <c r="KL16" s="359"/>
      <c r="KM16" s="359"/>
      <c r="KN16" s="359"/>
      <c r="KO16" s="359"/>
      <c r="KP16" s="359"/>
      <c r="KQ16" s="359"/>
    </row>
    <row r="17" spans="1:303" ht="36" customHeight="1" x14ac:dyDescent="0.3">
      <c r="A17" s="385"/>
      <c r="B17" s="391" t="s">
        <v>26</v>
      </c>
      <c r="C17" s="391" t="s">
        <v>130</v>
      </c>
      <c r="D17" s="392">
        <v>225</v>
      </c>
      <c r="E17" s="393"/>
      <c r="F17" s="394"/>
      <c r="G17" s="395"/>
      <c r="H17" s="396"/>
      <c r="I17" s="394"/>
      <c r="J17" s="395"/>
      <c r="K17" s="397"/>
      <c r="L17" s="398"/>
      <c r="M17" s="398"/>
      <c r="N17" s="399"/>
      <c r="O17" s="393"/>
      <c r="P17" s="394"/>
      <c r="Q17" s="400"/>
      <c r="R17" s="396"/>
      <c r="S17" s="394"/>
      <c r="T17" s="400"/>
      <c r="U17" s="397"/>
      <c r="V17" s="398"/>
      <c r="W17" s="398"/>
      <c r="X17" s="399"/>
      <c r="Y17" s="393"/>
      <c r="Z17" s="394"/>
      <c r="AA17" s="400"/>
      <c r="AB17" s="396"/>
      <c r="AC17" s="394"/>
      <c r="AD17" s="400"/>
      <c r="AE17" s="397"/>
      <c r="AF17" s="405"/>
      <c r="AG17" s="398"/>
      <c r="AH17" s="403"/>
      <c r="AI17" s="393"/>
      <c r="AJ17" s="394"/>
      <c r="AK17" s="395"/>
      <c r="AL17" s="396"/>
      <c r="AM17" s="394"/>
      <c r="AN17" s="395"/>
      <c r="AO17" s="397"/>
      <c r="AP17" s="398"/>
      <c r="AQ17" s="398"/>
      <c r="AR17" s="404"/>
      <c r="AS17" s="486">
        <f t="shared" si="7"/>
        <v>0</v>
      </c>
      <c r="AT17" s="487">
        <f t="shared" si="8"/>
        <v>0</v>
      </c>
      <c r="AU17" s="487">
        <f t="shared" si="9"/>
        <v>0</v>
      </c>
      <c r="AV17" s="487">
        <f t="shared" si="10"/>
        <v>0</v>
      </c>
      <c r="AW17" s="478"/>
      <c r="AX17" s="479">
        <f t="shared" si="11"/>
        <v>0</v>
      </c>
      <c r="AY17" s="537" t="e">
        <f>AX17/AW17</f>
        <v>#DIV/0!</v>
      </c>
      <c r="AZ17" s="547">
        <f t="shared" si="12"/>
        <v>0</v>
      </c>
      <c r="BA17" s="547">
        <f t="shared" si="13"/>
        <v>0</v>
      </c>
      <c r="BB17" s="547">
        <f t="shared" si="14"/>
        <v>0</v>
      </c>
      <c r="BC17" s="547">
        <f t="shared" si="15"/>
        <v>0</v>
      </c>
      <c r="BD17" s="393"/>
      <c r="BE17" s="394"/>
      <c r="BF17" s="395"/>
      <c r="BG17" s="396"/>
      <c r="BH17" s="394"/>
      <c r="BI17" s="395"/>
      <c r="BJ17" s="397"/>
      <c r="BK17" s="398"/>
      <c r="BL17" s="405"/>
      <c r="BM17" s="398"/>
      <c r="BN17" s="393"/>
      <c r="BO17" s="394"/>
      <c r="BP17" s="395"/>
      <c r="BQ17" s="396"/>
      <c r="BR17" s="394"/>
      <c r="BS17" s="395"/>
      <c r="BT17" s="397"/>
      <c r="BU17" s="405"/>
      <c r="BV17" s="398"/>
      <c r="BW17" s="398"/>
      <c r="BX17" s="626">
        <f t="shared" si="16"/>
        <v>0</v>
      </c>
      <c r="BY17" s="626">
        <f t="shared" si="17"/>
        <v>0</v>
      </c>
      <c r="BZ17" s="626">
        <f t="shared" si="18"/>
        <v>0</v>
      </c>
      <c r="CA17" s="626">
        <f t="shared" si="19"/>
        <v>0</v>
      </c>
      <c r="CB17" s="625">
        <f t="shared" si="20"/>
        <v>0</v>
      </c>
      <c r="CC17" s="393"/>
      <c r="CD17" s="394"/>
      <c r="CE17" s="395"/>
      <c r="CF17" s="396"/>
      <c r="CG17" s="394"/>
      <c r="CH17" s="395"/>
      <c r="CI17" s="397"/>
      <c r="CJ17" s="398"/>
      <c r="CK17" s="398"/>
      <c r="CL17" s="414"/>
      <c r="CM17" s="393"/>
      <c r="CN17" s="394"/>
      <c r="CO17" s="395"/>
      <c r="CP17" s="396"/>
      <c r="CQ17" s="394"/>
      <c r="CR17" s="395"/>
      <c r="CS17" s="397"/>
      <c r="CT17" s="398"/>
      <c r="CU17" s="405"/>
      <c r="CV17" s="405"/>
      <c r="CW17" s="492">
        <f t="shared" si="113"/>
        <v>0</v>
      </c>
      <c r="CX17" s="487">
        <f t="shared" si="113"/>
        <v>0</v>
      </c>
      <c r="CY17" s="487">
        <f t="shared" si="113"/>
        <v>0</v>
      </c>
      <c r="CZ17" s="487">
        <f>SUM(CR17+CH17+BS17+BI17)</f>
        <v>0</v>
      </c>
      <c r="DA17" s="474"/>
      <c r="DB17" s="474">
        <f>SUM(CW17:CX17)</f>
        <v>0</v>
      </c>
      <c r="DC17" s="475"/>
      <c r="DD17" s="547">
        <f t="shared" si="21"/>
        <v>0</v>
      </c>
      <c r="DE17" s="547">
        <f t="shared" si="22"/>
        <v>0</v>
      </c>
      <c r="DF17" s="547">
        <f t="shared" si="23"/>
        <v>0</v>
      </c>
      <c r="DG17" s="547">
        <f t="shared" si="24"/>
        <v>0</v>
      </c>
      <c r="DH17" s="576">
        <f t="shared" si="25"/>
        <v>0</v>
      </c>
      <c r="DI17" s="393"/>
      <c r="DJ17" s="394"/>
      <c r="DK17" s="395"/>
      <c r="DL17" s="396"/>
      <c r="DM17" s="394"/>
      <c r="DN17" s="395"/>
      <c r="DO17" s="397"/>
      <c r="DP17" s="405"/>
      <c r="DQ17" s="398"/>
      <c r="DR17" s="398"/>
      <c r="DS17" s="393"/>
      <c r="DT17" s="394"/>
      <c r="DU17" s="395">
        <f t="shared" si="76"/>
        <v>0</v>
      </c>
      <c r="DV17" s="396"/>
      <c r="DW17" s="394"/>
      <c r="DX17" s="395">
        <f t="shared" si="77"/>
        <v>0</v>
      </c>
      <c r="DY17" s="397">
        <f t="shared" si="78"/>
        <v>0</v>
      </c>
      <c r="DZ17" s="405">
        <f t="shared" si="79"/>
        <v>0</v>
      </c>
      <c r="EA17" s="398">
        <f t="shared" si="80"/>
        <v>0</v>
      </c>
      <c r="EB17" s="398"/>
      <c r="EC17" s="393"/>
      <c r="ED17" s="394"/>
      <c r="EE17" s="395"/>
      <c r="EF17" s="396"/>
      <c r="EG17" s="394"/>
      <c r="EH17" s="395"/>
      <c r="EI17" s="397"/>
      <c r="EJ17" s="405"/>
      <c r="EK17" s="398"/>
      <c r="EL17" s="398"/>
      <c r="EM17" s="393"/>
      <c r="EN17" s="394"/>
      <c r="EO17" s="395"/>
      <c r="EP17" s="396"/>
      <c r="EQ17" s="394"/>
      <c r="ER17" s="395"/>
      <c r="ES17" s="397"/>
      <c r="ET17" s="405"/>
      <c r="EU17" s="398"/>
      <c r="EV17" s="398"/>
      <c r="EW17" s="666">
        <f t="shared" si="26"/>
        <v>0</v>
      </c>
      <c r="EX17" s="667">
        <f t="shared" si="27"/>
        <v>0</v>
      </c>
      <c r="EY17" s="667">
        <f t="shared" si="28"/>
        <v>0</v>
      </c>
      <c r="EZ17" s="667">
        <f t="shared" si="29"/>
        <v>0</v>
      </c>
      <c r="FA17" s="474"/>
      <c r="FB17" s="474">
        <f t="shared" si="30"/>
        <v>0</v>
      </c>
      <c r="FC17" s="475"/>
      <c r="FD17" s="547">
        <f t="shared" si="31"/>
        <v>0</v>
      </c>
      <c r="FE17" s="547">
        <f t="shared" si="32"/>
        <v>0</v>
      </c>
      <c r="FF17" s="547">
        <f t="shared" si="33"/>
        <v>0</v>
      </c>
      <c r="FG17" s="547">
        <f t="shared" si="34"/>
        <v>0</v>
      </c>
      <c r="FH17" s="577">
        <f t="shared" si="35"/>
        <v>0</v>
      </c>
      <c r="FI17" s="577">
        <f t="shared" si="36"/>
        <v>0</v>
      </c>
      <c r="FJ17" s="577">
        <f t="shared" si="37"/>
        <v>0</v>
      </c>
      <c r="FK17" s="577">
        <f t="shared" si="38"/>
        <v>0</v>
      </c>
      <c r="FL17" s="577">
        <f t="shared" si="39"/>
        <v>0</v>
      </c>
      <c r="FM17" s="577">
        <f t="shared" si="40"/>
        <v>0</v>
      </c>
      <c r="FN17" s="393"/>
      <c r="FO17" s="394"/>
      <c r="FP17" s="395"/>
      <c r="FQ17" s="396"/>
      <c r="FR17" s="394"/>
      <c r="FS17" s="395"/>
      <c r="FT17" s="397"/>
      <c r="FU17" s="405"/>
      <c r="FV17" s="398"/>
      <c r="FW17" s="398"/>
      <c r="FX17" s="393"/>
      <c r="FY17" s="394"/>
      <c r="FZ17" s="395"/>
      <c r="GA17" s="396"/>
      <c r="GB17" s="394"/>
      <c r="GC17" s="395"/>
      <c r="GD17" s="397">
        <f t="shared" si="41"/>
        <v>0</v>
      </c>
      <c r="GE17" s="405">
        <f t="shared" si="42"/>
        <v>0</v>
      </c>
      <c r="GF17" s="398">
        <f t="shared" si="43"/>
        <v>0</v>
      </c>
      <c r="GG17" s="398"/>
      <c r="GH17" s="393"/>
      <c r="GI17" s="394"/>
      <c r="GJ17" s="395"/>
      <c r="GK17" s="396"/>
      <c r="GL17" s="394"/>
      <c r="GM17" s="395"/>
      <c r="GN17" s="397">
        <f t="shared" si="97"/>
        <v>0</v>
      </c>
      <c r="GO17" s="405">
        <f t="shared" si="98"/>
        <v>0</v>
      </c>
      <c r="GP17" s="398">
        <f t="shared" si="99"/>
        <v>0</v>
      </c>
      <c r="GQ17" s="398"/>
      <c r="GR17" s="650">
        <f t="shared" si="47"/>
        <v>0</v>
      </c>
      <c r="GS17" s="650">
        <f t="shared" si="48"/>
        <v>0</v>
      </c>
      <c r="GT17" s="650">
        <f t="shared" si="49"/>
        <v>0</v>
      </c>
      <c r="GU17" s="650">
        <f t="shared" si="50"/>
        <v>0</v>
      </c>
      <c r="GV17" s="650">
        <f t="shared" si="51"/>
        <v>0</v>
      </c>
      <c r="GW17" s="650">
        <f t="shared" si="52"/>
        <v>0</v>
      </c>
      <c r="GX17" s="393"/>
      <c r="GY17" s="394"/>
      <c r="GZ17" s="395">
        <f t="shared" si="53"/>
        <v>0</v>
      </c>
      <c r="HA17" s="396"/>
      <c r="HB17" s="394"/>
      <c r="HC17" s="395">
        <f t="shared" si="54"/>
        <v>0</v>
      </c>
      <c r="HD17" s="397">
        <f t="shared" si="55"/>
        <v>0</v>
      </c>
      <c r="HE17" s="405">
        <f t="shared" si="56"/>
        <v>0</v>
      </c>
      <c r="HF17" s="398">
        <f t="shared" si="57"/>
        <v>0</v>
      </c>
      <c r="HG17" s="398"/>
      <c r="HH17" s="666">
        <f t="shared" si="58"/>
        <v>0</v>
      </c>
      <c r="HI17" s="667">
        <f t="shared" si="59"/>
        <v>0</v>
      </c>
      <c r="HJ17" s="667">
        <f t="shared" si="60"/>
        <v>0</v>
      </c>
      <c r="HK17" s="667">
        <f t="shared" si="61"/>
        <v>0</v>
      </c>
      <c r="HL17" s="667">
        <f t="shared" si="62"/>
        <v>0</v>
      </c>
      <c r="HM17" s="667">
        <f t="shared" si="63"/>
        <v>0</v>
      </c>
      <c r="HN17" s="474"/>
      <c r="HO17" s="474">
        <f t="shared" si="64"/>
        <v>0</v>
      </c>
      <c r="HP17" s="475"/>
      <c r="HQ17" s="547">
        <f t="shared" si="122"/>
        <v>0</v>
      </c>
      <c r="HR17" s="547">
        <f t="shared" si="123"/>
        <v>0</v>
      </c>
      <c r="HS17" s="547">
        <f t="shared" si="124"/>
        <v>0</v>
      </c>
      <c r="HT17" s="547">
        <f t="shared" si="125"/>
        <v>0</v>
      </c>
      <c r="HU17" s="393"/>
      <c r="HV17" s="394"/>
      <c r="HW17" s="395">
        <f t="shared" si="69"/>
        <v>0</v>
      </c>
      <c r="HX17" s="396"/>
      <c r="HY17" s="394"/>
      <c r="HZ17" s="395">
        <f t="shared" si="70"/>
        <v>0</v>
      </c>
      <c r="IA17" s="397">
        <f t="shared" si="71"/>
        <v>0</v>
      </c>
      <c r="IB17" s="405">
        <f t="shared" si="72"/>
        <v>0</v>
      </c>
      <c r="IC17" s="398">
        <f t="shared" si="73"/>
        <v>0</v>
      </c>
      <c r="ID17" s="398"/>
      <c r="IE17" s="393"/>
      <c r="IF17" s="394"/>
      <c r="IG17" s="395"/>
      <c r="IH17" s="396"/>
      <c r="II17" s="394"/>
      <c r="IJ17" s="395"/>
      <c r="IK17" s="397"/>
      <c r="IL17" s="405"/>
      <c r="IM17" s="398"/>
      <c r="IN17" s="398"/>
      <c r="IO17" s="393"/>
      <c r="IP17" s="394"/>
      <c r="IQ17" s="395"/>
      <c r="IR17" s="396"/>
      <c r="IS17" s="394"/>
      <c r="IT17" s="395"/>
      <c r="IU17" s="397"/>
      <c r="IV17" s="405"/>
      <c r="IW17" s="398"/>
      <c r="IX17" s="398"/>
      <c r="IY17" s="393"/>
      <c r="IZ17" s="394"/>
      <c r="JA17" s="395"/>
      <c r="JB17" s="396"/>
      <c r="JC17" s="394"/>
      <c r="JD17" s="395"/>
      <c r="JE17" s="397"/>
      <c r="JF17" s="405"/>
      <c r="JG17" s="398"/>
      <c r="JH17" s="398"/>
      <c r="JI17" s="494"/>
      <c r="JJ17" s="479"/>
      <c r="JK17" s="479"/>
      <c r="JL17" s="479"/>
      <c r="JM17" s="474"/>
      <c r="JN17" s="474">
        <f t="shared" si="74"/>
        <v>0</v>
      </c>
      <c r="JO17" s="475"/>
      <c r="JP17" s="393"/>
      <c r="JQ17" s="394"/>
      <c r="JR17" s="395"/>
      <c r="JS17" s="396"/>
      <c r="JT17" s="394"/>
      <c r="JU17" s="395"/>
      <c r="JV17" s="397"/>
      <c r="JW17" s="405"/>
      <c r="JX17" s="398"/>
      <c r="JY17" s="398"/>
      <c r="JZ17" s="577">
        <f t="shared" si="1"/>
        <v>0</v>
      </c>
      <c r="KA17" s="412">
        <f t="shared" si="2"/>
        <v>0</v>
      </c>
      <c r="KB17" s="412">
        <f t="shared" si="3"/>
        <v>0</v>
      </c>
      <c r="KC17" s="412">
        <f t="shared" si="4"/>
        <v>0</v>
      </c>
      <c r="KD17" s="412">
        <f t="shared" si="5"/>
        <v>0</v>
      </c>
      <c r="KE17" s="412">
        <f t="shared" si="102"/>
        <v>0</v>
      </c>
      <c r="KF17" s="693">
        <f t="shared" si="100"/>
        <v>0</v>
      </c>
      <c r="KG17" s="687">
        <f t="shared" si="75"/>
        <v>0</v>
      </c>
      <c r="KH17" s="680">
        <v>225</v>
      </c>
      <c r="KI17" s="680">
        <f t="shared" si="95"/>
        <v>225</v>
      </c>
      <c r="KJ17" s="681">
        <f t="shared" si="96"/>
        <v>0</v>
      </c>
      <c r="KK17" s="359"/>
      <c r="KL17" s="359"/>
      <c r="KM17" s="359"/>
      <c r="KN17" s="359"/>
      <c r="KO17" s="359"/>
      <c r="KP17" s="359"/>
      <c r="KQ17" s="359"/>
    </row>
    <row r="18" spans="1:303" ht="36" customHeight="1" x14ac:dyDescent="0.3">
      <c r="A18" s="662"/>
      <c r="B18" s="663" t="s">
        <v>137</v>
      </c>
      <c r="C18" s="663" t="s">
        <v>130</v>
      </c>
      <c r="D18" s="392"/>
      <c r="E18" s="393"/>
      <c r="F18" s="394"/>
      <c r="G18" s="395"/>
      <c r="H18" s="396"/>
      <c r="I18" s="394"/>
      <c r="J18" s="395"/>
      <c r="K18" s="397"/>
      <c r="L18" s="398"/>
      <c r="M18" s="398"/>
      <c r="N18" s="399"/>
      <c r="O18" s="393"/>
      <c r="P18" s="394"/>
      <c r="Q18" s="400"/>
      <c r="R18" s="396"/>
      <c r="S18" s="394"/>
      <c r="T18" s="400"/>
      <c r="U18" s="397"/>
      <c r="V18" s="398"/>
      <c r="W18" s="398"/>
      <c r="X18" s="399"/>
      <c r="Y18" s="393"/>
      <c r="Z18" s="394"/>
      <c r="AA18" s="400"/>
      <c r="AB18" s="396"/>
      <c r="AC18" s="394"/>
      <c r="AD18" s="400"/>
      <c r="AE18" s="397"/>
      <c r="AF18" s="405"/>
      <c r="AG18" s="398"/>
      <c r="AH18" s="403"/>
      <c r="AI18" s="393"/>
      <c r="AJ18" s="394"/>
      <c r="AK18" s="395"/>
      <c r="AL18" s="396"/>
      <c r="AM18" s="394"/>
      <c r="AN18" s="395"/>
      <c r="AO18" s="397"/>
      <c r="AP18" s="398"/>
      <c r="AQ18" s="398"/>
      <c r="AR18" s="404"/>
      <c r="AS18" s="669">
        <f>SUM(AS10:AS17)</f>
        <v>23</v>
      </c>
      <c r="AT18" s="669">
        <f t="shared" ref="AT18:BC18" si="126">SUM(AT10:AT17)</f>
        <v>22</v>
      </c>
      <c r="AU18" s="669">
        <f t="shared" si="126"/>
        <v>33</v>
      </c>
      <c r="AV18" s="669">
        <f t="shared" si="126"/>
        <v>0</v>
      </c>
      <c r="AW18" s="669">
        <f t="shared" si="126"/>
        <v>0</v>
      </c>
      <c r="AX18" s="669">
        <f t="shared" si="126"/>
        <v>45</v>
      </c>
      <c r="AY18" s="669" t="e">
        <f t="shared" si="126"/>
        <v>#DIV/0!</v>
      </c>
      <c r="AZ18" s="669">
        <f t="shared" si="126"/>
        <v>16</v>
      </c>
      <c r="BA18" s="669">
        <f t="shared" si="126"/>
        <v>17</v>
      </c>
      <c r="BB18" s="669">
        <f t="shared" si="126"/>
        <v>7</v>
      </c>
      <c r="BC18" s="669">
        <f t="shared" si="126"/>
        <v>5</v>
      </c>
      <c r="BD18" s="393"/>
      <c r="BE18" s="394"/>
      <c r="BF18" s="395"/>
      <c r="BG18" s="396"/>
      <c r="BH18" s="394"/>
      <c r="BI18" s="395"/>
      <c r="BJ18" s="397"/>
      <c r="BK18" s="398"/>
      <c r="BL18" s="405"/>
      <c r="BM18" s="398"/>
      <c r="BN18" s="393"/>
      <c r="BO18" s="394"/>
      <c r="BP18" s="395"/>
      <c r="BQ18" s="396"/>
      <c r="BR18" s="394"/>
      <c r="BS18" s="395"/>
      <c r="BT18" s="397"/>
      <c r="BU18" s="405"/>
      <c r="BV18" s="398"/>
      <c r="BW18" s="398"/>
      <c r="BX18" s="626"/>
      <c r="BY18" s="626"/>
      <c r="BZ18" s="626"/>
      <c r="CA18" s="626"/>
      <c r="CB18" s="625"/>
      <c r="CC18" s="393"/>
      <c r="CD18" s="394"/>
      <c r="CE18" s="395"/>
      <c r="CF18" s="396"/>
      <c r="CG18" s="394"/>
      <c r="CH18" s="395"/>
      <c r="CI18" s="397"/>
      <c r="CJ18" s="398"/>
      <c r="CK18" s="398"/>
      <c r="CL18" s="414"/>
      <c r="CM18" s="393"/>
      <c r="CN18" s="394"/>
      <c r="CO18" s="395"/>
      <c r="CP18" s="396"/>
      <c r="CQ18" s="394"/>
      <c r="CR18" s="395"/>
      <c r="CS18" s="397"/>
      <c r="CT18" s="398"/>
      <c r="CU18" s="405"/>
      <c r="CV18" s="405"/>
      <c r="CW18" s="664">
        <f>SUM(CW10:CW17)</f>
        <v>49</v>
      </c>
      <c r="CX18" s="665">
        <f t="shared" ref="CX18" si="127">SUM(CX10:CX17)</f>
        <v>41</v>
      </c>
      <c r="CY18" s="665">
        <f t="shared" ref="CY18" si="128">SUM(CY10:CY17)</f>
        <v>90</v>
      </c>
      <c r="CZ18" s="665">
        <f t="shared" ref="CZ18" si="129">SUM(CZ10:CZ17)</f>
        <v>10</v>
      </c>
      <c r="DA18" s="665">
        <f t="shared" ref="DA18" si="130">SUM(DA10:DA17)</f>
        <v>0</v>
      </c>
      <c r="DB18" s="665">
        <f t="shared" ref="DB18" si="131">SUM(DB10:DB17)</f>
        <v>90</v>
      </c>
      <c r="DC18" s="665" t="e">
        <f t="shared" ref="DC18" si="132">SUM(DC10:DC17)</f>
        <v>#DIV/0!</v>
      </c>
      <c r="DD18" s="665">
        <f t="shared" ref="DD18" si="133">SUM(DD10:DD17)</f>
        <v>42</v>
      </c>
      <c r="DE18" s="665">
        <f t="shared" ref="DE18" si="134">SUM(DE10:DE17)</f>
        <v>38</v>
      </c>
      <c r="DF18" s="665">
        <f t="shared" ref="DF18" si="135">SUM(DF10:DF17)</f>
        <v>7</v>
      </c>
      <c r="DG18" s="665">
        <f t="shared" ref="DG18" si="136">SUM(DG10:DG17)</f>
        <v>3</v>
      </c>
      <c r="DH18" s="665" t="e">
        <f>DH10+DH11+#REF!+DH12+DH14+DH15+#REF!+#REF!+DH17</f>
        <v>#REF!</v>
      </c>
      <c r="DI18" s="393"/>
      <c r="DJ18" s="394"/>
      <c r="DK18" s="395"/>
      <c r="DL18" s="396"/>
      <c r="DM18" s="394"/>
      <c r="DN18" s="395"/>
      <c r="DO18" s="397"/>
      <c r="DP18" s="405"/>
      <c r="DQ18" s="398"/>
      <c r="DR18" s="398"/>
      <c r="DS18" s="393"/>
      <c r="DT18" s="394"/>
      <c r="DU18" s="395"/>
      <c r="DV18" s="396"/>
      <c r="DW18" s="394"/>
      <c r="DX18" s="395"/>
      <c r="DY18" s="397"/>
      <c r="DZ18" s="405"/>
      <c r="EA18" s="398"/>
      <c r="EB18" s="398"/>
      <c r="EC18" s="393"/>
      <c r="ED18" s="394"/>
      <c r="EE18" s="395"/>
      <c r="EF18" s="396"/>
      <c r="EG18" s="394"/>
      <c r="EH18" s="395"/>
      <c r="EI18" s="397"/>
      <c r="EJ18" s="405"/>
      <c r="EK18" s="398"/>
      <c r="EL18" s="398"/>
      <c r="EM18" s="393"/>
      <c r="EN18" s="394"/>
      <c r="EO18" s="395"/>
      <c r="EP18" s="396"/>
      <c r="EQ18" s="394"/>
      <c r="ER18" s="395"/>
      <c r="ES18" s="397"/>
      <c r="ET18" s="405"/>
      <c r="EU18" s="398"/>
      <c r="EV18" s="405"/>
      <c r="EW18" s="668">
        <f>SUM(EW10:EW17)</f>
        <v>27</v>
      </c>
      <c r="EX18" s="668">
        <f t="shared" ref="EX18" si="137">SUM(EX10:EX17)</f>
        <v>0</v>
      </c>
      <c r="EY18" s="668">
        <f t="shared" ref="EY18" si="138">SUM(EY10:EY17)</f>
        <v>26</v>
      </c>
      <c r="EZ18" s="668">
        <f t="shared" ref="EZ18" si="139">SUM(EZ10:EZ17)</f>
        <v>1</v>
      </c>
      <c r="FA18" s="668">
        <f t="shared" ref="FA18" si="140">SUM(FA10:FA17)</f>
        <v>0</v>
      </c>
      <c r="FB18" s="668">
        <f t="shared" ref="FB18" si="141">SUM(FB10:FB17)</f>
        <v>27</v>
      </c>
      <c r="FC18" s="668" t="e">
        <f t="shared" ref="FC18" si="142">SUM(FC10:FC17)</f>
        <v>#DIV/0!</v>
      </c>
      <c r="FD18" s="668">
        <f t="shared" ref="FD18" si="143">SUM(FD10:FD17)</f>
        <v>26</v>
      </c>
      <c r="FE18" s="668">
        <f t="shared" ref="FE18" si="144">SUM(FE10:FE17)</f>
        <v>0</v>
      </c>
      <c r="FF18" s="668">
        <f t="shared" ref="FF18" si="145">SUM(FF10:FF17)</f>
        <v>1</v>
      </c>
      <c r="FG18" s="668">
        <f t="shared" ref="FG18" si="146">SUM(FG10:FG17)</f>
        <v>0</v>
      </c>
      <c r="FH18" s="577"/>
      <c r="FI18" s="577"/>
      <c r="FJ18" s="577"/>
      <c r="FK18" s="577"/>
      <c r="FL18" s="577"/>
      <c r="FM18" s="577"/>
      <c r="FN18" s="393"/>
      <c r="FO18" s="394"/>
      <c r="FP18" s="395"/>
      <c r="FQ18" s="396"/>
      <c r="FR18" s="394"/>
      <c r="FS18" s="395"/>
      <c r="FT18" s="397"/>
      <c r="FU18" s="405"/>
      <c r="FV18" s="398"/>
      <c r="FW18" s="398"/>
      <c r="FX18" s="393"/>
      <c r="FY18" s="394"/>
      <c r="FZ18" s="395"/>
      <c r="GA18" s="396"/>
      <c r="GB18" s="394"/>
      <c r="GC18" s="395"/>
      <c r="GD18" s="397"/>
      <c r="GE18" s="405"/>
      <c r="GF18" s="398"/>
      <c r="GG18" s="398"/>
      <c r="GH18" s="393"/>
      <c r="GI18" s="394"/>
      <c r="GJ18" s="395"/>
      <c r="GK18" s="396"/>
      <c r="GL18" s="394"/>
      <c r="GM18" s="395"/>
      <c r="GN18" s="397"/>
      <c r="GO18" s="405"/>
      <c r="GP18" s="398"/>
      <c r="GQ18" s="398"/>
      <c r="GR18" s="650"/>
      <c r="GS18" s="650"/>
      <c r="GT18" s="650"/>
      <c r="GU18" s="650"/>
      <c r="GV18" s="650"/>
      <c r="GW18" s="650"/>
      <c r="GX18" s="393"/>
      <c r="GY18" s="394"/>
      <c r="GZ18" s="395">
        <f t="shared" si="53"/>
        <v>0</v>
      </c>
      <c r="HA18" s="396"/>
      <c r="HB18" s="394"/>
      <c r="HC18" s="395">
        <f t="shared" si="54"/>
        <v>0</v>
      </c>
      <c r="HD18" s="397">
        <f t="shared" si="55"/>
        <v>0</v>
      </c>
      <c r="HE18" s="405">
        <f t="shared" si="56"/>
        <v>0</v>
      </c>
      <c r="HF18" s="398">
        <f t="shared" si="57"/>
        <v>0</v>
      </c>
      <c r="HG18" s="405"/>
      <c r="HH18" s="668">
        <f>SUM(HH10:HH17)</f>
        <v>203</v>
      </c>
      <c r="HI18" s="668">
        <f t="shared" ref="HI18" si="147">SUM(HI10:HI17)</f>
        <v>7</v>
      </c>
      <c r="HJ18" s="668">
        <f t="shared" ref="HJ18" si="148">SUM(HJ10:HJ17)</f>
        <v>203</v>
      </c>
      <c r="HK18" s="668">
        <f t="shared" ref="HK18" si="149">SUM(HK10:HK17)</f>
        <v>7</v>
      </c>
      <c r="HL18" s="668">
        <f t="shared" ref="HL18" si="150">SUM(HL10:HL17)</f>
        <v>0</v>
      </c>
      <c r="HM18" s="668">
        <f t="shared" ref="HM18" si="151">SUM(HM10:HM17)</f>
        <v>0</v>
      </c>
      <c r="HN18" s="668">
        <f t="shared" ref="HN18" si="152">SUM(HN10:HN17)</f>
        <v>0</v>
      </c>
      <c r="HO18" s="668">
        <f t="shared" ref="HO18" si="153">SUM(HO10:HO17)</f>
        <v>210</v>
      </c>
      <c r="HP18" s="668" t="e">
        <f t="shared" ref="HP18" si="154">SUM(HP10:HP17)</f>
        <v>#DIV/0!</v>
      </c>
      <c r="HQ18" s="668">
        <f t="shared" ref="HQ18" si="155">SUM(HQ10:HQ17)</f>
        <v>203</v>
      </c>
      <c r="HR18" s="668">
        <f t="shared" ref="HR18" si="156">SUM(HR10:HR17)</f>
        <v>7</v>
      </c>
      <c r="HS18" s="668">
        <f t="shared" ref="HS18" si="157">SUM(HS10:HS17)</f>
        <v>0</v>
      </c>
      <c r="HT18" s="668">
        <f t="shared" ref="HT18" si="158">SUM(HT10:HT17)</f>
        <v>0</v>
      </c>
      <c r="HU18" s="393">
        <v>0</v>
      </c>
      <c r="HV18" s="394">
        <v>0</v>
      </c>
      <c r="HW18" s="395">
        <f t="shared" si="69"/>
        <v>0</v>
      </c>
      <c r="HX18" s="396">
        <v>0</v>
      </c>
      <c r="HY18" s="394">
        <v>0</v>
      </c>
      <c r="HZ18" s="395">
        <f t="shared" si="70"/>
        <v>0</v>
      </c>
      <c r="IA18" s="397">
        <f t="shared" si="71"/>
        <v>0</v>
      </c>
      <c r="IB18" s="405">
        <f t="shared" si="72"/>
        <v>0</v>
      </c>
      <c r="IC18" s="398">
        <f t="shared" si="73"/>
        <v>0</v>
      </c>
      <c r="ID18" s="398"/>
      <c r="IE18" s="393"/>
      <c r="IF18" s="394"/>
      <c r="IG18" s="395"/>
      <c r="IH18" s="396"/>
      <c r="II18" s="394"/>
      <c r="IJ18" s="395"/>
      <c r="IK18" s="397"/>
      <c r="IL18" s="405"/>
      <c r="IM18" s="398"/>
      <c r="IN18" s="398"/>
      <c r="IO18" s="393"/>
      <c r="IP18" s="394"/>
      <c r="IQ18" s="395"/>
      <c r="IR18" s="396"/>
      <c r="IS18" s="394"/>
      <c r="IT18" s="395"/>
      <c r="IU18" s="397"/>
      <c r="IV18" s="405"/>
      <c r="IW18" s="398"/>
      <c r="IX18" s="398"/>
      <c r="IY18" s="393"/>
      <c r="IZ18" s="394"/>
      <c r="JA18" s="395"/>
      <c r="JB18" s="396"/>
      <c r="JC18" s="394"/>
      <c r="JD18" s="395"/>
      <c r="JE18" s="397"/>
      <c r="JF18" s="405"/>
      <c r="JG18" s="398"/>
      <c r="JH18" s="398"/>
      <c r="JI18" s="494"/>
      <c r="JJ18" s="479"/>
      <c r="JK18" s="479"/>
      <c r="JL18" s="479"/>
      <c r="JM18" s="474"/>
      <c r="JN18" s="474"/>
      <c r="JO18" s="475"/>
      <c r="JP18" s="393"/>
      <c r="JQ18" s="394"/>
      <c r="JR18" s="395"/>
      <c r="JS18" s="396"/>
      <c r="JT18" s="394"/>
      <c r="JU18" s="395"/>
      <c r="JV18" s="397"/>
      <c r="JW18" s="405"/>
      <c r="JX18" s="398"/>
      <c r="JY18" s="398"/>
      <c r="JZ18" s="577"/>
      <c r="KA18" s="412"/>
      <c r="KB18" s="412"/>
      <c r="KC18" s="412"/>
      <c r="KD18" s="412"/>
      <c r="KE18" s="412"/>
      <c r="KF18" s="693"/>
      <c r="KG18" s="688" t="e">
        <f>KG10+KG11+#REF!+KG12+KG14+KG15+#REF!+#REF!+KG17</f>
        <v>#REF!</v>
      </c>
      <c r="KH18" s="517"/>
      <c r="KI18" s="517"/>
      <c r="KJ18" s="518"/>
      <c r="KK18" s="359"/>
      <c r="KL18" s="359"/>
      <c r="KM18" s="359"/>
      <c r="KN18" s="359"/>
      <c r="KO18" s="359"/>
      <c r="KP18" s="359"/>
      <c r="KQ18" s="359"/>
    </row>
    <row r="19" spans="1:303" ht="36" customHeight="1" x14ac:dyDescent="0.3">
      <c r="A19" s="757" t="s">
        <v>14</v>
      </c>
      <c r="B19" s="418" t="s">
        <v>15</v>
      </c>
      <c r="C19" s="391" t="s">
        <v>130</v>
      </c>
      <c r="D19" s="392">
        <v>550</v>
      </c>
      <c r="E19" s="393"/>
      <c r="F19" s="394"/>
      <c r="G19" s="395"/>
      <c r="H19" s="396"/>
      <c r="I19" s="394"/>
      <c r="J19" s="395"/>
      <c r="K19" s="397"/>
      <c r="L19" s="398"/>
      <c r="M19" s="398"/>
      <c r="N19" s="399"/>
      <c r="O19" s="393">
        <v>12</v>
      </c>
      <c r="P19" s="394">
        <v>3</v>
      </c>
      <c r="Q19" s="400">
        <f>SUM(O19:P19)</f>
        <v>15</v>
      </c>
      <c r="R19" s="396">
        <v>0</v>
      </c>
      <c r="S19" s="394">
        <v>0</v>
      </c>
      <c r="T19" s="400">
        <f>SUM(R19:S19)</f>
        <v>0</v>
      </c>
      <c r="U19" s="397">
        <f>SUM(O19+R19)</f>
        <v>12</v>
      </c>
      <c r="V19" s="398">
        <f>SUM(P19+S19)</f>
        <v>3</v>
      </c>
      <c r="W19" s="398">
        <f>SUM(U19:V19)</f>
        <v>15</v>
      </c>
      <c r="X19" s="399"/>
      <c r="Y19" s="393">
        <v>12</v>
      </c>
      <c r="Z19" s="394">
        <v>1</v>
      </c>
      <c r="AA19" s="400">
        <f>SUM(Y19:Z19)</f>
        <v>13</v>
      </c>
      <c r="AB19" s="396">
        <v>0</v>
      </c>
      <c r="AC19" s="394">
        <v>0</v>
      </c>
      <c r="AD19" s="400">
        <f>SUM(AB19:AC19)</f>
        <v>0</v>
      </c>
      <c r="AE19" s="397">
        <f>SUM(Y19+AB19)</f>
        <v>12</v>
      </c>
      <c r="AF19" s="405">
        <f>SUM(Z19+AC19)</f>
        <v>1</v>
      </c>
      <c r="AG19" s="398">
        <f>SUM(AE19:AF19)</f>
        <v>13</v>
      </c>
      <c r="AH19" s="403"/>
      <c r="AI19" s="393">
        <v>15</v>
      </c>
      <c r="AJ19" s="394">
        <v>0</v>
      </c>
      <c r="AK19" s="395">
        <f>SUM(AI19:AJ19)</f>
        <v>15</v>
      </c>
      <c r="AL19" s="396">
        <v>0</v>
      </c>
      <c r="AM19" s="394">
        <v>0</v>
      </c>
      <c r="AN19" s="395">
        <f>SUM(AL19:AM19)</f>
        <v>0</v>
      </c>
      <c r="AO19" s="397">
        <f>SUM(AI19+AL19)</f>
        <v>15</v>
      </c>
      <c r="AP19" s="398">
        <f>SUM(AJ19+AM19)</f>
        <v>0</v>
      </c>
      <c r="AQ19" s="398">
        <f>SUM(AO19:AP19)</f>
        <v>15</v>
      </c>
      <c r="AR19" s="404"/>
      <c r="AS19" s="486">
        <f t="shared" ref="AS19:AS20" si="159">AO19+AE19+U19+K19</f>
        <v>39</v>
      </c>
      <c r="AT19" s="487">
        <f t="shared" ref="AT19:AT20" si="160">AP19+AF19+V19+L19</f>
        <v>4</v>
      </c>
      <c r="AU19" s="487">
        <f t="shared" ref="AU19:AU20" si="161">AK19+AA19+Q19+G19</f>
        <v>43</v>
      </c>
      <c r="AV19" s="487">
        <f t="shared" ref="AV19:AV20" si="162">AN19</f>
        <v>0</v>
      </c>
      <c r="AW19" s="478">
        <v>200</v>
      </c>
      <c r="AX19" s="479">
        <f t="shared" ref="AX19:AX20" si="163">SUM(AQ19+AG19+W19+M19)</f>
        <v>43</v>
      </c>
      <c r="AY19" s="537">
        <f>AX19/AW19</f>
        <v>0.215</v>
      </c>
      <c r="AZ19" s="547">
        <f t="shared" ref="AZ19:AZ20" si="164">SUM(E19+O19+Y19+AI19)</f>
        <v>39</v>
      </c>
      <c r="BA19" s="547">
        <f t="shared" ref="BA19:BA20" si="165">F19+P19+Z19+AJ19</f>
        <v>4</v>
      </c>
      <c r="BB19" s="547">
        <f t="shared" ref="BB19:BB20" si="166">H19+R19+AB19+AL19</f>
        <v>0</v>
      </c>
      <c r="BC19" s="547">
        <f t="shared" ref="BC19:BC20" si="167">I19+S19+AC19+AM19</f>
        <v>0</v>
      </c>
      <c r="BD19" s="393">
        <v>8</v>
      </c>
      <c r="BE19" s="394">
        <v>0</v>
      </c>
      <c r="BF19" s="395">
        <f>SUM(BD19:BE19)</f>
        <v>8</v>
      </c>
      <c r="BG19" s="396">
        <v>0</v>
      </c>
      <c r="BH19" s="394">
        <v>0</v>
      </c>
      <c r="BI19" s="395">
        <f>SUM(BG19:BH19)</f>
        <v>0</v>
      </c>
      <c r="BJ19" s="397">
        <f>(BD19+BG19)</f>
        <v>8</v>
      </c>
      <c r="BK19" s="398">
        <f>SUM(BE19+BH19)</f>
        <v>0</v>
      </c>
      <c r="BL19" s="405">
        <f>SUM(BJ19:BK19)</f>
        <v>8</v>
      </c>
      <c r="BM19" s="398"/>
      <c r="BN19" s="393">
        <v>20</v>
      </c>
      <c r="BO19" s="394">
        <v>0</v>
      </c>
      <c r="BP19" s="395">
        <f>SUM(BN19:BO19)</f>
        <v>20</v>
      </c>
      <c r="BQ19" s="396"/>
      <c r="BR19" s="394"/>
      <c r="BS19" s="395">
        <f>SUM(BQ19:BR19)</f>
        <v>0</v>
      </c>
      <c r="BT19" s="397">
        <f>SUM(BN19+BQ19)</f>
        <v>20</v>
      </c>
      <c r="BU19" s="405">
        <f>SUM(BO19+BR19)</f>
        <v>0</v>
      </c>
      <c r="BV19" s="398">
        <f>SUM(BT19:BU19)</f>
        <v>20</v>
      </c>
      <c r="BW19" s="398"/>
      <c r="BX19" s="626">
        <f t="shared" ref="BX19:BX21" si="168">BN19+BD19+AI19+Y19+O19+E19</f>
        <v>67</v>
      </c>
      <c r="BY19" s="626">
        <f t="shared" ref="BY19:BY21" si="169">BO19+BE19+AJ19+Z19+P19+F19</f>
        <v>4</v>
      </c>
      <c r="BZ19" s="626">
        <f t="shared" ref="BZ19:BZ21" si="170">BQ19+BG19+AL19+AB19+R19+H19</f>
        <v>0</v>
      </c>
      <c r="CA19" s="626">
        <f t="shared" ref="CA19:CA21" si="171">BR19+BH19+AM19+AC19+S19+I19</f>
        <v>0</v>
      </c>
      <c r="CB19" s="625">
        <f t="shared" ref="CB19:CB21" si="172">BX19+BY19+BZ19+CA19</f>
        <v>71</v>
      </c>
      <c r="CC19" s="393">
        <v>20</v>
      </c>
      <c r="CD19" s="394">
        <v>0</v>
      </c>
      <c r="CE19" s="395">
        <f>SUM(CC19:CD19)</f>
        <v>20</v>
      </c>
      <c r="CF19" s="396">
        <v>0</v>
      </c>
      <c r="CG19" s="394">
        <v>0</v>
      </c>
      <c r="CH19" s="395">
        <f>SUM(CF19:CG19)</f>
        <v>0</v>
      </c>
      <c r="CI19" s="397">
        <f>SUM(CC19+CF19)</f>
        <v>20</v>
      </c>
      <c r="CJ19" s="398">
        <f>SUM(CD19+CG19)</f>
        <v>0</v>
      </c>
      <c r="CK19" s="398">
        <f>SUM(CI19:CJ19)</f>
        <v>20</v>
      </c>
      <c r="CL19" s="414"/>
      <c r="CM19" s="393">
        <v>18</v>
      </c>
      <c r="CN19" s="394">
        <v>0</v>
      </c>
      <c r="CO19" s="395">
        <f>SUM(CM19:CN19)</f>
        <v>18</v>
      </c>
      <c r="CP19" s="396">
        <v>0</v>
      </c>
      <c r="CQ19" s="394">
        <v>0</v>
      </c>
      <c r="CR19" s="395">
        <f>SUM(CP19:CQ19)</f>
        <v>0</v>
      </c>
      <c r="CS19" s="397">
        <v>63</v>
      </c>
      <c r="CT19" s="398">
        <f>SUM(CN19+CQ19)</f>
        <v>0</v>
      </c>
      <c r="CU19" s="405">
        <f>SUM(CS19:CT19)</f>
        <v>63</v>
      </c>
      <c r="CV19" s="405"/>
      <c r="CW19" s="492">
        <f t="shared" ref="CW19:CY20" si="173">SUM(CS19+CI19+BT19+BJ19)</f>
        <v>111</v>
      </c>
      <c r="CX19" s="487">
        <f t="shared" si="173"/>
        <v>0</v>
      </c>
      <c r="CY19" s="487">
        <f t="shared" si="173"/>
        <v>111</v>
      </c>
      <c r="CZ19" s="487">
        <f>SUM(CR19+CH19+BS19+BI19)</f>
        <v>0</v>
      </c>
      <c r="DA19" s="474"/>
      <c r="DB19" s="474">
        <f>SUM(CW19:CX19)</f>
        <v>111</v>
      </c>
      <c r="DC19" s="475" t="e">
        <f>DB19/DA19</f>
        <v>#DIV/0!</v>
      </c>
      <c r="DD19" s="547">
        <f t="shared" ref="DD19:DD20" si="174">BD19+BN19+CC19+CM19</f>
        <v>66</v>
      </c>
      <c r="DE19" s="547">
        <f t="shared" ref="DE19:DE20" si="175">BE19+BO19+CD19+CN19</f>
        <v>0</v>
      </c>
      <c r="DF19" s="547">
        <f t="shared" ref="DF19:DF20" si="176">BG19+BQ19+CF19+CP19</f>
        <v>0</v>
      </c>
      <c r="DG19" s="547">
        <f t="shared" ref="DG19:DG20" si="177">BH19+BR19+CG19+CQ19</f>
        <v>0</v>
      </c>
      <c r="DH19" s="576">
        <f t="shared" ref="DH19:DH21" si="178">DB19+AX19</f>
        <v>154</v>
      </c>
      <c r="DI19" s="393">
        <v>33</v>
      </c>
      <c r="DJ19" s="394">
        <v>0</v>
      </c>
      <c r="DK19" s="395">
        <f>SUM(DI19:DJ19)</f>
        <v>33</v>
      </c>
      <c r="DL19" s="396">
        <v>0</v>
      </c>
      <c r="DM19" s="394">
        <v>0</v>
      </c>
      <c r="DN19" s="395">
        <f>SUM(DL19:DM19)</f>
        <v>0</v>
      </c>
      <c r="DO19" s="397">
        <f>DI19+DL19</f>
        <v>33</v>
      </c>
      <c r="DP19" s="405">
        <f>DJ19+DM19</f>
        <v>0</v>
      </c>
      <c r="DQ19" s="398">
        <f>SUM(DO19:DP19)</f>
        <v>33</v>
      </c>
      <c r="DR19" s="398"/>
      <c r="DS19" s="393">
        <v>61</v>
      </c>
      <c r="DT19" s="394">
        <v>0</v>
      </c>
      <c r="DU19" s="395">
        <f t="shared" ref="DU19:DU20" si="179">SUM(DS19:DT19)</f>
        <v>61</v>
      </c>
      <c r="DV19" s="396">
        <v>0</v>
      </c>
      <c r="DW19" s="394">
        <v>0</v>
      </c>
      <c r="DX19" s="395">
        <f t="shared" ref="DX19:DX20" si="180">SUM(DV19:DW19)</f>
        <v>0</v>
      </c>
      <c r="DY19" s="397">
        <f t="shared" ref="DY19:DY20" si="181">SUM(DS19+DV19)</f>
        <v>61</v>
      </c>
      <c r="DZ19" s="405">
        <f t="shared" ref="DZ19:DZ20" si="182">SUM(DT19+DW19)</f>
        <v>0</v>
      </c>
      <c r="EA19" s="398">
        <f t="shared" ref="EA19:EA20" si="183">SUM(DY19:DZ19)</f>
        <v>61</v>
      </c>
      <c r="EB19" s="398"/>
      <c r="EC19" s="393">
        <v>18</v>
      </c>
      <c r="ED19" s="394">
        <v>0</v>
      </c>
      <c r="EE19" s="395">
        <f>SUM(EC19:ED19)</f>
        <v>18</v>
      </c>
      <c r="EF19" s="396">
        <v>0</v>
      </c>
      <c r="EG19" s="394">
        <v>0</v>
      </c>
      <c r="EH19" s="395">
        <f>SUM(EF19:EG19)</f>
        <v>0</v>
      </c>
      <c r="EI19" s="397">
        <f>EC19+EF19</f>
        <v>18</v>
      </c>
      <c r="EJ19" s="405">
        <f>ED19+EG19</f>
        <v>0</v>
      </c>
      <c r="EK19" s="398"/>
      <c r="EL19" s="398"/>
      <c r="EM19" s="393">
        <v>18</v>
      </c>
      <c r="EN19" s="394">
        <v>0</v>
      </c>
      <c r="EO19" s="395">
        <f>SUM(EM19:EN19)</f>
        <v>18</v>
      </c>
      <c r="EP19" s="396">
        <v>0</v>
      </c>
      <c r="EQ19" s="394">
        <v>0</v>
      </c>
      <c r="ER19" s="395">
        <f>SUM(EP19:EQ19)</f>
        <v>0</v>
      </c>
      <c r="ES19" s="397">
        <f>SUM(EM19+EP19)</f>
        <v>18</v>
      </c>
      <c r="ET19" s="405">
        <f>SUM(EN19+EQ19)</f>
        <v>0</v>
      </c>
      <c r="EU19" s="398">
        <f>SUM(ES19:ET19)</f>
        <v>18</v>
      </c>
      <c r="EV19" s="398"/>
      <c r="EW19" s="492">
        <f>DS19+EC19+EM19+DI19</f>
        <v>130</v>
      </c>
      <c r="EX19" s="487">
        <f t="shared" ref="EX19:EX20" si="184">SUM(ET19+EJ19+DZ19+DP19)</f>
        <v>0</v>
      </c>
      <c r="EY19" s="487">
        <f t="shared" si="28"/>
        <v>130</v>
      </c>
      <c r="EZ19" s="487">
        <f t="shared" ref="EZ19:EZ20" si="185">SUM(ER19+EH19+DX19+DN19)</f>
        <v>0</v>
      </c>
      <c r="FA19" s="474"/>
      <c r="FB19" s="474">
        <f t="shared" ref="FB19:FB20" si="186">SUM(EW19:EX19)</f>
        <v>130</v>
      </c>
      <c r="FC19" s="475" t="e">
        <f>FB19/FA19</f>
        <v>#DIV/0!</v>
      </c>
      <c r="FD19" s="547">
        <f t="shared" ref="FD19:FD21" si="187">DI19+DS19+EC19+EM19+CM19+CC19</f>
        <v>168</v>
      </c>
      <c r="FE19" s="547">
        <f t="shared" ref="FE19:FE21" si="188">DJ19+DT19+ED19+EN19+CD19+CN19</f>
        <v>0</v>
      </c>
      <c r="FF19" s="547">
        <f t="shared" ref="FF19:FF21" si="189">DL19+DV19+EF19+EP19+CP19+CF19</f>
        <v>0</v>
      </c>
      <c r="FG19" s="547">
        <f t="shared" ref="FG19:FG21" si="190">DM19+DW19+EG19+EQ19+CG19+CQ19</f>
        <v>0</v>
      </c>
      <c r="FH19" s="577">
        <f t="shared" ref="FH19:FH21" si="191">FD19+FF19</f>
        <v>168</v>
      </c>
      <c r="FI19" s="577">
        <f t="shared" ref="FI19:FI21" si="192">FE19+FG19</f>
        <v>0</v>
      </c>
      <c r="FJ19" s="577">
        <f t="shared" ref="FJ19:FJ21" si="193">FH19+FI19</f>
        <v>168</v>
      </c>
      <c r="FK19" s="577">
        <f t="shared" ref="FK19:FK21" si="194">EW19+CW19+AS19</f>
        <v>280</v>
      </c>
      <c r="FL19" s="577">
        <f t="shared" ref="FL19:FL21" si="195">EX19+CX19+AT19</f>
        <v>4</v>
      </c>
      <c r="FM19" s="577">
        <f t="shared" ref="FM19:FM21" si="196">FK19+FL19</f>
        <v>284</v>
      </c>
      <c r="FN19" s="393">
        <v>70</v>
      </c>
      <c r="FO19" s="394">
        <v>0</v>
      </c>
      <c r="FP19" s="395">
        <f t="shared" ref="FP19:FP20" si="197">SUM(FN19:FO19)</f>
        <v>70</v>
      </c>
      <c r="FQ19" s="396">
        <v>0</v>
      </c>
      <c r="FR19" s="394">
        <v>0</v>
      </c>
      <c r="FS19" s="395">
        <f t="shared" ref="FS19:FS20" si="198">SUM(FQ19:FR19)</f>
        <v>0</v>
      </c>
      <c r="FT19" s="397">
        <f t="shared" ref="FT19:FT20" si="199">SUM(FN19+FQ19)</f>
        <v>70</v>
      </c>
      <c r="FU19" s="405">
        <f t="shared" ref="FU19:FU20" si="200">SUM(FO19+FR19)</f>
        <v>0</v>
      </c>
      <c r="FV19" s="398">
        <f t="shared" ref="FV19:FV20" si="201">SUM(FT19:FU19)</f>
        <v>70</v>
      </c>
      <c r="FW19" s="398"/>
      <c r="FX19" s="393">
        <v>227</v>
      </c>
      <c r="FY19" s="394">
        <v>0</v>
      </c>
      <c r="FZ19" s="395">
        <f t="shared" ref="FZ19:FZ20" si="202">SUM(FX19:FY19)</f>
        <v>227</v>
      </c>
      <c r="GA19" s="396">
        <v>0</v>
      </c>
      <c r="GB19" s="394">
        <v>0</v>
      </c>
      <c r="GC19" s="395">
        <f t="shared" ref="GC19:GC20" si="203">SUM(GA19:GB19)</f>
        <v>0</v>
      </c>
      <c r="GD19" s="397">
        <f t="shared" ref="GD19:GD21" si="204">FX19+GA19</f>
        <v>227</v>
      </c>
      <c r="GE19" s="405">
        <f t="shared" ref="GE19:GE21" si="205">FY19+GB19</f>
        <v>0</v>
      </c>
      <c r="GF19" s="398">
        <f t="shared" ref="GF19:GF21" si="206">GD19+GE19</f>
        <v>227</v>
      </c>
      <c r="GG19" s="398"/>
      <c r="GH19" s="393">
        <v>90</v>
      </c>
      <c r="GI19" s="394">
        <v>0</v>
      </c>
      <c r="GJ19" s="395">
        <f t="shared" ref="GJ19:GJ20" si="207">SUM(GH19:GI19)</f>
        <v>90</v>
      </c>
      <c r="GK19" s="396">
        <v>0</v>
      </c>
      <c r="GL19" s="394">
        <v>0</v>
      </c>
      <c r="GM19" s="395">
        <f t="shared" ref="GM19:GM20" si="208">SUM(GK19:GL19)</f>
        <v>0</v>
      </c>
      <c r="GN19" s="397">
        <f t="shared" ref="GN19:GN21" si="209">GH19+GK19</f>
        <v>90</v>
      </c>
      <c r="GO19" s="405">
        <f t="shared" ref="GO19:GO21" si="210">GI19+GL19</f>
        <v>0</v>
      </c>
      <c r="GP19" s="398">
        <f t="shared" ref="GP19:GP21" si="211">GN19+GO19</f>
        <v>90</v>
      </c>
      <c r="GQ19" s="398"/>
      <c r="GR19" s="650">
        <f t="shared" ref="GR19:GR21" si="212">GN19+GD19+FT19+ES19+EI19+DY19+DO19+CS19+CI19+BT19+BJ19</f>
        <v>628</v>
      </c>
      <c r="GS19" s="650">
        <f t="shared" ref="GS19:GS21" si="213">GO19+GE19+FU19+ET19+EJ19+DZ19+DP19+CT19+CJ19+BU19+BK19</f>
        <v>0</v>
      </c>
      <c r="GT19" s="650">
        <f t="shared" ref="GT19:GT21" si="214">GH19+FX19+FN19+EM19+EC19+DS19+DI19+CM19+CC19+BN19+BD19</f>
        <v>583</v>
      </c>
      <c r="GU19" s="650">
        <f t="shared" ref="GU19:GU21" si="215">GI19+FY19+FO19+EN19+ED19+DT19+DJ19+CN19+CD19+BO19+BE19</f>
        <v>0</v>
      </c>
      <c r="GV19" s="650">
        <f t="shared" ref="GV19:GV21" si="216">GK19+GA19+FQ19+EP19+EF19+DV19+DL19+CP19+CF19+BQ19+BG19</f>
        <v>0</v>
      </c>
      <c r="GW19" s="650">
        <f t="shared" ref="GW19:GW21" si="217">GL19+GB19+FR19+EQ19+EG19+DW19+DM19+CQ19+CG19+BR19+BH19</f>
        <v>0</v>
      </c>
      <c r="GX19" s="393">
        <v>60</v>
      </c>
      <c r="GY19" s="394">
        <v>0</v>
      </c>
      <c r="GZ19" s="395">
        <f t="shared" si="53"/>
        <v>60</v>
      </c>
      <c r="HA19" s="396">
        <v>0</v>
      </c>
      <c r="HB19" s="394">
        <v>0</v>
      </c>
      <c r="HC19" s="395">
        <f t="shared" si="54"/>
        <v>0</v>
      </c>
      <c r="HD19" s="397">
        <f t="shared" si="55"/>
        <v>60</v>
      </c>
      <c r="HE19" s="405">
        <f t="shared" si="56"/>
        <v>0</v>
      </c>
      <c r="HF19" s="398">
        <f t="shared" si="57"/>
        <v>60</v>
      </c>
      <c r="HG19" s="398"/>
      <c r="HH19" s="492">
        <f t="shared" ref="HH19:HH20" si="218">HD19+GN19+GD19+FT19</f>
        <v>447</v>
      </c>
      <c r="HI19" s="487">
        <f t="shared" ref="HI19:HI21" si="219">GO19+GE19+FU19+HE19</f>
        <v>0</v>
      </c>
      <c r="HJ19" s="487">
        <f t="shared" ref="HJ19:HJ21" si="220">GX19+GH19+FX19+FN19</f>
        <v>447</v>
      </c>
      <c r="HK19" s="487">
        <f t="shared" ref="HK19:HK21" si="221">GI19+FY19+GY19+FO19</f>
        <v>0</v>
      </c>
      <c r="HL19" s="487">
        <f t="shared" ref="HL19:HL21" si="222">GK19+GA19+FQ19+HA19</f>
        <v>0</v>
      </c>
      <c r="HM19" s="487">
        <f t="shared" ref="HM19:HM21" si="223">GL19+HB19+GB19+FR19</f>
        <v>0</v>
      </c>
      <c r="HN19" s="474"/>
      <c r="HO19" s="474">
        <f t="shared" ref="HO19:HO21" si="224">HF19+GP19+GF19+FV19</f>
        <v>447</v>
      </c>
      <c r="HP19" s="475" t="e">
        <f>HO19/HN19</f>
        <v>#DIV/0!</v>
      </c>
      <c r="HQ19" s="547">
        <f t="shared" si="122"/>
        <v>447</v>
      </c>
      <c r="HR19" s="547">
        <f t="shared" si="123"/>
        <v>0</v>
      </c>
      <c r="HS19" s="547">
        <f t="shared" si="124"/>
        <v>0</v>
      </c>
      <c r="HT19" s="547">
        <f t="shared" si="125"/>
        <v>0</v>
      </c>
      <c r="HU19" s="393">
        <v>96</v>
      </c>
      <c r="HV19" s="394">
        <v>0</v>
      </c>
      <c r="HW19" s="395">
        <f t="shared" si="69"/>
        <v>96</v>
      </c>
      <c r="HX19" s="396">
        <v>0</v>
      </c>
      <c r="HY19" s="394">
        <v>0</v>
      </c>
      <c r="HZ19" s="395">
        <f t="shared" si="70"/>
        <v>0</v>
      </c>
      <c r="IA19" s="397">
        <f t="shared" si="71"/>
        <v>96</v>
      </c>
      <c r="IB19" s="405">
        <f t="shared" si="72"/>
        <v>0</v>
      </c>
      <c r="IC19" s="398">
        <f t="shared" si="73"/>
        <v>96</v>
      </c>
      <c r="ID19" s="398"/>
      <c r="IE19" s="393"/>
      <c r="IF19" s="394"/>
      <c r="IG19" s="395"/>
      <c r="IH19" s="396"/>
      <c r="II19" s="394"/>
      <c r="IJ19" s="395"/>
      <c r="IK19" s="397"/>
      <c r="IL19" s="405"/>
      <c r="IM19" s="398"/>
      <c r="IN19" s="398"/>
      <c r="IO19" s="393"/>
      <c r="IP19" s="394"/>
      <c r="IQ19" s="395"/>
      <c r="IR19" s="396"/>
      <c r="IS19" s="394"/>
      <c r="IT19" s="395"/>
      <c r="IU19" s="397"/>
      <c r="IV19" s="405"/>
      <c r="IW19" s="398"/>
      <c r="IX19" s="398"/>
      <c r="IY19" s="393"/>
      <c r="IZ19" s="394"/>
      <c r="JA19" s="395"/>
      <c r="JB19" s="396"/>
      <c r="JC19" s="394"/>
      <c r="JD19" s="395"/>
      <c r="JE19" s="397"/>
      <c r="JF19" s="405"/>
      <c r="JG19" s="398"/>
      <c r="JH19" s="398"/>
      <c r="JI19" s="494"/>
      <c r="JJ19" s="479"/>
      <c r="JK19" s="479"/>
      <c r="JL19" s="479"/>
      <c r="JM19" s="474"/>
      <c r="JN19" s="474">
        <f t="shared" ref="JN19:JN21" si="225">JG19+IW19+IM19+IC19</f>
        <v>96</v>
      </c>
      <c r="JO19" s="475" t="e">
        <f>JN19/JM19</f>
        <v>#DIV/0!</v>
      </c>
      <c r="JP19" s="393"/>
      <c r="JQ19" s="394"/>
      <c r="JR19" s="395"/>
      <c r="JS19" s="396"/>
      <c r="JT19" s="394"/>
      <c r="JU19" s="395"/>
      <c r="JV19" s="397"/>
      <c r="JW19" s="405"/>
      <c r="JX19" s="398"/>
      <c r="JY19" s="398"/>
      <c r="JZ19" s="577">
        <f t="shared" ref="JZ19:JZ29" si="226">JX19+JN19+HO19+FB19</f>
        <v>673</v>
      </c>
      <c r="KA19" s="412">
        <f>SUM(JV19+JE19+IU19+IK19+IA19+HD19+GN19+GD19+FT19+ES19+EI19+DY19+DO19+CS19+CI19+BT19+BJ19+AO19+AE19+U19+K19)</f>
        <v>823</v>
      </c>
      <c r="KB19" s="412">
        <f>SUM(JW19+JF19+IV19+IL19+IB19+HE19+GO19+GE19+FU19+ET19+EJ19+DZ19+DP19+CT19+CJ19+BU19+BK19+AP19+AF19+V19+L19)</f>
        <v>4</v>
      </c>
      <c r="KC19" s="412">
        <f>SUM(JP19+IY19+IO19+IE19+HU19+GX19+GH19+FX19+FN19+EM19+EC19+DS19+DI19+CM19+CC19+BN19+BD19+AI19+Y19+O19+E19)</f>
        <v>778</v>
      </c>
      <c r="KD19" s="412">
        <f>SUM(JQ19+IZ19+IP19+IF19+HV19+GY19+GI19+FY19+FO19+EN19+ED19+DT19+DJ19+CN19+CD19+BO19+BE19+AJ19+Z19+P19+F19)</f>
        <v>4</v>
      </c>
      <c r="KE19" s="412">
        <f>SUM(JS19+JB19+IR19+IH19+HX19+HA19+GK19+GA19+FQ19+EP19+EF19+DV19+DL19+CP19+CF19+BQ19+BG19+AL19+AB19+R19+H19)</f>
        <v>0</v>
      </c>
      <c r="KF19" s="693">
        <f>SUM(JT19+JC19+IS19+II19+HY19+HB19+GL19+GB19+FR19+EQ19+EG19+DW19+DM19+CQ19+CG19+BR19+BH19+AM19+AC19+S19+I19)</f>
        <v>0</v>
      </c>
      <c r="KG19" s="687">
        <f t="shared" ref="KG19:KG20" si="227">SUM(KA19:KB19)</f>
        <v>827</v>
      </c>
      <c r="KH19" s="680">
        <v>550</v>
      </c>
      <c r="KI19" s="680">
        <f>KH19-KG19</f>
        <v>-277</v>
      </c>
      <c r="KJ19" s="681">
        <f>KG19/KH19</f>
        <v>1.5036363636363637</v>
      </c>
      <c r="KK19" s="359">
        <f>KG19+KG20</f>
        <v>1113</v>
      </c>
      <c r="KL19" s="359"/>
      <c r="KM19" s="359"/>
      <c r="KN19" s="359"/>
      <c r="KO19" s="359"/>
      <c r="KP19" s="359"/>
      <c r="KQ19" s="359"/>
    </row>
    <row r="20" spans="1:303" ht="36" customHeight="1" x14ac:dyDescent="0.3">
      <c r="A20" s="762"/>
      <c r="B20" s="418" t="s">
        <v>15</v>
      </c>
      <c r="C20" s="391" t="s">
        <v>131</v>
      </c>
      <c r="D20" s="392"/>
      <c r="E20" s="393"/>
      <c r="F20" s="394"/>
      <c r="G20" s="395"/>
      <c r="H20" s="396"/>
      <c r="I20" s="394"/>
      <c r="J20" s="395"/>
      <c r="K20" s="397"/>
      <c r="L20" s="398"/>
      <c r="M20" s="398"/>
      <c r="N20" s="399"/>
      <c r="O20" s="393"/>
      <c r="P20" s="394"/>
      <c r="Q20" s="400"/>
      <c r="R20" s="396"/>
      <c r="S20" s="394"/>
      <c r="T20" s="400"/>
      <c r="U20" s="397"/>
      <c r="V20" s="398"/>
      <c r="W20" s="398"/>
      <c r="X20" s="399"/>
      <c r="Y20" s="393"/>
      <c r="Z20" s="394"/>
      <c r="AA20" s="400"/>
      <c r="AB20" s="396"/>
      <c r="AC20" s="394"/>
      <c r="AD20" s="400"/>
      <c r="AE20" s="397"/>
      <c r="AF20" s="405"/>
      <c r="AG20" s="398"/>
      <c r="AH20" s="403"/>
      <c r="AI20" s="393"/>
      <c r="AJ20" s="394"/>
      <c r="AK20" s="395"/>
      <c r="AL20" s="396"/>
      <c r="AM20" s="394"/>
      <c r="AN20" s="395"/>
      <c r="AO20" s="397"/>
      <c r="AP20" s="398"/>
      <c r="AQ20" s="398"/>
      <c r="AR20" s="404"/>
      <c r="AS20" s="486">
        <f t="shared" si="159"/>
        <v>0</v>
      </c>
      <c r="AT20" s="487">
        <f t="shared" si="160"/>
        <v>0</v>
      </c>
      <c r="AU20" s="487">
        <f t="shared" si="161"/>
        <v>0</v>
      </c>
      <c r="AV20" s="487">
        <f t="shared" si="162"/>
        <v>0</v>
      </c>
      <c r="AW20" s="478"/>
      <c r="AX20" s="479">
        <f t="shared" si="163"/>
        <v>0</v>
      </c>
      <c r="AY20" s="537"/>
      <c r="AZ20" s="547">
        <f t="shared" si="164"/>
        <v>0</v>
      </c>
      <c r="BA20" s="547">
        <f t="shared" si="165"/>
        <v>0</v>
      </c>
      <c r="BB20" s="547">
        <f t="shared" si="166"/>
        <v>0</v>
      </c>
      <c r="BC20" s="547">
        <f t="shared" si="167"/>
        <v>0</v>
      </c>
      <c r="BD20" s="393"/>
      <c r="BE20" s="394"/>
      <c r="BF20" s="395"/>
      <c r="BG20" s="396"/>
      <c r="BH20" s="394"/>
      <c r="BI20" s="395"/>
      <c r="BJ20" s="397"/>
      <c r="BK20" s="398"/>
      <c r="BL20" s="405"/>
      <c r="BM20" s="398"/>
      <c r="BN20" s="393"/>
      <c r="BO20" s="394"/>
      <c r="BP20" s="395"/>
      <c r="BQ20" s="396"/>
      <c r="BR20" s="394"/>
      <c r="BS20" s="395"/>
      <c r="BT20" s="397"/>
      <c r="BU20" s="405"/>
      <c r="BV20" s="398"/>
      <c r="BW20" s="398"/>
      <c r="BX20" s="626">
        <f t="shared" si="168"/>
        <v>0</v>
      </c>
      <c r="BY20" s="626">
        <f t="shared" si="169"/>
        <v>0</v>
      </c>
      <c r="BZ20" s="626">
        <f t="shared" si="170"/>
        <v>0</v>
      </c>
      <c r="CA20" s="626">
        <f t="shared" si="171"/>
        <v>0</v>
      </c>
      <c r="CB20" s="625">
        <f t="shared" si="172"/>
        <v>0</v>
      </c>
      <c r="CC20" s="393"/>
      <c r="CD20" s="394"/>
      <c r="CE20" s="395"/>
      <c r="CF20" s="396"/>
      <c r="CG20" s="394"/>
      <c r="CH20" s="395"/>
      <c r="CI20" s="397"/>
      <c r="CJ20" s="398"/>
      <c r="CK20" s="398"/>
      <c r="CL20" s="414"/>
      <c r="CM20" s="393">
        <v>20</v>
      </c>
      <c r="CN20" s="394">
        <v>0</v>
      </c>
      <c r="CO20" s="395">
        <f>SUM(CM20:CN20)</f>
        <v>20</v>
      </c>
      <c r="CP20" s="396">
        <v>0</v>
      </c>
      <c r="CQ20" s="394">
        <v>0</v>
      </c>
      <c r="CR20" s="395">
        <f>SUM(CP20)</f>
        <v>0</v>
      </c>
      <c r="CS20" s="397">
        <f>CM20+CP20</f>
        <v>20</v>
      </c>
      <c r="CT20" s="398">
        <f>CN20+CQ20</f>
        <v>0</v>
      </c>
      <c r="CU20" s="405">
        <f>SUM(CS20:CT20)</f>
        <v>20</v>
      </c>
      <c r="CV20" s="405"/>
      <c r="CW20" s="492">
        <f t="shared" si="173"/>
        <v>20</v>
      </c>
      <c r="CX20" s="487">
        <f t="shared" si="173"/>
        <v>0</v>
      </c>
      <c r="CY20" s="487">
        <f t="shared" si="173"/>
        <v>20</v>
      </c>
      <c r="CZ20" s="487">
        <f>SUM(CR20+CH20+BS20+BI20)</f>
        <v>0</v>
      </c>
      <c r="DA20" s="474"/>
      <c r="DB20" s="474">
        <f>CU20</f>
        <v>20</v>
      </c>
      <c r="DC20" s="475"/>
      <c r="DD20" s="547">
        <f t="shared" si="174"/>
        <v>20</v>
      </c>
      <c r="DE20" s="547">
        <f t="shared" si="175"/>
        <v>0</v>
      </c>
      <c r="DF20" s="547">
        <f t="shared" si="176"/>
        <v>0</v>
      </c>
      <c r="DG20" s="547">
        <f t="shared" si="177"/>
        <v>0</v>
      </c>
      <c r="DH20" s="576">
        <f t="shared" si="178"/>
        <v>20</v>
      </c>
      <c r="DI20" s="393">
        <v>63</v>
      </c>
      <c r="DJ20" s="394">
        <v>0</v>
      </c>
      <c r="DK20" s="395">
        <f>SUM(DI20:DJ20)</f>
        <v>63</v>
      </c>
      <c r="DL20" s="396">
        <v>0</v>
      </c>
      <c r="DM20" s="394">
        <v>0</v>
      </c>
      <c r="DN20" s="395">
        <f>SUM(DL20:DM20)</f>
        <v>0</v>
      </c>
      <c r="DO20" s="397">
        <f>DI20+DL20</f>
        <v>63</v>
      </c>
      <c r="DP20" s="405">
        <f>DJ20+DM20</f>
        <v>0</v>
      </c>
      <c r="DQ20" s="398">
        <f>SUM(DO20:DP20)</f>
        <v>63</v>
      </c>
      <c r="DR20" s="398"/>
      <c r="DS20" s="393">
        <v>44</v>
      </c>
      <c r="DT20" s="394">
        <v>0</v>
      </c>
      <c r="DU20" s="395">
        <f t="shared" si="179"/>
        <v>44</v>
      </c>
      <c r="DV20" s="396">
        <v>0</v>
      </c>
      <c r="DW20" s="394">
        <v>0</v>
      </c>
      <c r="DX20" s="395">
        <f t="shared" si="180"/>
        <v>0</v>
      </c>
      <c r="DY20" s="397">
        <f t="shared" si="181"/>
        <v>44</v>
      </c>
      <c r="DZ20" s="405">
        <f t="shared" si="182"/>
        <v>0</v>
      </c>
      <c r="EA20" s="398">
        <f t="shared" si="183"/>
        <v>44</v>
      </c>
      <c r="EB20" s="398"/>
      <c r="EC20" s="393">
        <v>72</v>
      </c>
      <c r="ED20" s="394">
        <v>0</v>
      </c>
      <c r="EE20" s="395">
        <f>SUM(EC20:ED20)</f>
        <v>72</v>
      </c>
      <c r="EF20" s="396">
        <v>0</v>
      </c>
      <c r="EG20" s="394">
        <v>0</v>
      </c>
      <c r="EH20" s="395">
        <f>SUM(EF20:EG20)</f>
        <v>0</v>
      </c>
      <c r="EI20" s="397">
        <f>EC20+EF20</f>
        <v>72</v>
      </c>
      <c r="EJ20" s="405">
        <f>ED20+EG20</f>
        <v>0</v>
      </c>
      <c r="EK20" s="398"/>
      <c r="EL20" s="398"/>
      <c r="EM20" s="393">
        <v>34</v>
      </c>
      <c r="EN20" s="394">
        <v>0</v>
      </c>
      <c r="EO20" s="395">
        <f>SUM(EM20:EN20)</f>
        <v>34</v>
      </c>
      <c r="EP20" s="396">
        <v>0</v>
      </c>
      <c r="EQ20" s="394">
        <v>0</v>
      </c>
      <c r="ER20" s="395">
        <f>SUM(EP20:EQ20)</f>
        <v>0</v>
      </c>
      <c r="ES20" s="397">
        <f>SUM(EM20+EP20)</f>
        <v>34</v>
      </c>
      <c r="ET20" s="405">
        <f>SUM(EN20+EQ20)</f>
        <v>0</v>
      </c>
      <c r="EU20" s="398">
        <f>SUM(ES20:ET20)</f>
        <v>34</v>
      </c>
      <c r="EV20" s="398"/>
      <c r="EW20" s="492">
        <f>EM20+EC20+DS20+DI20</f>
        <v>213</v>
      </c>
      <c r="EX20" s="487">
        <f t="shared" si="184"/>
        <v>0</v>
      </c>
      <c r="EY20" s="487">
        <f t="shared" si="28"/>
        <v>213</v>
      </c>
      <c r="EZ20" s="487">
        <f t="shared" si="185"/>
        <v>0</v>
      </c>
      <c r="FA20" s="474"/>
      <c r="FB20" s="474">
        <f t="shared" si="186"/>
        <v>213</v>
      </c>
      <c r="FC20" s="475"/>
      <c r="FD20" s="547">
        <f t="shared" si="187"/>
        <v>233</v>
      </c>
      <c r="FE20" s="547">
        <f t="shared" si="188"/>
        <v>0</v>
      </c>
      <c r="FF20" s="547">
        <f t="shared" si="189"/>
        <v>0</v>
      </c>
      <c r="FG20" s="547">
        <f t="shared" si="190"/>
        <v>0</v>
      </c>
      <c r="FH20" s="577">
        <f t="shared" si="191"/>
        <v>233</v>
      </c>
      <c r="FI20" s="577">
        <f t="shared" si="192"/>
        <v>0</v>
      </c>
      <c r="FJ20" s="577">
        <f t="shared" si="193"/>
        <v>233</v>
      </c>
      <c r="FK20" s="577">
        <f t="shared" si="194"/>
        <v>233</v>
      </c>
      <c r="FL20" s="577">
        <f t="shared" si="195"/>
        <v>0</v>
      </c>
      <c r="FM20" s="577">
        <f t="shared" si="196"/>
        <v>233</v>
      </c>
      <c r="FN20" s="393">
        <v>27</v>
      </c>
      <c r="FO20" s="394">
        <v>0</v>
      </c>
      <c r="FP20" s="395">
        <f t="shared" si="197"/>
        <v>27</v>
      </c>
      <c r="FQ20" s="396">
        <v>0</v>
      </c>
      <c r="FR20" s="394">
        <v>0</v>
      </c>
      <c r="FS20" s="395">
        <f t="shared" si="198"/>
        <v>0</v>
      </c>
      <c r="FT20" s="397">
        <f t="shared" si="199"/>
        <v>27</v>
      </c>
      <c r="FU20" s="405">
        <f t="shared" si="200"/>
        <v>0</v>
      </c>
      <c r="FV20" s="398">
        <f t="shared" si="201"/>
        <v>27</v>
      </c>
      <c r="FW20" s="398"/>
      <c r="FX20" s="393">
        <v>14</v>
      </c>
      <c r="FY20" s="394">
        <v>0</v>
      </c>
      <c r="FZ20" s="395">
        <f t="shared" si="202"/>
        <v>14</v>
      </c>
      <c r="GA20" s="396">
        <v>0</v>
      </c>
      <c r="GB20" s="394">
        <v>0</v>
      </c>
      <c r="GC20" s="395">
        <f t="shared" si="203"/>
        <v>0</v>
      </c>
      <c r="GD20" s="397">
        <f t="shared" si="204"/>
        <v>14</v>
      </c>
      <c r="GE20" s="405">
        <f t="shared" si="205"/>
        <v>0</v>
      </c>
      <c r="GF20" s="398">
        <f t="shared" si="206"/>
        <v>14</v>
      </c>
      <c r="GG20" s="398"/>
      <c r="GH20" s="393">
        <v>12</v>
      </c>
      <c r="GI20" s="394">
        <v>0</v>
      </c>
      <c r="GJ20" s="395">
        <f t="shared" si="207"/>
        <v>12</v>
      </c>
      <c r="GK20" s="396">
        <v>0</v>
      </c>
      <c r="GL20" s="394">
        <v>0</v>
      </c>
      <c r="GM20" s="395">
        <f t="shared" si="208"/>
        <v>0</v>
      </c>
      <c r="GN20" s="397">
        <f t="shared" si="209"/>
        <v>12</v>
      </c>
      <c r="GO20" s="405">
        <f t="shared" si="210"/>
        <v>0</v>
      </c>
      <c r="GP20" s="398">
        <f t="shared" si="211"/>
        <v>12</v>
      </c>
      <c r="GQ20" s="398"/>
      <c r="GR20" s="650">
        <f t="shared" si="212"/>
        <v>286</v>
      </c>
      <c r="GS20" s="650">
        <f t="shared" si="213"/>
        <v>0</v>
      </c>
      <c r="GT20" s="650">
        <f t="shared" si="214"/>
        <v>286</v>
      </c>
      <c r="GU20" s="650">
        <f t="shared" si="215"/>
        <v>0</v>
      </c>
      <c r="GV20" s="650">
        <f t="shared" si="216"/>
        <v>0</v>
      </c>
      <c r="GW20" s="650">
        <f t="shared" si="217"/>
        <v>0</v>
      </c>
      <c r="GX20" s="393"/>
      <c r="GY20" s="394"/>
      <c r="GZ20" s="395">
        <f t="shared" si="53"/>
        <v>0</v>
      </c>
      <c r="HA20" s="396"/>
      <c r="HB20" s="394"/>
      <c r="HC20" s="395">
        <f t="shared" si="54"/>
        <v>0</v>
      </c>
      <c r="HD20" s="397">
        <f t="shared" si="55"/>
        <v>0</v>
      </c>
      <c r="HE20" s="405">
        <f t="shared" si="56"/>
        <v>0</v>
      </c>
      <c r="HF20" s="398">
        <f t="shared" si="57"/>
        <v>0</v>
      </c>
      <c r="HG20" s="398"/>
      <c r="HH20" s="492">
        <f t="shared" si="218"/>
        <v>53</v>
      </c>
      <c r="HI20" s="487">
        <f t="shared" si="219"/>
        <v>0</v>
      </c>
      <c r="HJ20" s="487">
        <f t="shared" si="220"/>
        <v>53</v>
      </c>
      <c r="HK20" s="487">
        <f t="shared" si="221"/>
        <v>0</v>
      </c>
      <c r="HL20" s="487">
        <f t="shared" si="222"/>
        <v>0</v>
      </c>
      <c r="HM20" s="487">
        <f t="shared" si="223"/>
        <v>0</v>
      </c>
      <c r="HN20" s="474"/>
      <c r="HO20" s="474">
        <f t="shared" si="224"/>
        <v>53</v>
      </c>
      <c r="HP20" s="475"/>
      <c r="HQ20" s="547">
        <f t="shared" si="122"/>
        <v>53</v>
      </c>
      <c r="HR20" s="547">
        <f t="shared" si="123"/>
        <v>0</v>
      </c>
      <c r="HS20" s="547">
        <f t="shared" si="124"/>
        <v>0</v>
      </c>
      <c r="HT20" s="547">
        <f t="shared" si="125"/>
        <v>0</v>
      </c>
      <c r="HU20" s="393"/>
      <c r="HV20" s="394"/>
      <c r="HW20" s="395">
        <f t="shared" si="69"/>
        <v>0</v>
      </c>
      <c r="HX20" s="396"/>
      <c r="HY20" s="394"/>
      <c r="HZ20" s="395">
        <f t="shared" si="70"/>
        <v>0</v>
      </c>
      <c r="IA20" s="397">
        <f t="shared" si="71"/>
        <v>0</v>
      </c>
      <c r="IB20" s="405">
        <f t="shared" si="72"/>
        <v>0</v>
      </c>
      <c r="IC20" s="398">
        <f t="shared" si="73"/>
        <v>0</v>
      </c>
      <c r="ID20" s="398"/>
      <c r="IE20" s="393"/>
      <c r="IF20" s="394"/>
      <c r="IG20" s="395"/>
      <c r="IH20" s="396"/>
      <c r="II20" s="394"/>
      <c r="IJ20" s="395"/>
      <c r="IK20" s="397"/>
      <c r="IL20" s="405"/>
      <c r="IM20" s="398"/>
      <c r="IN20" s="398"/>
      <c r="IO20" s="393"/>
      <c r="IP20" s="394"/>
      <c r="IQ20" s="395"/>
      <c r="IR20" s="396"/>
      <c r="IS20" s="394"/>
      <c r="IT20" s="395"/>
      <c r="IU20" s="397"/>
      <c r="IV20" s="405"/>
      <c r="IW20" s="398"/>
      <c r="IX20" s="398"/>
      <c r="IY20" s="393"/>
      <c r="IZ20" s="394"/>
      <c r="JA20" s="395"/>
      <c r="JB20" s="396"/>
      <c r="JC20" s="394"/>
      <c r="JD20" s="395"/>
      <c r="JE20" s="397"/>
      <c r="JF20" s="405"/>
      <c r="JG20" s="398"/>
      <c r="JH20" s="398"/>
      <c r="JI20" s="494"/>
      <c r="JJ20" s="479"/>
      <c r="JK20" s="479"/>
      <c r="JL20" s="479"/>
      <c r="JM20" s="474"/>
      <c r="JN20" s="474">
        <f t="shared" si="225"/>
        <v>0</v>
      </c>
      <c r="JO20" s="475"/>
      <c r="JP20" s="393"/>
      <c r="JQ20" s="394"/>
      <c r="JR20" s="395"/>
      <c r="JS20" s="396"/>
      <c r="JT20" s="394"/>
      <c r="JU20" s="395"/>
      <c r="JV20" s="397"/>
      <c r="JW20" s="405"/>
      <c r="JX20" s="398"/>
      <c r="JY20" s="398"/>
      <c r="JZ20" s="577">
        <f t="shared" si="226"/>
        <v>266</v>
      </c>
      <c r="KA20" s="412">
        <f>SUM(JV20+JE20+IU20+IK20+IA20+HD20+GN20+GD20+FT20+ES20+EI20+DY20+DO20+CS20+CI20+BT20+BJ20+AO20+AE20+U20+K20)</f>
        <v>286</v>
      </c>
      <c r="KB20" s="412">
        <f>SUM(JW20+JF20+IV20+IL20+IB20+HE20+GO20+GE20+FU20+ET20+EJ20+DZ20+DP20+CT20+CJ20+BU20+BK20+AP20+AF20+V20+L20)</f>
        <v>0</v>
      </c>
      <c r="KC20" s="412">
        <f>SUM(JP20+IY20+IO20+IE20+HU20+GX20+GH20+FX20+FN20+EM20+EC20+DS20+DI20+CM20+CC20+BN20+BD20+AI20+Y20+O20+E20)</f>
        <v>286</v>
      </c>
      <c r="KD20" s="412">
        <f>SUM(JQ20+IZ20+IP20+IF20+HV20+GY20+GI20+FY20+FO20+EN20+ED20+DT20+DJ20+CN20+CD20+BO20+BE20+AJ20+Z20+P20+F20)</f>
        <v>0</v>
      </c>
      <c r="KE20" s="412">
        <f>SUM(JS20+JB20+IR20+IH20+HX20+HA20+GK20+GA20+FQ20+EP20+EF20+DV20+DL20+CP20+CF20+BQ20+BG20+AL20+AB20+R20+H20)</f>
        <v>0</v>
      </c>
      <c r="KF20" s="693">
        <f>SUM(JT20+JC20+IS20+II20+HY20+HB20+GL20+GB20+FR20+EQ20+EG20+DW20+DM20+CQ20+CG20+BR20+BH20+AM20+AC20+S20+I20)</f>
        <v>0</v>
      </c>
      <c r="KG20" s="687">
        <f t="shared" si="227"/>
        <v>286</v>
      </c>
      <c r="KH20" s="680"/>
      <c r="KI20" s="680"/>
      <c r="KJ20" s="681"/>
      <c r="KK20" s="359">
        <f>KA19+KA20</f>
        <v>1109</v>
      </c>
      <c r="KL20" s="359"/>
      <c r="KM20" s="359"/>
      <c r="KN20" s="359"/>
      <c r="KO20" s="359"/>
      <c r="KP20" s="359"/>
      <c r="KQ20" s="359"/>
    </row>
    <row r="21" spans="1:303" ht="36" customHeight="1" x14ac:dyDescent="0.3">
      <c r="A21" s="659"/>
      <c r="B21" s="418"/>
      <c r="C21" s="391"/>
      <c r="D21" s="392"/>
      <c r="E21" s="393"/>
      <c r="F21" s="394"/>
      <c r="G21" s="395"/>
      <c r="H21" s="396"/>
      <c r="I21" s="394"/>
      <c r="J21" s="395"/>
      <c r="K21" s="397"/>
      <c r="L21" s="398"/>
      <c r="M21" s="398"/>
      <c r="N21" s="399"/>
      <c r="O21" s="393"/>
      <c r="P21" s="394"/>
      <c r="Q21" s="400"/>
      <c r="R21" s="396"/>
      <c r="S21" s="394"/>
      <c r="T21" s="400"/>
      <c r="U21" s="397"/>
      <c r="V21" s="398"/>
      <c r="W21" s="398"/>
      <c r="X21" s="399"/>
      <c r="Y21" s="393"/>
      <c r="Z21" s="394"/>
      <c r="AA21" s="400"/>
      <c r="AB21" s="396"/>
      <c r="AC21" s="394"/>
      <c r="AD21" s="400"/>
      <c r="AE21" s="397"/>
      <c r="AF21" s="405"/>
      <c r="AG21" s="398"/>
      <c r="AH21" s="403"/>
      <c r="AI21" s="393"/>
      <c r="AJ21" s="394"/>
      <c r="AK21" s="395"/>
      <c r="AL21" s="396"/>
      <c r="AM21" s="394"/>
      <c r="AN21" s="395"/>
      <c r="AO21" s="397"/>
      <c r="AP21" s="398"/>
      <c r="AQ21" s="398"/>
      <c r="AR21" s="404"/>
      <c r="AS21" s="486"/>
      <c r="AT21" s="487"/>
      <c r="AU21" s="487"/>
      <c r="AV21" s="487"/>
      <c r="AW21" s="478"/>
      <c r="AX21" s="479"/>
      <c r="AY21" s="537"/>
      <c r="AZ21" s="548">
        <f>AZ19+AZ20</f>
        <v>39</v>
      </c>
      <c r="BA21" s="548">
        <f t="shared" ref="BA21:BC21" si="228">BA19+BA20</f>
        <v>4</v>
      </c>
      <c r="BB21" s="548">
        <f t="shared" si="228"/>
        <v>0</v>
      </c>
      <c r="BC21" s="548">
        <f t="shared" si="228"/>
        <v>0</v>
      </c>
      <c r="BD21" s="393"/>
      <c r="BE21" s="394"/>
      <c r="BF21" s="395"/>
      <c r="BG21" s="396"/>
      <c r="BH21" s="394"/>
      <c r="BI21" s="395"/>
      <c r="BJ21" s="397"/>
      <c r="BK21" s="398"/>
      <c r="BL21" s="405"/>
      <c r="BM21" s="398"/>
      <c r="BN21" s="393"/>
      <c r="BO21" s="394"/>
      <c r="BP21" s="395"/>
      <c r="BQ21" s="396"/>
      <c r="BR21" s="394"/>
      <c r="BS21" s="395"/>
      <c r="BT21" s="397"/>
      <c r="BU21" s="405"/>
      <c r="BV21" s="398"/>
      <c r="BW21" s="398"/>
      <c r="BX21" s="626">
        <f t="shared" si="168"/>
        <v>0</v>
      </c>
      <c r="BY21" s="626">
        <f t="shared" si="169"/>
        <v>0</v>
      </c>
      <c r="BZ21" s="626">
        <f t="shared" si="170"/>
        <v>0</v>
      </c>
      <c r="CA21" s="626">
        <f t="shared" si="171"/>
        <v>0</v>
      </c>
      <c r="CB21" s="625">
        <f t="shared" si="172"/>
        <v>0</v>
      </c>
      <c r="CC21" s="393"/>
      <c r="CD21" s="394"/>
      <c r="CE21" s="395"/>
      <c r="CF21" s="396"/>
      <c r="CG21" s="394"/>
      <c r="CH21" s="395"/>
      <c r="CI21" s="397"/>
      <c r="CJ21" s="398"/>
      <c r="CK21" s="398"/>
      <c r="CL21" s="414"/>
      <c r="CM21" s="393"/>
      <c r="CN21" s="394"/>
      <c r="CO21" s="395"/>
      <c r="CP21" s="396"/>
      <c r="CQ21" s="394"/>
      <c r="CR21" s="395"/>
      <c r="CS21" s="397"/>
      <c r="CT21" s="398"/>
      <c r="CU21" s="405"/>
      <c r="CV21" s="405"/>
      <c r="CW21" s="492"/>
      <c r="CX21" s="487"/>
      <c r="CY21" s="487"/>
      <c r="CZ21" s="487"/>
      <c r="DA21" s="474"/>
      <c r="DB21" s="474"/>
      <c r="DC21" s="475"/>
      <c r="DD21" s="547"/>
      <c r="DE21" s="547"/>
      <c r="DF21" s="547"/>
      <c r="DG21" s="547"/>
      <c r="DH21" s="576">
        <f t="shared" si="178"/>
        <v>0</v>
      </c>
      <c r="DI21" s="393"/>
      <c r="DJ21" s="394"/>
      <c r="DK21" s="395"/>
      <c r="DL21" s="396"/>
      <c r="DM21" s="394"/>
      <c r="DN21" s="395"/>
      <c r="DO21" s="397"/>
      <c r="DP21" s="405"/>
      <c r="DQ21" s="398"/>
      <c r="DR21" s="398"/>
      <c r="DS21" s="393"/>
      <c r="DT21" s="394"/>
      <c r="DU21" s="395"/>
      <c r="DV21" s="396"/>
      <c r="DW21" s="394"/>
      <c r="DX21" s="395"/>
      <c r="DY21" s="397"/>
      <c r="DZ21" s="405"/>
      <c r="EA21" s="398"/>
      <c r="EB21" s="398"/>
      <c r="EC21" s="393"/>
      <c r="ED21" s="394"/>
      <c r="EE21" s="395"/>
      <c r="EF21" s="396"/>
      <c r="EG21" s="394"/>
      <c r="EH21" s="395"/>
      <c r="EI21" s="397"/>
      <c r="EJ21" s="405"/>
      <c r="EK21" s="398"/>
      <c r="EL21" s="398"/>
      <c r="EM21" s="393"/>
      <c r="EN21" s="394"/>
      <c r="EO21" s="395"/>
      <c r="EP21" s="396"/>
      <c r="EQ21" s="394"/>
      <c r="ER21" s="395"/>
      <c r="ES21" s="397"/>
      <c r="ET21" s="405"/>
      <c r="EU21" s="398"/>
      <c r="EV21" s="398"/>
      <c r="EW21" s="492"/>
      <c r="EX21" s="487"/>
      <c r="EY21" s="487"/>
      <c r="EZ21" s="487"/>
      <c r="FA21" s="474"/>
      <c r="FB21" s="474"/>
      <c r="FC21" s="475"/>
      <c r="FD21" s="547">
        <f t="shared" si="187"/>
        <v>0</v>
      </c>
      <c r="FE21" s="547">
        <f t="shared" si="188"/>
        <v>0</v>
      </c>
      <c r="FF21" s="547">
        <f t="shared" si="189"/>
        <v>0</v>
      </c>
      <c r="FG21" s="547">
        <f t="shared" si="190"/>
        <v>0</v>
      </c>
      <c r="FH21" s="577">
        <f t="shared" si="191"/>
        <v>0</v>
      </c>
      <c r="FI21" s="577">
        <f t="shared" si="192"/>
        <v>0</v>
      </c>
      <c r="FJ21" s="577">
        <f t="shared" si="193"/>
        <v>0</v>
      </c>
      <c r="FK21" s="577">
        <f t="shared" si="194"/>
        <v>0</v>
      </c>
      <c r="FL21" s="577">
        <f t="shared" si="195"/>
        <v>0</v>
      </c>
      <c r="FM21" s="577">
        <f t="shared" si="196"/>
        <v>0</v>
      </c>
      <c r="FN21" s="393"/>
      <c r="FO21" s="394"/>
      <c r="FP21" s="395"/>
      <c r="FQ21" s="396"/>
      <c r="FR21" s="394"/>
      <c r="FS21" s="395"/>
      <c r="FT21" s="397"/>
      <c r="FU21" s="405"/>
      <c r="FV21" s="398"/>
      <c r="FW21" s="398"/>
      <c r="FX21" s="393"/>
      <c r="FY21" s="394"/>
      <c r="FZ21" s="395"/>
      <c r="GA21" s="396"/>
      <c r="GB21" s="394"/>
      <c r="GC21" s="395"/>
      <c r="GD21" s="397">
        <f t="shared" si="204"/>
        <v>0</v>
      </c>
      <c r="GE21" s="405">
        <f t="shared" si="205"/>
        <v>0</v>
      </c>
      <c r="GF21" s="398">
        <f t="shared" si="206"/>
        <v>0</v>
      </c>
      <c r="GG21" s="398"/>
      <c r="GH21" s="393"/>
      <c r="GI21" s="394"/>
      <c r="GJ21" s="395"/>
      <c r="GK21" s="396"/>
      <c r="GL21" s="394"/>
      <c r="GM21" s="395"/>
      <c r="GN21" s="397">
        <f t="shared" si="209"/>
        <v>0</v>
      </c>
      <c r="GO21" s="405">
        <f t="shared" si="210"/>
        <v>0</v>
      </c>
      <c r="GP21" s="398">
        <f t="shared" si="211"/>
        <v>0</v>
      </c>
      <c r="GQ21" s="398"/>
      <c r="GR21" s="650">
        <f t="shared" si="212"/>
        <v>0</v>
      </c>
      <c r="GS21" s="650">
        <f t="shared" si="213"/>
        <v>0</v>
      </c>
      <c r="GT21" s="650">
        <f t="shared" si="214"/>
        <v>0</v>
      </c>
      <c r="GU21" s="650">
        <f t="shared" si="215"/>
        <v>0</v>
      </c>
      <c r="GV21" s="650">
        <f t="shared" si="216"/>
        <v>0</v>
      </c>
      <c r="GW21" s="650">
        <f t="shared" si="217"/>
        <v>0</v>
      </c>
      <c r="GX21" s="393"/>
      <c r="GY21" s="394"/>
      <c r="GZ21" s="395">
        <f t="shared" si="53"/>
        <v>0</v>
      </c>
      <c r="HA21" s="396"/>
      <c r="HB21" s="394"/>
      <c r="HC21" s="395">
        <f t="shared" si="54"/>
        <v>0</v>
      </c>
      <c r="HD21" s="397">
        <f t="shared" si="55"/>
        <v>0</v>
      </c>
      <c r="HE21" s="405">
        <f t="shared" si="56"/>
        <v>0</v>
      </c>
      <c r="HF21" s="398">
        <f t="shared" si="57"/>
        <v>0</v>
      </c>
      <c r="HG21" s="398"/>
      <c r="HH21" s="492">
        <f>HH19+HH20</f>
        <v>500</v>
      </c>
      <c r="HI21" s="487">
        <f t="shared" si="219"/>
        <v>0</v>
      </c>
      <c r="HJ21" s="487">
        <f t="shared" si="220"/>
        <v>0</v>
      </c>
      <c r="HK21" s="487">
        <f t="shared" si="221"/>
        <v>0</v>
      </c>
      <c r="HL21" s="487">
        <f t="shared" si="222"/>
        <v>0</v>
      </c>
      <c r="HM21" s="487">
        <f t="shared" si="223"/>
        <v>0</v>
      </c>
      <c r="HN21" s="474"/>
      <c r="HO21" s="474">
        <f t="shared" si="224"/>
        <v>0</v>
      </c>
      <c r="HP21" s="475"/>
      <c r="HQ21" s="547"/>
      <c r="HR21" s="547"/>
      <c r="HS21" s="547"/>
      <c r="HT21" s="547"/>
      <c r="HU21" s="393"/>
      <c r="HV21" s="394"/>
      <c r="HW21" s="395">
        <f t="shared" si="69"/>
        <v>0</v>
      </c>
      <c r="HX21" s="396"/>
      <c r="HY21" s="394"/>
      <c r="HZ21" s="395">
        <f t="shared" si="70"/>
        <v>0</v>
      </c>
      <c r="IA21" s="397">
        <f t="shared" si="71"/>
        <v>0</v>
      </c>
      <c r="IB21" s="405">
        <f t="shared" si="72"/>
        <v>0</v>
      </c>
      <c r="IC21" s="398">
        <f t="shared" si="73"/>
        <v>0</v>
      </c>
      <c r="ID21" s="398"/>
      <c r="IE21" s="393"/>
      <c r="IF21" s="394"/>
      <c r="IG21" s="395"/>
      <c r="IH21" s="396"/>
      <c r="II21" s="394"/>
      <c r="IJ21" s="395"/>
      <c r="IK21" s="397"/>
      <c r="IL21" s="405"/>
      <c r="IM21" s="398"/>
      <c r="IN21" s="398"/>
      <c r="IO21" s="393"/>
      <c r="IP21" s="394"/>
      <c r="IQ21" s="395"/>
      <c r="IR21" s="396"/>
      <c r="IS21" s="394"/>
      <c r="IT21" s="395"/>
      <c r="IU21" s="397"/>
      <c r="IV21" s="405"/>
      <c r="IW21" s="398"/>
      <c r="IX21" s="398"/>
      <c r="IY21" s="393"/>
      <c r="IZ21" s="394"/>
      <c r="JA21" s="395"/>
      <c r="JB21" s="396"/>
      <c r="JC21" s="394"/>
      <c r="JD21" s="395"/>
      <c r="JE21" s="397"/>
      <c r="JF21" s="405"/>
      <c r="JG21" s="398"/>
      <c r="JH21" s="398"/>
      <c r="JI21" s="494"/>
      <c r="JJ21" s="479"/>
      <c r="JK21" s="479"/>
      <c r="JL21" s="479"/>
      <c r="JM21" s="474"/>
      <c r="JN21" s="474">
        <f t="shared" si="225"/>
        <v>0</v>
      </c>
      <c r="JO21" s="475"/>
      <c r="JP21" s="393"/>
      <c r="JQ21" s="394"/>
      <c r="JR21" s="395"/>
      <c r="JS21" s="396"/>
      <c r="JT21" s="394"/>
      <c r="JU21" s="395"/>
      <c r="JV21" s="397"/>
      <c r="JW21" s="405"/>
      <c r="JX21" s="398"/>
      <c r="JY21" s="398"/>
      <c r="JZ21" s="577">
        <f t="shared" si="226"/>
        <v>0</v>
      </c>
      <c r="KA21" s="412"/>
      <c r="KB21" s="412"/>
      <c r="KC21" s="412"/>
      <c r="KD21" s="412"/>
      <c r="KE21" s="412"/>
      <c r="KF21" s="693"/>
      <c r="KG21" s="687"/>
      <c r="KH21" s="680"/>
      <c r="KI21" s="680"/>
      <c r="KJ21" s="681"/>
      <c r="KK21" s="359"/>
      <c r="KL21" s="359"/>
      <c r="KM21" s="359"/>
      <c r="KN21" s="359"/>
      <c r="KO21" s="359"/>
      <c r="KP21" s="359"/>
      <c r="KQ21" s="359"/>
    </row>
    <row r="22" spans="1:303" ht="36" customHeight="1" x14ac:dyDescent="0.3">
      <c r="A22" s="761" t="s">
        <v>16</v>
      </c>
      <c r="B22" s="391" t="s">
        <v>138</v>
      </c>
      <c r="C22" s="391" t="s">
        <v>130</v>
      </c>
      <c r="D22" s="392"/>
      <c r="E22" s="393"/>
      <c r="F22" s="394"/>
      <c r="G22" s="395"/>
      <c r="H22" s="396"/>
      <c r="I22" s="394"/>
      <c r="J22" s="395"/>
      <c r="K22" s="397"/>
      <c r="L22" s="398"/>
      <c r="M22" s="398"/>
      <c r="N22" s="399"/>
      <c r="O22" s="393">
        <v>93</v>
      </c>
      <c r="P22" s="394">
        <v>40</v>
      </c>
      <c r="Q22" s="400">
        <f>SUM(O22:P22)</f>
        <v>133</v>
      </c>
      <c r="R22" s="396">
        <v>41</v>
      </c>
      <c r="S22" s="394">
        <v>0</v>
      </c>
      <c r="T22" s="400">
        <f>SUM(R22:S22)</f>
        <v>41</v>
      </c>
      <c r="U22" s="397">
        <f>SUM(O22+R22)</f>
        <v>134</v>
      </c>
      <c r="V22" s="398">
        <f>SUM(P22+S22)</f>
        <v>40</v>
      </c>
      <c r="W22" s="398">
        <f>SUM(U22:V22)</f>
        <v>174</v>
      </c>
      <c r="X22" s="399">
        <v>2</v>
      </c>
      <c r="Y22" s="393">
        <v>69</v>
      </c>
      <c r="Z22" s="394">
        <v>0</v>
      </c>
      <c r="AA22" s="400">
        <f>SUM(Y22:Z22)</f>
        <v>69</v>
      </c>
      <c r="AB22" s="396">
        <v>0</v>
      </c>
      <c r="AC22" s="394">
        <v>0</v>
      </c>
      <c r="AD22" s="400">
        <f>SUM(AB22:AC22)</f>
        <v>0</v>
      </c>
      <c r="AE22" s="397">
        <f>SUM(Y22+AB22)</f>
        <v>69</v>
      </c>
      <c r="AF22" s="405">
        <f>SUM(Z22+AC22)</f>
        <v>0</v>
      </c>
      <c r="AG22" s="398">
        <f>SUM(AE22:AF22)</f>
        <v>69</v>
      </c>
      <c r="AH22" s="403"/>
      <c r="AI22" s="393">
        <v>26</v>
      </c>
      <c r="AJ22" s="394">
        <v>21</v>
      </c>
      <c r="AK22" s="395">
        <f>SUM(AI22:AJ22)</f>
        <v>47</v>
      </c>
      <c r="AL22" s="396">
        <v>38</v>
      </c>
      <c r="AM22" s="394">
        <v>9</v>
      </c>
      <c r="AN22" s="395">
        <f>SUM(AL22:AM22)</f>
        <v>47</v>
      </c>
      <c r="AO22" s="397">
        <f>SUM(AI22+AL22)</f>
        <v>64</v>
      </c>
      <c r="AP22" s="398">
        <f>SUM(AJ22+AM22)</f>
        <v>30</v>
      </c>
      <c r="AQ22" s="398">
        <f>SUM(AO22:AP22)</f>
        <v>94</v>
      </c>
      <c r="AR22" s="404"/>
      <c r="AS22" s="486">
        <f t="shared" ref="AS22" si="229">AO22+AE22+U22+K22</f>
        <v>267</v>
      </c>
      <c r="AT22" s="487">
        <f t="shared" ref="AT22" si="230">AP22+AF22+V22+L22</f>
        <v>70</v>
      </c>
      <c r="AU22" s="487">
        <f t="shared" ref="AU22" si="231">AK22+AA22+Q22+G22</f>
        <v>249</v>
      </c>
      <c r="AV22" s="487">
        <f t="shared" ref="AV22" si="232">AN22</f>
        <v>47</v>
      </c>
      <c r="AW22" s="478"/>
      <c r="AX22" s="479">
        <f t="shared" ref="AX22" si="233">SUM(AQ22+AG22+W22+M22)</f>
        <v>337</v>
      </c>
      <c r="AY22" s="537" t="e">
        <f>AX22/AW22</f>
        <v>#DIV/0!</v>
      </c>
      <c r="AZ22" s="547">
        <f>SUM(E22+O22+Y22+AI22)</f>
        <v>188</v>
      </c>
      <c r="BA22" s="547">
        <f>F22+P22+Z22+AJ22</f>
        <v>61</v>
      </c>
      <c r="BB22" s="547">
        <f t="shared" ref="BB22:BC24" si="234">H22+R22+AB22+AL22</f>
        <v>79</v>
      </c>
      <c r="BC22" s="547">
        <f t="shared" si="234"/>
        <v>9</v>
      </c>
      <c r="BD22" s="393"/>
      <c r="BE22" s="394">
        <v>0</v>
      </c>
      <c r="BF22" s="395">
        <f>SUM(BD22:BE22)</f>
        <v>0</v>
      </c>
      <c r="BG22" s="396"/>
      <c r="BH22" s="394">
        <v>0</v>
      </c>
      <c r="BI22" s="395">
        <f>SUM(BG22:BH22)</f>
        <v>0</v>
      </c>
      <c r="BJ22" s="397">
        <f>SUM(BG22+BD22)</f>
        <v>0</v>
      </c>
      <c r="BK22" s="398">
        <f>SUM(BE22+BH22)</f>
        <v>0</v>
      </c>
      <c r="BL22" s="405">
        <f>SUM(BJ22:BK22)</f>
        <v>0</v>
      </c>
      <c r="BM22" s="398"/>
      <c r="BN22" s="393">
        <v>180</v>
      </c>
      <c r="BO22" s="394">
        <v>0</v>
      </c>
      <c r="BP22" s="395">
        <f>SUM(BN22:BO22)</f>
        <v>180</v>
      </c>
      <c r="BQ22" s="396">
        <v>0</v>
      </c>
      <c r="BR22" s="394">
        <v>0</v>
      </c>
      <c r="BS22" s="395">
        <v>0</v>
      </c>
      <c r="BT22" s="397">
        <f>SUM(BN22+BQ22)</f>
        <v>180</v>
      </c>
      <c r="BU22" s="405">
        <f>SUM(BO22+BR22)</f>
        <v>0</v>
      </c>
      <c r="BV22" s="398">
        <f>SUM(BT22:BU22)</f>
        <v>180</v>
      </c>
      <c r="BW22" s="398"/>
      <c r="BX22" s="626">
        <f t="shared" ref="BX22:BY24" si="235">BN22+BD22+AI22+Y22+O22+E22</f>
        <v>368</v>
      </c>
      <c r="BY22" s="626">
        <f t="shared" si="235"/>
        <v>61</v>
      </c>
      <c r="BZ22" s="626">
        <f t="shared" ref="BZ22:CA24" si="236">BQ22+BG22+AL22+AB22+R22+H22</f>
        <v>79</v>
      </c>
      <c r="CA22" s="626">
        <f t="shared" si="236"/>
        <v>9</v>
      </c>
      <c r="CB22" s="625">
        <f>BX22+BY22+BZ22+CA22</f>
        <v>517</v>
      </c>
      <c r="CC22" s="393">
        <v>0</v>
      </c>
      <c r="CD22" s="394">
        <v>0</v>
      </c>
      <c r="CE22" s="395">
        <f>SUM(CC22:CD22)</f>
        <v>0</v>
      </c>
      <c r="CF22" s="396">
        <v>0</v>
      </c>
      <c r="CG22" s="394">
        <v>0</v>
      </c>
      <c r="CH22" s="395">
        <f>SUM(CF22:CG22)</f>
        <v>0</v>
      </c>
      <c r="CI22" s="397">
        <f>SUM(CC22+CF22)</f>
        <v>0</v>
      </c>
      <c r="CJ22" s="398">
        <f>SUM(CD22+CG22)</f>
        <v>0</v>
      </c>
      <c r="CK22" s="398">
        <f>SUM(CI22:CJ22)</f>
        <v>0</v>
      </c>
      <c r="CL22" s="414"/>
      <c r="CM22" s="393">
        <v>348</v>
      </c>
      <c r="CN22" s="394">
        <v>321</v>
      </c>
      <c r="CO22" s="395">
        <f>SUM(CM22:CN22)</f>
        <v>669</v>
      </c>
      <c r="CP22" s="396">
        <v>0</v>
      </c>
      <c r="CQ22" s="394">
        <v>0</v>
      </c>
      <c r="CR22" s="395">
        <f>SUM(CP22:CQ22)</f>
        <v>0</v>
      </c>
      <c r="CS22" s="397">
        <f>SUM(CM22+CP22)</f>
        <v>348</v>
      </c>
      <c r="CT22" s="398">
        <f>SUM(CN22+CQ22)</f>
        <v>321</v>
      </c>
      <c r="CU22" s="405">
        <f>SUM(CS22:CT22)</f>
        <v>669</v>
      </c>
      <c r="CV22" s="405"/>
      <c r="CW22" s="492">
        <f t="shared" ref="CW22:CY25" si="237">SUM(CS22+CI22+BT22+BJ22)</f>
        <v>528</v>
      </c>
      <c r="CX22" s="487">
        <f t="shared" si="237"/>
        <v>321</v>
      </c>
      <c r="CY22" s="487">
        <f t="shared" si="237"/>
        <v>849</v>
      </c>
      <c r="CZ22" s="487">
        <f>SUM(CR22+CH22+BS22+BI22)</f>
        <v>0</v>
      </c>
      <c r="DA22" s="474"/>
      <c r="DB22" s="474">
        <f>SUM(CW22:CX22)</f>
        <v>849</v>
      </c>
      <c r="DC22" s="475" t="e">
        <f>DB22/DA22</f>
        <v>#DIV/0!</v>
      </c>
      <c r="DD22" s="547">
        <f t="shared" ref="DD22:DE24" si="238">BD22+BN22+CC22+CM22</f>
        <v>528</v>
      </c>
      <c r="DE22" s="547">
        <f t="shared" si="238"/>
        <v>321</v>
      </c>
      <c r="DF22" s="547">
        <f t="shared" ref="DF22:DG24" si="239">BG22+BQ22+CF22+CP22</f>
        <v>0</v>
      </c>
      <c r="DG22" s="547">
        <f t="shared" si="239"/>
        <v>0</v>
      </c>
      <c r="DH22" s="576">
        <f>DB22+AX22</f>
        <v>1186</v>
      </c>
      <c r="DI22" s="393">
        <v>1080</v>
      </c>
      <c r="DJ22" s="394">
        <v>1111</v>
      </c>
      <c r="DK22" s="395">
        <f>SUM(DI22:DJ22)</f>
        <v>2191</v>
      </c>
      <c r="DL22" s="396"/>
      <c r="DM22" s="394"/>
      <c r="DN22" s="395">
        <f>SUM(DL22:DM22)</f>
        <v>0</v>
      </c>
      <c r="DO22" s="397">
        <f>SUM(DI22+DL22)</f>
        <v>1080</v>
      </c>
      <c r="DP22" s="405">
        <f>SUM(DJ22+DM22)</f>
        <v>1111</v>
      </c>
      <c r="DQ22" s="398">
        <f>SUM(DO22:DP22)</f>
        <v>2191</v>
      </c>
      <c r="DR22" s="398"/>
      <c r="DS22" s="393"/>
      <c r="DT22" s="394"/>
      <c r="DU22" s="395">
        <f t="shared" ref="DU22" si="240">SUM(DS22:DT22)</f>
        <v>0</v>
      </c>
      <c r="DV22" s="396"/>
      <c r="DW22" s="394"/>
      <c r="DX22" s="395">
        <f t="shared" ref="DX22" si="241">SUM(DV22:DW22)</f>
        <v>0</v>
      </c>
      <c r="DY22" s="397">
        <f t="shared" ref="DY22" si="242">SUM(DS22+DV22)</f>
        <v>0</v>
      </c>
      <c r="DZ22" s="405">
        <f t="shared" ref="DZ22" si="243">SUM(DT22+DW22)</f>
        <v>0</v>
      </c>
      <c r="EA22" s="398">
        <f t="shared" ref="EA22" si="244">SUM(DY22:DZ22)</f>
        <v>0</v>
      </c>
      <c r="EB22" s="398"/>
      <c r="EC22" s="393">
        <v>60</v>
      </c>
      <c r="ED22" s="394">
        <v>0</v>
      </c>
      <c r="EE22" s="395">
        <f>SUM(EC22:ED22)</f>
        <v>60</v>
      </c>
      <c r="EF22" s="396">
        <v>0</v>
      </c>
      <c r="EG22" s="394">
        <v>0</v>
      </c>
      <c r="EH22" s="395">
        <f>SUM(EF22:EG22)</f>
        <v>0</v>
      </c>
      <c r="EI22" s="397">
        <f>SUM(EC22+EF22)</f>
        <v>60</v>
      </c>
      <c r="EJ22" s="405">
        <f>SUM(ED22+EG22)</f>
        <v>0</v>
      </c>
      <c r="EK22" s="398">
        <f>SUM(EI22:EJ22)</f>
        <v>60</v>
      </c>
      <c r="EL22" s="398"/>
      <c r="EM22" s="393"/>
      <c r="EN22" s="394"/>
      <c r="EO22" s="395">
        <f>SUM(EM22:EN22)</f>
        <v>0</v>
      </c>
      <c r="EP22" s="396"/>
      <c r="EQ22" s="394"/>
      <c r="ER22" s="395">
        <f>SUM(EP22:EQ22)</f>
        <v>0</v>
      </c>
      <c r="ES22" s="397">
        <f>SUM(EM22+EP22)</f>
        <v>0</v>
      </c>
      <c r="ET22" s="405">
        <f>SUM(EN22+EQ22)</f>
        <v>0</v>
      </c>
      <c r="EU22" s="398">
        <f>SUM(ES22:ET22)</f>
        <v>0</v>
      </c>
      <c r="EV22" s="398"/>
      <c r="EW22" s="492">
        <f t="shared" ref="EW22:EW23" si="245">SUM(ES22+EI22+DY22+DO22)</f>
        <v>1140</v>
      </c>
      <c r="EX22" s="487">
        <f t="shared" ref="EX22:EX23" si="246">SUM(ET22+EJ22+DZ22+DP22)</f>
        <v>1111</v>
      </c>
      <c r="EY22" s="487">
        <f>SUM(EO22+EE22+DU22+DK22)</f>
        <v>2251</v>
      </c>
      <c r="EZ22" s="487">
        <f t="shared" ref="EZ22:EZ23" si="247">SUM(ER22+EH22+DX22+DN22)</f>
        <v>0</v>
      </c>
      <c r="FA22" s="474"/>
      <c r="FB22" s="474">
        <f t="shared" ref="FB22:FB23" si="248">SUM(EW22:EX22)</f>
        <v>2251</v>
      </c>
      <c r="FC22" s="475" t="e">
        <f>FB22/FA22</f>
        <v>#DIV/0!</v>
      </c>
      <c r="FD22" s="547">
        <f>DI22+DS22+EC22+EM22+CM22+CC22</f>
        <v>1488</v>
      </c>
      <c r="FE22" s="547">
        <f>DJ22+DT22+ED22+EN22+CD22+CN22</f>
        <v>1432</v>
      </c>
      <c r="FF22" s="547">
        <f>DL22+DV22+EF22+EP22+CP22+CF22</f>
        <v>0</v>
      </c>
      <c r="FG22" s="547">
        <f>DM22+DW22+EG22+EQ22+CG22+CQ22</f>
        <v>0</v>
      </c>
      <c r="FH22" s="577">
        <f t="shared" ref="FH22:FI24" si="249">FD22+FF22</f>
        <v>1488</v>
      </c>
      <c r="FI22" s="577">
        <f t="shared" si="249"/>
        <v>1432</v>
      </c>
      <c r="FJ22" s="577">
        <f>FH22+FI22</f>
        <v>2920</v>
      </c>
      <c r="FK22" s="577">
        <f t="shared" ref="FK22:FL24" si="250">EW22+CW22+AS22</f>
        <v>1935</v>
      </c>
      <c r="FL22" s="577">
        <f t="shared" si="250"/>
        <v>1502</v>
      </c>
      <c r="FM22" s="577">
        <f>FK22+FL22</f>
        <v>3437</v>
      </c>
      <c r="FN22" s="393"/>
      <c r="FO22" s="394"/>
      <c r="FP22" s="556">
        <f>SUM(FN22:FO22)</f>
        <v>0</v>
      </c>
      <c r="FQ22" s="396"/>
      <c r="FR22" s="394"/>
      <c r="FS22" s="395">
        <f>SUM(FQ22:FR22)</f>
        <v>0</v>
      </c>
      <c r="FT22" s="397">
        <f t="shared" ref="FT22:FU26" si="251">SUM(FN22+FQ22)</f>
        <v>0</v>
      </c>
      <c r="FU22" s="405">
        <f t="shared" si="251"/>
        <v>0</v>
      </c>
      <c r="FV22" s="398">
        <f>SUM(FT22:FU22)</f>
        <v>0</v>
      </c>
      <c r="FW22" s="398"/>
      <c r="FX22" s="393"/>
      <c r="FY22" s="394"/>
      <c r="FZ22" s="395">
        <f>SUM(FX22:FY22)</f>
        <v>0</v>
      </c>
      <c r="GA22" s="396"/>
      <c r="GB22" s="394"/>
      <c r="GC22" s="395">
        <f>SUM(GA22:GB22)</f>
        <v>0</v>
      </c>
      <c r="GD22" s="397">
        <f t="shared" ref="GD22:GE24" si="252">FX22+GA22</f>
        <v>0</v>
      </c>
      <c r="GE22" s="405">
        <f t="shared" si="252"/>
        <v>0</v>
      </c>
      <c r="GF22" s="398">
        <f>GD22+GE22</f>
        <v>0</v>
      </c>
      <c r="GG22" s="398"/>
      <c r="GH22" s="393">
        <v>383</v>
      </c>
      <c r="GI22" s="394">
        <v>0</v>
      </c>
      <c r="GJ22" s="395">
        <f>SUM(GH22:GI22)</f>
        <v>383</v>
      </c>
      <c r="GK22" s="396">
        <v>140</v>
      </c>
      <c r="GL22" s="394">
        <v>0</v>
      </c>
      <c r="GM22" s="395">
        <f>SUM(GK22:GL22)</f>
        <v>140</v>
      </c>
      <c r="GN22" s="397">
        <f t="shared" ref="GN22:GO24" si="253">GH22+GK22</f>
        <v>523</v>
      </c>
      <c r="GO22" s="405">
        <f t="shared" si="253"/>
        <v>0</v>
      </c>
      <c r="GP22" s="398">
        <f>GN22+GO22</f>
        <v>523</v>
      </c>
      <c r="GQ22" s="398"/>
      <c r="GR22" s="650">
        <f t="shared" ref="GR22:GS24" si="254">GN22+GD22+FT22+ES22+EI22+DY22+DO22+CS22+CI22+BT22+BJ22</f>
        <v>2191</v>
      </c>
      <c r="GS22" s="650">
        <f t="shared" si="254"/>
        <v>1432</v>
      </c>
      <c r="GT22" s="650">
        <f t="shared" ref="GT22:GU24" si="255">GH22+FX22+FN22+EM22+EC22+DS22+DI22+CM22+CC22+BN22+BD22</f>
        <v>2051</v>
      </c>
      <c r="GU22" s="650">
        <f t="shared" si="255"/>
        <v>1432</v>
      </c>
      <c r="GV22" s="650">
        <f t="shared" ref="GV22:GW24" si="256">GK22+GA22+FQ22+EP22+EF22+DV22+DL22+CP22+CF22+BQ22+BG22</f>
        <v>140</v>
      </c>
      <c r="GW22" s="650">
        <f t="shared" si="256"/>
        <v>0</v>
      </c>
      <c r="GX22" s="393"/>
      <c r="GY22" s="394"/>
      <c r="GZ22" s="395">
        <f t="shared" si="53"/>
        <v>0</v>
      </c>
      <c r="HA22" s="396"/>
      <c r="HB22" s="394"/>
      <c r="HC22" s="395">
        <f t="shared" si="54"/>
        <v>0</v>
      </c>
      <c r="HD22" s="397">
        <f t="shared" si="55"/>
        <v>0</v>
      </c>
      <c r="HE22" s="405">
        <f t="shared" si="56"/>
        <v>0</v>
      </c>
      <c r="HF22" s="398">
        <f t="shared" si="57"/>
        <v>0</v>
      </c>
      <c r="HG22" s="398"/>
      <c r="HH22" s="492">
        <f>HD22+GN22+GD22+FT22</f>
        <v>523</v>
      </c>
      <c r="HI22" s="487">
        <f>GO22+GE22+FU22+HE22</f>
        <v>0</v>
      </c>
      <c r="HJ22" s="487">
        <f>GX22+GH22+FX22+FN22</f>
        <v>383</v>
      </c>
      <c r="HK22" s="487">
        <f>GI22+FY22+GY22+FO22</f>
        <v>0</v>
      </c>
      <c r="HL22" s="487">
        <f>GK22+GA22+FQ22+HA22</f>
        <v>140</v>
      </c>
      <c r="HM22" s="487">
        <f>GL22+HB22+GB22+FR22</f>
        <v>0</v>
      </c>
      <c r="HN22" s="474"/>
      <c r="HO22" s="474">
        <f>HF22+GP22+GF22+FV22</f>
        <v>523</v>
      </c>
      <c r="HP22" s="475" t="e">
        <f>HO22/HN22</f>
        <v>#DIV/0!</v>
      </c>
      <c r="HQ22" s="547">
        <f t="shared" ref="HQ22:HR24" si="257">FN22+FX22+GH22+GX22</f>
        <v>383</v>
      </c>
      <c r="HR22" s="547">
        <f t="shared" si="257"/>
        <v>0</v>
      </c>
      <c r="HS22" s="547">
        <f t="shared" ref="HS22:HT24" si="258">FQ22+GA22+GK22+HA22</f>
        <v>140</v>
      </c>
      <c r="HT22" s="547">
        <f t="shared" si="258"/>
        <v>0</v>
      </c>
      <c r="HU22" s="393"/>
      <c r="HV22" s="394"/>
      <c r="HW22" s="395">
        <f t="shared" si="69"/>
        <v>0</v>
      </c>
      <c r="HX22" s="396"/>
      <c r="HY22" s="394"/>
      <c r="HZ22" s="395">
        <f t="shared" si="70"/>
        <v>0</v>
      </c>
      <c r="IA22" s="397">
        <f t="shared" si="71"/>
        <v>0</v>
      </c>
      <c r="IB22" s="405">
        <f t="shared" si="72"/>
        <v>0</v>
      </c>
      <c r="IC22" s="398">
        <f t="shared" si="73"/>
        <v>0</v>
      </c>
      <c r="ID22" s="398"/>
      <c r="IE22" s="393"/>
      <c r="IF22" s="394"/>
      <c r="IG22" s="395">
        <f>SUM(IE22:IF22)</f>
        <v>0</v>
      </c>
      <c r="IH22" s="396"/>
      <c r="II22" s="394"/>
      <c r="IJ22" s="395">
        <f>SUM(IH22:II22)</f>
        <v>0</v>
      </c>
      <c r="IK22" s="397">
        <f>SUM(IE22+IH22)</f>
        <v>0</v>
      </c>
      <c r="IL22" s="405">
        <f>SUM(IF22+II22)</f>
        <v>0</v>
      </c>
      <c r="IM22" s="398">
        <f>SUM(IK22:IL22)</f>
        <v>0</v>
      </c>
      <c r="IN22" s="398"/>
      <c r="IO22" s="393"/>
      <c r="IP22" s="394"/>
      <c r="IQ22" s="395">
        <f>SUM(IO22:IP22)</f>
        <v>0</v>
      </c>
      <c r="IR22" s="396"/>
      <c r="IS22" s="394"/>
      <c r="IT22" s="395">
        <f>SUM(IR22:IS22)</f>
        <v>0</v>
      </c>
      <c r="IU22" s="397">
        <f>SUM(IO22+IR22)</f>
        <v>0</v>
      </c>
      <c r="IV22" s="405">
        <f>SUM(IP22+IS22)</f>
        <v>0</v>
      </c>
      <c r="IW22" s="398">
        <f>SUM(IU22:IV22)</f>
        <v>0</v>
      </c>
      <c r="IX22" s="398"/>
      <c r="IY22" s="393"/>
      <c r="IZ22" s="394"/>
      <c r="JA22" s="395"/>
      <c r="JB22" s="396"/>
      <c r="JC22" s="394"/>
      <c r="JD22" s="395">
        <f>SUM(JB22:JC22)</f>
        <v>0</v>
      </c>
      <c r="JE22" s="397">
        <f>SUM(IY22+JB22)</f>
        <v>0</v>
      </c>
      <c r="JF22" s="405">
        <f>SUM(IZ22+JC22)</f>
        <v>0</v>
      </c>
      <c r="JG22" s="398">
        <f>SUM(JE22:JF22)</f>
        <v>0</v>
      </c>
      <c r="JH22" s="398"/>
      <c r="JI22" s="494"/>
      <c r="JJ22" s="479"/>
      <c r="JK22" s="479"/>
      <c r="JL22" s="479"/>
      <c r="JM22" s="474"/>
      <c r="JN22" s="474">
        <f>JG22+IW22+IM22+IC22</f>
        <v>0</v>
      </c>
      <c r="JO22" s="475" t="e">
        <f>JN22/JM22</f>
        <v>#DIV/0!</v>
      </c>
      <c r="JP22" s="393"/>
      <c r="JQ22" s="394">
        <v>0</v>
      </c>
      <c r="JR22" s="395">
        <f>SUM(JP22:JQ22)</f>
        <v>0</v>
      </c>
      <c r="JS22" s="396"/>
      <c r="JT22" s="394">
        <v>0</v>
      </c>
      <c r="JU22" s="395">
        <f>SUM(JS22:JT22)</f>
        <v>0</v>
      </c>
      <c r="JV22" s="397">
        <f>SUM(JP22+JS22)</f>
        <v>0</v>
      </c>
      <c r="JW22" s="405">
        <f>SUM(JQ22+JT22)</f>
        <v>0</v>
      </c>
      <c r="JX22" s="398">
        <f>SUM(JV22:JW22)</f>
        <v>0</v>
      </c>
      <c r="JY22" s="398"/>
      <c r="JZ22" s="577">
        <f t="shared" si="226"/>
        <v>2774</v>
      </c>
      <c r="KA22" s="412">
        <f t="shared" ref="KA22:KB29" si="259">SUM(JV22+JE22+IU22+IK22+IA22+HD22+GN22+GD22+FT22+ES22+EI22+DY22+DO22+CS22+CI22+BT22+BJ22+AO22+AE22+U22+K22)</f>
        <v>2458</v>
      </c>
      <c r="KB22" s="412">
        <f t="shared" si="259"/>
        <v>1502</v>
      </c>
      <c r="KC22" s="412">
        <f t="shared" ref="KC22:KD29" si="260">SUM(JP22+IY22+IO22+IE22+HU22+GX22+GH22+FX22+FN22+EM22+EC22+DS22+DI22+CM22+CC22+BN22+BD22+AI22+Y22+O22+E22)</f>
        <v>2239</v>
      </c>
      <c r="KD22" s="412">
        <f t="shared" si="260"/>
        <v>1493</v>
      </c>
      <c r="KE22" s="412">
        <f t="shared" ref="KE22:KF29" si="261">SUM(JS22+JB22+IR22+IH22+HX22+HA22+GK22+GA22+FQ22+EP22+EF22+DV22+DL22+CP22+CF22+BQ22+BG22+AL22+AB22+R22+H22)</f>
        <v>219</v>
      </c>
      <c r="KF22" s="693">
        <f t="shared" si="261"/>
        <v>9</v>
      </c>
      <c r="KG22" s="687">
        <f t="shared" ref="KG22:KG23" si="262">SUM(KA22:KB22)</f>
        <v>3960</v>
      </c>
      <c r="KH22" s="680"/>
      <c r="KI22" s="680"/>
      <c r="KJ22" s="681" t="e">
        <f t="shared" ref="KJ22:KJ29" si="263">KG22/KH22</f>
        <v>#DIV/0!</v>
      </c>
      <c r="KK22" s="359">
        <f>KG22+KG23</f>
        <v>13037</v>
      </c>
      <c r="KL22" s="359"/>
      <c r="KM22" s="359"/>
      <c r="KN22" s="359"/>
      <c r="KO22" s="359"/>
      <c r="KP22" s="359"/>
      <c r="KQ22" s="359"/>
    </row>
    <row r="23" spans="1:303" ht="36" customHeight="1" x14ac:dyDescent="0.3">
      <c r="A23" s="761"/>
      <c r="B23" s="391" t="s">
        <v>138</v>
      </c>
      <c r="C23" s="391" t="s">
        <v>131</v>
      </c>
      <c r="D23" s="392"/>
      <c r="E23" s="393"/>
      <c r="F23" s="394"/>
      <c r="G23" s="395"/>
      <c r="H23" s="396"/>
      <c r="I23" s="394"/>
      <c r="J23" s="395"/>
      <c r="K23" s="397"/>
      <c r="L23" s="398"/>
      <c r="M23" s="398"/>
      <c r="N23" s="399"/>
      <c r="O23" s="393"/>
      <c r="P23" s="394"/>
      <c r="Q23" s="400"/>
      <c r="R23" s="396"/>
      <c r="S23" s="394"/>
      <c r="T23" s="400"/>
      <c r="U23" s="397"/>
      <c r="V23" s="398"/>
      <c r="W23" s="398"/>
      <c r="X23" s="399"/>
      <c r="Y23" s="393"/>
      <c r="Z23" s="394"/>
      <c r="AA23" s="400"/>
      <c r="AB23" s="396"/>
      <c r="AC23" s="394"/>
      <c r="AD23" s="400"/>
      <c r="AE23" s="397"/>
      <c r="AF23" s="405"/>
      <c r="AG23" s="398"/>
      <c r="AH23" s="403"/>
      <c r="AI23" s="393"/>
      <c r="AJ23" s="394"/>
      <c r="AK23" s="395"/>
      <c r="AL23" s="396"/>
      <c r="AM23" s="394"/>
      <c r="AN23" s="395"/>
      <c r="AO23" s="397"/>
      <c r="AP23" s="398"/>
      <c r="AQ23" s="398"/>
      <c r="AR23" s="404"/>
      <c r="AS23" s="486"/>
      <c r="AT23" s="487"/>
      <c r="AU23" s="487"/>
      <c r="AV23" s="487"/>
      <c r="AW23" s="478"/>
      <c r="AX23" s="479"/>
      <c r="AY23" s="537"/>
      <c r="AZ23" s="547">
        <f>SUM(E23+O23+Y23+AI23)</f>
        <v>0</v>
      </c>
      <c r="BA23" s="547">
        <f>F23+P23+Z23+AJ23</f>
        <v>0</v>
      </c>
      <c r="BB23" s="547">
        <f t="shared" si="234"/>
        <v>0</v>
      </c>
      <c r="BC23" s="547">
        <f t="shared" si="234"/>
        <v>0</v>
      </c>
      <c r="BD23" s="393"/>
      <c r="BE23" s="394"/>
      <c r="BF23" s="395"/>
      <c r="BG23" s="396"/>
      <c r="BH23" s="394"/>
      <c r="BI23" s="395"/>
      <c r="BJ23" s="397"/>
      <c r="BK23" s="398"/>
      <c r="BL23" s="405"/>
      <c r="BM23" s="398"/>
      <c r="BN23" s="393"/>
      <c r="BO23" s="394"/>
      <c r="BP23" s="395"/>
      <c r="BQ23" s="396"/>
      <c r="BR23" s="394"/>
      <c r="BS23" s="395"/>
      <c r="BT23" s="397"/>
      <c r="BU23" s="405"/>
      <c r="BV23" s="398"/>
      <c r="BW23" s="398"/>
      <c r="BX23" s="626">
        <f t="shared" si="235"/>
        <v>0</v>
      </c>
      <c r="BY23" s="626">
        <f t="shared" si="235"/>
        <v>0</v>
      </c>
      <c r="BZ23" s="626">
        <f t="shared" si="236"/>
        <v>0</v>
      </c>
      <c r="CA23" s="626">
        <f t="shared" si="236"/>
        <v>0</v>
      </c>
      <c r="CB23" s="625">
        <f>BX23+BY23+BZ23+CA23</f>
        <v>0</v>
      </c>
      <c r="CC23" s="393">
        <v>342</v>
      </c>
      <c r="CD23" s="394">
        <v>322</v>
      </c>
      <c r="CE23" s="395">
        <f>SUM(CC23:CD23)</f>
        <v>664</v>
      </c>
      <c r="CF23" s="396">
        <v>0</v>
      </c>
      <c r="CG23" s="394">
        <v>0</v>
      </c>
      <c r="CH23" s="395">
        <f>SUM(CF23:CG23)</f>
        <v>0</v>
      </c>
      <c r="CI23" s="397">
        <f>SUM(CC23+CF23)</f>
        <v>342</v>
      </c>
      <c r="CJ23" s="398">
        <f>SUM(CD23+CG23)</f>
        <v>322</v>
      </c>
      <c r="CK23" s="398">
        <f>SUM(CI23:CJ23)</f>
        <v>664</v>
      </c>
      <c r="CL23" s="414"/>
      <c r="CM23" s="393">
        <v>626</v>
      </c>
      <c r="CN23" s="394">
        <v>501</v>
      </c>
      <c r="CO23" s="395">
        <f>CM23+CN23</f>
        <v>1127</v>
      </c>
      <c r="CP23" s="396">
        <v>0</v>
      </c>
      <c r="CQ23" s="394">
        <v>0</v>
      </c>
      <c r="CR23" s="395">
        <f>CP23+CQ23</f>
        <v>0</v>
      </c>
      <c r="CS23" s="397">
        <f>SUM(CM23+CP23)</f>
        <v>626</v>
      </c>
      <c r="CT23" s="398">
        <f>SUM(CN23+CQ23)</f>
        <v>501</v>
      </c>
      <c r="CU23" s="405">
        <f>SUM(CS23:CT23)</f>
        <v>1127</v>
      </c>
      <c r="CV23" s="405"/>
      <c r="CW23" s="492">
        <f t="shared" si="237"/>
        <v>968</v>
      </c>
      <c r="CX23" s="487">
        <f t="shared" si="237"/>
        <v>823</v>
      </c>
      <c r="CY23" s="487">
        <f t="shared" si="237"/>
        <v>1791</v>
      </c>
      <c r="CZ23" s="487">
        <f>SUM(CR23+CH23+BS23+BI23)</f>
        <v>0</v>
      </c>
      <c r="DA23" s="474"/>
      <c r="DB23" s="474">
        <f>SUM(CW23:CX23)</f>
        <v>1791</v>
      </c>
      <c r="DC23" s="475"/>
      <c r="DD23" s="547">
        <f t="shared" si="238"/>
        <v>968</v>
      </c>
      <c r="DE23" s="547">
        <f t="shared" si="238"/>
        <v>823</v>
      </c>
      <c r="DF23" s="547">
        <f t="shared" si="239"/>
        <v>0</v>
      </c>
      <c r="DG23" s="547">
        <f t="shared" si="239"/>
        <v>0</v>
      </c>
      <c r="DH23" s="576">
        <f>DB23+AX23</f>
        <v>1791</v>
      </c>
      <c r="DI23" s="393"/>
      <c r="DJ23" s="394"/>
      <c r="DK23" s="395"/>
      <c r="DL23" s="396"/>
      <c r="DM23" s="394"/>
      <c r="DN23" s="395"/>
      <c r="DO23" s="397"/>
      <c r="DP23" s="405"/>
      <c r="DQ23" s="398"/>
      <c r="DR23" s="398"/>
      <c r="DS23" s="393">
        <v>0</v>
      </c>
      <c r="DT23" s="394">
        <v>0</v>
      </c>
      <c r="DU23" s="395">
        <f>SUM(DS23:DT23)</f>
        <v>0</v>
      </c>
      <c r="DV23" s="396">
        <v>0</v>
      </c>
      <c r="DW23" s="394">
        <v>0</v>
      </c>
      <c r="DX23" s="395">
        <f>SUM(DV23:DW23)</f>
        <v>0</v>
      </c>
      <c r="DY23" s="397">
        <f>DS23+DV23</f>
        <v>0</v>
      </c>
      <c r="DZ23" s="405">
        <f>DT23+DW23</f>
        <v>0</v>
      </c>
      <c r="EA23" s="398">
        <f>SUM(DY23:DZ23)</f>
        <v>0</v>
      </c>
      <c r="EB23" s="398"/>
      <c r="EC23" s="393">
        <v>1534</v>
      </c>
      <c r="ED23" s="394">
        <v>1733</v>
      </c>
      <c r="EE23" s="395">
        <f>SUM(EC23:ED23)</f>
        <v>3267</v>
      </c>
      <c r="EF23" s="396">
        <v>0</v>
      </c>
      <c r="EG23" s="394">
        <v>0</v>
      </c>
      <c r="EH23" s="395">
        <f>SUM(EF23:EG23)</f>
        <v>0</v>
      </c>
      <c r="EI23" s="397">
        <f>SUM(EC23+EF23)</f>
        <v>1534</v>
      </c>
      <c r="EJ23" s="405">
        <f>SUM(ED23+EG23)</f>
        <v>1733</v>
      </c>
      <c r="EK23" s="398">
        <f>SUM(EI23:EJ23)</f>
        <v>3267</v>
      </c>
      <c r="EL23" s="398"/>
      <c r="EM23" s="393">
        <v>0</v>
      </c>
      <c r="EN23" s="394">
        <v>0</v>
      </c>
      <c r="EO23" s="395">
        <f>SUM(EM23:EN23)</f>
        <v>0</v>
      </c>
      <c r="EP23" s="396">
        <v>0</v>
      </c>
      <c r="EQ23" s="394">
        <v>0</v>
      </c>
      <c r="ER23" s="395">
        <f>SUM(EP23:EQ23)</f>
        <v>0</v>
      </c>
      <c r="ES23" s="397">
        <f>SUM(EM23+EP23)</f>
        <v>0</v>
      </c>
      <c r="ET23" s="405">
        <f>SUM(EN23+EQ23)</f>
        <v>0</v>
      </c>
      <c r="EU23" s="398">
        <f>SUM(ES23:ET23)</f>
        <v>0</v>
      </c>
      <c r="EV23" s="398"/>
      <c r="EW23" s="492">
        <f t="shared" si="245"/>
        <v>1534</v>
      </c>
      <c r="EX23" s="487">
        <f t="shared" si="246"/>
        <v>1733</v>
      </c>
      <c r="EY23" s="487">
        <f>SUM(EO23+EE23+DU23+DK23)</f>
        <v>3267</v>
      </c>
      <c r="EZ23" s="487">
        <f t="shared" si="247"/>
        <v>0</v>
      </c>
      <c r="FA23" s="474"/>
      <c r="FB23" s="474">
        <f t="shared" si="248"/>
        <v>3267</v>
      </c>
      <c r="FC23" s="475" t="e">
        <f>FB23/FA23</f>
        <v>#DIV/0!</v>
      </c>
      <c r="FD23" s="547">
        <f>DI23+DS23+EC23+EM23+CM23+CC23</f>
        <v>2502</v>
      </c>
      <c r="FE23" s="547">
        <f>DJ23+DT23+ED23+EN23+CD23+CN23</f>
        <v>2556</v>
      </c>
      <c r="FF23" s="547">
        <f>DL23+DV23+EF23+EP23+CP23+CF23</f>
        <v>0</v>
      </c>
      <c r="FG23" s="547">
        <f>DM23+DW23+EG23+EQ23+CG23+CQ23</f>
        <v>0</v>
      </c>
      <c r="FH23" s="577">
        <f t="shared" si="249"/>
        <v>2502</v>
      </c>
      <c r="FI23" s="577">
        <f t="shared" si="249"/>
        <v>2556</v>
      </c>
      <c r="FJ23" s="577">
        <f>FH23+FI23</f>
        <v>5058</v>
      </c>
      <c r="FK23" s="577">
        <f t="shared" si="250"/>
        <v>2502</v>
      </c>
      <c r="FL23" s="577">
        <f t="shared" si="250"/>
        <v>2556</v>
      </c>
      <c r="FM23" s="577">
        <f>FK23+FL23</f>
        <v>5058</v>
      </c>
      <c r="FN23" s="393">
        <v>450</v>
      </c>
      <c r="FO23" s="394">
        <v>366</v>
      </c>
      <c r="FP23" s="395">
        <f>SUM(FN23:FO23)</f>
        <v>816</v>
      </c>
      <c r="FQ23" s="396">
        <v>0</v>
      </c>
      <c r="FR23" s="394">
        <v>0</v>
      </c>
      <c r="FS23" s="395">
        <f>SUM(FQ23:FR23)</f>
        <v>0</v>
      </c>
      <c r="FT23" s="397">
        <f t="shared" si="251"/>
        <v>450</v>
      </c>
      <c r="FU23" s="405">
        <f t="shared" si="251"/>
        <v>366</v>
      </c>
      <c r="FV23" s="398">
        <f>SUM(FT23:FU23)</f>
        <v>816</v>
      </c>
      <c r="FW23" s="398"/>
      <c r="FX23" s="393">
        <v>522</v>
      </c>
      <c r="FY23" s="394">
        <v>597</v>
      </c>
      <c r="FZ23" s="395">
        <f>SUM(FX23:FY23)</f>
        <v>1119</v>
      </c>
      <c r="GA23" s="396">
        <v>0</v>
      </c>
      <c r="GB23" s="394">
        <v>0</v>
      </c>
      <c r="GC23" s="395">
        <f>SUM(GA23:GB23)</f>
        <v>0</v>
      </c>
      <c r="GD23" s="397">
        <f t="shared" si="252"/>
        <v>522</v>
      </c>
      <c r="GE23" s="405">
        <f t="shared" si="252"/>
        <v>597</v>
      </c>
      <c r="GF23" s="398">
        <f>GD23+GE23</f>
        <v>1119</v>
      </c>
      <c r="GG23" s="398"/>
      <c r="GH23" s="393">
        <v>676</v>
      </c>
      <c r="GI23" s="394">
        <v>597</v>
      </c>
      <c r="GJ23" s="395">
        <f>SUM(GH23:GI23)</f>
        <v>1273</v>
      </c>
      <c r="GK23" s="396">
        <v>0</v>
      </c>
      <c r="GL23" s="394">
        <v>0</v>
      </c>
      <c r="GM23" s="395">
        <f>SUM(GK23:GL23)</f>
        <v>0</v>
      </c>
      <c r="GN23" s="397">
        <f t="shared" si="253"/>
        <v>676</v>
      </c>
      <c r="GO23" s="405">
        <f t="shared" si="253"/>
        <v>597</v>
      </c>
      <c r="GP23" s="398">
        <f>GN23+GO23</f>
        <v>1273</v>
      </c>
      <c r="GQ23" s="398"/>
      <c r="GR23" s="650">
        <f t="shared" si="254"/>
        <v>4150</v>
      </c>
      <c r="GS23" s="650">
        <f t="shared" si="254"/>
        <v>4116</v>
      </c>
      <c r="GT23" s="650">
        <f t="shared" si="255"/>
        <v>4150</v>
      </c>
      <c r="GU23" s="650">
        <f t="shared" si="255"/>
        <v>4116</v>
      </c>
      <c r="GV23" s="650">
        <f t="shared" si="256"/>
        <v>0</v>
      </c>
      <c r="GW23" s="650">
        <f t="shared" si="256"/>
        <v>0</v>
      </c>
      <c r="GX23" s="393"/>
      <c r="GY23" s="394"/>
      <c r="GZ23" s="395">
        <f t="shared" si="53"/>
        <v>0</v>
      </c>
      <c r="HA23" s="396"/>
      <c r="HB23" s="394"/>
      <c r="HC23" s="395">
        <f t="shared" si="54"/>
        <v>0</v>
      </c>
      <c r="HD23" s="397">
        <f t="shared" si="55"/>
        <v>0</v>
      </c>
      <c r="HE23" s="405">
        <f t="shared" si="56"/>
        <v>0</v>
      </c>
      <c r="HF23" s="398">
        <f t="shared" si="57"/>
        <v>0</v>
      </c>
      <c r="HG23" s="398"/>
      <c r="HH23" s="492">
        <f>HD23+GN23+GD23+FT23</f>
        <v>1648</v>
      </c>
      <c r="HI23" s="487">
        <f>GO23+GE23+FU23+HE23</f>
        <v>1560</v>
      </c>
      <c r="HJ23" s="487">
        <f>GX23+GH23+FX23+FN23</f>
        <v>1648</v>
      </c>
      <c r="HK23" s="487">
        <f>GI23+FY23+GY23+FO23</f>
        <v>1560</v>
      </c>
      <c r="HL23" s="487">
        <f>GK23+GA23+FQ23+HA23</f>
        <v>0</v>
      </c>
      <c r="HM23" s="487">
        <f>GL23+HB23+GB23+FR23</f>
        <v>0</v>
      </c>
      <c r="HN23" s="474"/>
      <c r="HO23" s="474">
        <f>HF23+GP23+GF23+FV23</f>
        <v>3208</v>
      </c>
      <c r="HP23" s="475"/>
      <c r="HQ23" s="547">
        <f t="shared" si="257"/>
        <v>1648</v>
      </c>
      <c r="HR23" s="547">
        <f t="shared" si="257"/>
        <v>1560</v>
      </c>
      <c r="HS23" s="547">
        <f t="shared" si="258"/>
        <v>0</v>
      </c>
      <c r="HT23" s="547">
        <f t="shared" si="258"/>
        <v>0</v>
      </c>
      <c r="HU23" s="393">
        <v>352</v>
      </c>
      <c r="HV23" s="394">
        <v>459</v>
      </c>
      <c r="HW23" s="395">
        <f t="shared" si="69"/>
        <v>811</v>
      </c>
      <c r="HX23" s="396">
        <v>0</v>
      </c>
      <c r="HY23" s="394">
        <v>0</v>
      </c>
      <c r="HZ23" s="395">
        <f t="shared" si="70"/>
        <v>0</v>
      </c>
      <c r="IA23" s="397">
        <f t="shared" si="71"/>
        <v>352</v>
      </c>
      <c r="IB23" s="405">
        <f t="shared" si="72"/>
        <v>459</v>
      </c>
      <c r="IC23" s="398">
        <f t="shared" si="73"/>
        <v>811</v>
      </c>
      <c r="ID23" s="398"/>
      <c r="IE23" s="393"/>
      <c r="IF23" s="394"/>
      <c r="IG23" s="395"/>
      <c r="IH23" s="396"/>
      <c r="II23" s="394"/>
      <c r="IJ23" s="395"/>
      <c r="IK23" s="397"/>
      <c r="IL23" s="405"/>
      <c r="IM23" s="398"/>
      <c r="IN23" s="398"/>
      <c r="IO23" s="393"/>
      <c r="IP23" s="394"/>
      <c r="IQ23" s="395"/>
      <c r="IR23" s="396"/>
      <c r="IS23" s="394"/>
      <c r="IT23" s="395"/>
      <c r="IU23" s="397"/>
      <c r="IV23" s="405"/>
      <c r="IW23" s="398"/>
      <c r="IX23" s="398"/>
      <c r="IY23" s="393"/>
      <c r="IZ23" s="394"/>
      <c r="JA23" s="395"/>
      <c r="JB23" s="396"/>
      <c r="JC23" s="394"/>
      <c r="JD23" s="395"/>
      <c r="JE23" s="397"/>
      <c r="JF23" s="405"/>
      <c r="JG23" s="398"/>
      <c r="JH23" s="398"/>
      <c r="JI23" s="494"/>
      <c r="JJ23" s="479"/>
      <c r="JK23" s="479"/>
      <c r="JL23" s="479"/>
      <c r="JM23" s="474"/>
      <c r="JN23" s="474">
        <f>JG23+IW23+IM23+IC23</f>
        <v>811</v>
      </c>
      <c r="JO23" s="475"/>
      <c r="JP23" s="393"/>
      <c r="JQ23" s="394"/>
      <c r="JR23" s="395"/>
      <c r="JS23" s="396"/>
      <c r="JT23" s="394"/>
      <c r="JU23" s="395"/>
      <c r="JV23" s="397"/>
      <c r="JW23" s="405"/>
      <c r="JX23" s="398"/>
      <c r="JY23" s="398"/>
      <c r="JZ23" s="577">
        <f t="shared" si="226"/>
        <v>7286</v>
      </c>
      <c r="KA23" s="412">
        <f t="shared" si="259"/>
        <v>4502</v>
      </c>
      <c r="KB23" s="412">
        <f t="shared" si="259"/>
        <v>4575</v>
      </c>
      <c r="KC23" s="412">
        <f t="shared" si="260"/>
        <v>4502</v>
      </c>
      <c r="KD23" s="412">
        <f t="shared" si="260"/>
        <v>4575</v>
      </c>
      <c r="KE23" s="412">
        <f t="shared" si="261"/>
        <v>0</v>
      </c>
      <c r="KF23" s="693">
        <f t="shared" si="261"/>
        <v>0</v>
      </c>
      <c r="KG23" s="687">
        <f t="shared" si="262"/>
        <v>9077</v>
      </c>
      <c r="KH23" s="680"/>
      <c r="KI23" s="680"/>
      <c r="KJ23" s="681" t="e">
        <f t="shared" si="263"/>
        <v>#DIV/0!</v>
      </c>
      <c r="KK23" s="359">
        <f>KA22+KA23</f>
        <v>6960</v>
      </c>
      <c r="KL23" s="359">
        <f>KB22+KB23</f>
        <v>6077</v>
      </c>
      <c r="KM23" s="359"/>
      <c r="KN23" s="359"/>
      <c r="KO23" s="359"/>
      <c r="KP23" s="359"/>
      <c r="KQ23" s="359"/>
    </row>
    <row r="24" spans="1:303" ht="36" customHeight="1" x14ac:dyDescent="0.3">
      <c r="A24" s="761"/>
      <c r="B24" s="391" t="s">
        <v>138</v>
      </c>
      <c r="C24" s="391" t="s">
        <v>139</v>
      </c>
      <c r="D24" s="392"/>
      <c r="E24" s="393"/>
      <c r="F24" s="394"/>
      <c r="G24" s="395"/>
      <c r="H24" s="396"/>
      <c r="I24" s="394"/>
      <c r="J24" s="395"/>
      <c r="K24" s="397"/>
      <c r="L24" s="398"/>
      <c r="M24" s="398"/>
      <c r="N24" s="399"/>
      <c r="O24" s="393"/>
      <c r="P24" s="394"/>
      <c r="Q24" s="400"/>
      <c r="R24" s="396"/>
      <c r="S24" s="394"/>
      <c r="T24" s="400"/>
      <c r="U24" s="397"/>
      <c r="V24" s="398"/>
      <c r="W24" s="398"/>
      <c r="X24" s="399"/>
      <c r="Y24" s="393"/>
      <c r="Z24" s="394"/>
      <c r="AA24" s="400"/>
      <c r="AB24" s="396"/>
      <c r="AC24" s="394"/>
      <c r="AD24" s="400"/>
      <c r="AE24" s="397"/>
      <c r="AF24" s="405"/>
      <c r="AG24" s="398"/>
      <c r="AH24" s="403"/>
      <c r="AI24" s="393"/>
      <c r="AJ24" s="394"/>
      <c r="AK24" s="395"/>
      <c r="AL24" s="396"/>
      <c r="AM24" s="394"/>
      <c r="AN24" s="395"/>
      <c r="AO24" s="397"/>
      <c r="AP24" s="398"/>
      <c r="AQ24" s="398"/>
      <c r="AR24" s="404"/>
      <c r="AS24" s="486"/>
      <c r="AT24" s="487"/>
      <c r="AU24" s="487"/>
      <c r="AV24" s="487"/>
      <c r="AW24" s="478"/>
      <c r="AX24" s="479"/>
      <c r="AY24" s="537"/>
      <c r="AZ24" s="547">
        <f>SUM(E24+O24+Y24+AI24)</f>
        <v>0</v>
      </c>
      <c r="BA24" s="547">
        <f>F24+P24+Z24+AJ24</f>
        <v>0</v>
      </c>
      <c r="BB24" s="547">
        <f t="shared" si="234"/>
        <v>0</v>
      </c>
      <c r="BC24" s="547">
        <f t="shared" si="234"/>
        <v>0</v>
      </c>
      <c r="BD24" s="393"/>
      <c r="BE24" s="394"/>
      <c r="BF24" s="395"/>
      <c r="BG24" s="396"/>
      <c r="BH24" s="394"/>
      <c r="BI24" s="395"/>
      <c r="BJ24" s="397"/>
      <c r="BK24" s="398"/>
      <c r="BL24" s="405"/>
      <c r="BM24" s="398"/>
      <c r="BN24" s="393"/>
      <c r="BO24" s="394"/>
      <c r="BP24" s="395"/>
      <c r="BQ24" s="396"/>
      <c r="BR24" s="394"/>
      <c r="BS24" s="395"/>
      <c r="BT24" s="397"/>
      <c r="BU24" s="405"/>
      <c r="BV24" s="398"/>
      <c r="BW24" s="398"/>
      <c r="BX24" s="626">
        <f t="shared" si="235"/>
        <v>0</v>
      </c>
      <c r="BY24" s="626">
        <f t="shared" si="235"/>
        <v>0</v>
      </c>
      <c r="BZ24" s="626">
        <f t="shared" si="236"/>
        <v>0</v>
      </c>
      <c r="CA24" s="626">
        <f t="shared" si="236"/>
        <v>0</v>
      </c>
      <c r="CB24" s="625">
        <f>BX24+BY24+BZ24+CA24</f>
        <v>0</v>
      </c>
      <c r="CC24" s="393">
        <v>280</v>
      </c>
      <c r="CD24" s="394">
        <v>233</v>
      </c>
      <c r="CE24" s="395">
        <f>SUM(CC24:CD24)</f>
        <v>513</v>
      </c>
      <c r="CF24" s="396">
        <v>0</v>
      </c>
      <c r="CG24" s="394">
        <v>0</v>
      </c>
      <c r="CH24" s="395">
        <f>SUM(CF24:CG24)</f>
        <v>0</v>
      </c>
      <c r="CI24" s="397">
        <f t="shared" ref="CI24" si="264">SUM(CC24+CF24)</f>
        <v>280</v>
      </c>
      <c r="CJ24" s="398">
        <f t="shared" ref="CJ24" si="265">SUM(CD24+CG24)</f>
        <v>233</v>
      </c>
      <c r="CK24" s="398">
        <f t="shared" ref="CK24" si="266">SUM(CI24:CJ24)</f>
        <v>513</v>
      </c>
      <c r="CL24" s="414"/>
      <c r="CM24" s="393"/>
      <c r="CN24" s="394"/>
      <c r="CO24" s="395"/>
      <c r="CP24" s="396"/>
      <c r="CQ24" s="394"/>
      <c r="CR24" s="395"/>
      <c r="CS24" s="397"/>
      <c r="CT24" s="398"/>
      <c r="CU24" s="405"/>
      <c r="CV24" s="405"/>
      <c r="CW24" s="492">
        <f t="shared" si="237"/>
        <v>280</v>
      </c>
      <c r="CX24" s="487">
        <f t="shared" si="237"/>
        <v>233</v>
      </c>
      <c r="CY24" s="487">
        <f t="shared" si="237"/>
        <v>513</v>
      </c>
      <c r="CZ24" s="487">
        <f>SUM(CR24+CH24+BS24+BI24)</f>
        <v>0</v>
      </c>
      <c r="DA24" s="474"/>
      <c r="DB24" s="474">
        <f>SUM(CW24:CX24)</f>
        <v>513</v>
      </c>
      <c r="DC24" s="475"/>
      <c r="DD24" s="547">
        <f t="shared" si="238"/>
        <v>280</v>
      </c>
      <c r="DE24" s="547">
        <f t="shared" si="238"/>
        <v>233</v>
      </c>
      <c r="DF24" s="547">
        <f t="shared" si="239"/>
        <v>0</v>
      </c>
      <c r="DG24" s="547">
        <f t="shared" si="239"/>
        <v>0</v>
      </c>
      <c r="DH24" s="576">
        <f>DB24+AX24</f>
        <v>513</v>
      </c>
      <c r="DI24" s="393"/>
      <c r="DJ24" s="394"/>
      <c r="DK24" s="395"/>
      <c r="DL24" s="396"/>
      <c r="DM24" s="394"/>
      <c r="DN24" s="395"/>
      <c r="DO24" s="397"/>
      <c r="DP24" s="405"/>
      <c r="DQ24" s="398"/>
      <c r="DR24" s="398"/>
      <c r="DS24" s="393"/>
      <c r="DT24" s="394"/>
      <c r="DU24" s="395"/>
      <c r="DV24" s="396"/>
      <c r="DW24" s="394"/>
      <c r="DX24" s="395"/>
      <c r="DY24" s="397"/>
      <c r="DZ24" s="405"/>
      <c r="EA24" s="398"/>
      <c r="EB24" s="398"/>
      <c r="EC24" s="393"/>
      <c r="ED24" s="394"/>
      <c r="EE24" s="395"/>
      <c r="EF24" s="396"/>
      <c r="EG24" s="394"/>
      <c r="EH24" s="395"/>
      <c r="EI24" s="397"/>
      <c r="EJ24" s="405"/>
      <c r="EK24" s="398"/>
      <c r="EL24" s="398"/>
      <c r="EM24" s="393"/>
      <c r="EN24" s="394"/>
      <c r="EO24" s="395"/>
      <c r="EP24" s="396"/>
      <c r="EQ24" s="394"/>
      <c r="ER24" s="395"/>
      <c r="ES24" s="397"/>
      <c r="ET24" s="405"/>
      <c r="EU24" s="398"/>
      <c r="EV24" s="398"/>
      <c r="EW24" s="492"/>
      <c r="EX24" s="487"/>
      <c r="EY24" s="487">
        <f>SUM(EO24+EE24+DU24+DK24)</f>
        <v>0</v>
      </c>
      <c r="EZ24" s="487"/>
      <c r="FA24" s="474"/>
      <c r="FB24" s="474"/>
      <c r="FC24" s="475"/>
      <c r="FD24" s="547">
        <f>DI24+DS24+EC24+EM24+CM24+CC24</f>
        <v>280</v>
      </c>
      <c r="FE24" s="547">
        <f>DJ24+DT24+ED24+EN24+CD24+CN24</f>
        <v>233</v>
      </c>
      <c r="FF24" s="547">
        <f>DL24+DV24+EF24+EP24+CP24+CF24</f>
        <v>0</v>
      </c>
      <c r="FG24" s="547">
        <f>DM24+DW24+EG24+EQ24+CG24+CQ24</f>
        <v>0</v>
      </c>
      <c r="FH24" s="577">
        <f t="shared" si="249"/>
        <v>280</v>
      </c>
      <c r="FI24" s="577">
        <f t="shared" si="249"/>
        <v>233</v>
      </c>
      <c r="FJ24" s="577">
        <f>FH24+FI24</f>
        <v>513</v>
      </c>
      <c r="FK24" s="577">
        <f t="shared" si="250"/>
        <v>280</v>
      </c>
      <c r="FL24" s="577">
        <f t="shared" si="250"/>
        <v>233</v>
      </c>
      <c r="FM24" s="577">
        <f>FK24+FL24</f>
        <v>513</v>
      </c>
      <c r="FN24" s="393">
        <v>0</v>
      </c>
      <c r="FO24" s="394">
        <v>0</v>
      </c>
      <c r="FP24" s="395">
        <f>SUM(FN24:FO24)</f>
        <v>0</v>
      </c>
      <c r="FQ24" s="396">
        <v>0</v>
      </c>
      <c r="FR24" s="394">
        <v>0</v>
      </c>
      <c r="FS24" s="395">
        <f>SUM(FQ24:FR24)</f>
        <v>0</v>
      </c>
      <c r="FT24" s="397">
        <f t="shared" si="251"/>
        <v>0</v>
      </c>
      <c r="FU24" s="405">
        <f t="shared" si="251"/>
        <v>0</v>
      </c>
      <c r="FV24" s="398">
        <f>SUM(FT24:FU24)</f>
        <v>0</v>
      </c>
      <c r="FW24" s="398"/>
      <c r="FX24" s="393"/>
      <c r="FY24" s="394"/>
      <c r="FZ24" s="395">
        <f>SUM(FX24:FY24)</f>
        <v>0</v>
      </c>
      <c r="GA24" s="396"/>
      <c r="GB24" s="394"/>
      <c r="GC24" s="395">
        <f>SUM(GA24:GB24)</f>
        <v>0</v>
      </c>
      <c r="GD24" s="397">
        <f t="shared" si="252"/>
        <v>0</v>
      </c>
      <c r="GE24" s="405">
        <f t="shared" si="252"/>
        <v>0</v>
      </c>
      <c r="GF24" s="398">
        <f>GD24+GE24</f>
        <v>0</v>
      </c>
      <c r="GG24" s="398"/>
      <c r="GH24" s="393"/>
      <c r="GI24" s="394"/>
      <c r="GJ24" s="395">
        <f>SUM(GH24:GI24)</f>
        <v>0</v>
      </c>
      <c r="GK24" s="396"/>
      <c r="GL24" s="394"/>
      <c r="GM24" s="395">
        <f>SUM(GK24:GL24)</f>
        <v>0</v>
      </c>
      <c r="GN24" s="397">
        <f t="shared" si="253"/>
        <v>0</v>
      </c>
      <c r="GO24" s="405">
        <f t="shared" si="253"/>
        <v>0</v>
      </c>
      <c r="GP24" s="398">
        <f>GN24+GO24</f>
        <v>0</v>
      </c>
      <c r="GQ24" s="398"/>
      <c r="GR24" s="650">
        <f t="shared" si="254"/>
        <v>280</v>
      </c>
      <c r="GS24" s="650">
        <f t="shared" si="254"/>
        <v>233</v>
      </c>
      <c r="GT24" s="650">
        <f t="shared" si="255"/>
        <v>280</v>
      </c>
      <c r="GU24" s="650">
        <f t="shared" si="255"/>
        <v>233</v>
      </c>
      <c r="GV24" s="650">
        <f t="shared" si="256"/>
        <v>0</v>
      </c>
      <c r="GW24" s="650">
        <f t="shared" si="256"/>
        <v>0</v>
      </c>
      <c r="GX24" s="393"/>
      <c r="GY24" s="394"/>
      <c r="GZ24" s="395">
        <f t="shared" si="53"/>
        <v>0</v>
      </c>
      <c r="HA24" s="396"/>
      <c r="HB24" s="394"/>
      <c r="HC24" s="395">
        <f t="shared" si="54"/>
        <v>0</v>
      </c>
      <c r="HD24" s="397">
        <f t="shared" si="55"/>
        <v>0</v>
      </c>
      <c r="HE24" s="405">
        <f t="shared" si="56"/>
        <v>0</v>
      </c>
      <c r="HF24" s="398">
        <f t="shared" si="57"/>
        <v>0</v>
      </c>
      <c r="HG24" s="398"/>
      <c r="HH24" s="492">
        <f>HD24+GN24+GD24+FT24</f>
        <v>0</v>
      </c>
      <c r="HI24" s="487">
        <f>GO24+GE24+FU24+HE24</f>
        <v>0</v>
      </c>
      <c r="HJ24" s="487">
        <f>GX24+GH24+FX24+FN24</f>
        <v>0</v>
      </c>
      <c r="HK24" s="487">
        <f>GI24+FY24+GY24+FO24</f>
        <v>0</v>
      </c>
      <c r="HL24" s="487">
        <f>GK24+GA24+FQ24+HA24</f>
        <v>0</v>
      </c>
      <c r="HM24" s="487">
        <f>GL24+HB24+GB24+FR24</f>
        <v>0</v>
      </c>
      <c r="HN24" s="474"/>
      <c r="HO24" s="474">
        <f>HF24+GP24+GF24+FV24</f>
        <v>0</v>
      </c>
      <c r="HP24" s="475"/>
      <c r="HQ24" s="547">
        <f t="shared" si="257"/>
        <v>0</v>
      </c>
      <c r="HR24" s="547">
        <f t="shared" si="257"/>
        <v>0</v>
      </c>
      <c r="HS24" s="547">
        <f t="shared" si="258"/>
        <v>0</v>
      </c>
      <c r="HT24" s="547">
        <f t="shared" si="258"/>
        <v>0</v>
      </c>
      <c r="HU24" s="393"/>
      <c r="HV24" s="394"/>
      <c r="HW24" s="395">
        <f t="shared" si="69"/>
        <v>0</v>
      </c>
      <c r="HX24" s="396"/>
      <c r="HY24" s="394"/>
      <c r="HZ24" s="395">
        <f t="shared" si="70"/>
        <v>0</v>
      </c>
      <c r="IA24" s="397">
        <f t="shared" si="71"/>
        <v>0</v>
      </c>
      <c r="IB24" s="405">
        <f t="shared" si="72"/>
        <v>0</v>
      </c>
      <c r="IC24" s="398">
        <f t="shared" si="73"/>
        <v>0</v>
      </c>
      <c r="ID24" s="398"/>
      <c r="IE24" s="393"/>
      <c r="IF24" s="394"/>
      <c r="IG24" s="395"/>
      <c r="IH24" s="396"/>
      <c r="II24" s="394"/>
      <c r="IJ24" s="395"/>
      <c r="IK24" s="397"/>
      <c r="IL24" s="405"/>
      <c r="IM24" s="398"/>
      <c r="IN24" s="398"/>
      <c r="IO24" s="393"/>
      <c r="IP24" s="394"/>
      <c r="IQ24" s="395"/>
      <c r="IR24" s="396"/>
      <c r="IS24" s="394"/>
      <c r="IT24" s="395"/>
      <c r="IU24" s="397"/>
      <c r="IV24" s="405"/>
      <c r="IW24" s="398"/>
      <c r="IX24" s="398"/>
      <c r="IY24" s="393"/>
      <c r="IZ24" s="394"/>
      <c r="JA24" s="395"/>
      <c r="JB24" s="396"/>
      <c r="JC24" s="394"/>
      <c r="JD24" s="395"/>
      <c r="JE24" s="397"/>
      <c r="JF24" s="405"/>
      <c r="JG24" s="398"/>
      <c r="JH24" s="398"/>
      <c r="JI24" s="494"/>
      <c r="JJ24" s="479"/>
      <c r="JK24" s="479"/>
      <c r="JL24" s="479"/>
      <c r="JM24" s="474"/>
      <c r="JN24" s="474">
        <f>JG24+IW24+IM24+IC24</f>
        <v>0</v>
      </c>
      <c r="JO24" s="475"/>
      <c r="JP24" s="393"/>
      <c r="JQ24" s="394"/>
      <c r="JR24" s="395"/>
      <c r="JS24" s="396"/>
      <c r="JT24" s="394"/>
      <c r="JU24" s="395"/>
      <c r="JV24" s="397"/>
      <c r="JW24" s="405"/>
      <c r="JX24" s="398"/>
      <c r="JY24" s="398"/>
      <c r="JZ24" s="577">
        <f t="shared" si="226"/>
        <v>0</v>
      </c>
      <c r="KA24" s="412">
        <f t="shared" si="259"/>
        <v>280</v>
      </c>
      <c r="KB24" s="412">
        <f t="shared" si="259"/>
        <v>233</v>
      </c>
      <c r="KC24" s="412">
        <f t="shared" si="260"/>
        <v>280</v>
      </c>
      <c r="KD24" s="412">
        <f t="shared" si="260"/>
        <v>233</v>
      </c>
      <c r="KE24" s="412">
        <f t="shared" si="261"/>
        <v>0</v>
      </c>
      <c r="KF24" s="693">
        <f t="shared" si="261"/>
        <v>0</v>
      </c>
      <c r="KG24" s="687">
        <f t="shared" ref="KG24" si="267">SUM(KA24:KB24)</f>
        <v>513</v>
      </c>
      <c r="KH24" s="680"/>
      <c r="KI24" s="680"/>
      <c r="KJ24" s="681" t="e">
        <f t="shared" si="263"/>
        <v>#DIV/0!</v>
      </c>
      <c r="KK24" s="359"/>
      <c r="KL24" s="359"/>
      <c r="KM24" s="359"/>
      <c r="KN24" s="359"/>
      <c r="KO24" s="359"/>
      <c r="KP24" s="359"/>
      <c r="KQ24" s="359"/>
    </row>
    <row r="25" spans="1:303" ht="36" customHeight="1" x14ac:dyDescent="0.3">
      <c r="A25" s="385"/>
      <c r="B25" s="391" t="s">
        <v>22</v>
      </c>
      <c r="C25" s="391" t="s">
        <v>130</v>
      </c>
      <c r="D25" s="392">
        <v>4500</v>
      </c>
      <c r="E25" s="393"/>
      <c r="F25" s="394"/>
      <c r="G25" s="395"/>
      <c r="H25" s="396"/>
      <c r="I25" s="394"/>
      <c r="J25" s="395"/>
      <c r="K25" s="397"/>
      <c r="L25" s="398"/>
      <c r="M25" s="398"/>
      <c r="N25" s="399"/>
      <c r="O25" s="393">
        <v>37</v>
      </c>
      <c r="P25" s="394">
        <v>0</v>
      </c>
      <c r="Q25" s="400">
        <f>SUM(O25:P25)</f>
        <v>37</v>
      </c>
      <c r="R25" s="396">
        <v>0</v>
      </c>
      <c r="S25" s="394">
        <v>0</v>
      </c>
      <c r="T25" s="400">
        <f>SUM(R25:S25)</f>
        <v>0</v>
      </c>
      <c r="U25" s="397">
        <f>SUM(O25+R25)</f>
        <v>37</v>
      </c>
      <c r="V25" s="398">
        <f>SUM(P25+S25)</f>
        <v>0</v>
      </c>
      <c r="W25" s="398">
        <f>SUM(U25:V25)</f>
        <v>37</v>
      </c>
      <c r="X25" s="399">
        <v>2</v>
      </c>
      <c r="Y25" s="393">
        <v>16</v>
      </c>
      <c r="Z25" s="394">
        <v>0</v>
      </c>
      <c r="AA25" s="400">
        <f>SUM(Y25:Z25)</f>
        <v>16</v>
      </c>
      <c r="AB25" s="396">
        <v>0</v>
      </c>
      <c r="AC25" s="394">
        <v>0</v>
      </c>
      <c r="AD25" s="400">
        <f>SUM(AB25:AC25)</f>
        <v>0</v>
      </c>
      <c r="AE25" s="397">
        <f>SUM(Y25+AB25)</f>
        <v>16</v>
      </c>
      <c r="AF25" s="405">
        <f>SUM(Z25+AC25)</f>
        <v>0</v>
      </c>
      <c r="AG25" s="398">
        <f>SUM(AE25:AF25)</f>
        <v>16</v>
      </c>
      <c r="AH25" s="403"/>
      <c r="AI25" s="393">
        <v>95</v>
      </c>
      <c r="AJ25" s="394">
        <v>0</v>
      </c>
      <c r="AK25" s="395">
        <f>SUM(AI25:AJ25)</f>
        <v>95</v>
      </c>
      <c r="AL25" s="396">
        <v>0</v>
      </c>
      <c r="AM25" s="394">
        <v>0</v>
      </c>
      <c r="AN25" s="395">
        <f>SUM(AL25:AM25)</f>
        <v>0</v>
      </c>
      <c r="AO25" s="397">
        <f>SUM(AI25+AL25)</f>
        <v>95</v>
      </c>
      <c r="AP25" s="398">
        <f>SUM(AJ25+AM25)</f>
        <v>0</v>
      </c>
      <c r="AQ25" s="398">
        <f>SUM(AO25:AP25)</f>
        <v>95</v>
      </c>
      <c r="AR25" s="404"/>
      <c r="AS25" s="486">
        <f t="shared" ref="AS25" si="268">AO25+AE25+U25+K25</f>
        <v>148</v>
      </c>
      <c r="AT25" s="487">
        <f t="shared" ref="AT25" si="269">AP25+AF25+V25+L25</f>
        <v>0</v>
      </c>
      <c r="AU25" s="487">
        <f t="shared" ref="AU25" si="270">AK25+AA25+Q25+G25</f>
        <v>148</v>
      </c>
      <c r="AV25" s="487">
        <f t="shared" ref="AV25" si="271">AN25</f>
        <v>0</v>
      </c>
      <c r="AW25" s="478"/>
      <c r="AX25" s="479">
        <f t="shared" ref="AX25" si="272">SUM(AQ25+AG25+W25+M25)</f>
        <v>148</v>
      </c>
      <c r="AY25" s="537" t="e">
        <f>AX25/AW25</f>
        <v>#DIV/0!</v>
      </c>
      <c r="AZ25" s="547">
        <f t="shared" ref="AZ25" si="273">SUM(E25+O25+Y25+AI25)</f>
        <v>148</v>
      </c>
      <c r="BA25" s="547">
        <f t="shared" ref="BA25" si="274">F25+P25+Z25+AJ25</f>
        <v>0</v>
      </c>
      <c r="BB25" s="547">
        <f t="shared" ref="BB25" si="275">H25+R25+AB25+AL25</f>
        <v>0</v>
      </c>
      <c r="BC25" s="547">
        <f t="shared" ref="BC25" si="276">I25+S25+AC25+AM25</f>
        <v>0</v>
      </c>
      <c r="BD25" s="393">
        <v>505</v>
      </c>
      <c r="BE25" s="394">
        <v>0</v>
      </c>
      <c r="BF25" s="395">
        <f>SUM(BD25:BE25)</f>
        <v>505</v>
      </c>
      <c r="BG25" s="396">
        <v>1</v>
      </c>
      <c r="BH25" s="394"/>
      <c r="BI25" s="395">
        <f>SUM(BG25:BH25)</f>
        <v>1</v>
      </c>
      <c r="BJ25" s="397">
        <f>SUM(BD25+BG25)</f>
        <v>506</v>
      </c>
      <c r="BK25" s="398">
        <f>SUM(BE25+BH25)</f>
        <v>0</v>
      </c>
      <c r="BL25" s="405">
        <f>SUM(BJ25:BK25)</f>
        <v>506</v>
      </c>
      <c r="BM25" s="398"/>
      <c r="BN25" s="393">
        <v>241</v>
      </c>
      <c r="BO25" s="394">
        <v>0</v>
      </c>
      <c r="BP25" s="395">
        <f>SUM(BN25:BO25)</f>
        <v>241</v>
      </c>
      <c r="BQ25" s="396">
        <v>0</v>
      </c>
      <c r="BR25" s="394">
        <v>0</v>
      </c>
      <c r="BS25" s="395">
        <f>SUM(BQ25:BR25)</f>
        <v>0</v>
      </c>
      <c r="BT25" s="397">
        <f>SUM(BN25+BQ25)</f>
        <v>241</v>
      </c>
      <c r="BU25" s="405">
        <f>SUM(BO25+BR25)</f>
        <v>0</v>
      </c>
      <c r="BV25" s="398">
        <f>SUM(BT25:BU25)</f>
        <v>241</v>
      </c>
      <c r="BW25" s="398"/>
      <c r="BX25" s="626">
        <f t="shared" ref="BX25:BX29" si="277">BN25+BD25+AI25+Y25+O25+E25</f>
        <v>894</v>
      </c>
      <c r="BY25" s="626">
        <f t="shared" ref="BY25:BY29" si="278">BO25+BE25+AJ25+Z25+P25+F25</f>
        <v>0</v>
      </c>
      <c r="BZ25" s="626">
        <f t="shared" ref="BZ25:BZ29" si="279">BQ25+BG25+AL25+AB25+R25+H25</f>
        <v>1</v>
      </c>
      <c r="CA25" s="626">
        <f t="shared" ref="CA25:CA29" si="280">BR25+BH25+AM25+AC25+S25+I25</f>
        <v>0</v>
      </c>
      <c r="CB25" s="625">
        <f t="shared" ref="CB25:CB29" si="281">BX25+BY25+BZ25+CA25</f>
        <v>895</v>
      </c>
      <c r="CC25" s="393">
        <v>111</v>
      </c>
      <c r="CD25" s="394">
        <v>0</v>
      </c>
      <c r="CE25" s="395">
        <f>SUM(CC25:CD25)</f>
        <v>111</v>
      </c>
      <c r="CF25" s="396">
        <v>0</v>
      </c>
      <c r="CG25" s="394">
        <v>0</v>
      </c>
      <c r="CH25" s="395">
        <v>0</v>
      </c>
      <c r="CI25" s="397">
        <f>SUM(CC25+CF25)</f>
        <v>111</v>
      </c>
      <c r="CJ25" s="398">
        <f>SUM(CD25+CG25)</f>
        <v>0</v>
      </c>
      <c r="CK25" s="398">
        <f>SUM(CI25:CJ25)</f>
        <v>111</v>
      </c>
      <c r="CL25" s="414"/>
      <c r="CM25" s="393">
        <v>459</v>
      </c>
      <c r="CN25" s="394">
        <v>0</v>
      </c>
      <c r="CO25" s="395">
        <f>SUM(CM25:CN25)</f>
        <v>459</v>
      </c>
      <c r="CP25" s="396">
        <v>0</v>
      </c>
      <c r="CQ25" s="394">
        <v>0</v>
      </c>
      <c r="CR25" s="395">
        <f>SUM(CP25:CQ25)</f>
        <v>0</v>
      </c>
      <c r="CS25" s="397">
        <f>SUM(CM25+CP25)</f>
        <v>459</v>
      </c>
      <c r="CT25" s="398">
        <f>SUM(CN25+CQ25)</f>
        <v>0</v>
      </c>
      <c r="CU25" s="405">
        <f>SUM(CS25:CT25)</f>
        <v>459</v>
      </c>
      <c r="CV25" s="405"/>
      <c r="CW25" s="492">
        <f t="shared" si="237"/>
        <v>1317</v>
      </c>
      <c r="CX25" s="487">
        <f t="shared" si="237"/>
        <v>0</v>
      </c>
      <c r="CY25" s="487">
        <f t="shared" si="237"/>
        <v>1317</v>
      </c>
      <c r="CZ25" s="487">
        <f>SUM(CR25+CH25+BS25+BI25)</f>
        <v>1</v>
      </c>
      <c r="DA25" s="474"/>
      <c r="DB25" s="474">
        <f>SUM(CW25:CX25)</f>
        <v>1317</v>
      </c>
      <c r="DC25" s="475"/>
      <c r="DD25" s="547">
        <f t="shared" ref="DD25" si="282">BD25+BN25+CC25+CM25</f>
        <v>1316</v>
      </c>
      <c r="DE25" s="547">
        <f t="shared" ref="DE25" si="283">BE25+BO25+CD25+CN25</f>
        <v>0</v>
      </c>
      <c r="DF25" s="547">
        <f t="shared" ref="DF25" si="284">BG25+BQ25+CF25+CP25</f>
        <v>1</v>
      </c>
      <c r="DG25" s="547">
        <f t="shared" ref="DG25" si="285">BH25+BR25+CG25+CQ25</f>
        <v>0</v>
      </c>
      <c r="DH25" s="576">
        <f t="shared" ref="DH25:DH29" si="286">DB25+AX25</f>
        <v>1465</v>
      </c>
      <c r="DI25" s="393">
        <v>240</v>
      </c>
      <c r="DJ25" s="394">
        <v>0</v>
      </c>
      <c r="DK25" s="395">
        <f>SUM(DI25:DJ25)</f>
        <v>240</v>
      </c>
      <c r="DL25" s="396">
        <v>0</v>
      </c>
      <c r="DM25" s="394">
        <v>0</v>
      </c>
      <c r="DN25" s="395">
        <f>SUM(DL25:DM25)</f>
        <v>0</v>
      </c>
      <c r="DO25" s="397">
        <f>DI25+DL25</f>
        <v>240</v>
      </c>
      <c r="DP25" s="405">
        <f>DJ25+DM25</f>
        <v>0</v>
      </c>
      <c r="DQ25" s="398">
        <f>DK25</f>
        <v>240</v>
      </c>
      <c r="DR25" s="398">
        <f>DN25</f>
        <v>0</v>
      </c>
      <c r="DS25" s="393">
        <v>256</v>
      </c>
      <c r="DT25" s="394">
        <v>0</v>
      </c>
      <c r="DU25" s="395">
        <f t="shared" ref="DU25" si="287">SUM(DS25:DT25)</f>
        <v>256</v>
      </c>
      <c r="DV25" s="396">
        <v>0</v>
      </c>
      <c r="DW25" s="394">
        <v>0</v>
      </c>
      <c r="DX25" s="395">
        <f t="shared" ref="DX25" si="288">SUM(DV25:DW25)</f>
        <v>0</v>
      </c>
      <c r="DY25" s="397">
        <f t="shared" ref="DY25" si="289">SUM(DS25+DV25)</f>
        <v>256</v>
      </c>
      <c r="DZ25" s="405">
        <f t="shared" ref="DZ25" si="290">SUM(DT25+DW25)</f>
        <v>0</v>
      </c>
      <c r="EA25" s="398">
        <f t="shared" ref="EA25" si="291">SUM(DY25:DZ25)</f>
        <v>256</v>
      </c>
      <c r="EB25" s="398"/>
      <c r="EC25" s="393">
        <v>298</v>
      </c>
      <c r="ED25" s="394">
        <v>0</v>
      </c>
      <c r="EE25" s="395">
        <f>SUM(EC25:ED25)</f>
        <v>298</v>
      </c>
      <c r="EF25" s="396">
        <v>0</v>
      </c>
      <c r="EG25" s="394">
        <v>0</v>
      </c>
      <c r="EH25" s="395">
        <f>SUM(EF25:EG25)</f>
        <v>0</v>
      </c>
      <c r="EI25" s="397">
        <f>SUM(EC25+EF25)</f>
        <v>298</v>
      </c>
      <c r="EJ25" s="405">
        <f>SUM(ED25+EG25)</f>
        <v>0</v>
      </c>
      <c r="EK25" s="398">
        <f>SUM(EI25:EJ25)</f>
        <v>298</v>
      </c>
      <c r="EL25" s="398"/>
      <c r="EM25" s="393">
        <v>192</v>
      </c>
      <c r="EN25" s="394">
        <v>0</v>
      </c>
      <c r="EO25" s="395">
        <f>SUM(EM25:EN25)</f>
        <v>192</v>
      </c>
      <c r="EP25" s="396">
        <v>0</v>
      </c>
      <c r="EQ25" s="394">
        <v>0</v>
      </c>
      <c r="ER25" s="395">
        <f>SUM(EP25:EQ25)</f>
        <v>0</v>
      </c>
      <c r="ES25" s="397">
        <f>SUM(EM25+EP25)</f>
        <v>192</v>
      </c>
      <c r="ET25" s="405">
        <f>SUM(EN25+EQ25)</f>
        <v>0</v>
      </c>
      <c r="EU25" s="398">
        <f>SUM(ES25:ET25)</f>
        <v>192</v>
      </c>
      <c r="EV25" s="398"/>
      <c r="EW25" s="492">
        <f t="shared" ref="EW25" si="292">SUM(ES25+EI25+DY25+DO25)</f>
        <v>986</v>
      </c>
      <c r="EX25" s="487">
        <f t="shared" ref="EX25" si="293">SUM(ET25+EJ25+DZ25+DP25)</f>
        <v>0</v>
      </c>
      <c r="EY25" s="487">
        <f t="shared" ref="EY25" si="294">SUM(EO25+EE25+DU25+DK25)</f>
        <v>986</v>
      </c>
      <c r="EZ25" s="487">
        <f t="shared" ref="EZ25" si="295">SUM(ER25+EH25+DX25+DN25)</f>
        <v>0</v>
      </c>
      <c r="FA25" s="474">
        <f>D25/12</f>
        <v>375</v>
      </c>
      <c r="FB25" s="474">
        <f t="shared" ref="FB25" si="296">SUM(EW25:EX25)</f>
        <v>986</v>
      </c>
      <c r="FC25" s="475">
        <f>FB25/FA25</f>
        <v>2.6293333333333333</v>
      </c>
      <c r="FD25" s="547">
        <f t="shared" ref="FD25:FD29" si="297">DI25+DS25+EC25+EM25+CM25+CC25</f>
        <v>1556</v>
      </c>
      <c r="FE25" s="547">
        <f t="shared" ref="FE25:FE29" si="298">DJ25+DT25+ED25+EN25+CD25+CN25</f>
        <v>0</v>
      </c>
      <c r="FF25" s="547">
        <f t="shared" ref="FF25:FF29" si="299">DL25+DV25+EF25+EP25+CP25+CF25</f>
        <v>0</v>
      </c>
      <c r="FG25" s="547">
        <f t="shared" ref="FG25:FG29" si="300">DM25+DW25+EG25+EQ25+CG25+CQ25</f>
        <v>0</v>
      </c>
      <c r="FH25" s="577">
        <f t="shared" ref="FH25:FH29" si="301">FD25+FF25</f>
        <v>1556</v>
      </c>
      <c r="FI25" s="577">
        <f t="shared" ref="FI25:FI29" si="302">FE25+FG25</f>
        <v>0</v>
      </c>
      <c r="FJ25" s="577">
        <f t="shared" ref="FJ25:FJ29" si="303">FH25+FI25</f>
        <v>1556</v>
      </c>
      <c r="FK25" s="577">
        <f t="shared" ref="FK25:FK29" si="304">EW25+CW25+AS25</f>
        <v>2451</v>
      </c>
      <c r="FL25" s="577">
        <f t="shared" ref="FL25:FL29" si="305">EX25+CX25+AT25</f>
        <v>0</v>
      </c>
      <c r="FM25" s="577">
        <f t="shared" ref="FM25:FM29" si="306">FK25+FL25</f>
        <v>2451</v>
      </c>
      <c r="FN25" s="393">
        <v>418</v>
      </c>
      <c r="FO25" s="394">
        <v>0</v>
      </c>
      <c r="FP25" s="395">
        <f>SUM(FN25:FO25)</f>
        <v>418</v>
      </c>
      <c r="FQ25" s="396">
        <v>0</v>
      </c>
      <c r="FR25" s="394">
        <v>0</v>
      </c>
      <c r="FS25" s="395">
        <f>SUM(FQ25:FR25)</f>
        <v>0</v>
      </c>
      <c r="FT25" s="397">
        <f t="shared" si="251"/>
        <v>418</v>
      </c>
      <c r="FU25" s="405">
        <f t="shared" si="251"/>
        <v>0</v>
      </c>
      <c r="FV25" s="398">
        <f>SUM(FT25:FU25)</f>
        <v>418</v>
      </c>
      <c r="FW25" s="398"/>
      <c r="FX25" s="393">
        <v>383</v>
      </c>
      <c r="FY25" s="394">
        <v>0</v>
      </c>
      <c r="FZ25" s="395">
        <f>FX25+FY25</f>
        <v>383</v>
      </c>
      <c r="GA25" s="396">
        <v>140</v>
      </c>
      <c r="GB25" s="394">
        <v>0</v>
      </c>
      <c r="GC25" s="395">
        <f>SUM(GA25:GB25)</f>
        <v>140</v>
      </c>
      <c r="GD25" s="397">
        <v>537</v>
      </c>
      <c r="GE25" s="405">
        <f t="shared" ref="GE25:GE29" si="307">FY25+GB25</f>
        <v>0</v>
      </c>
      <c r="GF25" s="398">
        <f t="shared" ref="GF25:GF29" si="308">GD25+GE25</f>
        <v>537</v>
      </c>
      <c r="GG25" s="398"/>
      <c r="GH25" s="393">
        <v>277</v>
      </c>
      <c r="GI25" s="394">
        <v>0</v>
      </c>
      <c r="GJ25" s="395">
        <f>SUM(GH25:GI25)</f>
        <v>277</v>
      </c>
      <c r="GK25" s="396">
        <v>0</v>
      </c>
      <c r="GL25" s="394">
        <v>0</v>
      </c>
      <c r="GM25" s="395">
        <f>GK25+GL25</f>
        <v>0</v>
      </c>
      <c r="GN25" s="397">
        <f t="shared" ref="GN25:GN29" si="309">GH25+GK25</f>
        <v>277</v>
      </c>
      <c r="GO25" s="405">
        <f t="shared" ref="GO25:GO29" si="310">GI25+GL25</f>
        <v>0</v>
      </c>
      <c r="GP25" s="398">
        <f t="shared" ref="GP25:GP29" si="311">GN25+GO25</f>
        <v>277</v>
      </c>
      <c r="GQ25" s="398"/>
      <c r="GR25" s="650">
        <f t="shared" ref="GR25:GR29" si="312">GN25+GD25+FT25+ES25+EI25+DY25+DO25+CS25+CI25+BT25+BJ25</f>
        <v>3535</v>
      </c>
      <c r="GS25" s="650">
        <f t="shared" ref="GS25:GS29" si="313">GO25+GE25+FU25+ET25+EJ25+DZ25+DP25+CT25+CJ25+BU25+BK25</f>
        <v>0</v>
      </c>
      <c r="GT25" s="650">
        <f t="shared" ref="GT25:GT29" si="314">GH25+FX25+FN25+EM25+EC25+DS25+DI25+CM25+CC25+BN25+BD25</f>
        <v>3380</v>
      </c>
      <c r="GU25" s="650">
        <f t="shared" ref="GU25:GU29" si="315">GI25+FY25+FO25+EN25+ED25+DT25+DJ25+CN25+CD25+BO25+BE25</f>
        <v>0</v>
      </c>
      <c r="GV25" s="650">
        <f t="shared" ref="GV25:GV29" si="316">GK25+GA25+FQ25+EP25+EF25+DV25+DL25+CP25+CF25+BQ25+BG25</f>
        <v>141</v>
      </c>
      <c r="GW25" s="650">
        <f t="shared" ref="GW25:GW29" si="317">GL25+GB25+FR25+EQ25+EG25+DW25+DM25+CQ25+CG25+BR25+BH25</f>
        <v>0</v>
      </c>
      <c r="GX25" s="393">
        <v>260</v>
      </c>
      <c r="GY25" s="394">
        <v>0</v>
      </c>
      <c r="GZ25" s="395">
        <f t="shared" si="53"/>
        <v>260</v>
      </c>
      <c r="HA25" s="396">
        <v>0</v>
      </c>
      <c r="HB25" s="394">
        <v>0</v>
      </c>
      <c r="HC25" s="395">
        <f t="shared" si="54"/>
        <v>0</v>
      </c>
      <c r="HD25" s="397">
        <f t="shared" si="55"/>
        <v>260</v>
      </c>
      <c r="HE25" s="405">
        <f t="shared" si="56"/>
        <v>0</v>
      </c>
      <c r="HF25" s="398">
        <f t="shared" si="57"/>
        <v>260</v>
      </c>
      <c r="HG25" s="398"/>
      <c r="HH25" s="492">
        <f t="shared" ref="HH25:HH29" si="318">HD25+GN25+GD25+FT25</f>
        <v>1492</v>
      </c>
      <c r="HI25" s="487">
        <f t="shared" ref="HI25:HI29" si="319">GO25+GE25+FU25+HE25</f>
        <v>0</v>
      </c>
      <c r="HJ25" s="487">
        <f t="shared" ref="HJ25:HJ29" si="320">GX25+GH25+FX25+FN25</f>
        <v>1338</v>
      </c>
      <c r="HK25" s="487">
        <f t="shared" ref="HK25:HK29" si="321">GI25+FY25+GY25+FO25</f>
        <v>0</v>
      </c>
      <c r="HL25" s="487">
        <f t="shared" ref="HL25:HL29" si="322">GK25+GA25+FQ25+HA25</f>
        <v>140</v>
      </c>
      <c r="HM25" s="487">
        <f t="shared" ref="HM25:HM29" si="323">GL25+HB25+GB25+FR25</f>
        <v>0</v>
      </c>
      <c r="HN25" s="474"/>
      <c r="HO25" s="474">
        <f t="shared" ref="HO25:HO29" si="324">HF25+GP25+GF25+FV25</f>
        <v>1492</v>
      </c>
      <c r="HP25" s="475"/>
      <c r="HQ25" s="547">
        <f t="shared" ref="HQ25:HQ29" si="325">FN25+FX25+GH25+GX25</f>
        <v>1338</v>
      </c>
      <c r="HR25" s="547">
        <f t="shared" ref="HR25:HR29" si="326">FO25+FY25+GI25+GY25</f>
        <v>0</v>
      </c>
      <c r="HS25" s="547">
        <f t="shared" ref="HS25:HS29" si="327">FQ25+GA25+GK25+HA25</f>
        <v>140</v>
      </c>
      <c r="HT25" s="547">
        <f t="shared" ref="HT25:HT29" si="328">FR25+GB25+GL25+HB25</f>
        <v>0</v>
      </c>
      <c r="HU25" s="393">
        <v>210</v>
      </c>
      <c r="HV25" s="394">
        <v>0</v>
      </c>
      <c r="HW25" s="395">
        <f t="shared" si="69"/>
        <v>210</v>
      </c>
      <c r="HX25" s="396">
        <v>0</v>
      </c>
      <c r="HY25" s="394">
        <v>0</v>
      </c>
      <c r="HZ25" s="395">
        <f t="shared" si="70"/>
        <v>0</v>
      </c>
      <c r="IA25" s="397">
        <f t="shared" si="71"/>
        <v>210</v>
      </c>
      <c r="IB25" s="405">
        <f t="shared" si="72"/>
        <v>0</v>
      </c>
      <c r="IC25" s="398">
        <f t="shared" si="73"/>
        <v>210</v>
      </c>
      <c r="ID25" s="398"/>
      <c r="IE25" s="393"/>
      <c r="IF25" s="394"/>
      <c r="IG25" s="395"/>
      <c r="IH25" s="396"/>
      <c r="II25" s="394"/>
      <c r="IJ25" s="395"/>
      <c r="IK25" s="397"/>
      <c r="IL25" s="405"/>
      <c r="IM25" s="398"/>
      <c r="IN25" s="398"/>
      <c r="IO25" s="393"/>
      <c r="IP25" s="394"/>
      <c r="IQ25" s="395"/>
      <c r="IR25" s="396"/>
      <c r="IS25" s="394"/>
      <c r="IT25" s="395"/>
      <c r="IU25" s="397"/>
      <c r="IV25" s="405"/>
      <c r="IW25" s="398"/>
      <c r="IX25" s="398"/>
      <c r="IY25" s="393"/>
      <c r="IZ25" s="394"/>
      <c r="JA25" s="395"/>
      <c r="JB25" s="396"/>
      <c r="JC25" s="394"/>
      <c r="JD25" s="395"/>
      <c r="JE25" s="397"/>
      <c r="JF25" s="405"/>
      <c r="JG25" s="398"/>
      <c r="JH25" s="398"/>
      <c r="JI25" s="494"/>
      <c r="JJ25" s="479"/>
      <c r="JK25" s="479"/>
      <c r="JL25" s="479"/>
      <c r="JM25" s="474"/>
      <c r="JN25" s="474">
        <f t="shared" ref="JN25:JN29" si="329">JG25+IW25+IM25+IC25</f>
        <v>210</v>
      </c>
      <c r="JO25" s="475"/>
      <c r="JP25" s="393"/>
      <c r="JQ25" s="394"/>
      <c r="JR25" s="395"/>
      <c r="JS25" s="396"/>
      <c r="JT25" s="394"/>
      <c r="JU25" s="395"/>
      <c r="JV25" s="397"/>
      <c r="JW25" s="405"/>
      <c r="JX25" s="398"/>
      <c r="JY25" s="398"/>
      <c r="JZ25" s="577">
        <f t="shared" si="226"/>
        <v>2688</v>
      </c>
      <c r="KA25" s="412">
        <f t="shared" si="259"/>
        <v>4153</v>
      </c>
      <c r="KB25" s="412">
        <f t="shared" si="259"/>
        <v>0</v>
      </c>
      <c r="KC25" s="412">
        <f t="shared" si="260"/>
        <v>3998</v>
      </c>
      <c r="KD25" s="412">
        <f t="shared" si="260"/>
        <v>0</v>
      </c>
      <c r="KE25" s="412">
        <f t="shared" si="261"/>
        <v>141</v>
      </c>
      <c r="KF25" s="693">
        <f t="shared" si="261"/>
        <v>0</v>
      </c>
      <c r="KG25" s="687">
        <f>KA25</f>
        <v>4153</v>
      </c>
      <c r="KH25" s="680">
        <v>4500</v>
      </c>
      <c r="KI25" s="680">
        <f>KH25-KG25</f>
        <v>347</v>
      </c>
      <c r="KJ25" s="681">
        <f t="shared" si="263"/>
        <v>0.92288888888888887</v>
      </c>
      <c r="KK25" s="359">
        <f>KG25+KG26</f>
        <v>4461</v>
      </c>
      <c r="KL25" s="359"/>
      <c r="KM25" s="359"/>
      <c r="KN25" s="359"/>
      <c r="KO25" s="359"/>
      <c r="KP25" s="359"/>
      <c r="KQ25" s="359"/>
    </row>
    <row r="26" spans="1:303" ht="36" customHeight="1" x14ac:dyDescent="0.3">
      <c r="A26" s="385"/>
      <c r="B26" s="391" t="s">
        <v>22</v>
      </c>
      <c r="C26" s="391" t="s">
        <v>131</v>
      </c>
      <c r="D26" s="392"/>
      <c r="E26" s="393"/>
      <c r="F26" s="394"/>
      <c r="G26" s="395"/>
      <c r="H26" s="396"/>
      <c r="I26" s="394"/>
      <c r="J26" s="395"/>
      <c r="K26" s="397"/>
      <c r="L26" s="398"/>
      <c r="M26" s="398"/>
      <c r="N26" s="399"/>
      <c r="O26" s="393"/>
      <c r="P26" s="394"/>
      <c r="Q26" s="400"/>
      <c r="R26" s="396"/>
      <c r="S26" s="394"/>
      <c r="T26" s="400"/>
      <c r="U26" s="397"/>
      <c r="V26" s="398"/>
      <c r="W26" s="398"/>
      <c r="X26" s="399"/>
      <c r="Y26" s="393"/>
      <c r="Z26" s="394"/>
      <c r="AA26" s="400"/>
      <c r="AB26" s="396"/>
      <c r="AC26" s="394"/>
      <c r="AD26" s="400"/>
      <c r="AE26" s="397"/>
      <c r="AF26" s="405"/>
      <c r="AG26" s="398"/>
      <c r="AH26" s="403"/>
      <c r="AI26" s="393"/>
      <c r="AJ26" s="394"/>
      <c r="AK26" s="395"/>
      <c r="AL26" s="396"/>
      <c r="AM26" s="394"/>
      <c r="AN26" s="395"/>
      <c r="AO26" s="397"/>
      <c r="AP26" s="398"/>
      <c r="AQ26" s="398"/>
      <c r="AR26" s="404"/>
      <c r="AS26" s="486"/>
      <c r="AT26" s="487"/>
      <c r="AU26" s="487"/>
      <c r="AV26" s="487"/>
      <c r="AW26" s="478"/>
      <c r="AX26" s="479"/>
      <c r="AY26" s="537"/>
      <c r="AZ26" s="547"/>
      <c r="BA26" s="547"/>
      <c r="BB26" s="547"/>
      <c r="BC26" s="547"/>
      <c r="BD26" s="393"/>
      <c r="BE26" s="394"/>
      <c r="BF26" s="395"/>
      <c r="BG26" s="396"/>
      <c r="BH26" s="394"/>
      <c r="BI26" s="395"/>
      <c r="BJ26" s="397"/>
      <c r="BK26" s="398"/>
      <c r="BL26" s="405"/>
      <c r="BM26" s="398"/>
      <c r="BN26" s="393"/>
      <c r="BO26" s="394"/>
      <c r="BP26" s="395"/>
      <c r="BQ26" s="396"/>
      <c r="BR26" s="394"/>
      <c r="BS26" s="395"/>
      <c r="BT26" s="397"/>
      <c r="BU26" s="405"/>
      <c r="BV26" s="398"/>
      <c r="BW26" s="398"/>
      <c r="BX26" s="626">
        <f t="shared" si="277"/>
        <v>0</v>
      </c>
      <c r="BY26" s="626">
        <f t="shared" si="278"/>
        <v>0</v>
      </c>
      <c r="BZ26" s="626">
        <f t="shared" si="279"/>
        <v>0</v>
      </c>
      <c r="CA26" s="626">
        <f t="shared" si="280"/>
        <v>0</v>
      </c>
      <c r="CB26" s="625">
        <f t="shared" si="281"/>
        <v>0</v>
      </c>
      <c r="CC26" s="393"/>
      <c r="CD26" s="394"/>
      <c r="CE26" s="395"/>
      <c r="CF26" s="396"/>
      <c r="CG26" s="394"/>
      <c r="CH26" s="395"/>
      <c r="CI26" s="397"/>
      <c r="CJ26" s="398"/>
      <c r="CK26" s="398"/>
      <c r="CL26" s="414"/>
      <c r="CM26" s="393"/>
      <c r="CN26" s="394"/>
      <c r="CO26" s="395"/>
      <c r="CP26" s="396"/>
      <c r="CQ26" s="394"/>
      <c r="CR26" s="395"/>
      <c r="CS26" s="397"/>
      <c r="CT26" s="398"/>
      <c r="CU26" s="405"/>
      <c r="CV26" s="405"/>
      <c r="CW26" s="492"/>
      <c r="CX26" s="487"/>
      <c r="CY26" s="487"/>
      <c r="CZ26" s="487"/>
      <c r="DA26" s="474"/>
      <c r="DB26" s="474"/>
      <c r="DC26" s="475"/>
      <c r="DD26" s="547"/>
      <c r="DE26" s="547"/>
      <c r="DF26" s="547"/>
      <c r="DG26" s="547"/>
      <c r="DH26" s="576">
        <f t="shared" si="286"/>
        <v>0</v>
      </c>
      <c r="DI26" s="393"/>
      <c r="DJ26" s="394"/>
      <c r="DK26" s="395"/>
      <c r="DL26" s="396"/>
      <c r="DM26" s="394"/>
      <c r="DN26" s="395"/>
      <c r="DO26" s="397"/>
      <c r="DP26" s="405"/>
      <c r="DQ26" s="398"/>
      <c r="DR26" s="398"/>
      <c r="DS26" s="393"/>
      <c r="DT26" s="394"/>
      <c r="DU26" s="395"/>
      <c r="DV26" s="396"/>
      <c r="DW26" s="394"/>
      <c r="DX26" s="395"/>
      <c r="DY26" s="397"/>
      <c r="DZ26" s="405"/>
      <c r="EA26" s="398"/>
      <c r="EB26" s="398"/>
      <c r="EC26" s="393"/>
      <c r="ED26" s="394"/>
      <c r="EE26" s="395"/>
      <c r="EF26" s="396"/>
      <c r="EG26" s="394"/>
      <c r="EH26" s="395"/>
      <c r="EI26" s="397">
        <f t="shared" ref="EI26:EI29" si="330">SUM(EC26+EF26)</f>
        <v>0</v>
      </c>
      <c r="EJ26" s="405">
        <f t="shared" ref="EJ26:EJ29" si="331">SUM(ED26+EG26)</f>
        <v>0</v>
      </c>
      <c r="EK26" s="398">
        <f t="shared" ref="EK26:EK29" si="332">SUM(EI26:EJ26)</f>
        <v>0</v>
      </c>
      <c r="EL26" s="398"/>
      <c r="EM26" s="393"/>
      <c r="EN26" s="394"/>
      <c r="EO26" s="395"/>
      <c r="EP26" s="396"/>
      <c r="EQ26" s="394"/>
      <c r="ER26" s="395"/>
      <c r="ES26" s="397"/>
      <c r="ET26" s="405"/>
      <c r="EU26" s="398"/>
      <c r="EV26" s="398"/>
      <c r="EW26" s="492"/>
      <c r="EX26" s="487"/>
      <c r="EY26" s="487"/>
      <c r="EZ26" s="487"/>
      <c r="FA26" s="474"/>
      <c r="FB26" s="474"/>
      <c r="FC26" s="475"/>
      <c r="FD26" s="547">
        <f t="shared" si="297"/>
        <v>0</v>
      </c>
      <c r="FE26" s="547">
        <f t="shared" si="298"/>
        <v>0</v>
      </c>
      <c r="FF26" s="547">
        <f t="shared" si="299"/>
        <v>0</v>
      </c>
      <c r="FG26" s="547">
        <f t="shared" si="300"/>
        <v>0</v>
      </c>
      <c r="FH26" s="577">
        <f t="shared" si="301"/>
        <v>0</v>
      </c>
      <c r="FI26" s="577">
        <f t="shared" si="302"/>
        <v>0</v>
      </c>
      <c r="FJ26" s="577">
        <f t="shared" si="303"/>
        <v>0</v>
      </c>
      <c r="FK26" s="577">
        <f t="shared" si="304"/>
        <v>0</v>
      </c>
      <c r="FL26" s="577">
        <f t="shared" si="305"/>
        <v>0</v>
      </c>
      <c r="FM26" s="577">
        <f t="shared" si="306"/>
        <v>0</v>
      </c>
      <c r="FN26" s="393">
        <v>22</v>
      </c>
      <c r="FO26" s="394">
        <v>0</v>
      </c>
      <c r="FP26" s="395">
        <f>SUM(FN26:FO26)</f>
        <v>22</v>
      </c>
      <c r="FQ26" s="396">
        <v>0</v>
      </c>
      <c r="FR26" s="394">
        <v>0</v>
      </c>
      <c r="FS26" s="395">
        <f>SUM(FQ26:FR26)</f>
        <v>0</v>
      </c>
      <c r="FT26" s="397">
        <f t="shared" si="251"/>
        <v>22</v>
      </c>
      <c r="FU26" s="405">
        <f t="shared" si="251"/>
        <v>0</v>
      </c>
      <c r="FV26" s="398">
        <f>SUM(FT26:FU26)</f>
        <v>22</v>
      </c>
      <c r="FW26" s="398"/>
      <c r="FX26" s="393">
        <v>154</v>
      </c>
      <c r="FY26" s="394">
        <v>0</v>
      </c>
      <c r="FZ26" s="395">
        <f>FX26+FY26</f>
        <v>154</v>
      </c>
      <c r="GA26" s="396">
        <v>0</v>
      </c>
      <c r="GB26" s="394">
        <v>0</v>
      </c>
      <c r="GC26" s="395">
        <f>SUM(GA26:GB26)</f>
        <v>0</v>
      </c>
      <c r="GD26" s="397">
        <f t="shared" ref="GD26:GD29" si="333">FX26+GA26</f>
        <v>154</v>
      </c>
      <c r="GE26" s="405">
        <f t="shared" si="307"/>
        <v>0</v>
      </c>
      <c r="GF26" s="398">
        <f t="shared" si="308"/>
        <v>154</v>
      </c>
      <c r="GG26" s="398"/>
      <c r="GH26" s="393">
        <v>36</v>
      </c>
      <c r="GI26" s="394"/>
      <c r="GJ26" s="395">
        <f>GH26+GI26</f>
        <v>36</v>
      </c>
      <c r="GK26" s="396">
        <v>0</v>
      </c>
      <c r="GL26" s="394">
        <v>0</v>
      </c>
      <c r="GM26" s="395">
        <f>GK26+GL26</f>
        <v>0</v>
      </c>
      <c r="GN26" s="397">
        <f t="shared" si="309"/>
        <v>36</v>
      </c>
      <c r="GO26" s="405">
        <f t="shared" si="310"/>
        <v>0</v>
      </c>
      <c r="GP26" s="398">
        <f t="shared" si="311"/>
        <v>36</v>
      </c>
      <c r="GQ26" s="398"/>
      <c r="GR26" s="650">
        <f t="shared" si="312"/>
        <v>212</v>
      </c>
      <c r="GS26" s="650">
        <f t="shared" si="313"/>
        <v>0</v>
      </c>
      <c r="GT26" s="650">
        <f t="shared" si="314"/>
        <v>212</v>
      </c>
      <c r="GU26" s="650">
        <f t="shared" si="315"/>
        <v>0</v>
      </c>
      <c r="GV26" s="650">
        <f t="shared" si="316"/>
        <v>0</v>
      </c>
      <c r="GW26" s="650">
        <f t="shared" si="317"/>
        <v>0</v>
      </c>
      <c r="GX26" s="393">
        <v>0</v>
      </c>
      <c r="GY26" s="394">
        <v>0</v>
      </c>
      <c r="GZ26" s="395">
        <f t="shared" si="53"/>
        <v>0</v>
      </c>
      <c r="HA26" s="396">
        <v>0</v>
      </c>
      <c r="HB26" s="394">
        <v>0</v>
      </c>
      <c r="HC26" s="395">
        <f t="shared" si="54"/>
        <v>0</v>
      </c>
      <c r="HD26" s="397">
        <f t="shared" si="55"/>
        <v>0</v>
      </c>
      <c r="HE26" s="405">
        <f t="shared" si="56"/>
        <v>0</v>
      </c>
      <c r="HF26" s="398">
        <f t="shared" si="57"/>
        <v>0</v>
      </c>
      <c r="HG26" s="398"/>
      <c r="HH26" s="492">
        <f t="shared" si="318"/>
        <v>212</v>
      </c>
      <c r="HI26" s="487">
        <f t="shared" si="319"/>
        <v>0</v>
      </c>
      <c r="HJ26" s="487">
        <f t="shared" si="320"/>
        <v>212</v>
      </c>
      <c r="HK26" s="487">
        <f t="shared" si="321"/>
        <v>0</v>
      </c>
      <c r="HL26" s="487">
        <f t="shared" si="322"/>
        <v>0</v>
      </c>
      <c r="HM26" s="487">
        <f t="shared" si="323"/>
        <v>0</v>
      </c>
      <c r="HN26" s="474"/>
      <c r="HO26" s="474">
        <f t="shared" si="324"/>
        <v>212</v>
      </c>
      <c r="HP26" s="475"/>
      <c r="HQ26" s="547">
        <f t="shared" si="325"/>
        <v>212</v>
      </c>
      <c r="HR26" s="547">
        <f t="shared" si="326"/>
        <v>0</v>
      </c>
      <c r="HS26" s="547">
        <f t="shared" si="327"/>
        <v>0</v>
      </c>
      <c r="HT26" s="547">
        <f t="shared" si="328"/>
        <v>0</v>
      </c>
      <c r="HU26" s="393">
        <v>96</v>
      </c>
      <c r="HV26" s="394">
        <v>0</v>
      </c>
      <c r="HW26" s="395">
        <f t="shared" si="69"/>
        <v>96</v>
      </c>
      <c r="HX26" s="396">
        <v>0</v>
      </c>
      <c r="HY26" s="394">
        <v>0</v>
      </c>
      <c r="HZ26" s="395">
        <f t="shared" si="70"/>
        <v>0</v>
      </c>
      <c r="IA26" s="397">
        <f t="shared" si="71"/>
        <v>96</v>
      </c>
      <c r="IB26" s="405">
        <f t="shared" si="72"/>
        <v>0</v>
      </c>
      <c r="IC26" s="398">
        <f t="shared" si="73"/>
        <v>96</v>
      </c>
      <c r="ID26" s="398"/>
      <c r="IE26" s="393"/>
      <c r="IF26" s="394"/>
      <c r="IG26" s="395"/>
      <c r="IH26" s="396"/>
      <c r="II26" s="394"/>
      <c r="IJ26" s="395"/>
      <c r="IK26" s="397"/>
      <c r="IL26" s="405"/>
      <c r="IM26" s="398"/>
      <c r="IN26" s="398"/>
      <c r="IO26" s="393"/>
      <c r="IP26" s="394"/>
      <c r="IQ26" s="395"/>
      <c r="IR26" s="396"/>
      <c r="IS26" s="394"/>
      <c r="IT26" s="395"/>
      <c r="IU26" s="397"/>
      <c r="IV26" s="405"/>
      <c r="IW26" s="398"/>
      <c r="IX26" s="398"/>
      <c r="IY26" s="393"/>
      <c r="IZ26" s="394"/>
      <c r="JA26" s="395"/>
      <c r="JB26" s="396"/>
      <c r="JC26" s="394"/>
      <c r="JD26" s="395"/>
      <c r="JE26" s="397"/>
      <c r="JF26" s="405"/>
      <c r="JG26" s="398"/>
      <c r="JH26" s="398"/>
      <c r="JI26" s="494"/>
      <c r="JJ26" s="479"/>
      <c r="JK26" s="479"/>
      <c r="JL26" s="479"/>
      <c r="JM26" s="474"/>
      <c r="JN26" s="474">
        <f t="shared" si="329"/>
        <v>96</v>
      </c>
      <c r="JO26" s="475"/>
      <c r="JP26" s="393"/>
      <c r="JQ26" s="394"/>
      <c r="JR26" s="395"/>
      <c r="JS26" s="396"/>
      <c r="JT26" s="394"/>
      <c r="JU26" s="395"/>
      <c r="JV26" s="397"/>
      <c r="JW26" s="405"/>
      <c r="JX26" s="398"/>
      <c r="JY26" s="398"/>
      <c r="JZ26" s="577">
        <f t="shared" si="226"/>
        <v>308</v>
      </c>
      <c r="KA26" s="412">
        <f t="shared" si="259"/>
        <v>308</v>
      </c>
      <c r="KB26" s="412">
        <f t="shared" si="259"/>
        <v>0</v>
      </c>
      <c r="KC26" s="412">
        <f t="shared" si="260"/>
        <v>308</v>
      </c>
      <c r="KD26" s="412">
        <f t="shared" si="260"/>
        <v>0</v>
      </c>
      <c r="KE26" s="412">
        <f t="shared" si="261"/>
        <v>0</v>
      </c>
      <c r="KF26" s="693">
        <f t="shared" si="261"/>
        <v>0</v>
      </c>
      <c r="KG26" s="687">
        <f t="shared" ref="KG26:KG29" si="334">SUM(KA26:KB26)</f>
        <v>308</v>
      </c>
      <c r="KH26" s="680">
        <v>0</v>
      </c>
      <c r="KI26" s="680">
        <f>KH26-KG26</f>
        <v>-308</v>
      </c>
      <c r="KJ26" s="681" t="e">
        <f t="shared" si="263"/>
        <v>#DIV/0!</v>
      </c>
      <c r="KK26" s="359" t="b">
        <f>KK25=KA25+KA26</f>
        <v>1</v>
      </c>
      <c r="KL26" s="359">
        <f>KG25+KG26</f>
        <v>4461</v>
      </c>
      <c r="KM26" s="359"/>
      <c r="KN26" s="359"/>
      <c r="KO26" s="359"/>
      <c r="KP26" s="359"/>
      <c r="KQ26" s="359"/>
    </row>
    <row r="27" spans="1:303" ht="33" customHeight="1" x14ac:dyDescent="0.3">
      <c r="A27" s="385"/>
      <c r="B27" s="391" t="s">
        <v>24</v>
      </c>
      <c r="C27" s="391" t="s">
        <v>130</v>
      </c>
      <c r="D27" s="392">
        <v>3</v>
      </c>
      <c r="E27" s="393"/>
      <c r="F27" s="394"/>
      <c r="G27" s="395"/>
      <c r="H27" s="396"/>
      <c r="I27" s="394"/>
      <c r="J27" s="395"/>
      <c r="K27" s="397"/>
      <c r="L27" s="398"/>
      <c r="M27" s="398"/>
      <c r="N27" s="399"/>
      <c r="O27" s="393"/>
      <c r="P27" s="394"/>
      <c r="Q27" s="400"/>
      <c r="R27" s="396"/>
      <c r="S27" s="394"/>
      <c r="T27" s="400"/>
      <c r="U27" s="397"/>
      <c r="V27" s="398"/>
      <c r="W27" s="398"/>
      <c r="X27" s="399"/>
      <c r="Y27" s="393"/>
      <c r="Z27" s="394"/>
      <c r="AA27" s="400"/>
      <c r="AB27" s="396"/>
      <c r="AC27" s="394"/>
      <c r="AD27" s="400"/>
      <c r="AE27" s="397"/>
      <c r="AF27" s="405"/>
      <c r="AG27" s="398"/>
      <c r="AH27" s="403"/>
      <c r="AI27" s="393"/>
      <c r="AJ27" s="394"/>
      <c r="AK27" s="395"/>
      <c r="AL27" s="396"/>
      <c r="AM27" s="394"/>
      <c r="AN27" s="395"/>
      <c r="AO27" s="397"/>
      <c r="AP27" s="398"/>
      <c r="AQ27" s="398"/>
      <c r="AR27" s="404"/>
      <c r="AS27" s="486">
        <f t="shared" ref="AS27:AS29" si="335">AO27+AE27+U27+K27</f>
        <v>0</v>
      </c>
      <c r="AT27" s="487">
        <f t="shared" ref="AT27:AT29" si="336">AP27+AF27+V27+L27</f>
        <v>0</v>
      </c>
      <c r="AU27" s="487">
        <f t="shared" ref="AU27:AU29" si="337">AK27+AA27+Q27+G27</f>
        <v>0</v>
      </c>
      <c r="AV27" s="487">
        <f t="shared" ref="AV27:AV29" si="338">AN27</f>
        <v>0</v>
      </c>
      <c r="AW27" s="478"/>
      <c r="AX27" s="479">
        <f t="shared" ref="AX27:AX29" si="339">SUM(AQ27+AG27+W27+M27)</f>
        <v>0</v>
      </c>
      <c r="AY27" s="537" t="e">
        <f>AX27/AW27</f>
        <v>#DIV/0!</v>
      </c>
      <c r="AZ27" s="547">
        <f t="shared" ref="AZ27:AZ29" si="340">SUM(E27+O27+Y27+AI27)</f>
        <v>0</v>
      </c>
      <c r="BA27" s="547">
        <f t="shared" ref="BA27:BA29" si="341">F27+P27+Z27+AJ27</f>
        <v>0</v>
      </c>
      <c r="BB27" s="547">
        <f t="shared" ref="BB27:BB29" si="342">H27+R27+AB27+AL27</f>
        <v>0</v>
      </c>
      <c r="BC27" s="547">
        <f t="shared" ref="BC27:BC29" si="343">I27+S27+AC27+AM27</f>
        <v>0</v>
      </c>
      <c r="BD27" s="393"/>
      <c r="BE27" s="394"/>
      <c r="BF27" s="395"/>
      <c r="BG27" s="396"/>
      <c r="BH27" s="394"/>
      <c r="BI27" s="395"/>
      <c r="BJ27" s="397"/>
      <c r="BK27" s="398"/>
      <c r="BL27" s="405"/>
      <c r="BM27" s="398"/>
      <c r="BN27" s="393"/>
      <c r="BO27" s="394"/>
      <c r="BP27" s="395"/>
      <c r="BQ27" s="396"/>
      <c r="BR27" s="394"/>
      <c r="BS27" s="395"/>
      <c r="BT27" s="397"/>
      <c r="BU27" s="405"/>
      <c r="BV27" s="398"/>
      <c r="BW27" s="398"/>
      <c r="BX27" s="626">
        <f t="shared" si="277"/>
        <v>0</v>
      </c>
      <c r="BY27" s="626">
        <f t="shared" si="278"/>
        <v>0</v>
      </c>
      <c r="BZ27" s="626">
        <f t="shared" si="279"/>
        <v>0</v>
      </c>
      <c r="CA27" s="626">
        <f t="shared" si="280"/>
        <v>0</v>
      </c>
      <c r="CB27" s="625">
        <f t="shared" si="281"/>
        <v>0</v>
      </c>
      <c r="CC27" s="393"/>
      <c r="CD27" s="394"/>
      <c r="CE27" s="395"/>
      <c r="CF27" s="396"/>
      <c r="CG27" s="394"/>
      <c r="CH27" s="395"/>
      <c r="CI27" s="397"/>
      <c r="CJ27" s="398"/>
      <c r="CK27" s="398"/>
      <c r="CL27" s="414"/>
      <c r="CM27" s="393"/>
      <c r="CN27" s="394"/>
      <c r="CO27" s="395"/>
      <c r="CP27" s="396"/>
      <c r="CQ27" s="394"/>
      <c r="CR27" s="395"/>
      <c r="CS27" s="397"/>
      <c r="CT27" s="398"/>
      <c r="CU27" s="405"/>
      <c r="CV27" s="405"/>
      <c r="CW27" s="492">
        <f t="shared" ref="CW27:CY29" si="344">SUM(CS27+CI27+BT27+BJ27)</f>
        <v>0</v>
      </c>
      <c r="CX27" s="487">
        <f t="shared" si="344"/>
        <v>0</v>
      </c>
      <c r="CY27" s="487">
        <f t="shared" si="344"/>
        <v>0</v>
      </c>
      <c r="CZ27" s="487">
        <f>SUM(CR27+CH27+BS27+BI27)</f>
        <v>0</v>
      </c>
      <c r="DA27" s="474"/>
      <c r="DB27" s="474">
        <f>SUM(CW27:CX27)</f>
        <v>0</v>
      </c>
      <c r="DC27" s="475"/>
      <c r="DD27" s="547">
        <f t="shared" ref="DD27:DD29" si="345">BD27+BN27+CC27+CM27</f>
        <v>0</v>
      </c>
      <c r="DE27" s="547">
        <f t="shared" ref="DE27:DE29" si="346">BE27+BO27+CD27+CN27</f>
        <v>0</v>
      </c>
      <c r="DF27" s="547">
        <f t="shared" ref="DF27:DF29" si="347">BG27+BQ27+CF27+CP27</f>
        <v>0</v>
      </c>
      <c r="DG27" s="547">
        <f t="shared" ref="DG27:DG29" si="348">BH27+BR27+CG27+CQ27</f>
        <v>0</v>
      </c>
      <c r="DH27" s="576">
        <f t="shared" si="286"/>
        <v>0</v>
      </c>
      <c r="DI27" s="393"/>
      <c r="DJ27" s="394"/>
      <c r="DK27" s="395"/>
      <c r="DL27" s="396"/>
      <c r="DM27" s="394"/>
      <c r="DN27" s="395"/>
      <c r="DO27" s="397"/>
      <c r="DP27" s="405"/>
      <c r="DQ27" s="398"/>
      <c r="DR27" s="398"/>
      <c r="DS27" s="393"/>
      <c r="DT27" s="394"/>
      <c r="DU27" s="395">
        <f t="shared" ref="DU27:DU29" si="349">SUM(DS27:DT27)</f>
        <v>0</v>
      </c>
      <c r="DV27" s="396"/>
      <c r="DW27" s="394"/>
      <c r="DX27" s="395">
        <f t="shared" ref="DX27:DX29" si="350">SUM(DV27:DW27)</f>
        <v>0</v>
      </c>
      <c r="DY27" s="397">
        <f t="shared" ref="DY27:DY29" si="351">SUM(DS27+DV27)</f>
        <v>0</v>
      </c>
      <c r="DZ27" s="405">
        <f t="shared" ref="DZ27:DZ29" si="352">SUM(DT27+DW27)</f>
        <v>0</v>
      </c>
      <c r="EA27" s="398">
        <f t="shared" ref="EA27:EA29" si="353">SUM(DY27:DZ27)</f>
        <v>0</v>
      </c>
      <c r="EB27" s="398"/>
      <c r="EC27" s="393"/>
      <c r="ED27" s="394"/>
      <c r="EE27" s="395"/>
      <c r="EF27" s="396"/>
      <c r="EG27" s="394"/>
      <c r="EH27" s="395"/>
      <c r="EI27" s="397">
        <f t="shared" si="330"/>
        <v>0</v>
      </c>
      <c r="EJ27" s="405">
        <f t="shared" si="331"/>
        <v>0</v>
      </c>
      <c r="EK27" s="398">
        <f t="shared" si="332"/>
        <v>0</v>
      </c>
      <c r="EL27" s="398"/>
      <c r="EM27" s="393"/>
      <c r="EN27" s="394"/>
      <c r="EO27" s="395"/>
      <c r="EP27" s="396"/>
      <c r="EQ27" s="394"/>
      <c r="ER27" s="395"/>
      <c r="ES27" s="397"/>
      <c r="ET27" s="405"/>
      <c r="EU27" s="398"/>
      <c r="EV27" s="398"/>
      <c r="EW27" s="492">
        <f t="shared" ref="EW27:EW29" si="354">SUM(ES27+EI27+DY27+DO27)</f>
        <v>0</v>
      </c>
      <c r="EX27" s="487">
        <f t="shared" ref="EX27:EX29" si="355">SUM(ET27+EJ27+DZ27+DP27)</f>
        <v>0</v>
      </c>
      <c r="EY27" s="487">
        <f t="shared" ref="EY27:EY29" si="356">SUM(EO27+EE27+DU27+DK27)</f>
        <v>0</v>
      </c>
      <c r="EZ27" s="487">
        <f t="shared" ref="EZ27:EZ29" si="357">SUM(ER27+EH27+DX27+DN27)</f>
        <v>0</v>
      </c>
      <c r="FA27" s="474"/>
      <c r="FB27" s="474">
        <f t="shared" ref="FB27:FB28" si="358">SUM(EW27:EX27)</f>
        <v>0</v>
      </c>
      <c r="FC27" s="475"/>
      <c r="FD27" s="547">
        <f t="shared" si="297"/>
        <v>0</v>
      </c>
      <c r="FE27" s="547">
        <f t="shared" si="298"/>
        <v>0</v>
      </c>
      <c r="FF27" s="547">
        <f t="shared" si="299"/>
        <v>0</v>
      </c>
      <c r="FG27" s="547">
        <f t="shared" si="300"/>
        <v>0</v>
      </c>
      <c r="FH27" s="577">
        <f t="shared" si="301"/>
        <v>0</v>
      </c>
      <c r="FI27" s="577">
        <f t="shared" si="302"/>
        <v>0</v>
      </c>
      <c r="FJ27" s="577">
        <f t="shared" si="303"/>
        <v>0</v>
      </c>
      <c r="FK27" s="577">
        <f t="shared" si="304"/>
        <v>0</v>
      </c>
      <c r="FL27" s="577">
        <f t="shared" si="305"/>
        <v>0</v>
      </c>
      <c r="FM27" s="577">
        <f t="shared" si="306"/>
        <v>0</v>
      </c>
      <c r="FN27" s="393">
        <v>0</v>
      </c>
      <c r="FO27" s="394">
        <v>0</v>
      </c>
      <c r="FP27" s="395">
        <f t="shared" ref="FP27:FP29" si="359">SUM(FN27:FO27)</f>
        <v>0</v>
      </c>
      <c r="FQ27" s="396">
        <v>0</v>
      </c>
      <c r="FR27" s="394">
        <v>0</v>
      </c>
      <c r="FS27" s="395">
        <f t="shared" ref="FS27:FS29" si="360">SUM(FQ27:FR27)</f>
        <v>0</v>
      </c>
      <c r="FT27" s="397">
        <f t="shared" ref="FT27:FT29" si="361">SUM(FN27+FQ27)</f>
        <v>0</v>
      </c>
      <c r="FU27" s="405">
        <f t="shared" ref="FU27:FU29" si="362">SUM(FO27+FR27)</f>
        <v>0</v>
      </c>
      <c r="FV27" s="398">
        <f t="shared" ref="FV27:FV29" si="363">SUM(FT27:FU27)</f>
        <v>0</v>
      </c>
      <c r="FW27" s="398"/>
      <c r="FX27" s="393"/>
      <c r="FY27" s="394">
        <v>0</v>
      </c>
      <c r="FZ27" s="395"/>
      <c r="GA27" s="396"/>
      <c r="GB27" s="394"/>
      <c r="GC27" s="395"/>
      <c r="GD27" s="397">
        <f t="shared" si="333"/>
        <v>0</v>
      </c>
      <c r="GE27" s="405">
        <f t="shared" si="307"/>
        <v>0</v>
      </c>
      <c r="GF27" s="398">
        <f t="shared" si="308"/>
        <v>0</v>
      </c>
      <c r="GG27" s="398"/>
      <c r="GH27" s="393"/>
      <c r="GI27" s="394"/>
      <c r="GJ27" s="395"/>
      <c r="GK27" s="396"/>
      <c r="GL27" s="394"/>
      <c r="GM27" s="395"/>
      <c r="GN27" s="397">
        <f t="shared" si="309"/>
        <v>0</v>
      </c>
      <c r="GO27" s="405">
        <f t="shared" si="310"/>
        <v>0</v>
      </c>
      <c r="GP27" s="398">
        <f t="shared" si="311"/>
        <v>0</v>
      </c>
      <c r="GQ27" s="398"/>
      <c r="GR27" s="650">
        <f t="shared" si="312"/>
        <v>0</v>
      </c>
      <c r="GS27" s="650">
        <f t="shared" si="313"/>
        <v>0</v>
      </c>
      <c r="GT27" s="650">
        <f t="shared" si="314"/>
        <v>0</v>
      </c>
      <c r="GU27" s="650">
        <f t="shared" si="315"/>
        <v>0</v>
      </c>
      <c r="GV27" s="650">
        <f t="shared" si="316"/>
        <v>0</v>
      </c>
      <c r="GW27" s="650">
        <f t="shared" si="317"/>
        <v>0</v>
      </c>
      <c r="GX27" s="393"/>
      <c r="GY27" s="394"/>
      <c r="GZ27" s="395">
        <f t="shared" si="53"/>
        <v>0</v>
      </c>
      <c r="HA27" s="396"/>
      <c r="HB27" s="394"/>
      <c r="HC27" s="395">
        <f t="shared" si="54"/>
        <v>0</v>
      </c>
      <c r="HD27" s="397">
        <f t="shared" si="55"/>
        <v>0</v>
      </c>
      <c r="HE27" s="405">
        <f t="shared" si="56"/>
        <v>0</v>
      </c>
      <c r="HF27" s="398">
        <f t="shared" si="57"/>
        <v>0</v>
      </c>
      <c r="HG27" s="398"/>
      <c r="HH27" s="492">
        <f t="shared" si="318"/>
        <v>0</v>
      </c>
      <c r="HI27" s="487">
        <f t="shared" si="319"/>
        <v>0</v>
      </c>
      <c r="HJ27" s="487">
        <f t="shared" si="320"/>
        <v>0</v>
      </c>
      <c r="HK27" s="487">
        <f t="shared" si="321"/>
        <v>0</v>
      </c>
      <c r="HL27" s="487">
        <f t="shared" si="322"/>
        <v>0</v>
      </c>
      <c r="HM27" s="487">
        <f t="shared" si="323"/>
        <v>0</v>
      </c>
      <c r="HN27" s="474"/>
      <c r="HO27" s="474">
        <f t="shared" si="324"/>
        <v>0</v>
      </c>
      <c r="HP27" s="475"/>
      <c r="HQ27" s="547">
        <f t="shared" si="325"/>
        <v>0</v>
      </c>
      <c r="HR27" s="547">
        <f t="shared" si="326"/>
        <v>0</v>
      </c>
      <c r="HS27" s="547">
        <f t="shared" si="327"/>
        <v>0</v>
      </c>
      <c r="HT27" s="547">
        <f t="shared" si="328"/>
        <v>0</v>
      </c>
      <c r="HU27" s="393"/>
      <c r="HV27" s="394"/>
      <c r="HW27" s="395">
        <f t="shared" si="69"/>
        <v>0</v>
      </c>
      <c r="HX27" s="396"/>
      <c r="HY27" s="394"/>
      <c r="HZ27" s="395">
        <f t="shared" si="70"/>
        <v>0</v>
      </c>
      <c r="IA27" s="397">
        <f t="shared" si="71"/>
        <v>0</v>
      </c>
      <c r="IB27" s="405">
        <f t="shared" si="72"/>
        <v>0</v>
      </c>
      <c r="IC27" s="398">
        <f t="shared" si="73"/>
        <v>0</v>
      </c>
      <c r="ID27" s="398"/>
      <c r="IE27" s="393"/>
      <c r="IF27" s="394"/>
      <c r="IG27" s="395"/>
      <c r="IH27" s="396"/>
      <c r="II27" s="394"/>
      <c r="IJ27" s="395"/>
      <c r="IK27" s="397"/>
      <c r="IL27" s="405"/>
      <c r="IM27" s="398"/>
      <c r="IN27" s="398"/>
      <c r="IO27" s="393"/>
      <c r="IP27" s="394"/>
      <c r="IQ27" s="395"/>
      <c r="IR27" s="396"/>
      <c r="IS27" s="394"/>
      <c r="IT27" s="395"/>
      <c r="IU27" s="397"/>
      <c r="IV27" s="405"/>
      <c r="IW27" s="398"/>
      <c r="IX27" s="398"/>
      <c r="IY27" s="393"/>
      <c r="IZ27" s="394"/>
      <c r="JA27" s="395"/>
      <c r="JB27" s="396"/>
      <c r="JC27" s="394"/>
      <c r="JD27" s="395"/>
      <c r="JE27" s="397"/>
      <c r="JF27" s="405"/>
      <c r="JG27" s="398"/>
      <c r="JH27" s="398"/>
      <c r="JI27" s="494"/>
      <c r="JJ27" s="479"/>
      <c r="JK27" s="479"/>
      <c r="JL27" s="479"/>
      <c r="JM27" s="474"/>
      <c r="JN27" s="474">
        <f t="shared" si="329"/>
        <v>0</v>
      </c>
      <c r="JO27" s="475"/>
      <c r="JP27" s="393"/>
      <c r="JQ27" s="394"/>
      <c r="JR27" s="395"/>
      <c r="JS27" s="396"/>
      <c r="JT27" s="394"/>
      <c r="JU27" s="395"/>
      <c r="JV27" s="397"/>
      <c r="JW27" s="405"/>
      <c r="JX27" s="398"/>
      <c r="JY27" s="398"/>
      <c r="JZ27" s="577">
        <f t="shared" si="226"/>
        <v>0</v>
      </c>
      <c r="KA27" s="412">
        <f t="shared" si="259"/>
        <v>0</v>
      </c>
      <c r="KB27" s="412">
        <f t="shared" si="259"/>
        <v>0</v>
      </c>
      <c r="KC27" s="412">
        <f t="shared" si="260"/>
        <v>0</v>
      </c>
      <c r="KD27" s="412">
        <f t="shared" si="260"/>
        <v>0</v>
      </c>
      <c r="KE27" s="412">
        <f t="shared" si="261"/>
        <v>0</v>
      </c>
      <c r="KF27" s="693">
        <f t="shared" si="261"/>
        <v>0</v>
      </c>
      <c r="KG27" s="687">
        <f t="shared" si="334"/>
        <v>0</v>
      </c>
      <c r="KH27" s="680">
        <v>3</v>
      </c>
      <c r="KI27" s="680">
        <f>KH27-KG27</f>
        <v>3</v>
      </c>
      <c r="KJ27" s="681">
        <f t="shared" si="263"/>
        <v>0</v>
      </c>
      <c r="KK27" s="359"/>
      <c r="KL27" s="359"/>
      <c r="KM27" s="359"/>
      <c r="KN27" s="359"/>
      <c r="KO27" s="359"/>
      <c r="KP27" s="359"/>
      <c r="KQ27" s="359"/>
    </row>
    <row r="28" spans="1:303" ht="36" customHeight="1" x14ac:dyDescent="0.3">
      <c r="A28" s="534"/>
      <c r="B28" s="385" t="s">
        <v>140</v>
      </c>
      <c r="C28" s="391" t="s">
        <v>141</v>
      </c>
      <c r="D28" s="392">
        <v>3700</v>
      </c>
      <c r="E28" s="393"/>
      <c r="F28" s="394"/>
      <c r="G28" s="395"/>
      <c r="H28" s="396"/>
      <c r="I28" s="394"/>
      <c r="J28" s="395"/>
      <c r="K28" s="397"/>
      <c r="L28" s="398"/>
      <c r="M28" s="398"/>
      <c r="N28" s="399"/>
      <c r="O28" s="393"/>
      <c r="P28" s="394"/>
      <c r="Q28" s="400"/>
      <c r="R28" s="396"/>
      <c r="S28" s="394"/>
      <c r="T28" s="400"/>
      <c r="U28" s="397"/>
      <c r="V28" s="398"/>
      <c r="W28" s="398"/>
      <c r="X28" s="399"/>
      <c r="Y28" s="393"/>
      <c r="Z28" s="394"/>
      <c r="AA28" s="400"/>
      <c r="AB28" s="396"/>
      <c r="AC28" s="394"/>
      <c r="AD28" s="400"/>
      <c r="AE28" s="397"/>
      <c r="AF28" s="405"/>
      <c r="AG28" s="398"/>
      <c r="AH28" s="403"/>
      <c r="AI28" s="393"/>
      <c r="AJ28" s="394"/>
      <c r="AK28" s="395"/>
      <c r="AL28" s="396"/>
      <c r="AM28" s="394"/>
      <c r="AN28" s="395"/>
      <c r="AO28" s="397"/>
      <c r="AP28" s="398"/>
      <c r="AQ28" s="398"/>
      <c r="AR28" s="404"/>
      <c r="AS28" s="486">
        <f t="shared" si="335"/>
        <v>0</v>
      </c>
      <c r="AT28" s="487">
        <f t="shared" si="336"/>
        <v>0</v>
      </c>
      <c r="AU28" s="487">
        <f t="shared" si="337"/>
        <v>0</v>
      </c>
      <c r="AV28" s="487">
        <f t="shared" si="338"/>
        <v>0</v>
      </c>
      <c r="AW28" s="478"/>
      <c r="AX28" s="479">
        <f t="shared" si="339"/>
        <v>0</v>
      </c>
      <c r="AY28" s="537"/>
      <c r="AZ28" s="547">
        <f t="shared" si="340"/>
        <v>0</v>
      </c>
      <c r="BA28" s="547">
        <f t="shared" si="341"/>
        <v>0</v>
      </c>
      <c r="BB28" s="547">
        <f t="shared" si="342"/>
        <v>0</v>
      </c>
      <c r="BC28" s="547">
        <f t="shared" si="343"/>
        <v>0</v>
      </c>
      <c r="BD28" s="393"/>
      <c r="BE28" s="394"/>
      <c r="BF28" s="395"/>
      <c r="BG28" s="396"/>
      <c r="BH28" s="394"/>
      <c r="BI28" s="395"/>
      <c r="BJ28" s="397"/>
      <c r="BK28" s="398"/>
      <c r="BL28" s="405"/>
      <c r="BM28" s="398"/>
      <c r="BN28" s="393"/>
      <c r="BO28" s="394"/>
      <c r="BP28" s="395"/>
      <c r="BQ28" s="396"/>
      <c r="BR28" s="394"/>
      <c r="BS28" s="395"/>
      <c r="BT28" s="397"/>
      <c r="BU28" s="405"/>
      <c r="BV28" s="398"/>
      <c r="BW28" s="398"/>
      <c r="BX28" s="626">
        <f t="shared" si="277"/>
        <v>0</v>
      </c>
      <c r="BY28" s="626">
        <f t="shared" si="278"/>
        <v>0</v>
      </c>
      <c r="BZ28" s="626">
        <f t="shared" si="279"/>
        <v>0</v>
      </c>
      <c r="CA28" s="626">
        <f t="shared" si="280"/>
        <v>0</v>
      </c>
      <c r="CB28" s="625">
        <f t="shared" si="281"/>
        <v>0</v>
      </c>
      <c r="CC28" s="393"/>
      <c r="CD28" s="394"/>
      <c r="CE28" s="395"/>
      <c r="CF28" s="396"/>
      <c r="CG28" s="394"/>
      <c r="CH28" s="395"/>
      <c r="CI28" s="397"/>
      <c r="CJ28" s="398"/>
      <c r="CK28" s="398"/>
      <c r="CL28" s="414"/>
      <c r="CM28" s="393">
        <v>324</v>
      </c>
      <c r="CN28" s="394">
        <v>227</v>
      </c>
      <c r="CO28" s="395">
        <f>SUM(CM28:CN28)</f>
        <v>551</v>
      </c>
      <c r="CP28" s="396">
        <v>0</v>
      </c>
      <c r="CQ28" s="394">
        <v>0</v>
      </c>
      <c r="CR28" s="395">
        <f>SUM(CP28:CQ28)</f>
        <v>0</v>
      </c>
      <c r="CS28" s="397">
        <f>SUM(CM28+CP28)</f>
        <v>324</v>
      </c>
      <c r="CT28" s="398">
        <f>SUM(CN28+CQ28)</f>
        <v>227</v>
      </c>
      <c r="CU28" s="405">
        <f>SUM(CT28)</f>
        <v>227</v>
      </c>
      <c r="CV28" s="405"/>
      <c r="CW28" s="492">
        <f t="shared" si="344"/>
        <v>324</v>
      </c>
      <c r="CX28" s="487">
        <f t="shared" si="344"/>
        <v>227</v>
      </c>
      <c r="CY28" s="487">
        <f t="shared" si="344"/>
        <v>227</v>
      </c>
      <c r="CZ28" s="487">
        <f>SUM(CR28+CH28+BS28+BI28)</f>
        <v>0</v>
      </c>
      <c r="DA28" s="474"/>
      <c r="DB28" s="474">
        <f>SUM(CW28:CX28)</f>
        <v>551</v>
      </c>
      <c r="DC28" s="475"/>
      <c r="DD28" s="547">
        <f t="shared" si="345"/>
        <v>324</v>
      </c>
      <c r="DE28" s="547">
        <f t="shared" si="346"/>
        <v>227</v>
      </c>
      <c r="DF28" s="547">
        <f t="shared" si="347"/>
        <v>0</v>
      </c>
      <c r="DG28" s="547">
        <f t="shared" si="348"/>
        <v>0</v>
      </c>
      <c r="DH28" s="576">
        <f t="shared" si="286"/>
        <v>551</v>
      </c>
      <c r="DI28" s="393">
        <v>0</v>
      </c>
      <c r="DJ28" s="394">
        <v>0</v>
      </c>
      <c r="DK28" s="395">
        <f>SUM(DI28:DJ28)</f>
        <v>0</v>
      </c>
      <c r="DL28" s="396">
        <v>0</v>
      </c>
      <c r="DM28" s="394">
        <v>0</v>
      </c>
      <c r="DN28" s="395">
        <f>SUM(DL28:DM28)</f>
        <v>0</v>
      </c>
      <c r="DO28" s="397">
        <f>SUM(DI28+DL28)</f>
        <v>0</v>
      </c>
      <c r="DP28" s="405">
        <f>SUM(DJ28+DM28)</f>
        <v>0</v>
      </c>
      <c r="DQ28" s="398"/>
      <c r="DR28" s="398"/>
      <c r="DS28" s="393"/>
      <c r="DT28" s="394"/>
      <c r="DU28" s="395">
        <f t="shared" si="349"/>
        <v>0</v>
      </c>
      <c r="DV28" s="396"/>
      <c r="DW28" s="394"/>
      <c r="DX28" s="395">
        <f t="shared" si="350"/>
        <v>0</v>
      </c>
      <c r="DY28" s="397">
        <f t="shared" si="351"/>
        <v>0</v>
      </c>
      <c r="DZ28" s="405">
        <f t="shared" si="352"/>
        <v>0</v>
      </c>
      <c r="EA28" s="398">
        <f t="shared" si="353"/>
        <v>0</v>
      </c>
      <c r="EB28" s="398"/>
      <c r="EC28" s="393"/>
      <c r="ED28" s="394"/>
      <c r="EE28" s="395"/>
      <c r="EF28" s="396"/>
      <c r="EG28" s="394"/>
      <c r="EH28" s="395"/>
      <c r="EI28" s="397"/>
      <c r="EJ28" s="405"/>
      <c r="EK28" s="398"/>
      <c r="EL28" s="398"/>
      <c r="EM28" s="393"/>
      <c r="EN28" s="394"/>
      <c r="EO28" s="395"/>
      <c r="EP28" s="396"/>
      <c r="EQ28" s="394"/>
      <c r="ER28" s="395"/>
      <c r="ES28" s="397"/>
      <c r="ET28" s="405"/>
      <c r="EU28" s="398"/>
      <c r="EV28" s="398"/>
      <c r="EW28" s="492">
        <f t="shared" si="354"/>
        <v>0</v>
      </c>
      <c r="EX28" s="487">
        <f t="shared" si="355"/>
        <v>0</v>
      </c>
      <c r="EY28" s="487">
        <f t="shared" si="356"/>
        <v>0</v>
      </c>
      <c r="EZ28" s="487">
        <f t="shared" si="357"/>
        <v>0</v>
      </c>
      <c r="FA28" s="474"/>
      <c r="FB28" s="474">
        <f t="shared" si="358"/>
        <v>0</v>
      </c>
      <c r="FC28" s="475"/>
      <c r="FD28" s="547">
        <f t="shared" si="297"/>
        <v>324</v>
      </c>
      <c r="FE28" s="547">
        <f t="shared" si="298"/>
        <v>227</v>
      </c>
      <c r="FF28" s="547">
        <f t="shared" si="299"/>
        <v>0</v>
      </c>
      <c r="FG28" s="547">
        <f t="shared" si="300"/>
        <v>0</v>
      </c>
      <c r="FH28" s="577">
        <f t="shared" si="301"/>
        <v>324</v>
      </c>
      <c r="FI28" s="577">
        <f t="shared" si="302"/>
        <v>227</v>
      </c>
      <c r="FJ28" s="577">
        <f t="shared" si="303"/>
        <v>551</v>
      </c>
      <c r="FK28" s="577">
        <f t="shared" si="304"/>
        <v>324</v>
      </c>
      <c r="FL28" s="577">
        <f t="shared" si="305"/>
        <v>227</v>
      </c>
      <c r="FM28" s="577">
        <f t="shared" si="306"/>
        <v>551</v>
      </c>
      <c r="FN28" s="393">
        <v>65</v>
      </c>
      <c r="FO28" s="394">
        <v>33</v>
      </c>
      <c r="FP28" s="395">
        <f t="shared" si="359"/>
        <v>98</v>
      </c>
      <c r="FQ28" s="396">
        <v>0</v>
      </c>
      <c r="FR28" s="394">
        <v>0</v>
      </c>
      <c r="FS28" s="395">
        <f t="shared" si="360"/>
        <v>0</v>
      </c>
      <c r="FT28" s="397">
        <f t="shared" ref="FT28" si="364">FN28+FQ28</f>
        <v>65</v>
      </c>
      <c r="FU28" s="405">
        <f t="shared" ref="FU28" si="365">FO28+FR28</f>
        <v>33</v>
      </c>
      <c r="FV28" s="398">
        <f t="shared" si="363"/>
        <v>98</v>
      </c>
      <c r="FW28" s="398"/>
      <c r="FX28" s="393">
        <v>375</v>
      </c>
      <c r="FY28" s="394">
        <v>226</v>
      </c>
      <c r="FZ28" s="395">
        <f>SUM(FX28:FY28)</f>
        <v>601</v>
      </c>
      <c r="GA28" s="396">
        <v>0</v>
      </c>
      <c r="GB28" s="394">
        <v>0</v>
      </c>
      <c r="GC28" s="395">
        <f>SUM(GA28:GB28)</f>
        <v>0</v>
      </c>
      <c r="GD28" s="397">
        <f t="shared" si="333"/>
        <v>375</v>
      </c>
      <c r="GE28" s="405">
        <f t="shared" si="307"/>
        <v>226</v>
      </c>
      <c r="GF28" s="398">
        <f t="shared" si="308"/>
        <v>601</v>
      </c>
      <c r="GG28" s="398"/>
      <c r="GH28" s="393">
        <v>371</v>
      </c>
      <c r="GI28" s="394">
        <v>172</v>
      </c>
      <c r="GJ28" s="395">
        <f>GH28+GI28</f>
        <v>543</v>
      </c>
      <c r="GK28" s="396">
        <v>0</v>
      </c>
      <c r="GL28" s="394">
        <v>0</v>
      </c>
      <c r="GM28" s="395">
        <f>GK28+GL28</f>
        <v>0</v>
      </c>
      <c r="GN28" s="397">
        <f t="shared" si="309"/>
        <v>371</v>
      </c>
      <c r="GO28" s="405">
        <f t="shared" si="310"/>
        <v>172</v>
      </c>
      <c r="GP28" s="398">
        <f t="shared" si="311"/>
        <v>543</v>
      </c>
      <c r="GQ28" s="398"/>
      <c r="GR28" s="650">
        <f t="shared" si="312"/>
        <v>1135</v>
      </c>
      <c r="GS28" s="650">
        <f t="shared" si="313"/>
        <v>658</v>
      </c>
      <c r="GT28" s="650">
        <f t="shared" si="314"/>
        <v>1135</v>
      </c>
      <c r="GU28" s="650">
        <f t="shared" si="315"/>
        <v>658</v>
      </c>
      <c r="GV28" s="650">
        <f t="shared" si="316"/>
        <v>0</v>
      </c>
      <c r="GW28" s="650">
        <f t="shared" si="317"/>
        <v>0</v>
      </c>
      <c r="GX28" s="393">
        <v>267</v>
      </c>
      <c r="GY28" s="394">
        <v>108</v>
      </c>
      <c r="GZ28" s="395">
        <f t="shared" si="53"/>
        <v>375</v>
      </c>
      <c r="HA28" s="396">
        <v>0</v>
      </c>
      <c r="HB28" s="394">
        <v>0</v>
      </c>
      <c r="HC28" s="395">
        <f t="shared" si="54"/>
        <v>0</v>
      </c>
      <c r="HD28" s="397">
        <f t="shared" si="55"/>
        <v>267</v>
      </c>
      <c r="HE28" s="405">
        <f t="shared" si="56"/>
        <v>108</v>
      </c>
      <c r="HF28" s="398">
        <f t="shared" si="57"/>
        <v>375</v>
      </c>
      <c r="HG28" s="398"/>
      <c r="HH28" s="492">
        <f t="shared" si="318"/>
        <v>1078</v>
      </c>
      <c r="HI28" s="487">
        <f t="shared" si="319"/>
        <v>539</v>
      </c>
      <c r="HJ28" s="487">
        <f t="shared" si="320"/>
        <v>1078</v>
      </c>
      <c r="HK28" s="487">
        <f t="shared" si="321"/>
        <v>539</v>
      </c>
      <c r="HL28" s="487">
        <f t="shared" si="322"/>
        <v>0</v>
      </c>
      <c r="HM28" s="487">
        <f t="shared" si="323"/>
        <v>0</v>
      </c>
      <c r="HN28" s="474"/>
      <c r="HO28" s="474">
        <f t="shared" si="324"/>
        <v>1617</v>
      </c>
      <c r="HP28" s="475"/>
      <c r="HQ28" s="547">
        <f t="shared" si="325"/>
        <v>1078</v>
      </c>
      <c r="HR28" s="547">
        <f t="shared" si="326"/>
        <v>539</v>
      </c>
      <c r="HS28" s="547">
        <f t="shared" si="327"/>
        <v>0</v>
      </c>
      <c r="HT28" s="547">
        <f t="shared" si="328"/>
        <v>0</v>
      </c>
      <c r="HU28" s="393">
        <v>247</v>
      </c>
      <c r="HV28" s="394">
        <v>125</v>
      </c>
      <c r="HW28" s="395">
        <f t="shared" si="69"/>
        <v>372</v>
      </c>
      <c r="HX28" s="396">
        <v>0</v>
      </c>
      <c r="HY28" s="394">
        <v>0</v>
      </c>
      <c r="HZ28" s="395">
        <f t="shared" si="70"/>
        <v>0</v>
      </c>
      <c r="IA28" s="397">
        <f t="shared" si="71"/>
        <v>247</v>
      </c>
      <c r="IB28" s="405">
        <f t="shared" si="72"/>
        <v>125</v>
      </c>
      <c r="IC28" s="398">
        <f t="shared" si="73"/>
        <v>372</v>
      </c>
      <c r="ID28" s="398"/>
      <c r="IE28" s="393"/>
      <c r="IF28" s="394"/>
      <c r="IG28" s="395"/>
      <c r="IH28" s="396"/>
      <c r="II28" s="394"/>
      <c r="IJ28" s="395"/>
      <c r="IK28" s="397"/>
      <c r="IL28" s="405"/>
      <c r="IM28" s="398"/>
      <c r="IN28" s="398"/>
      <c r="IO28" s="393"/>
      <c r="IP28" s="394"/>
      <c r="IQ28" s="395"/>
      <c r="IR28" s="396"/>
      <c r="IS28" s="394"/>
      <c r="IT28" s="395"/>
      <c r="IU28" s="397"/>
      <c r="IV28" s="405"/>
      <c r="IW28" s="398"/>
      <c r="IX28" s="398"/>
      <c r="IY28" s="393"/>
      <c r="IZ28" s="394"/>
      <c r="JA28" s="395"/>
      <c r="JB28" s="396"/>
      <c r="JC28" s="394"/>
      <c r="JD28" s="395"/>
      <c r="JE28" s="397"/>
      <c r="JF28" s="405"/>
      <c r="JG28" s="398"/>
      <c r="JH28" s="398"/>
      <c r="JI28" s="494"/>
      <c r="JJ28" s="479"/>
      <c r="JK28" s="479"/>
      <c r="JL28" s="479"/>
      <c r="JM28" s="474"/>
      <c r="JN28" s="474">
        <f t="shared" si="329"/>
        <v>372</v>
      </c>
      <c r="JO28" s="475"/>
      <c r="JP28" s="393"/>
      <c r="JQ28" s="394"/>
      <c r="JR28" s="395"/>
      <c r="JS28" s="396"/>
      <c r="JT28" s="394"/>
      <c r="JU28" s="395"/>
      <c r="JV28" s="397"/>
      <c r="JW28" s="405"/>
      <c r="JX28" s="398"/>
      <c r="JY28" s="398"/>
      <c r="JZ28" s="577">
        <f t="shared" si="226"/>
        <v>1989</v>
      </c>
      <c r="KA28" s="412">
        <f t="shared" si="259"/>
        <v>1649</v>
      </c>
      <c r="KB28" s="412">
        <f t="shared" si="259"/>
        <v>891</v>
      </c>
      <c r="KC28" s="412">
        <f t="shared" si="260"/>
        <v>1649</v>
      </c>
      <c r="KD28" s="412">
        <f t="shared" si="260"/>
        <v>891</v>
      </c>
      <c r="KE28" s="412">
        <f t="shared" si="261"/>
        <v>0</v>
      </c>
      <c r="KF28" s="693">
        <f t="shared" si="261"/>
        <v>0</v>
      </c>
      <c r="KG28" s="687">
        <f t="shared" si="334"/>
        <v>2540</v>
      </c>
      <c r="KH28" s="680">
        <v>3700</v>
      </c>
      <c r="KI28" s="680"/>
      <c r="KJ28" s="681">
        <f t="shared" si="263"/>
        <v>0.68648648648648647</v>
      </c>
      <c r="KK28" s="461" t="e">
        <f>KJ26</f>
        <v>#DIV/0!</v>
      </c>
      <c r="KL28" s="359"/>
      <c r="KM28" s="359"/>
      <c r="KN28" s="359"/>
      <c r="KO28" s="359"/>
      <c r="KP28" s="359"/>
      <c r="KQ28" s="359"/>
    </row>
    <row r="29" spans="1:303" ht="43.5" customHeight="1" x14ac:dyDescent="0.3">
      <c r="A29" s="385"/>
      <c r="B29" s="385" t="s">
        <v>142</v>
      </c>
      <c r="C29" s="391" t="s">
        <v>130</v>
      </c>
      <c r="D29" s="392">
        <v>450</v>
      </c>
      <c r="E29" s="393"/>
      <c r="F29" s="394"/>
      <c r="G29" s="395"/>
      <c r="H29" s="396"/>
      <c r="I29" s="394"/>
      <c r="J29" s="395"/>
      <c r="K29" s="397"/>
      <c r="L29" s="398"/>
      <c r="M29" s="398"/>
      <c r="N29" s="399"/>
      <c r="O29" s="393"/>
      <c r="P29" s="394"/>
      <c r="Q29" s="400"/>
      <c r="R29" s="396"/>
      <c r="S29" s="394"/>
      <c r="T29" s="400"/>
      <c r="U29" s="397"/>
      <c r="V29" s="398"/>
      <c r="W29" s="398"/>
      <c r="X29" s="399"/>
      <c r="Y29" s="393"/>
      <c r="Z29" s="394"/>
      <c r="AA29" s="400"/>
      <c r="AB29" s="396"/>
      <c r="AC29" s="394"/>
      <c r="AD29" s="400"/>
      <c r="AE29" s="397"/>
      <c r="AF29" s="405"/>
      <c r="AG29" s="398"/>
      <c r="AH29" s="403"/>
      <c r="AI29" s="393"/>
      <c r="AJ29" s="394"/>
      <c r="AK29" s="395"/>
      <c r="AL29" s="396"/>
      <c r="AM29" s="394"/>
      <c r="AN29" s="395"/>
      <c r="AO29" s="397"/>
      <c r="AP29" s="398"/>
      <c r="AQ29" s="398"/>
      <c r="AR29" s="404"/>
      <c r="AS29" s="486">
        <f t="shared" si="335"/>
        <v>0</v>
      </c>
      <c r="AT29" s="487">
        <f t="shared" si="336"/>
        <v>0</v>
      </c>
      <c r="AU29" s="487">
        <f t="shared" si="337"/>
        <v>0</v>
      </c>
      <c r="AV29" s="487">
        <f t="shared" si="338"/>
        <v>0</v>
      </c>
      <c r="AW29" s="478"/>
      <c r="AX29" s="479">
        <f t="shared" si="339"/>
        <v>0</v>
      </c>
      <c r="AY29" s="537"/>
      <c r="AZ29" s="547">
        <f t="shared" si="340"/>
        <v>0</v>
      </c>
      <c r="BA29" s="547">
        <f t="shared" si="341"/>
        <v>0</v>
      </c>
      <c r="BB29" s="547">
        <f t="shared" si="342"/>
        <v>0</v>
      </c>
      <c r="BC29" s="547">
        <f t="shared" si="343"/>
        <v>0</v>
      </c>
      <c r="BD29" s="393"/>
      <c r="BE29" s="394"/>
      <c r="BF29" s="395"/>
      <c r="BG29" s="396"/>
      <c r="BH29" s="394"/>
      <c r="BI29" s="395"/>
      <c r="BJ29" s="397"/>
      <c r="BK29" s="398"/>
      <c r="BL29" s="405"/>
      <c r="BM29" s="398"/>
      <c r="BN29" s="393"/>
      <c r="BO29" s="394"/>
      <c r="BP29" s="395"/>
      <c r="BQ29" s="396"/>
      <c r="BR29" s="394"/>
      <c r="BS29" s="395"/>
      <c r="BT29" s="397"/>
      <c r="BU29" s="405"/>
      <c r="BV29" s="398"/>
      <c r="BW29" s="398"/>
      <c r="BX29" s="626">
        <f t="shared" si="277"/>
        <v>0</v>
      </c>
      <c r="BY29" s="626">
        <f t="shared" si="278"/>
        <v>0</v>
      </c>
      <c r="BZ29" s="626">
        <f t="shared" si="279"/>
        <v>0</v>
      </c>
      <c r="CA29" s="626">
        <f t="shared" si="280"/>
        <v>0</v>
      </c>
      <c r="CB29" s="625">
        <f t="shared" si="281"/>
        <v>0</v>
      </c>
      <c r="CC29" s="393"/>
      <c r="CD29" s="394"/>
      <c r="CE29" s="395"/>
      <c r="CF29" s="396"/>
      <c r="CG29" s="394"/>
      <c r="CH29" s="395"/>
      <c r="CI29" s="397"/>
      <c r="CJ29" s="398"/>
      <c r="CK29" s="398"/>
      <c r="CL29" s="414"/>
      <c r="CM29" s="393">
        <v>44</v>
      </c>
      <c r="CN29" s="394">
        <v>16</v>
      </c>
      <c r="CO29" s="395">
        <f>SUM(CM29:CN29)</f>
        <v>60</v>
      </c>
      <c r="CP29" s="396">
        <v>0</v>
      </c>
      <c r="CQ29" s="394">
        <v>0</v>
      </c>
      <c r="CR29" s="395">
        <f>SUM(CP29:CQ29)</f>
        <v>0</v>
      </c>
      <c r="CS29" s="397">
        <f>SUM(CM29+CP29)</f>
        <v>44</v>
      </c>
      <c r="CT29" s="398">
        <f>SUM(CN29+CQ29)</f>
        <v>16</v>
      </c>
      <c r="CU29" s="405">
        <f>SUM(CS29:CT29)</f>
        <v>60</v>
      </c>
      <c r="CV29" s="405"/>
      <c r="CW29" s="492">
        <f t="shared" si="344"/>
        <v>44</v>
      </c>
      <c r="CX29" s="487">
        <f t="shared" si="344"/>
        <v>16</v>
      </c>
      <c r="CY29" s="487">
        <f t="shared" si="344"/>
        <v>60</v>
      </c>
      <c r="CZ29" s="487">
        <f>SUM(CR29+CH29+BS29+BI29)</f>
        <v>0</v>
      </c>
      <c r="DA29" s="474"/>
      <c r="DB29" s="474">
        <f>SUM(CW29:CX29)</f>
        <v>60</v>
      </c>
      <c r="DC29" s="475"/>
      <c r="DD29" s="547">
        <f t="shared" si="345"/>
        <v>44</v>
      </c>
      <c r="DE29" s="547">
        <f t="shared" si="346"/>
        <v>16</v>
      </c>
      <c r="DF29" s="547">
        <f t="shared" si="347"/>
        <v>0</v>
      </c>
      <c r="DG29" s="547">
        <f t="shared" si="348"/>
        <v>0</v>
      </c>
      <c r="DH29" s="576">
        <f t="shared" si="286"/>
        <v>60</v>
      </c>
      <c r="DI29" s="393">
        <v>17</v>
      </c>
      <c r="DJ29" s="394">
        <v>14</v>
      </c>
      <c r="DK29" s="395">
        <f>SUM(DI29:DJ29)</f>
        <v>31</v>
      </c>
      <c r="DL29" s="396">
        <v>0</v>
      </c>
      <c r="DM29" s="394">
        <v>0</v>
      </c>
      <c r="DN29" s="395">
        <f>SUM(DL29:DM29)</f>
        <v>0</v>
      </c>
      <c r="DO29" s="397">
        <f>DI29+DL29</f>
        <v>17</v>
      </c>
      <c r="DP29" s="405">
        <f>DJ29+DM29</f>
        <v>14</v>
      </c>
      <c r="DQ29" s="398">
        <f>SUM(DO29:DP29)</f>
        <v>31</v>
      </c>
      <c r="DR29" s="398"/>
      <c r="DS29" s="393">
        <v>17</v>
      </c>
      <c r="DT29" s="394">
        <v>3</v>
      </c>
      <c r="DU29" s="395">
        <f t="shared" si="349"/>
        <v>20</v>
      </c>
      <c r="DV29" s="396">
        <v>0</v>
      </c>
      <c r="DW29" s="394">
        <v>0</v>
      </c>
      <c r="DX29" s="395">
        <f t="shared" si="350"/>
        <v>0</v>
      </c>
      <c r="DY29" s="397">
        <f t="shared" si="351"/>
        <v>17</v>
      </c>
      <c r="DZ29" s="405">
        <f t="shared" si="352"/>
        <v>3</v>
      </c>
      <c r="EA29" s="398">
        <f t="shared" si="353"/>
        <v>20</v>
      </c>
      <c r="EB29" s="398"/>
      <c r="EC29" s="393">
        <v>44</v>
      </c>
      <c r="ED29" s="394">
        <v>0</v>
      </c>
      <c r="EE29" s="395">
        <f>SUM(EC29:ED29)</f>
        <v>44</v>
      </c>
      <c r="EF29" s="396">
        <v>0</v>
      </c>
      <c r="EG29" s="394">
        <v>0</v>
      </c>
      <c r="EH29" s="395">
        <f>SUM(EF29:EG29)</f>
        <v>0</v>
      </c>
      <c r="EI29" s="397">
        <f t="shared" si="330"/>
        <v>44</v>
      </c>
      <c r="EJ29" s="405">
        <f t="shared" si="331"/>
        <v>0</v>
      </c>
      <c r="EK29" s="398">
        <f t="shared" si="332"/>
        <v>44</v>
      </c>
      <c r="EL29" s="398"/>
      <c r="EM29" s="393">
        <v>69</v>
      </c>
      <c r="EN29" s="394">
        <v>0</v>
      </c>
      <c r="EO29" s="395">
        <f>SUM(EM29:EN29)</f>
        <v>69</v>
      </c>
      <c r="EP29" s="396">
        <v>0</v>
      </c>
      <c r="EQ29" s="394">
        <v>0</v>
      </c>
      <c r="ER29" s="395">
        <f>SUM(EP29:EQ29)</f>
        <v>0</v>
      </c>
      <c r="ES29" s="397">
        <f>SUM(EM29+EP29)</f>
        <v>69</v>
      </c>
      <c r="ET29" s="405">
        <f>SUM(EN29+EQ29)</f>
        <v>0</v>
      </c>
      <c r="EU29" s="398">
        <f>SUM(ES29:ET29)</f>
        <v>69</v>
      </c>
      <c r="EV29" s="398"/>
      <c r="EW29" s="492">
        <f t="shared" si="354"/>
        <v>147</v>
      </c>
      <c r="EX29" s="487">
        <f t="shared" si="355"/>
        <v>17</v>
      </c>
      <c r="EY29" s="487">
        <f t="shared" si="356"/>
        <v>164</v>
      </c>
      <c r="EZ29" s="487">
        <f t="shared" si="357"/>
        <v>0</v>
      </c>
      <c r="FA29" s="474">
        <v>38</v>
      </c>
      <c r="FB29" s="474">
        <f>EU29+EK29+EA29+DQ29</f>
        <v>164</v>
      </c>
      <c r="FC29" s="475">
        <f>FB29/FA29</f>
        <v>4.3157894736842106</v>
      </c>
      <c r="FD29" s="547">
        <f t="shared" si="297"/>
        <v>191</v>
      </c>
      <c r="FE29" s="547">
        <f t="shared" si="298"/>
        <v>33</v>
      </c>
      <c r="FF29" s="547">
        <f t="shared" si="299"/>
        <v>0</v>
      </c>
      <c r="FG29" s="547">
        <f t="shared" si="300"/>
        <v>0</v>
      </c>
      <c r="FH29" s="577">
        <f t="shared" si="301"/>
        <v>191</v>
      </c>
      <c r="FI29" s="577">
        <f t="shared" si="302"/>
        <v>33</v>
      </c>
      <c r="FJ29" s="577">
        <f t="shared" si="303"/>
        <v>224</v>
      </c>
      <c r="FK29" s="577">
        <f t="shared" si="304"/>
        <v>191</v>
      </c>
      <c r="FL29" s="577">
        <f t="shared" si="305"/>
        <v>33</v>
      </c>
      <c r="FM29" s="577">
        <f t="shared" si="306"/>
        <v>224</v>
      </c>
      <c r="FN29" s="393">
        <v>131</v>
      </c>
      <c r="FO29" s="394">
        <v>0</v>
      </c>
      <c r="FP29" s="395">
        <f t="shared" si="359"/>
        <v>131</v>
      </c>
      <c r="FQ29" s="396">
        <v>0</v>
      </c>
      <c r="FR29" s="394">
        <v>0</v>
      </c>
      <c r="FS29" s="395">
        <f t="shared" si="360"/>
        <v>0</v>
      </c>
      <c r="FT29" s="397">
        <f t="shared" si="361"/>
        <v>131</v>
      </c>
      <c r="FU29" s="405">
        <f t="shared" si="362"/>
        <v>0</v>
      </c>
      <c r="FV29" s="398">
        <f t="shared" si="363"/>
        <v>131</v>
      </c>
      <c r="FW29" s="398"/>
      <c r="FX29" s="393">
        <v>98</v>
      </c>
      <c r="FY29" s="394">
        <v>0</v>
      </c>
      <c r="FZ29" s="395">
        <f>SUM(FX29:FY29)</f>
        <v>98</v>
      </c>
      <c r="GA29" s="396">
        <v>0</v>
      </c>
      <c r="GB29" s="394">
        <v>0</v>
      </c>
      <c r="GC29" s="395">
        <f>SUM(GA29:GB29)</f>
        <v>0</v>
      </c>
      <c r="GD29" s="397">
        <f t="shared" si="333"/>
        <v>98</v>
      </c>
      <c r="GE29" s="405">
        <f t="shared" si="307"/>
        <v>0</v>
      </c>
      <c r="GF29" s="398">
        <f t="shared" si="308"/>
        <v>98</v>
      </c>
      <c r="GG29" s="398"/>
      <c r="GH29" s="393">
        <v>74</v>
      </c>
      <c r="GI29" s="394">
        <v>0</v>
      </c>
      <c r="GJ29" s="395">
        <f>GH29+GI29</f>
        <v>74</v>
      </c>
      <c r="GK29" s="396">
        <v>0</v>
      </c>
      <c r="GL29" s="394">
        <v>0</v>
      </c>
      <c r="GM29" s="395">
        <f>GK29+GL29</f>
        <v>0</v>
      </c>
      <c r="GN29" s="397">
        <f t="shared" si="309"/>
        <v>74</v>
      </c>
      <c r="GO29" s="405">
        <f t="shared" si="310"/>
        <v>0</v>
      </c>
      <c r="GP29" s="398">
        <f t="shared" si="311"/>
        <v>74</v>
      </c>
      <c r="GQ29" s="398"/>
      <c r="GR29" s="650">
        <f t="shared" si="312"/>
        <v>494</v>
      </c>
      <c r="GS29" s="650">
        <f t="shared" si="313"/>
        <v>33</v>
      </c>
      <c r="GT29" s="650">
        <f t="shared" si="314"/>
        <v>494</v>
      </c>
      <c r="GU29" s="650">
        <f t="shared" si="315"/>
        <v>33</v>
      </c>
      <c r="GV29" s="650">
        <f t="shared" si="316"/>
        <v>0</v>
      </c>
      <c r="GW29" s="650">
        <f t="shared" si="317"/>
        <v>0</v>
      </c>
      <c r="GX29" s="393">
        <v>51</v>
      </c>
      <c r="GY29" s="394">
        <v>0</v>
      </c>
      <c r="GZ29" s="395">
        <f t="shared" si="53"/>
        <v>51</v>
      </c>
      <c r="HA29" s="396">
        <v>0</v>
      </c>
      <c r="HB29" s="394">
        <v>0</v>
      </c>
      <c r="HC29" s="395">
        <f t="shared" si="54"/>
        <v>0</v>
      </c>
      <c r="HD29" s="397">
        <f t="shared" si="55"/>
        <v>51</v>
      </c>
      <c r="HE29" s="405">
        <f t="shared" si="56"/>
        <v>0</v>
      </c>
      <c r="HF29" s="398">
        <f t="shared" si="57"/>
        <v>51</v>
      </c>
      <c r="HG29" s="398"/>
      <c r="HH29" s="492">
        <f t="shared" si="318"/>
        <v>354</v>
      </c>
      <c r="HI29" s="487">
        <f t="shared" si="319"/>
        <v>0</v>
      </c>
      <c r="HJ29" s="487">
        <f t="shared" si="320"/>
        <v>354</v>
      </c>
      <c r="HK29" s="487">
        <f t="shared" si="321"/>
        <v>0</v>
      </c>
      <c r="HL29" s="487">
        <f t="shared" si="322"/>
        <v>0</v>
      </c>
      <c r="HM29" s="487">
        <f t="shared" si="323"/>
        <v>0</v>
      </c>
      <c r="HN29" s="474"/>
      <c r="HO29" s="474">
        <f t="shared" si="324"/>
        <v>354</v>
      </c>
      <c r="HP29" s="475"/>
      <c r="HQ29" s="547">
        <f t="shared" si="325"/>
        <v>354</v>
      </c>
      <c r="HR29" s="547">
        <f t="shared" si="326"/>
        <v>0</v>
      </c>
      <c r="HS29" s="547">
        <f t="shared" si="327"/>
        <v>0</v>
      </c>
      <c r="HT29" s="547">
        <f t="shared" si="328"/>
        <v>0</v>
      </c>
      <c r="HU29" s="393"/>
      <c r="HV29" s="394"/>
      <c r="HW29" s="395">
        <f t="shared" si="69"/>
        <v>0</v>
      </c>
      <c r="HX29" s="396"/>
      <c r="HY29" s="394"/>
      <c r="HZ29" s="395">
        <f t="shared" si="70"/>
        <v>0</v>
      </c>
      <c r="IA29" s="397">
        <f t="shared" si="71"/>
        <v>0</v>
      </c>
      <c r="IB29" s="405">
        <f t="shared" si="72"/>
        <v>0</v>
      </c>
      <c r="IC29" s="398">
        <f t="shared" si="73"/>
        <v>0</v>
      </c>
      <c r="ID29" s="398"/>
      <c r="IE29" s="393"/>
      <c r="IF29" s="394"/>
      <c r="IG29" s="395"/>
      <c r="IH29" s="396"/>
      <c r="II29" s="394"/>
      <c r="IJ29" s="395"/>
      <c r="IK29" s="397"/>
      <c r="IL29" s="405"/>
      <c r="IM29" s="398"/>
      <c r="IN29" s="398"/>
      <c r="IO29" s="393"/>
      <c r="IP29" s="394"/>
      <c r="IQ29" s="395"/>
      <c r="IR29" s="396"/>
      <c r="IS29" s="394"/>
      <c r="IT29" s="395"/>
      <c r="IU29" s="397"/>
      <c r="IV29" s="405"/>
      <c r="IW29" s="398"/>
      <c r="IX29" s="398"/>
      <c r="IY29" s="393"/>
      <c r="IZ29" s="394"/>
      <c r="JA29" s="395"/>
      <c r="JB29" s="396"/>
      <c r="JC29" s="394"/>
      <c r="JD29" s="395"/>
      <c r="JE29" s="397"/>
      <c r="JF29" s="405"/>
      <c r="JG29" s="398"/>
      <c r="JH29" s="398"/>
      <c r="JI29" s="494"/>
      <c r="JJ29" s="479"/>
      <c r="JK29" s="479"/>
      <c r="JL29" s="479"/>
      <c r="JM29" s="474"/>
      <c r="JN29" s="474">
        <f t="shared" si="329"/>
        <v>0</v>
      </c>
      <c r="JO29" s="475"/>
      <c r="JP29" s="393"/>
      <c r="JQ29" s="394"/>
      <c r="JR29" s="395"/>
      <c r="JS29" s="396"/>
      <c r="JT29" s="394"/>
      <c r="JU29" s="395"/>
      <c r="JV29" s="397"/>
      <c r="JW29" s="405"/>
      <c r="JX29" s="398"/>
      <c r="JY29" s="398"/>
      <c r="JZ29" s="577">
        <f t="shared" si="226"/>
        <v>518</v>
      </c>
      <c r="KA29" s="412">
        <f t="shared" si="259"/>
        <v>545</v>
      </c>
      <c r="KB29" s="412">
        <f t="shared" si="259"/>
        <v>33</v>
      </c>
      <c r="KC29" s="412">
        <f t="shared" si="260"/>
        <v>545</v>
      </c>
      <c r="KD29" s="412">
        <f t="shared" si="260"/>
        <v>33</v>
      </c>
      <c r="KE29" s="412">
        <f t="shared" si="261"/>
        <v>0</v>
      </c>
      <c r="KF29" s="693">
        <f t="shared" si="261"/>
        <v>0</v>
      </c>
      <c r="KG29" s="687">
        <f t="shared" si="334"/>
        <v>578</v>
      </c>
      <c r="KH29" s="680">
        <v>450</v>
      </c>
      <c r="KI29" s="680">
        <f>KH29-KG29</f>
        <v>-128</v>
      </c>
      <c r="KJ29" s="681">
        <f t="shared" si="263"/>
        <v>1.2844444444444445</v>
      </c>
      <c r="KK29" s="359" t="e">
        <f>#REF!-KG29+#REF!</f>
        <v>#REF!</v>
      </c>
      <c r="KL29" s="359"/>
      <c r="KM29" s="359"/>
      <c r="KN29" s="359"/>
      <c r="KO29" s="359"/>
      <c r="KP29" s="359"/>
      <c r="KQ29" s="359"/>
    </row>
    <row r="30" spans="1:303" ht="36" customHeight="1" x14ac:dyDescent="0.3">
      <c r="A30" s="385"/>
      <c r="B30" s="500" t="s">
        <v>143</v>
      </c>
      <c r="C30" s="391"/>
      <c r="D30" s="392"/>
      <c r="E30" s="393"/>
      <c r="F30" s="394"/>
      <c r="G30" s="395"/>
      <c r="H30" s="396"/>
      <c r="I30" s="394"/>
      <c r="J30" s="395"/>
      <c r="K30" s="397"/>
      <c r="L30" s="398"/>
      <c r="M30" s="398"/>
      <c r="N30" s="399"/>
      <c r="O30" s="393"/>
      <c r="P30" s="394"/>
      <c r="Q30" s="400"/>
      <c r="R30" s="396"/>
      <c r="S30" s="394"/>
      <c r="T30" s="400"/>
      <c r="U30" s="397"/>
      <c r="V30" s="398"/>
      <c r="W30" s="398"/>
      <c r="X30" s="399"/>
      <c r="Y30" s="393"/>
      <c r="Z30" s="394"/>
      <c r="AA30" s="400"/>
      <c r="AB30" s="396"/>
      <c r="AC30" s="394"/>
      <c r="AD30" s="400"/>
      <c r="AE30" s="397"/>
      <c r="AF30" s="405"/>
      <c r="AG30" s="398"/>
      <c r="AH30" s="403"/>
      <c r="AI30" s="393"/>
      <c r="AJ30" s="394"/>
      <c r="AK30" s="395"/>
      <c r="AL30" s="396"/>
      <c r="AM30" s="394"/>
      <c r="AN30" s="395"/>
      <c r="AO30" s="397"/>
      <c r="AP30" s="398"/>
      <c r="AQ30" s="398"/>
      <c r="AR30" s="404"/>
      <c r="AS30" s="510">
        <f>AS22+AS25+AS28+AS29</f>
        <v>415</v>
      </c>
      <c r="AT30" s="510">
        <f t="shared" ref="AT30:BC30" si="366">AT22+AT25+AT28+AT29</f>
        <v>70</v>
      </c>
      <c r="AU30" s="510">
        <f t="shared" si="366"/>
        <v>397</v>
      </c>
      <c r="AV30" s="510">
        <f t="shared" si="366"/>
        <v>47</v>
      </c>
      <c r="AW30" s="510">
        <f t="shared" si="366"/>
        <v>0</v>
      </c>
      <c r="AX30" s="510">
        <f t="shared" si="366"/>
        <v>485</v>
      </c>
      <c r="AY30" s="510" t="e">
        <f t="shared" si="366"/>
        <v>#DIV/0!</v>
      </c>
      <c r="AZ30" s="510">
        <f t="shared" si="366"/>
        <v>336</v>
      </c>
      <c r="BA30" s="510">
        <f t="shared" si="366"/>
        <v>61</v>
      </c>
      <c r="BB30" s="510">
        <f t="shared" si="366"/>
        <v>79</v>
      </c>
      <c r="BC30" s="510">
        <f t="shared" si="366"/>
        <v>9</v>
      </c>
      <c r="BD30" s="393"/>
      <c r="BE30" s="394"/>
      <c r="BF30" s="395"/>
      <c r="BG30" s="396"/>
      <c r="BH30" s="394"/>
      <c r="BI30" s="395"/>
      <c r="BJ30" s="397"/>
      <c r="BK30" s="398"/>
      <c r="BL30" s="405"/>
      <c r="BM30" s="398"/>
      <c r="BN30" s="393"/>
      <c r="BO30" s="394"/>
      <c r="BP30" s="395"/>
      <c r="BQ30" s="396"/>
      <c r="BR30" s="394"/>
      <c r="BS30" s="395"/>
      <c r="BT30" s="397"/>
      <c r="BU30" s="405"/>
      <c r="BV30" s="398"/>
      <c r="BW30" s="398"/>
      <c r="BX30" s="626"/>
      <c r="BY30" s="626"/>
      <c r="BZ30" s="626"/>
      <c r="CA30" s="626"/>
      <c r="CB30" s="625"/>
      <c r="CC30" s="393"/>
      <c r="CD30" s="394"/>
      <c r="CE30" s="395"/>
      <c r="CF30" s="396"/>
      <c r="CG30" s="394"/>
      <c r="CH30" s="395"/>
      <c r="CI30" s="397"/>
      <c r="CJ30" s="398"/>
      <c r="CK30" s="398"/>
      <c r="CL30" s="414"/>
      <c r="CM30" s="393"/>
      <c r="CN30" s="394"/>
      <c r="CO30" s="395"/>
      <c r="CP30" s="396"/>
      <c r="CQ30" s="394"/>
      <c r="CR30" s="395"/>
      <c r="CS30" s="397"/>
      <c r="CT30" s="398"/>
      <c r="CU30" s="405"/>
      <c r="CV30" s="405"/>
      <c r="CW30" s="514">
        <f t="shared" ref="CW30" si="367">CW22+CW25+CW28+CW29</f>
        <v>2213</v>
      </c>
      <c r="CX30" s="511">
        <f t="shared" ref="CX30" si="368">CX22+CX25+CX28+CX29</f>
        <v>564</v>
      </c>
      <c r="CY30" s="511">
        <f t="shared" ref="CY30" si="369">CY22+CY25+CY28+CY29</f>
        <v>2453</v>
      </c>
      <c r="CZ30" s="511">
        <f t="shared" ref="CZ30" si="370">CZ22+CZ25+CZ28+CZ29</f>
        <v>1</v>
      </c>
      <c r="DA30" s="511">
        <f t="shared" ref="DA30" si="371">DA22+DA25+DA28+DA29</f>
        <v>0</v>
      </c>
      <c r="DB30" s="511">
        <f t="shared" ref="DB30" si="372">DB22+DB25+DB28+DB29</f>
        <v>2777</v>
      </c>
      <c r="DC30" s="511" t="e">
        <f t="shared" ref="DC30" si="373">DC22+DC25+DC28+DC29</f>
        <v>#DIV/0!</v>
      </c>
      <c r="DD30" s="511">
        <f t="shared" ref="DD30" si="374">DD22+DD25+DD28+DD29</f>
        <v>2212</v>
      </c>
      <c r="DE30" s="511">
        <f t="shared" ref="DE30" si="375">DE22+DE25+DE28+DE29</f>
        <v>564</v>
      </c>
      <c r="DF30" s="511">
        <f t="shared" ref="DF30" si="376">DF22+DF25+DF28+DF29</f>
        <v>1</v>
      </c>
      <c r="DG30" s="511">
        <f t="shared" ref="DG30" si="377">DG22+DG25+DG28+DG29</f>
        <v>0</v>
      </c>
      <c r="DH30" s="511">
        <f t="shared" ref="DH30" si="378">DH22+DH25+DH28+DH29</f>
        <v>3262</v>
      </c>
      <c r="DI30" s="393"/>
      <c r="DJ30" s="394"/>
      <c r="DK30" s="395"/>
      <c r="DL30" s="396"/>
      <c r="DM30" s="394"/>
      <c r="DN30" s="395"/>
      <c r="DO30" s="397"/>
      <c r="DP30" s="405"/>
      <c r="DQ30" s="398"/>
      <c r="DR30" s="398"/>
      <c r="DS30" s="393"/>
      <c r="DT30" s="394"/>
      <c r="DU30" s="395"/>
      <c r="DV30" s="396"/>
      <c r="DW30" s="394"/>
      <c r="DX30" s="395"/>
      <c r="DY30" s="397"/>
      <c r="DZ30" s="405"/>
      <c r="EA30" s="398"/>
      <c r="EB30" s="398"/>
      <c r="EC30" s="393"/>
      <c r="ED30" s="394"/>
      <c r="EE30" s="395"/>
      <c r="EF30" s="396"/>
      <c r="EG30" s="394"/>
      <c r="EH30" s="395"/>
      <c r="EI30" s="397"/>
      <c r="EJ30" s="405"/>
      <c r="EK30" s="398"/>
      <c r="EL30" s="398"/>
      <c r="EM30" s="393"/>
      <c r="EN30" s="394"/>
      <c r="EO30" s="395"/>
      <c r="EP30" s="396"/>
      <c r="EQ30" s="394"/>
      <c r="ER30" s="395"/>
      <c r="ES30" s="397"/>
      <c r="ET30" s="405"/>
      <c r="EU30" s="398"/>
      <c r="EV30" s="398"/>
      <c r="EW30" s="514">
        <f t="shared" ref="EW30" si="379">EW22+EW25+EW28+EW29</f>
        <v>2273</v>
      </c>
      <c r="EX30" s="511">
        <f t="shared" ref="EX30" si="380">EX22+EX25+EX28+EX29</f>
        <v>1128</v>
      </c>
      <c r="EY30" s="511">
        <f t="shared" ref="EY30" si="381">EY22+EY25+EY28+EY29</f>
        <v>3401</v>
      </c>
      <c r="EZ30" s="511">
        <f t="shared" ref="EZ30" si="382">EZ22+EZ25+EZ28+EZ29</f>
        <v>0</v>
      </c>
      <c r="FA30" s="501">
        <f t="shared" ref="FA30" si="383">FA22+FA25+FA28+FA29</f>
        <v>413</v>
      </c>
      <c r="FB30" s="501">
        <f t="shared" ref="FB30" si="384">FB22+FB25+FB28+FB29</f>
        <v>3401</v>
      </c>
      <c r="FC30" s="515" t="e">
        <f t="shared" ref="FC30" si="385">FC22+FC25+FC28+FC29</f>
        <v>#DIV/0!</v>
      </c>
      <c r="FD30" s="501">
        <f t="shared" ref="FD30" si="386">FD22+FD25+FD28+FD29</f>
        <v>3559</v>
      </c>
      <c r="FE30" s="501">
        <f t="shared" ref="FE30" si="387">FE22+FE25+FE28+FE29</f>
        <v>1692</v>
      </c>
      <c r="FF30" s="501">
        <f t="shared" ref="FF30" si="388">FF22+FF25+FF28+FF29</f>
        <v>0</v>
      </c>
      <c r="FG30" s="501">
        <f t="shared" ref="FG30" si="389">FG22+FG25+FG28+FG29</f>
        <v>0</v>
      </c>
      <c r="FH30" s="516"/>
      <c r="FI30" s="577"/>
      <c r="FJ30" s="577"/>
      <c r="FK30" s="577"/>
      <c r="FL30" s="577"/>
      <c r="FM30" s="577"/>
      <c r="FN30" s="393"/>
      <c r="FO30" s="394"/>
      <c r="FP30" s="395"/>
      <c r="FQ30" s="396"/>
      <c r="FR30" s="394"/>
      <c r="FS30" s="395"/>
      <c r="FT30" s="397"/>
      <c r="FU30" s="405"/>
      <c r="FV30" s="398"/>
      <c r="FW30" s="398"/>
      <c r="FX30" s="393"/>
      <c r="FY30" s="394"/>
      <c r="FZ30" s="395"/>
      <c r="GA30" s="396"/>
      <c r="GB30" s="394"/>
      <c r="GC30" s="395"/>
      <c r="GD30" s="397"/>
      <c r="GE30" s="405"/>
      <c r="GF30" s="398"/>
      <c r="GG30" s="398"/>
      <c r="GH30" s="393"/>
      <c r="GI30" s="394"/>
      <c r="GJ30" s="395"/>
      <c r="GK30" s="396"/>
      <c r="GL30" s="394"/>
      <c r="GM30" s="395"/>
      <c r="GN30" s="397"/>
      <c r="GO30" s="405"/>
      <c r="GP30" s="398"/>
      <c r="GQ30" s="398"/>
      <c r="GR30" s="650"/>
      <c r="GS30" s="650"/>
      <c r="GT30" s="650"/>
      <c r="GU30" s="650"/>
      <c r="GV30" s="650"/>
      <c r="GW30" s="650"/>
      <c r="GX30" s="393"/>
      <c r="GY30" s="394"/>
      <c r="GZ30" s="395">
        <f t="shared" si="53"/>
        <v>0</v>
      </c>
      <c r="HA30" s="396"/>
      <c r="HB30" s="394"/>
      <c r="HC30" s="395">
        <f t="shared" si="54"/>
        <v>0</v>
      </c>
      <c r="HD30" s="397">
        <f t="shared" si="55"/>
        <v>0</v>
      </c>
      <c r="HE30" s="405">
        <f t="shared" si="56"/>
        <v>0</v>
      </c>
      <c r="HF30" s="398">
        <f t="shared" si="57"/>
        <v>0</v>
      </c>
      <c r="HG30" s="398"/>
      <c r="HH30" s="514">
        <f t="shared" ref="HH30" si="390">HH22+HH25+HH28+HH29</f>
        <v>3447</v>
      </c>
      <c r="HI30" s="511">
        <f t="shared" ref="HI30" si="391">HI22+HI25+HI28+HI29</f>
        <v>539</v>
      </c>
      <c r="HJ30" s="511">
        <f t="shared" ref="HJ30" si="392">HJ22+HJ25+HJ28+HJ29</f>
        <v>3153</v>
      </c>
      <c r="HK30" s="511">
        <f t="shared" ref="HK30" si="393">HK22+HK25+HK28+HK29</f>
        <v>539</v>
      </c>
      <c r="HL30" s="511">
        <f t="shared" ref="HL30" si="394">HL22+HL25+HL28+HL29</f>
        <v>280</v>
      </c>
      <c r="HM30" s="511">
        <f t="shared" ref="HM30" si="395">HM22+HM25+HM28+HM29</f>
        <v>0</v>
      </c>
      <c r="HN30" s="511">
        <f t="shared" ref="HN30" si="396">HN22+HN25+HN28+HN29</f>
        <v>0</v>
      </c>
      <c r="HO30" s="511">
        <f t="shared" ref="HO30" si="397">HO22+HO25+HO28+HO29</f>
        <v>3986</v>
      </c>
      <c r="HP30" s="511" t="e">
        <f t="shared" ref="HP30" si="398">HP22+HP25+HP28+HP29</f>
        <v>#DIV/0!</v>
      </c>
      <c r="HQ30" s="511">
        <f t="shared" ref="HQ30" si="399">HQ22+HQ25+HQ28+HQ29</f>
        <v>3153</v>
      </c>
      <c r="HR30" s="511">
        <f t="shared" ref="HR30" si="400">HR22+HR25+HR28+HR29</f>
        <v>539</v>
      </c>
      <c r="HS30" s="511">
        <f t="shared" ref="HS30" si="401">HS22+HS25+HS28+HS29</f>
        <v>280</v>
      </c>
      <c r="HT30" s="511">
        <f t="shared" ref="HT30" si="402">HT22+HT25+HT28+HT29</f>
        <v>0</v>
      </c>
      <c r="HU30" s="393"/>
      <c r="HV30" s="394"/>
      <c r="HW30" s="395">
        <f t="shared" si="69"/>
        <v>0</v>
      </c>
      <c r="HX30" s="396"/>
      <c r="HY30" s="394"/>
      <c r="HZ30" s="395">
        <f t="shared" si="70"/>
        <v>0</v>
      </c>
      <c r="IA30" s="397">
        <f t="shared" si="71"/>
        <v>0</v>
      </c>
      <c r="IB30" s="405">
        <f t="shared" si="72"/>
        <v>0</v>
      </c>
      <c r="IC30" s="398">
        <f t="shared" si="73"/>
        <v>0</v>
      </c>
      <c r="ID30" s="398"/>
      <c r="IE30" s="393"/>
      <c r="IF30" s="394"/>
      <c r="IG30" s="395"/>
      <c r="IH30" s="396"/>
      <c r="II30" s="394"/>
      <c r="IJ30" s="395"/>
      <c r="IK30" s="397"/>
      <c r="IL30" s="405"/>
      <c r="IM30" s="398"/>
      <c r="IN30" s="398"/>
      <c r="IO30" s="393"/>
      <c r="IP30" s="394"/>
      <c r="IQ30" s="395"/>
      <c r="IR30" s="396"/>
      <c r="IS30" s="394"/>
      <c r="IT30" s="395"/>
      <c r="IU30" s="397"/>
      <c r="IV30" s="405"/>
      <c r="IW30" s="398"/>
      <c r="IX30" s="398"/>
      <c r="IY30" s="393"/>
      <c r="IZ30" s="394"/>
      <c r="JA30" s="395"/>
      <c r="JB30" s="396"/>
      <c r="JC30" s="394"/>
      <c r="JD30" s="395"/>
      <c r="JE30" s="397"/>
      <c r="JF30" s="405"/>
      <c r="JG30" s="398"/>
      <c r="JH30" s="398"/>
      <c r="JI30" s="494"/>
      <c r="JJ30" s="479"/>
      <c r="JK30" s="479"/>
      <c r="JL30" s="479"/>
      <c r="JM30" s="474"/>
      <c r="JN30" s="474"/>
      <c r="JO30" s="475"/>
      <c r="JP30" s="393"/>
      <c r="JQ30" s="394"/>
      <c r="JR30" s="395"/>
      <c r="JS30" s="396"/>
      <c r="JT30" s="394"/>
      <c r="JU30" s="395"/>
      <c r="JV30" s="397"/>
      <c r="JW30" s="405"/>
      <c r="JX30" s="398"/>
      <c r="JY30" s="398"/>
      <c r="JZ30" s="577"/>
      <c r="KA30" s="412">
        <f t="shared" ref="KA30:KA37" si="403">SUM(JV30+JE30+IU30+IK30+IA30+HD30+GN30+GD30+FT30+ES30+EI30+DY30+DO30+CS30+CI30+BT30+BJ30+AO30+AE30+U30+K30)</f>
        <v>0</v>
      </c>
      <c r="KB30" s="412">
        <f t="shared" ref="KB30:KB37" si="404">SUM(JW30+JF30+IV30+IL30+IB30+HE30+GO30+GE30+FU30+ET30+EJ30+DZ30+DP30+CT30+CJ30+BU30+BK30+AP30+AF30+V30+L30)</f>
        <v>0</v>
      </c>
      <c r="KC30" s="412">
        <f t="shared" ref="KC30:KC37" si="405">SUM(JP30+IY30+IO30+IE30+HU30+GX30+GH30+FX30+FN30+EM30+EC30+DS30+DI30+CM30+CC30+BN30+BD30+AI30+Y30+O30+E30)</f>
        <v>0</v>
      </c>
      <c r="KD30" s="412">
        <f t="shared" ref="KD30:KD37" si="406">SUM(JQ30+IZ30+IP30+IF30+HV30+GY30+GI30+FY30+FO30+EN30+ED30+DT30+DJ30+CN30+CD30+BO30+BE30+AJ30+Z30+P30+F30)</f>
        <v>0</v>
      </c>
      <c r="KE30" s="412">
        <f t="shared" ref="KE30:KE37" si="407">SUM(JS30+JB30+IR30+IH30+HX30+HA30+GK30+GA30+FQ30+EP30+EF30+DV30+DL30+CP30+CF30+BQ30+BG30+AL30+AB30+R30+H30)</f>
        <v>0</v>
      </c>
      <c r="KF30" s="693">
        <f t="shared" ref="KF30:KF37" si="408">SUM(JT30+JC30+IS30+II30+HY30+HB30+GL30+GB30+FR30+EQ30+EG30+DW30+DM30+CQ30+CG30+BR30+BH30+AM30+AC30+S30+I30)</f>
        <v>0</v>
      </c>
      <c r="KG30" s="687"/>
      <c r="KH30" s="680"/>
      <c r="KI30" s="680"/>
      <c r="KJ30" s="681"/>
      <c r="KK30" s="359"/>
      <c r="KL30" s="359"/>
      <c r="KM30" s="359"/>
      <c r="KN30" s="359"/>
      <c r="KO30" s="359"/>
      <c r="KP30" s="359"/>
      <c r="KQ30" s="359"/>
    </row>
    <row r="31" spans="1:303" ht="36" customHeight="1" x14ac:dyDescent="0.3">
      <c r="A31" s="385"/>
      <c r="B31" s="500" t="s">
        <v>144</v>
      </c>
      <c r="C31" s="391"/>
      <c r="D31" s="392"/>
      <c r="E31" s="393"/>
      <c r="F31" s="394"/>
      <c r="G31" s="395"/>
      <c r="H31" s="396"/>
      <c r="I31" s="394"/>
      <c r="J31" s="395"/>
      <c r="K31" s="397"/>
      <c r="L31" s="398"/>
      <c r="M31" s="398"/>
      <c r="N31" s="399"/>
      <c r="O31" s="393"/>
      <c r="P31" s="394"/>
      <c r="Q31" s="400"/>
      <c r="R31" s="396"/>
      <c r="S31" s="394"/>
      <c r="T31" s="400"/>
      <c r="U31" s="397"/>
      <c r="V31" s="398"/>
      <c r="W31" s="398"/>
      <c r="X31" s="399"/>
      <c r="Y31" s="393"/>
      <c r="Z31" s="394"/>
      <c r="AA31" s="400"/>
      <c r="AB31" s="396"/>
      <c r="AC31" s="394"/>
      <c r="AD31" s="400"/>
      <c r="AE31" s="397"/>
      <c r="AF31" s="405"/>
      <c r="AG31" s="398"/>
      <c r="AH31" s="403"/>
      <c r="AI31" s="393"/>
      <c r="AJ31" s="394"/>
      <c r="AK31" s="395"/>
      <c r="AL31" s="396"/>
      <c r="AM31" s="394"/>
      <c r="AN31" s="395"/>
      <c r="AO31" s="397"/>
      <c r="AP31" s="398"/>
      <c r="AQ31" s="398"/>
      <c r="AR31" s="404"/>
      <c r="AS31" s="510">
        <f>AS23+AS24+AS26</f>
        <v>0</v>
      </c>
      <c r="AT31" s="510">
        <f t="shared" ref="AT31:AV31" si="409">AT23+AT24+AT26</f>
        <v>0</v>
      </c>
      <c r="AU31" s="510">
        <f t="shared" si="409"/>
        <v>0</v>
      </c>
      <c r="AV31" s="510">
        <f t="shared" si="409"/>
        <v>0</v>
      </c>
      <c r="AW31" s="510">
        <f t="shared" ref="AW31:BC31" si="410">AW23+AW24+AW26</f>
        <v>0</v>
      </c>
      <c r="AX31" s="510">
        <f t="shared" si="410"/>
        <v>0</v>
      </c>
      <c r="AY31" s="510">
        <f t="shared" si="410"/>
        <v>0</v>
      </c>
      <c r="AZ31" s="510">
        <f t="shared" si="410"/>
        <v>0</v>
      </c>
      <c r="BA31" s="510">
        <f t="shared" si="410"/>
        <v>0</v>
      </c>
      <c r="BB31" s="510">
        <f t="shared" si="410"/>
        <v>0</v>
      </c>
      <c r="BC31" s="510">
        <f t="shared" si="410"/>
        <v>0</v>
      </c>
      <c r="BD31" s="393"/>
      <c r="BE31" s="394"/>
      <c r="BF31" s="395"/>
      <c r="BG31" s="396"/>
      <c r="BH31" s="394"/>
      <c r="BI31" s="395"/>
      <c r="BJ31" s="397"/>
      <c r="BK31" s="398"/>
      <c r="BL31" s="405"/>
      <c r="BM31" s="398"/>
      <c r="BN31" s="393"/>
      <c r="BO31" s="394"/>
      <c r="BP31" s="395"/>
      <c r="BQ31" s="396"/>
      <c r="BR31" s="394"/>
      <c r="BS31" s="395"/>
      <c r="BT31" s="397"/>
      <c r="BU31" s="405"/>
      <c r="BV31" s="398"/>
      <c r="BW31" s="398"/>
      <c r="BX31" s="626"/>
      <c r="BY31" s="626"/>
      <c r="BZ31" s="626"/>
      <c r="CA31" s="626"/>
      <c r="CB31" s="625"/>
      <c r="CC31" s="393"/>
      <c r="CD31" s="394"/>
      <c r="CE31" s="395"/>
      <c r="CF31" s="396"/>
      <c r="CG31" s="394"/>
      <c r="CH31" s="395"/>
      <c r="CI31" s="397"/>
      <c r="CJ31" s="398"/>
      <c r="CK31" s="398"/>
      <c r="CL31" s="414"/>
      <c r="CM31" s="393"/>
      <c r="CN31" s="394"/>
      <c r="CO31" s="395"/>
      <c r="CP31" s="396"/>
      <c r="CQ31" s="394"/>
      <c r="CR31" s="395"/>
      <c r="CS31" s="397"/>
      <c r="CT31" s="398"/>
      <c r="CU31" s="405"/>
      <c r="CV31" s="405"/>
      <c r="CW31" s="514">
        <f>CW23+CW24+CW26</f>
        <v>1248</v>
      </c>
      <c r="CX31" s="511">
        <f t="shared" ref="CX31:CZ31" si="411">CX23+CX24+CX26</f>
        <v>1056</v>
      </c>
      <c r="CY31" s="511">
        <f t="shared" si="411"/>
        <v>2304</v>
      </c>
      <c r="CZ31" s="511">
        <f t="shared" si="411"/>
        <v>0</v>
      </c>
      <c r="DA31" s="501"/>
      <c r="DB31" s="501"/>
      <c r="DC31" s="515"/>
      <c r="DD31" s="501">
        <f>DD23+DD24+DD26</f>
        <v>1248</v>
      </c>
      <c r="DE31" s="501">
        <f t="shared" ref="DE31:DG31" si="412">DE23+DE24+DE26</f>
        <v>1056</v>
      </c>
      <c r="DF31" s="501">
        <f t="shared" si="412"/>
        <v>0</v>
      </c>
      <c r="DG31" s="501">
        <f t="shared" si="412"/>
        <v>0</v>
      </c>
      <c r="DH31" s="513"/>
      <c r="DI31" s="393"/>
      <c r="DJ31" s="394"/>
      <c r="DK31" s="395"/>
      <c r="DL31" s="396"/>
      <c r="DM31" s="394"/>
      <c r="DN31" s="395"/>
      <c r="DO31" s="397"/>
      <c r="DP31" s="405"/>
      <c r="DQ31" s="398"/>
      <c r="DR31" s="398"/>
      <c r="DS31" s="393"/>
      <c r="DT31" s="394"/>
      <c r="DU31" s="395"/>
      <c r="DV31" s="396"/>
      <c r="DW31" s="394"/>
      <c r="DX31" s="395"/>
      <c r="DY31" s="397"/>
      <c r="DZ31" s="405"/>
      <c r="EA31" s="398"/>
      <c r="EB31" s="398"/>
      <c r="EC31" s="393"/>
      <c r="ED31" s="394"/>
      <c r="EE31" s="395"/>
      <c r="EF31" s="396"/>
      <c r="EG31" s="394"/>
      <c r="EH31" s="395"/>
      <c r="EI31" s="397"/>
      <c r="EJ31" s="405"/>
      <c r="EK31" s="398"/>
      <c r="EL31" s="398"/>
      <c r="EM31" s="393"/>
      <c r="EN31" s="394"/>
      <c r="EO31" s="395"/>
      <c r="EP31" s="396"/>
      <c r="EQ31" s="394"/>
      <c r="ER31" s="395"/>
      <c r="ES31" s="397"/>
      <c r="ET31" s="405"/>
      <c r="EU31" s="398"/>
      <c r="EV31" s="398"/>
      <c r="EW31" s="514">
        <f>EW23+EW24+EW26</f>
        <v>1534</v>
      </c>
      <c r="EX31" s="511">
        <f t="shared" ref="EX31:EZ31" si="413">EX23+EX24+EX26</f>
        <v>1733</v>
      </c>
      <c r="EY31" s="511">
        <f t="shared" si="413"/>
        <v>3267</v>
      </c>
      <c r="EZ31" s="511">
        <f t="shared" si="413"/>
        <v>0</v>
      </c>
      <c r="FA31" s="501"/>
      <c r="FB31" s="501"/>
      <c r="FC31" s="515"/>
      <c r="FD31" s="501">
        <f>FD23+FD24+FD26</f>
        <v>2782</v>
      </c>
      <c r="FE31" s="501">
        <f t="shared" ref="FE31:FG31" si="414">FE23+FE24+FE26</f>
        <v>2789</v>
      </c>
      <c r="FF31" s="501">
        <f t="shared" si="414"/>
        <v>0</v>
      </c>
      <c r="FG31" s="501">
        <f t="shared" si="414"/>
        <v>0</v>
      </c>
      <c r="FH31" s="516"/>
      <c r="FI31" s="577"/>
      <c r="FJ31" s="577"/>
      <c r="FK31" s="577"/>
      <c r="FL31" s="577"/>
      <c r="FM31" s="577"/>
      <c r="FN31" s="393"/>
      <c r="FO31" s="394"/>
      <c r="FP31" s="395"/>
      <c r="FQ31" s="396"/>
      <c r="FR31" s="394"/>
      <c r="FS31" s="395"/>
      <c r="FT31" s="397"/>
      <c r="FU31" s="405"/>
      <c r="FV31" s="398"/>
      <c r="FW31" s="398"/>
      <c r="FX31" s="393"/>
      <c r="FY31" s="394"/>
      <c r="FZ31" s="395"/>
      <c r="GA31" s="396"/>
      <c r="GB31" s="394"/>
      <c r="GC31" s="395"/>
      <c r="GD31" s="397"/>
      <c r="GE31" s="405"/>
      <c r="GF31" s="398"/>
      <c r="GG31" s="398"/>
      <c r="GH31" s="393"/>
      <c r="GI31" s="394"/>
      <c r="GJ31" s="395"/>
      <c r="GK31" s="396"/>
      <c r="GL31" s="394"/>
      <c r="GM31" s="395"/>
      <c r="GN31" s="397"/>
      <c r="GO31" s="405"/>
      <c r="GP31" s="398"/>
      <c r="GQ31" s="398"/>
      <c r="GR31" s="650"/>
      <c r="GS31" s="650"/>
      <c r="GT31" s="650"/>
      <c r="GU31" s="650"/>
      <c r="GV31" s="650"/>
      <c r="GW31" s="650"/>
      <c r="GX31" s="393"/>
      <c r="GY31" s="394"/>
      <c r="GZ31" s="395">
        <f t="shared" si="53"/>
        <v>0</v>
      </c>
      <c r="HA31" s="396"/>
      <c r="HB31" s="394"/>
      <c r="HC31" s="395">
        <f t="shared" si="54"/>
        <v>0</v>
      </c>
      <c r="HD31" s="397">
        <f t="shared" si="55"/>
        <v>0</v>
      </c>
      <c r="HE31" s="405">
        <f t="shared" si="56"/>
        <v>0</v>
      </c>
      <c r="HF31" s="398">
        <f t="shared" si="57"/>
        <v>0</v>
      </c>
      <c r="HG31" s="398"/>
      <c r="HH31" s="514">
        <f>HH23+HH24+HH26</f>
        <v>1860</v>
      </c>
      <c r="HI31" s="511">
        <f t="shared" ref="HI31:HK31" si="415">HI23+HI24+HI26</f>
        <v>1560</v>
      </c>
      <c r="HJ31" s="511">
        <f t="shared" si="415"/>
        <v>1860</v>
      </c>
      <c r="HK31" s="511">
        <f t="shared" si="415"/>
        <v>1560</v>
      </c>
      <c r="HL31" s="511"/>
      <c r="HM31" s="511"/>
      <c r="HN31" s="501"/>
      <c r="HO31" s="501"/>
      <c r="HP31" s="515"/>
      <c r="HQ31" s="501">
        <f>HQ23+HQ24+HQ26</f>
        <v>1860</v>
      </c>
      <c r="HR31" s="501">
        <f t="shared" ref="HR31:HT31" si="416">HR23+HR24+HR26</f>
        <v>1560</v>
      </c>
      <c r="HS31" s="501">
        <f t="shared" si="416"/>
        <v>0</v>
      </c>
      <c r="HT31" s="501">
        <f t="shared" si="416"/>
        <v>0</v>
      </c>
      <c r="HU31" s="393"/>
      <c r="HV31" s="394"/>
      <c r="HW31" s="395">
        <f t="shared" si="69"/>
        <v>0</v>
      </c>
      <c r="HX31" s="396"/>
      <c r="HY31" s="394"/>
      <c r="HZ31" s="395">
        <f t="shared" si="70"/>
        <v>0</v>
      </c>
      <c r="IA31" s="397">
        <f t="shared" si="71"/>
        <v>0</v>
      </c>
      <c r="IB31" s="405">
        <f t="shared" si="72"/>
        <v>0</v>
      </c>
      <c r="IC31" s="398">
        <f t="shared" si="73"/>
        <v>0</v>
      </c>
      <c r="ID31" s="398"/>
      <c r="IE31" s="393"/>
      <c r="IF31" s="394"/>
      <c r="IG31" s="395"/>
      <c r="IH31" s="396"/>
      <c r="II31" s="394"/>
      <c r="IJ31" s="395"/>
      <c r="IK31" s="397"/>
      <c r="IL31" s="405"/>
      <c r="IM31" s="398"/>
      <c r="IN31" s="398"/>
      <c r="IO31" s="393"/>
      <c r="IP31" s="394"/>
      <c r="IQ31" s="395"/>
      <c r="IR31" s="396"/>
      <c r="IS31" s="394"/>
      <c r="IT31" s="395"/>
      <c r="IU31" s="397"/>
      <c r="IV31" s="405"/>
      <c r="IW31" s="398"/>
      <c r="IX31" s="398"/>
      <c r="IY31" s="393"/>
      <c r="IZ31" s="394"/>
      <c r="JA31" s="395"/>
      <c r="JB31" s="396"/>
      <c r="JC31" s="394"/>
      <c r="JD31" s="395"/>
      <c r="JE31" s="397"/>
      <c r="JF31" s="405"/>
      <c r="JG31" s="398"/>
      <c r="JH31" s="398"/>
      <c r="JI31" s="494"/>
      <c r="JJ31" s="479"/>
      <c r="JK31" s="479"/>
      <c r="JL31" s="479"/>
      <c r="JM31" s="474"/>
      <c r="JN31" s="474"/>
      <c r="JO31" s="475"/>
      <c r="JP31" s="393"/>
      <c r="JQ31" s="394"/>
      <c r="JR31" s="395"/>
      <c r="JS31" s="396"/>
      <c r="JT31" s="394"/>
      <c r="JU31" s="395"/>
      <c r="JV31" s="397"/>
      <c r="JW31" s="405"/>
      <c r="JX31" s="398"/>
      <c r="JY31" s="398"/>
      <c r="JZ31" s="577"/>
      <c r="KA31" s="412">
        <f t="shared" si="403"/>
        <v>0</v>
      </c>
      <c r="KB31" s="412">
        <f t="shared" si="404"/>
        <v>0</v>
      </c>
      <c r="KC31" s="412">
        <f t="shared" si="405"/>
        <v>0</v>
      </c>
      <c r="KD31" s="412">
        <f t="shared" si="406"/>
        <v>0</v>
      </c>
      <c r="KE31" s="412">
        <f t="shared" si="407"/>
        <v>0</v>
      </c>
      <c r="KF31" s="693">
        <f t="shared" si="408"/>
        <v>0</v>
      </c>
      <c r="KG31" s="687"/>
      <c r="KH31" s="680"/>
      <c r="KI31" s="680"/>
      <c r="KJ31" s="681"/>
      <c r="KK31" s="359"/>
      <c r="KL31" s="359"/>
      <c r="KM31" s="359"/>
      <c r="KN31" s="359"/>
      <c r="KO31" s="359"/>
      <c r="KP31" s="359"/>
      <c r="KQ31" s="359"/>
    </row>
    <row r="32" spans="1:303" ht="36" customHeight="1" x14ac:dyDescent="0.3">
      <c r="A32" s="385" t="s">
        <v>145</v>
      </c>
      <c r="B32" s="391"/>
      <c r="C32" s="391"/>
      <c r="D32" s="392"/>
      <c r="E32" s="393"/>
      <c r="F32" s="394"/>
      <c r="G32" s="395"/>
      <c r="H32" s="396"/>
      <c r="I32" s="394"/>
      <c r="J32" s="395"/>
      <c r="K32" s="397"/>
      <c r="L32" s="398"/>
      <c r="M32" s="398"/>
      <c r="N32" s="399"/>
      <c r="O32" s="393"/>
      <c r="P32" s="394"/>
      <c r="Q32" s="400"/>
      <c r="R32" s="396"/>
      <c r="S32" s="394"/>
      <c r="T32" s="400"/>
      <c r="U32" s="397"/>
      <c r="V32" s="398"/>
      <c r="W32" s="398"/>
      <c r="X32" s="399"/>
      <c r="Y32" s="393"/>
      <c r="Z32" s="394"/>
      <c r="AA32" s="400"/>
      <c r="AB32" s="396"/>
      <c r="AC32" s="394"/>
      <c r="AD32" s="400"/>
      <c r="AE32" s="397"/>
      <c r="AF32" s="405"/>
      <c r="AG32" s="398"/>
      <c r="AH32" s="403"/>
      <c r="AI32" s="393"/>
      <c r="AJ32" s="394"/>
      <c r="AK32" s="395"/>
      <c r="AL32" s="396"/>
      <c r="AM32" s="394"/>
      <c r="AN32" s="395"/>
      <c r="AO32" s="397"/>
      <c r="AP32" s="398"/>
      <c r="AQ32" s="398"/>
      <c r="AR32" s="404"/>
      <c r="AS32" s="486"/>
      <c r="AT32" s="487"/>
      <c r="AU32" s="487"/>
      <c r="AV32" s="487"/>
      <c r="AW32" s="478"/>
      <c r="AX32" s="479"/>
      <c r="AY32" s="537"/>
      <c r="AZ32" s="548"/>
      <c r="BA32" s="548"/>
      <c r="BB32" s="548"/>
      <c r="BC32" s="548"/>
      <c r="BD32" s="393"/>
      <c r="BE32" s="394"/>
      <c r="BF32" s="395"/>
      <c r="BG32" s="396"/>
      <c r="BH32" s="394"/>
      <c r="BI32" s="395"/>
      <c r="BJ32" s="397"/>
      <c r="BK32" s="398"/>
      <c r="BL32" s="405"/>
      <c r="BM32" s="398"/>
      <c r="BN32" s="393"/>
      <c r="BO32" s="394"/>
      <c r="BP32" s="395"/>
      <c r="BQ32" s="396"/>
      <c r="BR32" s="394"/>
      <c r="BS32" s="395"/>
      <c r="BT32" s="397"/>
      <c r="BU32" s="405"/>
      <c r="BV32" s="398"/>
      <c r="BW32" s="398"/>
      <c r="BX32" s="626">
        <f t="shared" si="16"/>
        <v>0</v>
      </c>
      <c r="BY32" s="626">
        <f t="shared" si="17"/>
        <v>0</v>
      </c>
      <c r="BZ32" s="626">
        <f t="shared" si="18"/>
        <v>0</v>
      </c>
      <c r="CA32" s="626">
        <f t="shared" si="19"/>
        <v>0</v>
      </c>
      <c r="CB32" s="625">
        <f t="shared" si="20"/>
        <v>0</v>
      </c>
      <c r="CC32" s="393"/>
      <c r="CD32" s="394"/>
      <c r="CE32" s="395"/>
      <c r="CF32" s="396"/>
      <c r="CG32" s="394"/>
      <c r="CH32" s="395"/>
      <c r="CI32" s="397"/>
      <c r="CJ32" s="398"/>
      <c r="CK32" s="398"/>
      <c r="CL32" s="414"/>
      <c r="CM32" s="393"/>
      <c r="CN32" s="394"/>
      <c r="CO32" s="395"/>
      <c r="CP32" s="396"/>
      <c r="CQ32" s="394"/>
      <c r="CR32" s="395"/>
      <c r="CS32" s="397"/>
      <c r="CT32" s="398"/>
      <c r="CU32" s="405"/>
      <c r="CV32" s="405"/>
      <c r="CW32" s="492"/>
      <c r="CX32" s="487"/>
      <c r="CY32" s="487"/>
      <c r="CZ32" s="487"/>
      <c r="DA32" s="474"/>
      <c r="DB32" s="474"/>
      <c r="DC32" s="475"/>
      <c r="DD32" s="547"/>
      <c r="DE32" s="547"/>
      <c r="DF32" s="547"/>
      <c r="DG32" s="547"/>
      <c r="DH32" s="576">
        <f t="shared" si="25"/>
        <v>0</v>
      </c>
      <c r="DI32" s="393"/>
      <c r="DJ32" s="394"/>
      <c r="DK32" s="395"/>
      <c r="DL32" s="396"/>
      <c r="DM32" s="394"/>
      <c r="DN32" s="395"/>
      <c r="DO32" s="397"/>
      <c r="DP32" s="405"/>
      <c r="DQ32" s="398"/>
      <c r="DR32" s="398"/>
      <c r="DS32" s="393"/>
      <c r="DT32" s="394"/>
      <c r="DU32" s="395"/>
      <c r="DV32" s="396"/>
      <c r="DW32" s="394"/>
      <c r="DX32" s="395"/>
      <c r="DY32" s="397"/>
      <c r="DZ32" s="405"/>
      <c r="EA32" s="398"/>
      <c r="EB32" s="398"/>
      <c r="EC32" s="393"/>
      <c r="ED32" s="394"/>
      <c r="EE32" s="395"/>
      <c r="EF32" s="396"/>
      <c r="EG32" s="394"/>
      <c r="EH32" s="395"/>
      <c r="EI32" s="397"/>
      <c r="EJ32" s="405"/>
      <c r="EK32" s="398"/>
      <c r="EL32" s="398"/>
      <c r="EM32" s="393"/>
      <c r="EN32" s="394"/>
      <c r="EO32" s="395"/>
      <c r="EP32" s="396"/>
      <c r="EQ32" s="394"/>
      <c r="ER32" s="395"/>
      <c r="ES32" s="397"/>
      <c r="ET32" s="405"/>
      <c r="EU32" s="398"/>
      <c r="EV32" s="398"/>
      <c r="EW32" s="492"/>
      <c r="EX32" s="487"/>
      <c r="EY32" s="487"/>
      <c r="EZ32" s="487"/>
      <c r="FA32" s="474"/>
      <c r="FB32" s="474"/>
      <c r="FC32" s="475"/>
      <c r="FD32" s="547">
        <f t="shared" si="31"/>
        <v>0</v>
      </c>
      <c r="FE32" s="547">
        <f t="shared" si="32"/>
        <v>0</v>
      </c>
      <c r="FF32" s="547">
        <f t="shared" si="33"/>
        <v>0</v>
      </c>
      <c r="FG32" s="547">
        <f t="shared" si="34"/>
        <v>0</v>
      </c>
      <c r="FH32" s="577">
        <f t="shared" si="35"/>
        <v>0</v>
      </c>
      <c r="FI32" s="577">
        <f t="shared" si="36"/>
        <v>0</v>
      </c>
      <c r="FJ32" s="577">
        <f t="shared" si="37"/>
        <v>0</v>
      </c>
      <c r="FK32" s="577">
        <f t="shared" si="38"/>
        <v>0</v>
      </c>
      <c r="FL32" s="577">
        <f t="shared" si="39"/>
        <v>0</v>
      </c>
      <c r="FM32" s="577">
        <f t="shared" si="40"/>
        <v>0</v>
      </c>
      <c r="FN32" s="393"/>
      <c r="FO32" s="394"/>
      <c r="FP32" s="395"/>
      <c r="FQ32" s="396"/>
      <c r="FR32" s="394"/>
      <c r="FS32" s="395"/>
      <c r="FT32" s="397"/>
      <c r="FU32" s="405"/>
      <c r="FV32" s="398"/>
      <c r="FW32" s="398"/>
      <c r="FX32" s="393"/>
      <c r="FY32" s="394"/>
      <c r="FZ32" s="395"/>
      <c r="GA32" s="396"/>
      <c r="GB32" s="394"/>
      <c r="GC32" s="395"/>
      <c r="GD32" s="397">
        <f t="shared" si="41"/>
        <v>0</v>
      </c>
      <c r="GE32" s="405">
        <f t="shared" si="42"/>
        <v>0</v>
      </c>
      <c r="GF32" s="398">
        <f t="shared" si="43"/>
        <v>0</v>
      </c>
      <c r="GG32" s="398"/>
      <c r="GH32" s="393"/>
      <c r="GI32" s="394"/>
      <c r="GJ32" s="395"/>
      <c r="GK32" s="396"/>
      <c r="GL32" s="394"/>
      <c r="GM32" s="395"/>
      <c r="GN32" s="397">
        <f t="shared" si="97"/>
        <v>0</v>
      </c>
      <c r="GO32" s="405">
        <f t="shared" si="98"/>
        <v>0</v>
      </c>
      <c r="GP32" s="398">
        <f t="shared" si="99"/>
        <v>0</v>
      </c>
      <c r="GQ32" s="398"/>
      <c r="GR32" s="650">
        <f t="shared" si="47"/>
        <v>0</v>
      </c>
      <c r="GS32" s="650">
        <f t="shared" si="48"/>
        <v>0</v>
      </c>
      <c r="GT32" s="650">
        <f t="shared" si="49"/>
        <v>0</v>
      </c>
      <c r="GU32" s="650">
        <f t="shared" si="50"/>
        <v>0</v>
      </c>
      <c r="GV32" s="650">
        <f t="shared" si="51"/>
        <v>0</v>
      </c>
      <c r="GW32" s="650">
        <f t="shared" si="52"/>
        <v>0</v>
      </c>
      <c r="GX32" s="393"/>
      <c r="GY32" s="394"/>
      <c r="GZ32" s="395">
        <f t="shared" si="53"/>
        <v>0</v>
      </c>
      <c r="HA32" s="396"/>
      <c r="HB32" s="394"/>
      <c r="HC32" s="395">
        <f t="shared" si="54"/>
        <v>0</v>
      </c>
      <c r="HD32" s="397">
        <f t="shared" si="55"/>
        <v>0</v>
      </c>
      <c r="HE32" s="405">
        <f t="shared" si="56"/>
        <v>0</v>
      </c>
      <c r="HF32" s="398">
        <f t="shared" si="57"/>
        <v>0</v>
      </c>
      <c r="HG32" s="398"/>
      <c r="HH32" s="492">
        <f t="shared" si="58"/>
        <v>0</v>
      </c>
      <c r="HI32" s="487">
        <f t="shared" si="59"/>
        <v>0</v>
      </c>
      <c r="HJ32" s="487">
        <f t="shared" si="60"/>
        <v>0</v>
      </c>
      <c r="HK32" s="487">
        <f t="shared" si="61"/>
        <v>0</v>
      </c>
      <c r="HL32" s="487">
        <f t="shared" si="62"/>
        <v>0</v>
      </c>
      <c r="HM32" s="487">
        <f t="shared" si="63"/>
        <v>0</v>
      </c>
      <c r="HN32" s="474"/>
      <c r="HO32" s="474">
        <f t="shared" si="64"/>
        <v>0</v>
      </c>
      <c r="HP32" s="475"/>
      <c r="HQ32" s="547"/>
      <c r="HR32" s="547"/>
      <c r="HS32" s="547"/>
      <c r="HT32" s="547"/>
      <c r="HU32" s="393"/>
      <c r="HV32" s="394"/>
      <c r="HW32" s="395">
        <f t="shared" si="69"/>
        <v>0</v>
      </c>
      <c r="HX32" s="396"/>
      <c r="HY32" s="394"/>
      <c r="HZ32" s="395">
        <f t="shared" si="70"/>
        <v>0</v>
      </c>
      <c r="IA32" s="397">
        <f t="shared" si="71"/>
        <v>0</v>
      </c>
      <c r="IB32" s="405">
        <f t="shared" si="72"/>
        <v>0</v>
      </c>
      <c r="IC32" s="398">
        <f t="shared" si="73"/>
        <v>0</v>
      </c>
      <c r="ID32" s="398"/>
      <c r="IE32" s="393"/>
      <c r="IF32" s="394"/>
      <c r="IG32" s="395"/>
      <c r="IH32" s="396"/>
      <c r="II32" s="394"/>
      <c r="IJ32" s="395"/>
      <c r="IK32" s="397"/>
      <c r="IL32" s="405"/>
      <c r="IM32" s="398"/>
      <c r="IN32" s="398"/>
      <c r="IO32" s="393"/>
      <c r="IP32" s="394"/>
      <c r="IQ32" s="395"/>
      <c r="IR32" s="396"/>
      <c r="IS32" s="394"/>
      <c r="IT32" s="395"/>
      <c r="IU32" s="397"/>
      <c r="IV32" s="405"/>
      <c r="IW32" s="398"/>
      <c r="IX32" s="398"/>
      <c r="IY32" s="393"/>
      <c r="IZ32" s="394"/>
      <c r="JA32" s="395"/>
      <c r="JB32" s="396"/>
      <c r="JC32" s="394"/>
      <c r="JD32" s="395"/>
      <c r="JE32" s="397"/>
      <c r="JF32" s="405"/>
      <c r="JG32" s="398"/>
      <c r="JH32" s="398"/>
      <c r="JI32" s="494"/>
      <c r="JJ32" s="479"/>
      <c r="JK32" s="479"/>
      <c r="JL32" s="479"/>
      <c r="JM32" s="474"/>
      <c r="JN32" s="474">
        <f t="shared" si="74"/>
        <v>0</v>
      </c>
      <c r="JO32" s="475"/>
      <c r="JP32" s="393"/>
      <c r="JQ32" s="394"/>
      <c r="JR32" s="395"/>
      <c r="JS32" s="396"/>
      <c r="JT32" s="394"/>
      <c r="JU32" s="395"/>
      <c r="JV32" s="397"/>
      <c r="JW32" s="405"/>
      <c r="JX32" s="398"/>
      <c r="JY32" s="398"/>
      <c r="JZ32" s="577">
        <f t="shared" ref="JZ32:JZ43" si="417">JX32+JN32+HO32+FB32</f>
        <v>0</v>
      </c>
      <c r="KA32" s="412">
        <f t="shared" si="403"/>
        <v>0</v>
      </c>
      <c r="KB32" s="412">
        <f t="shared" si="404"/>
        <v>0</v>
      </c>
      <c r="KC32" s="412">
        <f t="shared" si="405"/>
        <v>0</v>
      </c>
      <c r="KD32" s="412">
        <f t="shared" si="406"/>
        <v>0</v>
      </c>
      <c r="KE32" s="412">
        <f t="shared" si="407"/>
        <v>0</v>
      </c>
      <c r="KF32" s="693">
        <f t="shared" si="408"/>
        <v>0</v>
      </c>
      <c r="KG32" s="687"/>
      <c r="KH32" s="680"/>
      <c r="KI32" s="680"/>
      <c r="KJ32" s="681"/>
      <c r="KK32" s="359"/>
      <c r="KL32" s="359"/>
      <c r="KM32" s="359"/>
      <c r="KN32" s="359"/>
      <c r="KO32" s="359"/>
      <c r="KP32" s="359"/>
      <c r="KQ32" s="359"/>
    </row>
    <row r="33" spans="1:303" s="301" customFormat="1" ht="36" customHeight="1" x14ac:dyDescent="0.3">
      <c r="A33" s="751" t="s">
        <v>27</v>
      </c>
      <c r="B33" s="751"/>
      <c r="C33" s="751"/>
      <c r="D33" s="751"/>
      <c r="E33" s="419"/>
      <c r="F33" s="420"/>
      <c r="G33" s="420"/>
      <c r="H33" s="421"/>
      <c r="I33" s="420"/>
      <c r="J33" s="420"/>
      <c r="K33" s="422"/>
      <c r="L33" s="423"/>
      <c r="M33" s="423"/>
      <c r="N33" s="424"/>
      <c r="O33" s="419"/>
      <c r="P33" s="420"/>
      <c r="Q33" s="425"/>
      <c r="R33" s="421"/>
      <c r="S33" s="420"/>
      <c r="T33" s="425"/>
      <c r="U33" s="422"/>
      <c r="V33" s="423"/>
      <c r="W33" s="423"/>
      <c r="X33" s="424"/>
      <c r="Y33" s="419"/>
      <c r="Z33" s="420"/>
      <c r="AA33" s="425"/>
      <c r="AB33" s="421"/>
      <c r="AC33" s="420"/>
      <c r="AD33" s="425"/>
      <c r="AE33" s="422"/>
      <c r="AF33" s="425"/>
      <c r="AG33" s="423"/>
      <c r="AH33" s="426"/>
      <c r="AI33" s="419"/>
      <c r="AJ33" s="420"/>
      <c r="AK33" s="420"/>
      <c r="AL33" s="421"/>
      <c r="AM33" s="420"/>
      <c r="AN33" s="420"/>
      <c r="AO33" s="422"/>
      <c r="AP33" s="423"/>
      <c r="AQ33" s="423"/>
      <c r="AR33" s="427"/>
      <c r="AS33" s="428">
        <f t="shared" si="7"/>
        <v>0</v>
      </c>
      <c r="AT33" s="429">
        <f t="shared" si="8"/>
        <v>0</v>
      </c>
      <c r="AU33" s="429">
        <f t="shared" si="9"/>
        <v>0</v>
      </c>
      <c r="AV33" s="429">
        <f t="shared" si="10"/>
        <v>0</v>
      </c>
      <c r="AW33" s="430"/>
      <c r="AX33" s="425">
        <f t="shared" si="11"/>
        <v>0</v>
      </c>
      <c r="AY33" s="538"/>
      <c r="AZ33" s="423">
        <f t="shared" ref="AZ33:AZ52" si="418">SUM(E33+O33+Y33+AI33)</f>
        <v>0</v>
      </c>
      <c r="BA33" s="423">
        <f t="shared" ref="BA33:BA52" si="419">F33+P33+Z33+AJ33</f>
        <v>0</v>
      </c>
      <c r="BB33" s="423">
        <f t="shared" ref="BB33:BB52" si="420">H33+R33+AB33+AL33</f>
        <v>0</v>
      </c>
      <c r="BC33" s="423">
        <f t="shared" ref="BC33:BC52" si="421">I33+S33+AC33+AM33</f>
        <v>0</v>
      </c>
      <c r="BD33" s="419"/>
      <c r="BE33" s="420"/>
      <c r="BF33" s="420"/>
      <c r="BG33" s="421"/>
      <c r="BH33" s="420"/>
      <c r="BI33" s="420"/>
      <c r="BJ33" s="422"/>
      <c r="BK33" s="423"/>
      <c r="BL33" s="425"/>
      <c r="BM33" s="423"/>
      <c r="BN33" s="419"/>
      <c r="BO33" s="420"/>
      <c r="BP33" s="420"/>
      <c r="BQ33" s="421"/>
      <c r="BR33" s="420"/>
      <c r="BS33" s="420"/>
      <c r="BT33" s="422"/>
      <c r="BU33" s="425"/>
      <c r="BV33" s="423"/>
      <c r="BW33" s="423"/>
      <c r="BX33" s="627"/>
      <c r="BY33" s="627"/>
      <c r="BZ33" s="627"/>
      <c r="CA33" s="627"/>
      <c r="CB33" s="627"/>
      <c r="CC33" s="419"/>
      <c r="CD33" s="420"/>
      <c r="CE33" s="420"/>
      <c r="CF33" s="421"/>
      <c r="CG33" s="420"/>
      <c r="CH33" s="420"/>
      <c r="CI33" s="422"/>
      <c r="CJ33" s="423"/>
      <c r="CK33" s="423"/>
      <c r="CL33" s="431"/>
      <c r="CM33" s="419"/>
      <c r="CN33" s="420"/>
      <c r="CO33" s="420"/>
      <c r="CP33" s="421"/>
      <c r="CQ33" s="420"/>
      <c r="CR33" s="420"/>
      <c r="CS33" s="422"/>
      <c r="CT33" s="423"/>
      <c r="CU33" s="425"/>
      <c r="CV33" s="425"/>
      <c r="CW33" s="432">
        <f>SUM(CS33+CI33+BT33+BJ33)</f>
        <v>0</v>
      </c>
      <c r="CX33" s="429">
        <f>SUM(CT33+CJ33+BU33+BK33)</f>
        <v>0</v>
      </c>
      <c r="CY33" s="429">
        <f>SUM(CU33+CK33+BV33+BL33)</f>
        <v>0</v>
      </c>
      <c r="CZ33" s="429">
        <f t="shared" ref="CZ33:CZ43" si="422">SUM(CR33+CH33+BS33+BI33)</f>
        <v>0</v>
      </c>
      <c r="DA33" s="423"/>
      <c r="DB33" s="423"/>
      <c r="DC33" s="433"/>
      <c r="DD33" s="423">
        <f t="shared" si="21"/>
        <v>0</v>
      </c>
      <c r="DE33" s="423">
        <f t="shared" si="22"/>
        <v>0</v>
      </c>
      <c r="DF33" s="423">
        <f t="shared" si="23"/>
        <v>0</v>
      </c>
      <c r="DG33" s="423">
        <f t="shared" si="24"/>
        <v>0</v>
      </c>
      <c r="DH33" s="431">
        <f t="shared" si="25"/>
        <v>0</v>
      </c>
      <c r="DI33" s="419"/>
      <c r="DJ33" s="420"/>
      <c r="DK33" s="420"/>
      <c r="DL33" s="421"/>
      <c r="DM33" s="420"/>
      <c r="DN33" s="420"/>
      <c r="DO33" s="422"/>
      <c r="DP33" s="425"/>
      <c r="DQ33" s="423"/>
      <c r="DR33" s="423"/>
      <c r="DS33" s="419"/>
      <c r="DT33" s="420"/>
      <c r="DU33" s="420"/>
      <c r="DV33" s="421"/>
      <c r="DW33" s="420"/>
      <c r="DX33" s="420"/>
      <c r="DY33" s="422">
        <f t="shared" si="78"/>
        <v>0</v>
      </c>
      <c r="DZ33" s="425">
        <f t="shared" si="79"/>
        <v>0</v>
      </c>
      <c r="EA33" s="423">
        <f t="shared" si="80"/>
        <v>0</v>
      </c>
      <c r="EB33" s="423"/>
      <c r="EC33" s="419" t="s">
        <v>146</v>
      </c>
      <c r="ED33" s="420"/>
      <c r="EE33" s="420"/>
      <c r="EF33" s="421"/>
      <c r="EG33" s="420"/>
      <c r="EH33" s="420"/>
      <c r="EI33" s="422"/>
      <c r="EJ33" s="425"/>
      <c r="EK33" s="423"/>
      <c r="EL33" s="423"/>
      <c r="EM33" s="419"/>
      <c r="EN33" s="420"/>
      <c r="EO33" s="420"/>
      <c r="EP33" s="421"/>
      <c r="EQ33" s="420"/>
      <c r="ER33" s="420"/>
      <c r="ES33" s="422"/>
      <c r="ET33" s="425"/>
      <c r="EU33" s="423"/>
      <c r="EV33" s="423"/>
      <c r="EW33" s="432">
        <f t="shared" si="26"/>
        <v>0</v>
      </c>
      <c r="EX33" s="429">
        <f t="shared" si="27"/>
        <v>0</v>
      </c>
      <c r="EY33" s="429">
        <f t="shared" si="28"/>
        <v>0</v>
      </c>
      <c r="EZ33" s="429">
        <f t="shared" si="29"/>
        <v>0</v>
      </c>
      <c r="FA33" s="423"/>
      <c r="FB33" s="423">
        <f t="shared" si="30"/>
        <v>0</v>
      </c>
      <c r="FC33" s="433"/>
      <c r="FD33" s="633"/>
      <c r="FE33" s="633"/>
      <c r="FF33" s="633"/>
      <c r="FG33" s="633"/>
      <c r="FH33" s="634"/>
      <c r="FI33" s="634"/>
      <c r="FJ33" s="434">
        <f t="shared" si="37"/>
        <v>0</v>
      </c>
      <c r="FK33" s="577">
        <f t="shared" si="38"/>
        <v>0</v>
      </c>
      <c r="FL33" s="577">
        <f t="shared" si="39"/>
        <v>0</v>
      </c>
      <c r="FM33" s="577">
        <f t="shared" si="40"/>
        <v>0</v>
      </c>
      <c r="FN33" s="419"/>
      <c r="FO33" s="420"/>
      <c r="FP33" s="420"/>
      <c r="FQ33" s="421"/>
      <c r="FR33" s="420"/>
      <c r="FS33" s="420"/>
      <c r="FT33" s="422"/>
      <c r="FU33" s="425"/>
      <c r="FV33" s="423"/>
      <c r="FW33" s="423"/>
      <c r="FX33" s="419"/>
      <c r="FY33" s="420"/>
      <c r="FZ33" s="420"/>
      <c r="GA33" s="421"/>
      <c r="GB33" s="420"/>
      <c r="GC33" s="420"/>
      <c r="GD33" s="422">
        <f t="shared" si="41"/>
        <v>0</v>
      </c>
      <c r="GE33" s="425">
        <f t="shared" si="42"/>
        <v>0</v>
      </c>
      <c r="GF33" s="423">
        <f t="shared" si="43"/>
        <v>0</v>
      </c>
      <c r="GG33" s="423"/>
      <c r="GH33" s="419"/>
      <c r="GI33" s="420"/>
      <c r="GJ33" s="420"/>
      <c r="GK33" s="421"/>
      <c r="GL33" s="420"/>
      <c r="GM33" s="420"/>
      <c r="GN33" s="636">
        <f t="shared" ref="GN33:GN35" si="423">GH33+GK33</f>
        <v>0</v>
      </c>
      <c r="GO33" s="637">
        <f t="shared" ref="GO33:GO35" si="424">GI33+GL33</f>
        <v>0</v>
      </c>
      <c r="GP33" s="633">
        <f t="shared" ref="GP33:GP35" si="425">GN33+GO33</f>
        <v>0</v>
      </c>
      <c r="GQ33" s="423"/>
      <c r="GR33" s="434">
        <f t="shared" si="47"/>
        <v>0</v>
      </c>
      <c r="GS33" s="434">
        <f t="shared" si="48"/>
        <v>0</v>
      </c>
      <c r="GT33" s="434" t="e">
        <f t="shared" si="49"/>
        <v>#VALUE!</v>
      </c>
      <c r="GU33" s="434">
        <f t="shared" si="50"/>
        <v>0</v>
      </c>
      <c r="GV33" s="434">
        <f t="shared" si="51"/>
        <v>0</v>
      </c>
      <c r="GW33" s="434">
        <f t="shared" si="52"/>
        <v>0</v>
      </c>
      <c r="GX33" s="419"/>
      <c r="GY33" s="420"/>
      <c r="GZ33" s="420"/>
      <c r="HA33" s="421"/>
      <c r="HB33" s="420"/>
      <c r="HC33" s="420"/>
      <c r="HD33" s="421"/>
      <c r="HE33" s="420"/>
      <c r="HF33" s="420"/>
      <c r="HG33" s="423"/>
      <c r="HH33" s="432">
        <f t="shared" si="58"/>
        <v>0</v>
      </c>
      <c r="HI33" s="429">
        <f t="shared" si="59"/>
        <v>0</v>
      </c>
      <c r="HJ33" s="429">
        <f t="shared" si="60"/>
        <v>0</v>
      </c>
      <c r="HK33" s="429">
        <f t="shared" si="61"/>
        <v>0</v>
      </c>
      <c r="HL33" s="429">
        <f t="shared" si="62"/>
        <v>0</v>
      </c>
      <c r="HM33" s="429">
        <f t="shared" si="63"/>
        <v>0</v>
      </c>
      <c r="HN33" s="423"/>
      <c r="HO33" s="423">
        <f>HF33+GP33+GF33+FV33</f>
        <v>0</v>
      </c>
      <c r="HP33" s="433"/>
      <c r="HQ33" s="423">
        <f t="shared" ref="HQ33:HQ45" si="426">FN33+FX33+GH33+GX33</f>
        <v>0</v>
      </c>
      <c r="HR33" s="423">
        <f t="shared" ref="HR33:HR45" si="427">FO33+FY33+GI33+GY33</f>
        <v>0</v>
      </c>
      <c r="HS33" s="423">
        <f t="shared" ref="HS33:HS45" si="428">FQ33+GA33+GK33+HA33</f>
        <v>0</v>
      </c>
      <c r="HT33" s="423">
        <f t="shared" ref="HT33:HT45" si="429">FR33+GB33+GL33+HB33</f>
        <v>0</v>
      </c>
      <c r="HU33" s="419"/>
      <c r="HV33" s="420"/>
      <c r="HW33" s="420">
        <f t="shared" si="69"/>
        <v>0</v>
      </c>
      <c r="HX33" s="421"/>
      <c r="HY33" s="420"/>
      <c r="HZ33" s="420">
        <f t="shared" si="70"/>
        <v>0</v>
      </c>
      <c r="IA33" s="422">
        <f t="shared" si="71"/>
        <v>0</v>
      </c>
      <c r="IB33" s="425">
        <f t="shared" si="72"/>
        <v>0</v>
      </c>
      <c r="IC33" s="423">
        <f t="shared" si="73"/>
        <v>0</v>
      </c>
      <c r="ID33" s="423"/>
      <c r="IE33" s="419"/>
      <c r="IF33" s="420"/>
      <c r="IG33" s="420"/>
      <c r="IH33" s="421"/>
      <c r="II33" s="420"/>
      <c r="IJ33" s="420"/>
      <c r="IK33" s="422"/>
      <c r="IL33" s="425"/>
      <c r="IM33" s="423"/>
      <c r="IN33" s="423"/>
      <c r="IO33" s="419"/>
      <c r="IP33" s="420"/>
      <c r="IQ33" s="420"/>
      <c r="IR33" s="421"/>
      <c r="IS33" s="420"/>
      <c r="IT33" s="420"/>
      <c r="IU33" s="422"/>
      <c r="IV33" s="425"/>
      <c r="IW33" s="423"/>
      <c r="IX33" s="423"/>
      <c r="IY33" s="419"/>
      <c r="IZ33" s="420"/>
      <c r="JA33" s="420"/>
      <c r="JB33" s="421"/>
      <c r="JC33" s="420"/>
      <c r="JD33" s="420"/>
      <c r="JE33" s="422"/>
      <c r="JF33" s="425"/>
      <c r="JG33" s="423"/>
      <c r="JH33" s="423"/>
      <c r="JI33" s="427"/>
      <c r="JJ33" s="425"/>
      <c r="JK33" s="425"/>
      <c r="JL33" s="425"/>
      <c r="JM33" s="423"/>
      <c r="JN33" s="423">
        <f t="shared" si="74"/>
        <v>0</v>
      </c>
      <c r="JO33" s="433"/>
      <c r="JP33" s="419"/>
      <c r="JQ33" s="420"/>
      <c r="JR33" s="420"/>
      <c r="JS33" s="421"/>
      <c r="JT33" s="420"/>
      <c r="JU33" s="420"/>
      <c r="JV33" s="422"/>
      <c r="JW33" s="425"/>
      <c r="JX33" s="423"/>
      <c r="JY33" s="423"/>
      <c r="JZ33" s="434">
        <f t="shared" si="417"/>
        <v>0</v>
      </c>
      <c r="KA33" s="634">
        <f t="shared" si="403"/>
        <v>0</v>
      </c>
      <c r="KB33" s="634">
        <f t="shared" si="404"/>
        <v>0</v>
      </c>
      <c r="KC33" s="634" t="e">
        <f t="shared" si="405"/>
        <v>#VALUE!</v>
      </c>
      <c r="KD33" s="634">
        <f t="shared" si="406"/>
        <v>0</v>
      </c>
      <c r="KE33" s="634">
        <f t="shared" si="407"/>
        <v>0</v>
      </c>
      <c r="KF33" s="694">
        <f t="shared" si="408"/>
        <v>0</v>
      </c>
      <c r="KG33" s="689"/>
      <c r="KH33" s="435"/>
      <c r="KI33" s="435"/>
      <c r="KJ33" s="436"/>
      <c r="KK33" s="437">
        <f>KG34+KG35</f>
        <v>704</v>
      </c>
      <c r="KL33" s="437">
        <f>SUM(KI34:KI35)</f>
        <v>2496</v>
      </c>
      <c r="KM33" s="437"/>
      <c r="KN33" s="437"/>
      <c r="KO33" s="437"/>
      <c r="KP33" s="437"/>
      <c r="KQ33" s="437"/>
    </row>
    <row r="34" spans="1:303" ht="43.5" customHeight="1" x14ac:dyDescent="0.3">
      <c r="A34" s="744" t="s">
        <v>28</v>
      </c>
      <c r="B34" s="385" t="s">
        <v>147</v>
      </c>
      <c r="C34" s="391" t="s">
        <v>130</v>
      </c>
      <c r="D34" s="392">
        <v>1350</v>
      </c>
      <c r="E34" s="393"/>
      <c r="F34" s="394"/>
      <c r="G34" s="395"/>
      <c r="H34" s="396"/>
      <c r="I34" s="394"/>
      <c r="J34" s="395"/>
      <c r="K34" s="397"/>
      <c r="L34" s="398"/>
      <c r="M34" s="398"/>
      <c r="N34" s="399"/>
      <c r="O34" s="393">
        <v>3</v>
      </c>
      <c r="P34" s="394">
        <v>1</v>
      </c>
      <c r="Q34" s="400">
        <f>SUM(O34:P34)</f>
        <v>4</v>
      </c>
      <c r="R34" s="396">
        <v>0</v>
      </c>
      <c r="S34" s="394">
        <v>0</v>
      </c>
      <c r="T34" s="400">
        <f>SUM(R34:S34)</f>
        <v>0</v>
      </c>
      <c r="U34" s="397">
        <f>SUM(O34+R34)</f>
        <v>3</v>
      </c>
      <c r="V34" s="398">
        <f>SUM(P34+S34)</f>
        <v>1</v>
      </c>
      <c r="W34" s="398">
        <f>SUM(U34:V34)</f>
        <v>4</v>
      </c>
      <c r="X34" s="399"/>
      <c r="Y34" s="393">
        <v>4</v>
      </c>
      <c r="Z34" s="394">
        <v>0</v>
      </c>
      <c r="AA34" s="400">
        <f>SUM(Y34:Z34)</f>
        <v>4</v>
      </c>
      <c r="AB34" s="396">
        <v>0</v>
      </c>
      <c r="AC34" s="394">
        <v>0</v>
      </c>
      <c r="AD34" s="400">
        <f>SUM(AB34:AC34)</f>
        <v>0</v>
      </c>
      <c r="AE34" s="397">
        <f>SUM(Y34+AB34)</f>
        <v>4</v>
      </c>
      <c r="AF34" s="405">
        <f>SUM(Z34+AC34)</f>
        <v>0</v>
      </c>
      <c r="AG34" s="398">
        <f>SUM(AE34:AF34)</f>
        <v>4</v>
      </c>
      <c r="AH34" s="403"/>
      <c r="AI34" s="393">
        <v>9</v>
      </c>
      <c r="AJ34" s="394">
        <v>3</v>
      </c>
      <c r="AK34" s="395">
        <f>SUM(AI34:AJ34)</f>
        <v>12</v>
      </c>
      <c r="AL34" s="396">
        <v>0</v>
      </c>
      <c r="AM34" s="394">
        <v>0</v>
      </c>
      <c r="AN34" s="395">
        <f ca="1">SUM(AL34:AN34)</f>
        <v>0</v>
      </c>
      <c r="AO34" s="397">
        <f>SUM(AI34+AL34)</f>
        <v>9</v>
      </c>
      <c r="AP34" s="398">
        <f>SUM(AJ34+AM34)</f>
        <v>3</v>
      </c>
      <c r="AQ34" s="398">
        <f>SUM(AO34:AP34)</f>
        <v>12</v>
      </c>
      <c r="AR34" s="404"/>
      <c r="AS34" s="486">
        <f>AI34+Y34+O34+E34</f>
        <v>16</v>
      </c>
      <c r="AT34" s="487">
        <f>AJ34+Z34+P34+F34</f>
        <v>4</v>
      </c>
      <c r="AU34" s="487">
        <f t="shared" si="9"/>
        <v>20</v>
      </c>
      <c r="AV34" s="487">
        <f t="shared" ca="1" si="10"/>
        <v>0</v>
      </c>
      <c r="AW34" s="478"/>
      <c r="AX34" s="479">
        <f t="shared" si="11"/>
        <v>20</v>
      </c>
      <c r="AY34" s="537" t="e">
        <f>AX34/AW34</f>
        <v>#DIV/0!</v>
      </c>
      <c r="AZ34" s="547">
        <f t="shared" si="418"/>
        <v>16</v>
      </c>
      <c r="BA34" s="547">
        <f t="shared" si="419"/>
        <v>4</v>
      </c>
      <c r="BB34" s="547">
        <f t="shared" si="420"/>
        <v>0</v>
      </c>
      <c r="BC34" s="547">
        <f t="shared" si="421"/>
        <v>0</v>
      </c>
      <c r="BD34" s="393">
        <v>11</v>
      </c>
      <c r="BE34" s="394">
        <v>10</v>
      </c>
      <c r="BF34" s="395">
        <f>SUM(BD34:BE34)</f>
        <v>21</v>
      </c>
      <c r="BG34" s="396">
        <v>0</v>
      </c>
      <c r="BH34" s="394">
        <v>0</v>
      </c>
      <c r="BI34" s="395">
        <f>SUM(BG34:BH34)</f>
        <v>0</v>
      </c>
      <c r="BJ34" s="397">
        <f>SUM(BD34+BG34)</f>
        <v>11</v>
      </c>
      <c r="BK34" s="398">
        <f>SUM(BE34+BH34)</f>
        <v>10</v>
      </c>
      <c r="BL34" s="405">
        <f>SUM(BJ34:BK34)</f>
        <v>21</v>
      </c>
      <c r="BM34" s="398"/>
      <c r="BN34" s="393">
        <v>17</v>
      </c>
      <c r="BO34" s="394">
        <v>18</v>
      </c>
      <c r="BP34" s="395">
        <f>SUM(BN34:BO34)</f>
        <v>35</v>
      </c>
      <c r="BQ34" s="396">
        <v>0</v>
      </c>
      <c r="BR34" s="394">
        <v>0</v>
      </c>
      <c r="BS34" s="395"/>
      <c r="BT34" s="397">
        <f>SUM(BN34+BQ34)</f>
        <v>17</v>
      </c>
      <c r="BU34" s="405">
        <f>SUM(BO34+BR34)</f>
        <v>18</v>
      </c>
      <c r="BV34" s="398">
        <f>SUM(BT34:BU34)</f>
        <v>35</v>
      </c>
      <c r="BW34" s="398"/>
      <c r="BX34" s="626">
        <f t="shared" si="16"/>
        <v>44</v>
      </c>
      <c r="BY34" s="626">
        <f t="shared" si="17"/>
        <v>32</v>
      </c>
      <c r="BZ34" s="626">
        <f t="shared" si="18"/>
        <v>0</v>
      </c>
      <c r="CA34" s="626">
        <f t="shared" si="19"/>
        <v>0</v>
      </c>
      <c r="CB34" s="625">
        <f t="shared" si="20"/>
        <v>76</v>
      </c>
      <c r="CC34" s="393">
        <v>10</v>
      </c>
      <c r="CD34" s="394">
        <v>8</v>
      </c>
      <c r="CE34" s="395">
        <f>SUM(CC34:CD34)</f>
        <v>18</v>
      </c>
      <c r="CF34" s="396">
        <v>0</v>
      </c>
      <c r="CG34" s="394">
        <v>0</v>
      </c>
      <c r="CH34" s="395">
        <f>SUM(CF34:CG34)</f>
        <v>0</v>
      </c>
      <c r="CI34" s="397">
        <f>SUM(CC34+CF34)</f>
        <v>10</v>
      </c>
      <c r="CJ34" s="398">
        <f>SUM(CD34+CG34)</f>
        <v>8</v>
      </c>
      <c r="CK34" s="398">
        <f>SUM(CI34:CJ34)</f>
        <v>18</v>
      </c>
      <c r="CL34" s="414"/>
      <c r="CM34" s="393">
        <v>26</v>
      </c>
      <c r="CN34" s="394">
        <v>44</v>
      </c>
      <c r="CO34" s="395">
        <f>SUM(CM34:CN34)</f>
        <v>70</v>
      </c>
      <c r="CP34" s="396">
        <v>0</v>
      </c>
      <c r="CQ34" s="394">
        <v>0</v>
      </c>
      <c r="CR34" s="395">
        <f>SUM(CP34:CQ34)</f>
        <v>0</v>
      </c>
      <c r="CS34" s="397">
        <f t="shared" ref="CS34:CT36" si="430">SUM(CM34+CP34)</f>
        <v>26</v>
      </c>
      <c r="CT34" s="398">
        <f t="shared" si="430"/>
        <v>44</v>
      </c>
      <c r="CU34" s="405">
        <f>SUM(CS34:CT34)</f>
        <v>70</v>
      </c>
      <c r="CV34" s="405">
        <v>0</v>
      </c>
      <c r="CW34" s="492">
        <f>BD34+BN34+CC34+CM34</f>
        <v>64</v>
      </c>
      <c r="CX34" s="487">
        <f>BO34+CD34+CN34+BE34</f>
        <v>80</v>
      </c>
      <c r="CY34" s="487">
        <f t="shared" ref="CY34:CY43" si="431">SUM(CU34+CK34+BV34+BL34)</f>
        <v>144</v>
      </c>
      <c r="CZ34" s="487">
        <f t="shared" si="422"/>
        <v>0</v>
      </c>
      <c r="DA34" s="474"/>
      <c r="DB34" s="474">
        <f>SUM(CW34:CX34)</f>
        <v>144</v>
      </c>
      <c r="DC34" s="475"/>
      <c r="DD34" s="547">
        <f t="shared" si="21"/>
        <v>64</v>
      </c>
      <c r="DE34" s="547">
        <f t="shared" si="22"/>
        <v>80</v>
      </c>
      <c r="DF34" s="547">
        <f t="shared" si="23"/>
        <v>0</v>
      </c>
      <c r="DG34" s="547">
        <f t="shared" si="24"/>
        <v>0</v>
      </c>
      <c r="DH34" s="576">
        <f t="shared" si="25"/>
        <v>164</v>
      </c>
      <c r="DI34" s="393">
        <v>2</v>
      </c>
      <c r="DJ34" s="394">
        <v>4</v>
      </c>
      <c r="DK34" s="395">
        <f>SUM(DI34:DJ34)</f>
        <v>6</v>
      </c>
      <c r="DL34" s="396">
        <v>0</v>
      </c>
      <c r="DM34" s="394">
        <v>0</v>
      </c>
      <c r="DN34" s="395">
        <f>SUM(DL34:DM34)</f>
        <v>0</v>
      </c>
      <c r="DO34" s="416">
        <f>DI34+DL34</f>
        <v>2</v>
      </c>
      <c r="DP34" s="405">
        <f>DJ34+DM34</f>
        <v>4</v>
      </c>
      <c r="DQ34" s="398">
        <f>SUM(DO34+DP34)</f>
        <v>6</v>
      </c>
      <c r="DR34" s="398">
        <v>0</v>
      </c>
      <c r="DS34" s="393">
        <v>2</v>
      </c>
      <c r="DT34" s="394">
        <v>4</v>
      </c>
      <c r="DU34" s="395">
        <f t="shared" si="76"/>
        <v>6</v>
      </c>
      <c r="DV34" s="396">
        <v>0</v>
      </c>
      <c r="DW34" s="394">
        <v>0</v>
      </c>
      <c r="DX34" s="395">
        <f t="shared" si="77"/>
        <v>0</v>
      </c>
      <c r="DY34" s="397">
        <f t="shared" si="78"/>
        <v>2</v>
      </c>
      <c r="DZ34" s="405">
        <f t="shared" si="79"/>
        <v>4</v>
      </c>
      <c r="EA34" s="398">
        <f t="shared" si="80"/>
        <v>6</v>
      </c>
      <c r="EB34" s="398"/>
      <c r="EC34" s="393">
        <v>2</v>
      </c>
      <c r="ED34" s="394">
        <v>2</v>
      </c>
      <c r="EE34" s="395">
        <f>SUM(EC34:ED34)</f>
        <v>4</v>
      </c>
      <c r="EF34" s="396">
        <v>0</v>
      </c>
      <c r="EG34" s="394">
        <v>0</v>
      </c>
      <c r="EH34" s="395">
        <f>SUM(EF34:EG34)</f>
        <v>0</v>
      </c>
      <c r="EI34" s="397">
        <f>SUM(EC34+EF34)</f>
        <v>2</v>
      </c>
      <c r="EJ34" s="405">
        <f>ED34+EG34</f>
        <v>2</v>
      </c>
      <c r="EK34" s="398">
        <f>SUM(EI34:EJ34)</f>
        <v>4</v>
      </c>
      <c r="EL34" s="398"/>
      <c r="EM34" s="393">
        <v>19</v>
      </c>
      <c r="EN34" s="394">
        <v>8</v>
      </c>
      <c r="EO34" s="395">
        <f>SUM(EM34:EN34)</f>
        <v>27</v>
      </c>
      <c r="EP34" s="396">
        <v>0</v>
      </c>
      <c r="EQ34" s="394">
        <v>0</v>
      </c>
      <c r="ER34" s="395">
        <f>SUM(EP34:EQ34)</f>
        <v>0</v>
      </c>
      <c r="ES34" s="397">
        <f t="shared" ref="ES34:ET37" si="432">SUM(EM34+EP34)</f>
        <v>19</v>
      </c>
      <c r="ET34" s="405">
        <f t="shared" si="432"/>
        <v>8</v>
      </c>
      <c r="EU34" s="398">
        <f>SUM(ES34:ET34)</f>
        <v>27</v>
      </c>
      <c r="EV34" s="398"/>
      <c r="EW34" s="492">
        <f>EM34+EC34+DS34+DI34</f>
        <v>25</v>
      </c>
      <c r="EX34" s="487">
        <f>EN34+ED34+DT34+DJ34</f>
        <v>18</v>
      </c>
      <c r="EY34" s="487">
        <f t="shared" si="28"/>
        <v>43</v>
      </c>
      <c r="EZ34" s="487">
        <f t="shared" si="29"/>
        <v>0</v>
      </c>
      <c r="FA34" s="476">
        <v>100</v>
      </c>
      <c r="FB34" s="474">
        <f t="shared" si="30"/>
        <v>43</v>
      </c>
      <c r="FC34" s="475">
        <f>FB34/FA34</f>
        <v>0.43</v>
      </c>
      <c r="FD34" s="547">
        <f t="shared" si="31"/>
        <v>61</v>
      </c>
      <c r="FE34" s="547">
        <f t="shared" si="32"/>
        <v>70</v>
      </c>
      <c r="FF34" s="547">
        <f t="shared" si="33"/>
        <v>0</v>
      </c>
      <c r="FG34" s="547">
        <f t="shared" si="34"/>
        <v>0</v>
      </c>
      <c r="FH34" s="577">
        <f t="shared" si="35"/>
        <v>61</v>
      </c>
      <c r="FI34" s="577">
        <f t="shared" si="36"/>
        <v>70</v>
      </c>
      <c r="FJ34" s="577">
        <f t="shared" si="37"/>
        <v>131</v>
      </c>
      <c r="FK34" s="577">
        <f t="shared" si="38"/>
        <v>105</v>
      </c>
      <c r="FL34" s="577">
        <f t="shared" si="39"/>
        <v>102</v>
      </c>
      <c r="FM34" s="577">
        <f t="shared" si="40"/>
        <v>207</v>
      </c>
      <c r="FN34" s="393">
        <v>2</v>
      </c>
      <c r="FO34" s="394">
        <v>2</v>
      </c>
      <c r="FP34" s="395">
        <f>SUM(FN34:FO34)</f>
        <v>4</v>
      </c>
      <c r="FQ34" s="396">
        <v>0</v>
      </c>
      <c r="FR34" s="394">
        <v>0</v>
      </c>
      <c r="FS34" s="395">
        <f>SUM(FQ34:FR34)</f>
        <v>0</v>
      </c>
      <c r="FT34" s="397">
        <f t="shared" ref="FT34:FU37" si="433">SUM(FN34+FQ34)</f>
        <v>2</v>
      </c>
      <c r="FU34" s="405">
        <f t="shared" si="433"/>
        <v>2</v>
      </c>
      <c r="FV34" s="398">
        <f>SUM(FT34:FU34)</f>
        <v>4</v>
      </c>
      <c r="FW34" s="398"/>
      <c r="FX34" s="393">
        <v>0</v>
      </c>
      <c r="FY34" s="394">
        <v>2</v>
      </c>
      <c r="FZ34" s="395">
        <f>SUM(FX34:FY34)</f>
        <v>2</v>
      </c>
      <c r="GA34" s="396">
        <v>0</v>
      </c>
      <c r="GB34" s="394">
        <v>0</v>
      </c>
      <c r="GC34" s="395">
        <f>SUM(GA34:GB34)</f>
        <v>0</v>
      </c>
      <c r="GD34" s="397">
        <f t="shared" si="41"/>
        <v>0</v>
      </c>
      <c r="GE34" s="405">
        <f t="shared" si="42"/>
        <v>2</v>
      </c>
      <c r="GF34" s="398">
        <f t="shared" si="43"/>
        <v>2</v>
      </c>
      <c r="GG34" s="398"/>
      <c r="GH34" s="393">
        <v>78</v>
      </c>
      <c r="GI34" s="394">
        <v>71</v>
      </c>
      <c r="GJ34" s="395">
        <f>SUM(GH34:GI34)</f>
        <v>149</v>
      </c>
      <c r="GK34" s="396">
        <v>0</v>
      </c>
      <c r="GL34" s="394">
        <v>0</v>
      </c>
      <c r="GM34" s="395">
        <f>GK34+GL34</f>
        <v>0</v>
      </c>
      <c r="GN34" s="397">
        <f t="shared" si="423"/>
        <v>78</v>
      </c>
      <c r="GO34" s="405">
        <f t="shared" si="424"/>
        <v>71</v>
      </c>
      <c r="GP34" s="398">
        <f t="shared" si="425"/>
        <v>149</v>
      </c>
      <c r="GQ34" s="398"/>
      <c r="GR34" s="650">
        <f t="shared" si="47"/>
        <v>169</v>
      </c>
      <c r="GS34" s="650">
        <f t="shared" si="48"/>
        <v>173</v>
      </c>
      <c r="GT34" s="650">
        <f t="shared" si="49"/>
        <v>169</v>
      </c>
      <c r="GU34" s="650">
        <f t="shared" si="50"/>
        <v>173</v>
      </c>
      <c r="GV34" s="650">
        <f t="shared" si="51"/>
        <v>0</v>
      </c>
      <c r="GW34" s="650">
        <f t="shared" si="52"/>
        <v>0</v>
      </c>
      <c r="GX34" s="393">
        <v>2</v>
      </c>
      <c r="GY34" s="394">
        <v>12</v>
      </c>
      <c r="GZ34" s="395">
        <f t="shared" si="53"/>
        <v>14</v>
      </c>
      <c r="HA34" s="396">
        <v>0</v>
      </c>
      <c r="HB34" s="394">
        <v>0</v>
      </c>
      <c r="HC34" s="395">
        <f t="shared" si="54"/>
        <v>0</v>
      </c>
      <c r="HD34" s="397">
        <f t="shared" si="55"/>
        <v>2</v>
      </c>
      <c r="HE34" s="405">
        <f t="shared" si="56"/>
        <v>12</v>
      </c>
      <c r="HF34" s="398">
        <f t="shared" si="57"/>
        <v>14</v>
      </c>
      <c r="HG34" s="398"/>
      <c r="HH34" s="492">
        <f t="shared" si="58"/>
        <v>82</v>
      </c>
      <c r="HI34" s="487">
        <f t="shared" si="59"/>
        <v>87</v>
      </c>
      <c r="HJ34" s="487">
        <f t="shared" si="60"/>
        <v>82</v>
      </c>
      <c r="HK34" s="487">
        <f t="shared" si="61"/>
        <v>87</v>
      </c>
      <c r="HL34" s="487">
        <f t="shared" si="62"/>
        <v>0</v>
      </c>
      <c r="HM34" s="487">
        <f t="shared" si="63"/>
        <v>0</v>
      </c>
      <c r="HN34" s="474"/>
      <c r="HO34" s="474">
        <f t="shared" si="64"/>
        <v>169</v>
      </c>
      <c r="HP34" s="475"/>
      <c r="HQ34" s="547">
        <f t="shared" si="426"/>
        <v>82</v>
      </c>
      <c r="HR34" s="547">
        <f t="shared" si="427"/>
        <v>87</v>
      </c>
      <c r="HS34" s="547">
        <f t="shared" si="428"/>
        <v>0</v>
      </c>
      <c r="HT34" s="547">
        <f t="shared" si="429"/>
        <v>0</v>
      </c>
      <c r="HU34" s="393">
        <v>25</v>
      </c>
      <c r="HV34" s="394">
        <v>28</v>
      </c>
      <c r="HW34" s="395">
        <f t="shared" si="69"/>
        <v>53</v>
      </c>
      <c r="HX34" s="396">
        <v>0</v>
      </c>
      <c r="HY34" s="394">
        <v>0</v>
      </c>
      <c r="HZ34" s="395">
        <f t="shared" si="70"/>
        <v>0</v>
      </c>
      <c r="IA34" s="397">
        <f t="shared" si="71"/>
        <v>25</v>
      </c>
      <c r="IB34" s="405">
        <f t="shared" si="72"/>
        <v>28</v>
      </c>
      <c r="IC34" s="398">
        <f t="shared" si="73"/>
        <v>53</v>
      </c>
      <c r="ID34" s="398"/>
      <c r="IE34" s="393"/>
      <c r="IF34" s="394"/>
      <c r="IG34" s="395"/>
      <c r="IH34" s="396"/>
      <c r="II34" s="394"/>
      <c r="IJ34" s="395"/>
      <c r="IK34" s="397"/>
      <c r="IL34" s="405"/>
      <c r="IM34" s="398"/>
      <c r="IN34" s="398"/>
      <c r="IO34" s="393"/>
      <c r="IP34" s="394"/>
      <c r="IQ34" s="395"/>
      <c r="IR34" s="396"/>
      <c r="IS34" s="394"/>
      <c r="IT34" s="395"/>
      <c r="IU34" s="397"/>
      <c r="IV34" s="405"/>
      <c r="IW34" s="398"/>
      <c r="IX34" s="398"/>
      <c r="IY34" s="393"/>
      <c r="IZ34" s="394"/>
      <c r="JA34" s="395"/>
      <c r="JB34" s="396"/>
      <c r="JC34" s="394"/>
      <c r="JD34" s="395"/>
      <c r="JE34" s="397"/>
      <c r="JF34" s="405"/>
      <c r="JG34" s="398"/>
      <c r="JH34" s="398"/>
      <c r="JI34" s="494"/>
      <c r="JJ34" s="479"/>
      <c r="JK34" s="479"/>
      <c r="JL34" s="479"/>
      <c r="JM34" s="474"/>
      <c r="JN34" s="474">
        <f t="shared" si="74"/>
        <v>53</v>
      </c>
      <c r="JO34" s="475"/>
      <c r="JP34" s="393"/>
      <c r="JQ34" s="394"/>
      <c r="JR34" s="395"/>
      <c r="JS34" s="396"/>
      <c r="JT34" s="394"/>
      <c r="JU34" s="395"/>
      <c r="JV34" s="397"/>
      <c r="JW34" s="405"/>
      <c r="JX34" s="398"/>
      <c r="JY34" s="398"/>
      <c r="JZ34" s="577">
        <f t="shared" si="417"/>
        <v>265</v>
      </c>
      <c r="KA34" s="412">
        <f t="shared" si="403"/>
        <v>212</v>
      </c>
      <c r="KB34" s="412">
        <f t="shared" si="404"/>
        <v>217</v>
      </c>
      <c r="KC34" s="412">
        <f t="shared" si="405"/>
        <v>212</v>
      </c>
      <c r="KD34" s="412">
        <f t="shared" si="406"/>
        <v>217</v>
      </c>
      <c r="KE34" s="412">
        <f t="shared" si="407"/>
        <v>0</v>
      </c>
      <c r="KF34" s="693">
        <f t="shared" si="408"/>
        <v>0</v>
      </c>
      <c r="KG34" s="687">
        <f t="shared" si="75"/>
        <v>429</v>
      </c>
      <c r="KH34" s="680">
        <v>1200</v>
      </c>
      <c r="KI34" s="680">
        <f t="shared" ref="KI34:KI43" si="434">KH34-KG34</f>
        <v>771</v>
      </c>
      <c r="KJ34" s="681">
        <f t="shared" ref="KJ34:KJ43" si="435">KG34/KH34</f>
        <v>0.35749999999999998</v>
      </c>
      <c r="KK34" s="359">
        <f>KA34+KA35</f>
        <v>314</v>
      </c>
      <c r="KL34" s="359">
        <f>KC34+KC35</f>
        <v>314</v>
      </c>
      <c r="KM34" s="359">
        <f>SUM(KA34:KA35)</f>
        <v>314</v>
      </c>
      <c r="KN34" s="359"/>
      <c r="KO34" s="359"/>
      <c r="KP34" s="359"/>
      <c r="KQ34" s="359"/>
    </row>
    <row r="35" spans="1:303" ht="53.25" customHeight="1" x14ac:dyDescent="0.3">
      <c r="A35" s="744"/>
      <c r="B35" s="418" t="s">
        <v>148</v>
      </c>
      <c r="C35" s="391" t="s">
        <v>131</v>
      </c>
      <c r="D35" s="392">
        <v>2000</v>
      </c>
      <c r="E35" s="393"/>
      <c r="F35" s="394"/>
      <c r="G35" s="395"/>
      <c r="H35" s="396"/>
      <c r="I35" s="394"/>
      <c r="J35" s="395"/>
      <c r="K35" s="397"/>
      <c r="L35" s="398"/>
      <c r="M35" s="398"/>
      <c r="N35" s="399"/>
      <c r="O35" s="393"/>
      <c r="P35" s="394"/>
      <c r="Q35" s="400"/>
      <c r="R35" s="396"/>
      <c r="S35" s="394"/>
      <c r="T35" s="400"/>
      <c r="U35" s="397"/>
      <c r="V35" s="398"/>
      <c r="W35" s="398"/>
      <c r="X35" s="399"/>
      <c r="Y35" s="393"/>
      <c r="Z35" s="394"/>
      <c r="AA35" s="400"/>
      <c r="AB35" s="396"/>
      <c r="AC35" s="394"/>
      <c r="AD35" s="400"/>
      <c r="AE35" s="397"/>
      <c r="AF35" s="405"/>
      <c r="AG35" s="398"/>
      <c r="AH35" s="403"/>
      <c r="AI35" s="393"/>
      <c r="AJ35" s="394"/>
      <c r="AK35" s="395"/>
      <c r="AL35" s="396"/>
      <c r="AM35" s="394"/>
      <c r="AN35" s="395"/>
      <c r="AO35" s="397"/>
      <c r="AP35" s="398"/>
      <c r="AQ35" s="398"/>
      <c r="AR35" s="404"/>
      <c r="AS35" s="486">
        <f t="shared" ref="AS35" si="436">AO35+AE35+U35+K35</f>
        <v>0</v>
      </c>
      <c r="AT35" s="487">
        <f t="shared" ref="AT35" si="437">AP35+AF35+V35+L35</f>
        <v>0</v>
      </c>
      <c r="AU35" s="487">
        <f t="shared" ref="AU35" si="438">AK35+AA35+Q35+G35</f>
        <v>0</v>
      </c>
      <c r="AV35" s="487">
        <f t="shared" ref="AV35" si="439">AN35</f>
        <v>0</v>
      </c>
      <c r="AW35" s="478"/>
      <c r="AX35" s="479">
        <f t="shared" ref="AX35" si="440">SUM(AQ35+AG35+W35+M35)</f>
        <v>0</v>
      </c>
      <c r="AY35" s="537"/>
      <c r="AZ35" s="547">
        <f t="shared" si="418"/>
        <v>0</v>
      </c>
      <c r="BA35" s="547">
        <f t="shared" si="419"/>
        <v>0</v>
      </c>
      <c r="BB35" s="547">
        <f t="shared" si="420"/>
        <v>0</v>
      </c>
      <c r="BC35" s="547">
        <f t="shared" si="421"/>
        <v>0</v>
      </c>
      <c r="BD35" s="393"/>
      <c r="BE35" s="394"/>
      <c r="BF35" s="395"/>
      <c r="BG35" s="396"/>
      <c r="BH35" s="394"/>
      <c r="BI35" s="395"/>
      <c r="BJ35" s="397"/>
      <c r="BK35" s="398"/>
      <c r="BL35" s="405"/>
      <c r="BM35" s="398"/>
      <c r="BN35" s="393"/>
      <c r="BO35" s="394"/>
      <c r="BP35" s="395"/>
      <c r="BQ35" s="396"/>
      <c r="BR35" s="394"/>
      <c r="BS35" s="395"/>
      <c r="BT35" s="397"/>
      <c r="BU35" s="405"/>
      <c r="BV35" s="398"/>
      <c r="BW35" s="398"/>
      <c r="BX35" s="626">
        <f t="shared" si="16"/>
        <v>0</v>
      </c>
      <c r="BY35" s="626">
        <f t="shared" si="17"/>
        <v>0</v>
      </c>
      <c r="BZ35" s="626">
        <f t="shared" si="18"/>
        <v>0</v>
      </c>
      <c r="CA35" s="626">
        <f t="shared" si="19"/>
        <v>0</v>
      </c>
      <c r="CB35" s="625">
        <f t="shared" si="20"/>
        <v>0</v>
      </c>
      <c r="CC35" s="393"/>
      <c r="CD35" s="394"/>
      <c r="CE35" s="395"/>
      <c r="CF35" s="396"/>
      <c r="CG35" s="394"/>
      <c r="CH35" s="395"/>
      <c r="CI35" s="397"/>
      <c r="CJ35" s="398"/>
      <c r="CK35" s="398"/>
      <c r="CL35" s="414"/>
      <c r="CM35" s="393">
        <v>8</v>
      </c>
      <c r="CN35" s="394">
        <v>18</v>
      </c>
      <c r="CO35" s="395">
        <f>SUM(CM35+CN35)</f>
        <v>26</v>
      </c>
      <c r="CP35" s="396">
        <v>0</v>
      </c>
      <c r="CQ35" s="394">
        <v>0</v>
      </c>
      <c r="CR35" s="395">
        <f>SUM(CP35:CQ35)</f>
        <v>0</v>
      </c>
      <c r="CS35" s="397">
        <f t="shared" si="430"/>
        <v>8</v>
      </c>
      <c r="CT35" s="398">
        <f t="shared" si="430"/>
        <v>18</v>
      </c>
      <c r="CU35" s="405">
        <f>SUM(CS35:CT35)</f>
        <v>26</v>
      </c>
      <c r="CV35" s="405"/>
      <c r="CW35" s="492">
        <f>BD35+BN35+CC35+CM35</f>
        <v>8</v>
      </c>
      <c r="CX35" s="487">
        <f>BO35+CD35+CN35+BE35</f>
        <v>18</v>
      </c>
      <c r="CY35" s="487">
        <f t="shared" si="431"/>
        <v>26</v>
      </c>
      <c r="CZ35" s="487">
        <f t="shared" si="422"/>
        <v>0</v>
      </c>
      <c r="DA35" s="474"/>
      <c r="DB35" s="474">
        <f>SUM(CW35:CX35)</f>
        <v>26</v>
      </c>
      <c r="DC35" s="475"/>
      <c r="DD35" s="547">
        <f t="shared" si="21"/>
        <v>8</v>
      </c>
      <c r="DE35" s="547">
        <f t="shared" si="22"/>
        <v>18</v>
      </c>
      <c r="DF35" s="547">
        <f t="shared" si="23"/>
        <v>0</v>
      </c>
      <c r="DG35" s="547">
        <f t="shared" si="24"/>
        <v>0</v>
      </c>
      <c r="DH35" s="576">
        <f t="shared" si="25"/>
        <v>26</v>
      </c>
      <c r="DI35" s="393">
        <v>17</v>
      </c>
      <c r="DJ35" s="394">
        <v>33</v>
      </c>
      <c r="DK35" s="395">
        <f>SUM(DI35:DJ35)</f>
        <v>50</v>
      </c>
      <c r="DL35" s="396">
        <v>0</v>
      </c>
      <c r="DM35" s="394">
        <v>0</v>
      </c>
      <c r="DN35" s="395">
        <f>SUM(DL35:DM35)</f>
        <v>0</v>
      </c>
      <c r="DO35" s="397">
        <f>SUM(DI35+DL35)</f>
        <v>17</v>
      </c>
      <c r="DP35" s="405">
        <f>SUM(DJ35+DM35)</f>
        <v>33</v>
      </c>
      <c r="DQ35" s="398">
        <f>DO35+DP35</f>
        <v>50</v>
      </c>
      <c r="DR35" s="398"/>
      <c r="DS35" s="393">
        <v>17</v>
      </c>
      <c r="DT35" s="394">
        <v>33</v>
      </c>
      <c r="DU35" s="395">
        <f t="shared" ref="DU35" si="441">SUM(DS35:DT35)</f>
        <v>50</v>
      </c>
      <c r="DV35" s="396">
        <v>0</v>
      </c>
      <c r="DW35" s="394">
        <v>0</v>
      </c>
      <c r="DX35" s="395">
        <f t="shared" ref="DX35" si="442">SUM(DV35:DW35)</f>
        <v>0</v>
      </c>
      <c r="DY35" s="397">
        <f t="shared" ref="DY35" si="443">SUM(DS35+DV35)</f>
        <v>17</v>
      </c>
      <c r="DZ35" s="405">
        <f t="shared" ref="DZ35" si="444">SUM(DT35+DW35)</f>
        <v>33</v>
      </c>
      <c r="EA35" s="398">
        <f t="shared" ref="EA35" si="445">SUM(DY35:DZ35)</f>
        <v>50</v>
      </c>
      <c r="EB35" s="398"/>
      <c r="EC35" s="393">
        <v>17</v>
      </c>
      <c r="ED35" s="394">
        <v>34</v>
      </c>
      <c r="EE35" s="395">
        <f>SUM(EC35:ED35)</f>
        <v>51</v>
      </c>
      <c r="EF35" s="396">
        <v>0</v>
      </c>
      <c r="EG35" s="394">
        <v>0</v>
      </c>
      <c r="EH35" s="395">
        <f>SUM(EF35:EG35)</f>
        <v>0</v>
      </c>
      <c r="EI35" s="397">
        <f>SUM(EC35+EF35)</f>
        <v>17</v>
      </c>
      <c r="EJ35" s="405">
        <f>SUM(ED35+EG35)</f>
        <v>34</v>
      </c>
      <c r="EK35" s="398">
        <f>SUM(EI35:EJ35)</f>
        <v>51</v>
      </c>
      <c r="EL35" s="398"/>
      <c r="EM35" s="393">
        <v>9</v>
      </c>
      <c r="EN35" s="394">
        <v>14</v>
      </c>
      <c r="EO35" s="395">
        <f>SUM(EM35:EN35)</f>
        <v>23</v>
      </c>
      <c r="EP35" s="396">
        <v>0</v>
      </c>
      <c r="EQ35" s="394">
        <v>0</v>
      </c>
      <c r="ER35" s="395">
        <f>SUM(EP35:EQ35)</f>
        <v>0</v>
      </c>
      <c r="ES35" s="397">
        <f t="shared" si="432"/>
        <v>9</v>
      </c>
      <c r="ET35" s="405">
        <f t="shared" si="432"/>
        <v>14</v>
      </c>
      <c r="EU35" s="398">
        <f>SUM(ES35:ET35)</f>
        <v>23</v>
      </c>
      <c r="EV35" s="398"/>
      <c r="EW35" s="492">
        <f>EM35+EC35+DS35+DI35</f>
        <v>60</v>
      </c>
      <c r="EX35" s="487">
        <f>EN35+ED35+DT35+DJ35</f>
        <v>114</v>
      </c>
      <c r="EY35" s="487">
        <f t="shared" ref="EY35" si="446">SUM(EO35+EE35+DU35+DK35)</f>
        <v>174</v>
      </c>
      <c r="EZ35" s="487">
        <f t="shared" ref="EZ35" si="447">SUM(ER35+EH35+DX35+DN35)</f>
        <v>0</v>
      </c>
      <c r="FA35" s="474"/>
      <c r="FB35" s="474">
        <f t="shared" ref="FB35" si="448">SUM(EW35:EX35)</f>
        <v>174</v>
      </c>
      <c r="FC35" s="475"/>
      <c r="FD35" s="547">
        <f t="shared" si="31"/>
        <v>68</v>
      </c>
      <c r="FE35" s="547">
        <f t="shared" si="32"/>
        <v>132</v>
      </c>
      <c r="FF35" s="547">
        <f t="shared" si="33"/>
        <v>0</v>
      </c>
      <c r="FG35" s="547">
        <f t="shared" si="34"/>
        <v>0</v>
      </c>
      <c r="FH35" s="577">
        <f t="shared" si="35"/>
        <v>68</v>
      </c>
      <c r="FI35" s="577">
        <f t="shared" si="36"/>
        <v>132</v>
      </c>
      <c r="FJ35" s="577">
        <f t="shared" si="37"/>
        <v>200</v>
      </c>
      <c r="FK35" s="577">
        <f t="shared" si="38"/>
        <v>68</v>
      </c>
      <c r="FL35" s="577">
        <f t="shared" si="39"/>
        <v>132</v>
      </c>
      <c r="FM35" s="577">
        <f t="shared" si="40"/>
        <v>200</v>
      </c>
      <c r="FN35" s="393">
        <v>2</v>
      </c>
      <c r="FO35" s="394">
        <v>6</v>
      </c>
      <c r="FP35" s="395">
        <f>SUM(FN35:FO35)</f>
        <v>8</v>
      </c>
      <c r="FQ35" s="396">
        <v>0</v>
      </c>
      <c r="FR35" s="394">
        <v>0</v>
      </c>
      <c r="FS35" s="395">
        <f>SUM(FQ35:FR35)</f>
        <v>0</v>
      </c>
      <c r="FT35" s="397">
        <f t="shared" si="433"/>
        <v>2</v>
      </c>
      <c r="FU35" s="405">
        <f t="shared" si="433"/>
        <v>6</v>
      </c>
      <c r="FV35" s="398">
        <f>SUM(FT35:FU35)</f>
        <v>8</v>
      </c>
      <c r="FW35" s="398"/>
      <c r="FX35" s="393">
        <v>17</v>
      </c>
      <c r="FY35" s="394">
        <v>17</v>
      </c>
      <c r="FZ35" s="395">
        <f>SUM(FX35:FY35)</f>
        <v>34</v>
      </c>
      <c r="GA35" s="396">
        <v>0</v>
      </c>
      <c r="GB35" s="394">
        <v>0</v>
      </c>
      <c r="GC35" s="395">
        <f>SUM(GA35:GB35)</f>
        <v>0</v>
      </c>
      <c r="GD35" s="397">
        <f t="shared" si="41"/>
        <v>17</v>
      </c>
      <c r="GE35" s="405">
        <f t="shared" si="42"/>
        <v>17</v>
      </c>
      <c r="GF35" s="398">
        <f t="shared" si="43"/>
        <v>34</v>
      </c>
      <c r="GG35" s="398"/>
      <c r="GH35" s="393">
        <v>0</v>
      </c>
      <c r="GI35" s="394">
        <v>2</v>
      </c>
      <c r="GJ35" s="395">
        <f>SUM(GH35:GI35)</f>
        <v>2</v>
      </c>
      <c r="GK35" s="396">
        <v>0</v>
      </c>
      <c r="GL35" s="394">
        <v>0</v>
      </c>
      <c r="GM35" s="395">
        <f>GK35+GL35</f>
        <v>0</v>
      </c>
      <c r="GN35" s="397">
        <f t="shared" si="423"/>
        <v>0</v>
      </c>
      <c r="GO35" s="405">
        <f t="shared" si="424"/>
        <v>2</v>
      </c>
      <c r="GP35" s="398">
        <f t="shared" si="425"/>
        <v>2</v>
      </c>
      <c r="GQ35" s="398"/>
      <c r="GR35" s="650">
        <f t="shared" si="47"/>
        <v>87</v>
      </c>
      <c r="GS35" s="650">
        <f t="shared" si="48"/>
        <v>157</v>
      </c>
      <c r="GT35" s="650">
        <f t="shared" si="49"/>
        <v>87</v>
      </c>
      <c r="GU35" s="650">
        <f t="shared" si="50"/>
        <v>157</v>
      </c>
      <c r="GV35" s="650">
        <f t="shared" si="51"/>
        <v>0</v>
      </c>
      <c r="GW35" s="650">
        <f t="shared" si="52"/>
        <v>0</v>
      </c>
      <c r="GX35" s="393">
        <v>8</v>
      </c>
      <c r="GY35" s="394">
        <v>10</v>
      </c>
      <c r="GZ35" s="395">
        <f t="shared" si="53"/>
        <v>18</v>
      </c>
      <c r="HA35" s="396">
        <v>0</v>
      </c>
      <c r="HB35" s="394">
        <v>0</v>
      </c>
      <c r="HC35" s="395">
        <f t="shared" si="54"/>
        <v>0</v>
      </c>
      <c r="HD35" s="397">
        <f t="shared" si="55"/>
        <v>8</v>
      </c>
      <c r="HE35" s="405">
        <f t="shared" si="56"/>
        <v>10</v>
      </c>
      <c r="HF35" s="398">
        <f t="shared" si="57"/>
        <v>18</v>
      </c>
      <c r="HG35" s="398"/>
      <c r="HH35" s="492">
        <f t="shared" si="58"/>
        <v>27</v>
      </c>
      <c r="HI35" s="487">
        <f t="shared" si="59"/>
        <v>35</v>
      </c>
      <c r="HJ35" s="487">
        <f t="shared" si="60"/>
        <v>27</v>
      </c>
      <c r="HK35" s="487">
        <f t="shared" si="61"/>
        <v>35</v>
      </c>
      <c r="HL35" s="487">
        <f t="shared" si="62"/>
        <v>0</v>
      </c>
      <c r="HM35" s="487">
        <f t="shared" si="63"/>
        <v>0</v>
      </c>
      <c r="HN35" s="474"/>
      <c r="HO35" s="474">
        <f t="shared" si="64"/>
        <v>62</v>
      </c>
      <c r="HP35" s="475"/>
      <c r="HQ35" s="547">
        <f t="shared" si="426"/>
        <v>27</v>
      </c>
      <c r="HR35" s="547">
        <f t="shared" si="427"/>
        <v>35</v>
      </c>
      <c r="HS35" s="547">
        <f t="shared" si="428"/>
        <v>0</v>
      </c>
      <c r="HT35" s="547">
        <f t="shared" si="429"/>
        <v>0</v>
      </c>
      <c r="HU35" s="393">
        <v>7</v>
      </c>
      <c r="HV35" s="394">
        <v>6</v>
      </c>
      <c r="HW35" s="395">
        <f t="shared" si="69"/>
        <v>13</v>
      </c>
      <c r="HX35" s="396">
        <v>0</v>
      </c>
      <c r="HY35" s="394">
        <v>0</v>
      </c>
      <c r="HZ35" s="395">
        <f t="shared" si="70"/>
        <v>0</v>
      </c>
      <c r="IA35" s="397">
        <f t="shared" si="71"/>
        <v>7</v>
      </c>
      <c r="IB35" s="405">
        <f t="shared" si="72"/>
        <v>6</v>
      </c>
      <c r="IC35" s="398">
        <f t="shared" si="73"/>
        <v>13</v>
      </c>
      <c r="ID35" s="398"/>
      <c r="IE35" s="393"/>
      <c r="IF35" s="394"/>
      <c r="IG35" s="395"/>
      <c r="IH35" s="396"/>
      <c r="II35" s="394"/>
      <c r="IJ35" s="395"/>
      <c r="IK35" s="397"/>
      <c r="IL35" s="405"/>
      <c r="IM35" s="398"/>
      <c r="IN35" s="398"/>
      <c r="IO35" s="393"/>
      <c r="IP35" s="394"/>
      <c r="IQ35" s="395"/>
      <c r="IR35" s="396"/>
      <c r="IS35" s="394"/>
      <c r="IT35" s="395"/>
      <c r="IU35" s="397"/>
      <c r="IV35" s="405"/>
      <c r="IW35" s="398"/>
      <c r="IX35" s="398"/>
      <c r="IY35" s="393"/>
      <c r="IZ35" s="394"/>
      <c r="JA35" s="395"/>
      <c r="JB35" s="396"/>
      <c r="JC35" s="394"/>
      <c r="JD35" s="395"/>
      <c r="JE35" s="397"/>
      <c r="JF35" s="405"/>
      <c r="JG35" s="398"/>
      <c r="JH35" s="398"/>
      <c r="JI35" s="494"/>
      <c r="JJ35" s="479"/>
      <c r="JK35" s="479"/>
      <c r="JL35" s="479"/>
      <c r="JM35" s="474"/>
      <c r="JN35" s="474">
        <f t="shared" si="74"/>
        <v>13</v>
      </c>
      <c r="JO35" s="475"/>
      <c r="JP35" s="393"/>
      <c r="JQ35" s="394"/>
      <c r="JR35" s="395"/>
      <c r="JS35" s="396"/>
      <c r="JT35" s="394"/>
      <c r="JU35" s="395"/>
      <c r="JV35" s="397"/>
      <c r="JW35" s="405"/>
      <c r="JX35" s="398"/>
      <c r="JY35" s="398"/>
      <c r="JZ35" s="577">
        <f t="shared" si="417"/>
        <v>249</v>
      </c>
      <c r="KA35" s="412">
        <f t="shared" si="403"/>
        <v>102</v>
      </c>
      <c r="KB35" s="412">
        <f t="shared" si="404"/>
        <v>173</v>
      </c>
      <c r="KC35" s="412">
        <f t="shared" si="405"/>
        <v>102</v>
      </c>
      <c r="KD35" s="412">
        <f t="shared" si="406"/>
        <v>173</v>
      </c>
      <c r="KE35" s="412">
        <f t="shared" si="407"/>
        <v>0</v>
      </c>
      <c r="KF35" s="693">
        <f t="shared" si="408"/>
        <v>0</v>
      </c>
      <c r="KG35" s="687">
        <f t="shared" si="75"/>
        <v>275</v>
      </c>
      <c r="KH35" s="680">
        <v>2000</v>
      </c>
      <c r="KI35" s="680">
        <f t="shared" si="434"/>
        <v>1725</v>
      </c>
      <c r="KJ35" s="681">
        <f t="shared" si="435"/>
        <v>0.13750000000000001</v>
      </c>
      <c r="KK35" s="359">
        <f>KB34+KB35</f>
        <v>390</v>
      </c>
      <c r="KL35" s="359">
        <f>KB34+KB35</f>
        <v>390</v>
      </c>
      <c r="KM35" s="359">
        <f>SUM(KL34:KM34)</f>
        <v>628</v>
      </c>
      <c r="KN35" s="359"/>
      <c r="KO35" s="359"/>
      <c r="KP35" s="359"/>
      <c r="KQ35" s="359"/>
    </row>
    <row r="36" spans="1:303" ht="54" customHeight="1" x14ac:dyDescent="0.3">
      <c r="A36" s="744"/>
      <c r="B36" s="418" t="s">
        <v>149</v>
      </c>
      <c r="C36" s="391" t="s">
        <v>130</v>
      </c>
      <c r="D36" s="392">
        <v>600</v>
      </c>
      <c r="E36" s="393"/>
      <c r="F36" s="394"/>
      <c r="G36" s="395"/>
      <c r="H36" s="396"/>
      <c r="I36" s="394"/>
      <c r="J36" s="395"/>
      <c r="K36" s="397"/>
      <c r="L36" s="398"/>
      <c r="M36" s="398"/>
      <c r="N36" s="399"/>
      <c r="O36" s="393">
        <v>3</v>
      </c>
      <c r="P36" s="394">
        <v>1</v>
      </c>
      <c r="Q36" s="400">
        <f>SUM(O36:P36)</f>
        <v>4</v>
      </c>
      <c r="R36" s="396">
        <v>0</v>
      </c>
      <c r="S36" s="394">
        <v>0</v>
      </c>
      <c r="T36" s="400">
        <f>SUM(R36:S36)</f>
        <v>0</v>
      </c>
      <c r="U36" s="397">
        <f>SUM(O36+R36)</f>
        <v>3</v>
      </c>
      <c r="V36" s="398">
        <f>SUM(P36+S36)</f>
        <v>1</v>
      </c>
      <c r="W36" s="398">
        <f>SUM(U36:V36)</f>
        <v>4</v>
      </c>
      <c r="X36" s="399"/>
      <c r="Y36" s="393">
        <v>4</v>
      </c>
      <c r="Z36" s="394">
        <v>0</v>
      </c>
      <c r="AA36" s="400">
        <f>SUM(Y36:Z36)</f>
        <v>4</v>
      </c>
      <c r="AB36" s="396">
        <v>0</v>
      </c>
      <c r="AC36" s="394">
        <v>0</v>
      </c>
      <c r="AD36" s="400">
        <f>SUM(AB36:AC36)</f>
        <v>0</v>
      </c>
      <c r="AE36" s="397">
        <f>SUM(Y36+AB36)</f>
        <v>4</v>
      </c>
      <c r="AF36" s="405">
        <f>SUM(Z36+AC36)</f>
        <v>0</v>
      </c>
      <c r="AG36" s="398">
        <f>SUM(AE36:AF36)</f>
        <v>4</v>
      </c>
      <c r="AH36" s="403"/>
      <c r="AI36" s="393">
        <v>9</v>
      </c>
      <c r="AJ36" s="394">
        <v>3</v>
      </c>
      <c r="AK36" s="395">
        <f>SUM(AI36:AJ36)</f>
        <v>12</v>
      </c>
      <c r="AL36" s="396">
        <v>0</v>
      </c>
      <c r="AM36" s="394">
        <v>0</v>
      </c>
      <c r="AN36" s="395">
        <f>SUM(AL36:AM36)</f>
        <v>0</v>
      </c>
      <c r="AO36" s="397">
        <f>SUM(AI36+AL36)</f>
        <v>9</v>
      </c>
      <c r="AP36" s="398">
        <f>SUM(AJ36+AM36)</f>
        <v>3</v>
      </c>
      <c r="AQ36" s="398">
        <f>SUM(AO36:AP36)</f>
        <v>12</v>
      </c>
      <c r="AR36" s="404"/>
      <c r="AS36" s="486">
        <f t="shared" si="7"/>
        <v>16</v>
      </c>
      <c r="AT36" s="487">
        <f t="shared" si="8"/>
        <v>4</v>
      </c>
      <c r="AU36" s="487">
        <f t="shared" si="9"/>
        <v>20</v>
      </c>
      <c r="AV36" s="487">
        <f t="shared" si="10"/>
        <v>0</v>
      </c>
      <c r="AW36" s="478"/>
      <c r="AX36" s="479">
        <f t="shared" si="11"/>
        <v>20</v>
      </c>
      <c r="AY36" s="537" t="e">
        <f>AX36/AW36</f>
        <v>#DIV/0!</v>
      </c>
      <c r="AZ36" s="547">
        <f t="shared" si="418"/>
        <v>16</v>
      </c>
      <c r="BA36" s="547">
        <f t="shared" si="419"/>
        <v>4</v>
      </c>
      <c r="BB36" s="547">
        <f t="shared" si="420"/>
        <v>0</v>
      </c>
      <c r="BC36" s="547">
        <f t="shared" si="421"/>
        <v>0</v>
      </c>
      <c r="BD36" s="393">
        <v>11</v>
      </c>
      <c r="BE36" s="394">
        <v>10</v>
      </c>
      <c r="BF36" s="395">
        <f>SUM(BD36:BE36)</f>
        <v>21</v>
      </c>
      <c r="BG36" s="396">
        <v>0</v>
      </c>
      <c r="BH36" s="394">
        <v>0</v>
      </c>
      <c r="BI36" s="395">
        <f>SUM(BG36:BH36)</f>
        <v>0</v>
      </c>
      <c r="BJ36" s="397">
        <f>SUM(BD36+BG36)</f>
        <v>11</v>
      </c>
      <c r="BK36" s="398">
        <f>SUM(BE36+BH36)</f>
        <v>10</v>
      </c>
      <c r="BL36" s="405">
        <f>SUM(BJ36:BK36)</f>
        <v>21</v>
      </c>
      <c r="BM36" s="398"/>
      <c r="BN36" s="393">
        <v>17</v>
      </c>
      <c r="BO36" s="394">
        <v>18</v>
      </c>
      <c r="BP36" s="395">
        <f>SUM(BN36:BO36)</f>
        <v>35</v>
      </c>
      <c r="BQ36" s="396">
        <v>0</v>
      </c>
      <c r="BR36" s="394">
        <v>0</v>
      </c>
      <c r="BS36" s="395"/>
      <c r="BT36" s="397">
        <f>SUM(BN36+BQ36)</f>
        <v>17</v>
      </c>
      <c r="BU36" s="405">
        <f>SUM(BO36+BR36)</f>
        <v>18</v>
      </c>
      <c r="BV36" s="398">
        <f>SUM(BT36:BU36)</f>
        <v>35</v>
      </c>
      <c r="BW36" s="398"/>
      <c r="BX36" s="626">
        <f t="shared" si="16"/>
        <v>44</v>
      </c>
      <c r="BY36" s="626">
        <f t="shared" si="17"/>
        <v>32</v>
      </c>
      <c r="BZ36" s="626">
        <f t="shared" si="18"/>
        <v>0</v>
      </c>
      <c r="CA36" s="626">
        <f t="shared" si="19"/>
        <v>0</v>
      </c>
      <c r="CB36" s="625">
        <f t="shared" si="20"/>
        <v>76</v>
      </c>
      <c r="CC36" s="393">
        <v>10</v>
      </c>
      <c r="CD36" s="394">
        <v>8</v>
      </c>
      <c r="CE36" s="395">
        <f>SUM(CC36:CD36)</f>
        <v>18</v>
      </c>
      <c r="CF36" s="396">
        <v>0</v>
      </c>
      <c r="CG36" s="394">
        <v>0</v>
      </c>
      <c r="CH36" s="395">
        <f>SUM(CF36:CG36)</f>
        <v>0</v>
      </c>
      <c r="CI36" s="397">
        <f>SUM(CC36+CF36)</f>
        <v>10</v>
      </c>
      <c r="CJ36" s="398">
        <f>SUM(CD36+CG36)</f>
        <v>8</v>
      </c>
      <c r="CK36" s="398">
        <f>SUM(CI36:CJ36)</f>
        <v>18</v>
      </c>
      <c r="CL36" s="414"/>
      <c r="CM36" s="393">
        <v>58</v>
      </c>
      <c r="CN36" s="394">
        <v>69</v>
      </c>
      <c r="CO36" s="395">
        <f>SUM(CM36:CN36)</f>
        <v>127</v>
      </c>
      <c r="CP36" s="396">
        <v>0</v>
      </c>
      <c r="CQ36" s="394">
        <v>0</v>
      </c>
      <c r="CR36" s="395">
        <f>SUM(CP36:CQ36)</f>
        <v>0</v>
      </c>
      <c r="CS36" s="397">
        <f t="shared" si="430"/>
        <v>58</v>
      </c>
      <c r="CT36" s="398">
        <f t="shared" si="430"/>
        <v>69</v>
      </c>
      <c r="CU36" s="405">
        <f>SUM(CS36:CT36)</f>
        <v>127</v>
      </c>
      <c r="CV36" s="405"/>
      <c r="CW36" s="492">
        <f t="shared" ref="CW36:CX43" si="449">SUM(CS36+CI36+BT36+BJ36)</f>
        <v>96</v>
      </c>
      <c r="CX36" s="487">
        <f t="shared" si="449"/>
        <v>105</v>
      </c>
      <c r="CY36" s="487">
        <f t="shared" si="431"/>
        <v>201</v>
      </c>
      <c r="CZ36" s="487">
        <f t="shared" si="422"/>
        <v>0</v>
      </c>
      <c r="DA36" s="474"/>
      <c r="DB36" s="474">
        <f>SUM(CW36:CX36)</f>
        <v>201</v>
      </c>
      <c r="DC36" s="475"/>
      <c r="DD36" s="547">
        <f t="shared" si="21"/>
        <v>96</v>
      </c>
      <c r="DE36" s="547">
        <f t="shared" si="22"/>
        <v>105</v>
      </c>
      <c r="DF36" s="547">
        <f t="shared" si="23"/>
        <v>0</v>
      </c>
      <c r="DG36" s="547">
        <f t="shared" si="24"/>
        <v>0</v>
      </c>
      <c r="DH36" s="576">
        <f t="shared" si="25"/>
        <v>221</v>
      </c>
      <c r="DI36" s="393">
        <v>6</v>
      </c>
      <c r="DJ36" s="394">
        <v>5</v>
      </c>
      <c r="DK36" s="395">
        <f>SUM(DI36:DJ36)</f>
        <v>11</v>
      </c>
      <c r="DL36" s="396">
        <v>0</v>
      </c>
      <c r="DM36" s="394">
        <v>0</v>
      </c>
      <c r="DN36" s="395">
        <f>SUM(DL36:DM36)</f>
        <v>0</v>
      </c>
      <c r="DO36" s="397">
        <f>DI36</f>
        <v>6</v>
      </c>
      <c r="DP36" s="405">
        <f>DJ36</f>
        <v>5</v>
      </c>
      <c r="DQ36" s="398">
        <f>SUM(DO36:DP36)</f>
        <v>11</v>
      </c>
      <c r="DR36" s="398">
        <f>DN36</f>
        <v>0</v>
      </c>
      <c r="DS36" s="393">
        <v>5</v>
      </c>
      <c r="DT36" s="394">
        <v>9</v>
      </c>
      <c r="DU36" s="395">
        <f t="shared" si="76"/>
        <v>14</v>
      </c>
      <c r="DV36" s="396">
        <v>0</v>
      </c>
      <c r="DW36" s="394">
        <v>0</v>
      </c>
      <c r="DX36" s="395">
        <f t="shared" si="77"/>
        <v>0</v>
      </c>
      <c r="DY36" s="397">
        <f t="shared" si="78"/>
        <v>5</v>
      </c>
      <c r="DZ36" s="405">
        <f t="shared" si="79"/>
        <v>9</v>
      </c>
      <c r="EA36" s="398">
        <f t="shared" si="80"/>
        <v>14</v>
      </c>
      <c r="EB36" s="398"/>
      <c r="EC36" s="393">
        <v>2</v>
      </c>
      <c r="ED36" s="394">
        <v>0</v>
      </c>
      <c r="EE36" s="395">
        <f>SUM(EC36:ED36)</f>
        <v>2</v>
      </c>
      <c r="EF36" s="396">
        <v>0</v>
      </c>
      <c r="EG36" s="394">
        <v>0</v>
      </c>
      <c r="EH36" s="395">
        <f>SUM(EF36:EG36)</f>
        <v>0</v>
      </c>
      <c r="EI36" s="397">
        <f>SUM(EC36+EF36)</f>
        <v>2</v>
      </c>
      <c r="EJ36" s="405">
        <f>SUM(ED36+EG36)</f>
        <v>0</v>
      </c>
      <c r="EK36" s="398">
        <f>SUM(EI36:EJ36)</f>
        <v>2</v>
      </c>
      <c r="EL36" s="398"/>
      <c r="EM36" s="393">
        <v>14</v>
      </c>
      <c r="EN36" s="394">
        <v>27</v>
      </c>
      <c r="EO36" s="395">
        <f>SUM(EM36:EN36)</f>
        <v>41</v>
      </c>
      <c r="EP36" s="396">
        <v>0</v>
      </c>
      <c r="EQ36" s="394">
        <v>0</v>
      </c>
      <c r="ER36" s="395">
        <f>SUM(EP36:EQ36)</f>
        <v>0</v>
      </c>
      <c r="ES36" s="397">
        <f t="shared" si="432"/>
        <v>14</v>
      </c>
      <c r="ET36" s="405">
        <f t="shared" si="432"/>
        <v>27</v>
      </c>
      <c r="EU36" s="398">
        <f>SUM(ES36:ET36)</f>
        <v>41</v>
      </c>
      <c r="EV36" s="398"/>
      <c r="EW36" s="492">
        <f t="shared" si="26"/>
        <v>27</v>
      </c>
      <c r="EX36" s="487">
        <f t="shared" si="27"/>
        <v>41</v>
      </c>
      <c r="EY36" s="487">
        <f t="shared" si="28"/>
        <v>68</v>
      </c>
      <c r="EZ36" s="487">
        <f t="shared" si="29"/>
        <v>0</v>
      </c>
      <c r="FA36" s="474"/>
      <c r="FB36" s="474">
        <f t="shared" si="30"/>
        <v>68</v>
      </c>
      <c r="FC36" s="475"/>
      <c r="FD36" s="547">
        <f t="shared" si="31"/>
        <v>95</v>
      </c>
      <c r="FE36" s="547">
        <f t="shared" si="32"/>
        <v>118</v>
      </c>
      <c r="FF36" s="547">
        <f t="shared" si="33"/>
        <v>0</v>
      </c>
      <c r="FG36" s="547">
        <f t="shared" si="34"/>
        <v>0</v>
      </c>
      <c r="FH36" s="577">
        <f t="shared" si="35"/>
        <v>95</v>
      </c>
      <c r="FI36" s="577">
        <f t="shared" si="36"/>
        <v>118</v>
      </c>
      <c r="FJ36" s="577">
        <f t="shared" si="37"/>
        <v>213</v>
      </c>
      <c r="FK36" s="577">
        <f t="shared" si="38"/>
        <v>139</v>
      </c>
      <c r="FL36" s="577">
        <f t="shared" si="39"/>
        <v>150</v>
      </c>
      <c r="FM36" s="577">
        <f t="shared" si="40"/>
        <v>289</v>
      </c>
      <c r="FN36" s="393">
        <v>51</v>
      </c>
      <c r="FO36" s="394">
        <v>64</v>
      </c>
      <c r="FP36" s="395">
        <f>SUM(FN36:FO36)</f>
        <v>115</v>
      </c>
      <c r="FQ36" s="396">
        <v>0</v>
      </c>
      <c r="FR36" s="394">
        <v>0</v>
      </c>
      <c r="FS36" s="395">
        <f>SUM(FQ36:FR36)</f>
        <v>0</v>
      </c>
      <c r="FT36" s="397">
        <f t="shared" si="433"/>
        <v>51</v>
      </c>
      <c r="FU36" s="405">
        <f t="shared" si="433"/>
        <v>64</v>
      </c>
      <c r="FV36" s="398">
        <f>SUM(FT36:FU36)</f>
        <v>115</v>
      </c>
      <c r="FW36" s="398"/>
      <c r="FX36" s="393">
        <v>37</v>
      </c>
      <c r="FY36" s="394">
        <v>16</v>
      </c>
      <c r="FZ36" s="395">
        <f>SUM(FX36:FY36)</f>
        <v>53</v>
      </c>
      <c r="GA36" s="396">
        <v>0</v>
      </c>
      <c r="GB36" s="394">
        <v>0</v>
      </c>
      <c r="GC36" s="395">
        <f t="shared" ref="GC36:GC37" si="450">SUM(GA36:GB36)</f>
        <v>0</v>
      </c>
      <c r="GD36" s="397">
        <f t="shared" si="41"/>
        <v>37</v>
      </c>
      <c r="GE36" s="405">
        <f t="shared" si="42"/>
        <v>16</v>
      </c>
      <c r="GF36" s="398">
        <f t="shared" si="43"/>
        <v>53</v>
      </c>
      <c r="GG36" s="398"/>
      <c r="GH36" s="393">
        <v>155</v>
      </c>
      <c r="GI36" s="394">
        <v>160</v>
      </c>
      <c r="GJ36" s="395">
        <f t="shared" ref="GJ36:GJ37" si="451">SUM(GH36:GI36)</f>
        <v>315</v>
      </c>
      <c r="GK36" s="396">
        <v>0</v>
      </c>
      <c r="GL36" s="394">
        <v>0</v>
      </c>
      <c r="GM36" s="395">
        <f t="shared" ref="GM36:GM37" si="452">GK36+GL36</f>
        <v>0</v>
      </c>
      <c r="GN36" s="397">
        <f t="shared" ref="GN36:GN52" si="453">GH36+GK36</f>
        <v>155</v>
      </c>
      <c r="GO36" s="405">
        <f t="shared" ref="GO36:GO52" si="454">GI36+GL36</f>
        <v>160</v>
      </c>
      <c r="GP36" s="398">
        <f t="shared" ref="GP36:GP52" si="455">GN36+GO36</f>
        <v>315</v>
      </c>
      <c r="GQ36" s="398"/>
      <c r="GR36" s="650">
        <f t="shared" si="47"/>
        <v>366</v>
      </c>
      <c r="GS36" s="650">
        <f t="shared" si="48"/>
        <v>386</v>
      </c>
      <c r="GT36" s="650">
        <f t="shared" si="49"/>
        <v>366</v>
      </c>
      <c r="GU36" s="650">
        <f t="shared" si="50"/>
        <v>386</v>
      </c>
      <c r="GV36" s="650">
        <f t="shared" si="51"/>
        <v>0</v>
      </c>
      <c r="GW36" s="650">
        <f t="shared" si="52"/>
        <v>0</v>
      </c>
      <c r="GX36" s="393"/>
      <c r="GY36" s="394"/>
      <c r="GZ36" s="395">
        <f t="shared" si="53"/>
        <v>0</v>
      </c>
      <c r="HA36" s="396"/>
      <c r="HB36" s="394"/>
      <c r="HC36" s="395">
        <f t="shared" si="54"/>
        <v>0</v>
      </c>
      <c r="HD36" s="397">
        <f t="shared" si="55"/>
        <v>0</v>
      </c>
      <c r="HE36" s="405">
        <f t="shared" si="56"/>
        <v>0</v>
      </c>
      <c r="HF36" s="398">
        <f t="shared" si="57"/>
        <v>0</v>
      </c>
      <c r="HG36" s="398"/>
      <c r="HH36" s="492">
        <f t="shared" si="58"/>
        <v>243</v>
      </c>
      <c r="HI36" s="487">
        <f t="shared" si="59"/>
        <v>240</v>
      </c>
      <c r="HJ36" s="487">
        <f t="shared" si="60"/>
        <v>243</v>
      </c>
      <c r="HK36" s="487">
        <f t="shared" si="61"/>
        <v>240</v>
      </c>
      <c r="HL36" s="487">
        <f t="shared" si="62"/>
        <v>0</v>
      </c>
      <c r="HM36" s="487">
        <f t="shared" si="63"/>
        <v>0</v>
      </c>
      <c r="HN36" s="474"/>
      <c r="HO36" s="474">
        <f t="shared" si="64"/>
        <v>483</v>
      </c>
      <c r="HP36" s="475"/>
      <c r="HQ36" s="547">
        <f t="shared" si="426"/>
        <v>243</v>
      </c>
      <c r="HR36" s="547">
        <f t="shared" si="427"/>
        <v>240</v>
      </c>
      <c r="HS36" s="547">
        <f t="shared" si="428"/>
        <v>0</v>
      </c>
      <c r="HT36" s="547">
        <f t="shared" si="429"/>
        <v>0</v>
      </c>
      <c r="HU36" s="393">
        <v>117</v>
      </c>
      <c r="HV36" s="394">
        <v>111</v>
      </c>
      <c r="HW36" s="395">
        <f t="shared" si="69"/>
        <v>228</v>
      </c>
      <c r="HX36" s="396">
        <v>0</v>
      </c>
      <c r="HY36" s="394">
        <v>0</v>
      </c>
      <c r="HZ36" s="395">
        <f t="shared" si="70"/>
        <v>0</v>
      </c>
      <c r="IA36" s="397">
        <f t="shared" si="71"/>
        <v>117</v>
      </c>
      <c r="IB36" s="405">
        <f t="shared" si="72"/>
        <v>111</v>
      </c>
      <c r="IC36" s="398">
        <f t="shared" si="73"/>
        <v>228</v>
      </c>
      <c r="ID36" s="398"/>
      <c r="IE36" s="393"/>
      <c r="IF36" s="394"/>
      <c r="IG36" s="395"/>
      <c r="IH36" s="396"/>
      <c r="II36" s="394"/>
      <c r="IJ36" s="395"/>
      <c r="IK36" s="397"/>
      <c r="IL36" s="405"/>
      <c r="IM36" s="398"/>
      <c r="IN36" s="398"/>
      <c r="IO36" s="393"/>
      <c r="IP36" s="394"/>
      <c r="IQ36" s="395"/>
      <c r="IR36" s="396"/>
      <c r="IS36" s="394"/>
      <c r="IT36" s="395"/>
      <c r="IU36" s="397"/>
      <c r="IV36" s="405"/>
      <c r="IW36" s="398"/>
      <c r="IX36" s="398"/>
      <c r="IY36" s="393"/>
      <c r="IZ36" s="394"/>
      <c r="JA36" s="395"/>
      <c r="JB36" s="396"/>
      <c r="JC36" s="394"/>
      <c r="JD36" s="395"/>
      <c r="JE36" s="397"/>
      <c r="JF36" s="405"/>
      <c r="JG36" s="398"/>
      <c r="JH36" s="398"/>
      <c r="JI36" s="494"/>
      <c r="JJ36" s="479"/>
      <c r="JK36" s="479"/>
      <c r="JL36" s="479"/>
      <c r="JM36" s="474"/>
      <c r="JN36" s="474">
        <f t="shared" si="74"/>
        <v>228</v>
      </c>
      <c r="JO36" s="475"/>
      <c r="JP36" s="393"/>
      <c r="JQ36" s="394"/>
      <c r="JR36" s="395"/>
      <c r="JS36" s="396"/>
      <c r="JT36" s="394"/>
      <c r="JU36" s="395"/>
      <c r="JV36" s="397"/>
      <c r="JW36" s="405"/>
      <c r="JX36" s="398"/>
      <c r="JY36" s="398"/>
      <c r="JZ36" s="577">
        <f t="shared" si="417"/>
        <v>779</v>
      </c>
      <c r="KA36" s="412">
        <f t="shared" si="403"/>
        <v>499</v>
      </c>
      <c r="KB36" s="412">
        <f t="shared" si="404"/>
        <v>501</v>
      </c>
      <c r="KC36" s="412">
        <f t="shared" si="405"/>
        <v>499</v>
      </c>
      <c r="KD36" s="412">
        <f t="shared" si="406"/>
        <v>501</v>
      </c>
      <c r="KE36" s="412">
        <f t="shared" si="407"/>
        <v>0</v>
      </c>
      <c r="KF36" s="693">
        <f t="shared" si="408"/>
        <v>0</v>
      </c>
      <c r="KG36" s="687">
        <f t="shared" si="75"/>
        <v>1000</v>
      </c>
      <c r="KH36" s="680">
        <v>600</v>
      </c>
      <c r="KI36" s="680">
        <f t="shared" si="434"/>
        <v>-400</v>
      </c>
      <c r="KJ36" s="681">
        <f t="shared" si="435"/>
        <v>1.6666666666666667</v>
      </c>
      <c r="KK36" s="359">
        <f>KA36+KA37</f>
        <v>555</v>
      </c>
      <c r="KL36" s="359">
        <f>SUM(EX36+CX36+AT36)+10</f>
        <v>160</v>
      </c>
      <c r="KM36" s="359">
        <f>SUM(KI34:KI35)</f>
        <v>2496</v>
      </c>
      <c r="KN36" s="359"/>
      <c r="KO36" s="359"/>
      <c r="KP36" s="359"/>
      <c r="KQ36" s="359"/>
    </row>
    <row r="37" spans="1:303" ht="52.5" customHeight="1" x14ac:dyDescent="0.3">
      <c r="A37" s="744"/>
      <c r="B37" s="418" t="s">
        <v>150</v>
      </c>
      <c r="C37" s="391" t="s">
        <v>131</v>
      </c>
      <c r="D37" s="392">
        <v>600</v>
      </c>
      <c r="E37" s="393"/>
      <c r="F37" s="394"/>
      <c r="G37" s="395"/>
      <c r="H37" s="396"/>
      <c r="I37" s="394"/>
      <c r="J37" s="395"/>
      <c r="K37" s="397"/>
      <c r="L37" s="398"/>
      <c r="M37" s="398"/>
      <c r="N37" s="399"/>
      <c r="O37" s="393"/>
      <c r="P37" s="394"/>
      <c r="Q37" s="400"/>
      <c r="R37" s="396"/>
      <c r="S37" s="394"/>
      <c r="T37" s="400"/>
      <c r="U37" s="397"/>
      <c r="V37" s="398"/>
      <c r="W37" s="398"/>
      <c r="X37" s="399"/>
      <c r="Y37" s="393"/>
      <c r="Z37" s="394"/>
      <c r="AA37" s="400"/>
      <c r="AB37" s="396"/>
      <c r="AC37" s="394"/>
      <c r="AD37" s="400"/>
      <c r="AE37" s="397"/>
      <c r="AF37" s="405"/>
      <c r="AG37" s="398"/>
      <c r="AH37" s="403"/>
      <c r="AI37" s="393"/>
      <c r="AJ37" s="394"/>
      <c r="AK37" s="395"/>
      <c r="AL37" s="396"/>
      <c r="AM37" s="394"/>
      <c r="AN37" s="395"/>
      <c r="AO37" s="397"/>
      <c r="AP37" s="398"/>
      <c r="AQ37" s="398"/>
      <c r="AR37" s="404"/>
      <c r="AS37" s="486">
        <f t="shared" si="7"/>
        <v>0</v>
      </c>
      <c r="AT37" s="487">
        <f t="shared" si="8"/>
        <v>0</v>
      </c>
      <c r="AU37" s="487">
        <f t="shared" si="9"/>
        <v>0</v>
      </c>
      <c r="AV37" s="487">
        <f t="shared" si="10"/>
        <v>0</v>
      </c>
      <c r="AW37" s="478"/>
      <c r="AX37" s="479">
        <f t="shared" si="11"/>
        <v>0</v>
      </c>
      <c r="AY37" s="537"/>
      <c r="AZ37" s="547">
        <f t="shared" si="418"/>
        <v>0</v>
      </c>
      <c r="BA37" s="547">
        <f t="shared" si="419"/>
        <v>0</v>
      </c>
      <c r="BB37" s="547">
        <f t="shared" si="420"/>
        <v>0</v>
      </c>
      <c r="BC37" s="547">
        <f t="shared" si="421"/>
        <v>0</v>
      </c>
      <c r="BD37" s="393"/>
      <c r="BE37" s="394"/>
      <c r="BF37" s="395"/>
      <c r="BG37" s="396"/>
      <c r="BH37" s="394"/>
      <c r="BI37" s="395"/>
      <c r="BJ37" s="397"/>
      <c r="BK37" s="398"/>
      <c r="BL37" s="405"/>
      <c r="BM37" s="398"/>
      <c r="BN37" s="393"/>
      <c r="BO37" s="394"/>
      <c r="BP37" s="395"/>
      <c r="BQ37" s="396"/>
      <c r="BR37" s="394"/>
      <c r="BS37" s="395"/>
      <c r="BT37" s="397"/>
      <c r="BU37" s="405"/>
      <c r="BV37" s="398"/>
      <c r="BW37" s="398"/>
      <c r="BX37" s="626">
        <f t="shared" si="16"/>
        <v>0</v>
      </c>
      <c r="BY37" s="626">
        <f t="shared" si="17"/>
        <v>0</v>
      </c>
      <c r="BZ37" s="626">
        <f t="shared" si="18"/>
        <v>0</v>
      </c>
      <c r="CA37" s="626">
        <f t="shared" si="19"/>
        <v>0</v>
      </c>
      <c r="CB37" s="625">
        <f t="shared" si="20"/>
        <v>0</v>
      </c>
      <c r="CC37" s="393">
        <f>BT34+BJ34+AO34+AE34+U34</f>
        <v>44</v>
      </c>
      <c r="CD37" s="394"/>
      <c r="CE37" s="395"/>
      <c r="CF37" s="396"/>
      <c r="CG37" s="394"/>
      <c r="CH37" s="395"/>
      <c r="CI37" s="397"/>
      <c r="CJ37" s="398"/>
      <c r="CK37" s="398"/>
      <c r="CL37" s="414"/>
      <c r="CM37" s="393">
        <v>1</v>
      </c>
      <c r="CN37" s="394">
        <v>10</v>
      </c>
      <c r="CO37" s="395">
        <f>SUM(CM37:CN37)</f>
        <v>11</v>
      </c>
      <c r="CP37" s="396">
        <v>0</v>
      </c>
      <c r="CQ37" s="394">
        <v>0</v>
      </c>
      <c r="CR37" s="395">
        <f>SUM(CP37:CQ37)</f>
        <v>0</v>
      </c>
      <c r="CS37" s="397"/>
      <c r="CT37" s="398"/>
      <c r="CU37" s="405"/>
      <c r="CV37" s="405"/>
      <c r="CW37" s="492">
        <f t="shared" si="449"/>
        <v>0</v>
      </c>
      <c r="CX37" s="487">
        <f t="shared" si="449"/>
        <v>0</v>
      </c>
      <c r="CY37" s="487">
        <f t="shared" si="431"/>
        <v>0</v>
      </c>
      <c r="CZ37" s="487">
        <f t="shared" si="422"/>
        <v>0</v>
      </c>
      <c r="DA37" s="474"/>
      <c r="DB37" s="474"/>
      <c r="DC37" s="475"/>
      <c r="DD37" s="547">
        <f t="shared" si="21"/>
        <v>45</v>
      </c>
      <c r="DE37" s="547">
        <f t="shared" si="22"/>
        <v>10</v>
      </c>
      <c r="DF37" s="547">
        <f t="shared" si="23"/>
        <v>0</v>
      </c>
      <c r="DG37" s="547">
        <f t="shared" si="24"/>
        <v>0</v>
      </c>
      <c r="DH37" s="576">
        <f t="shared" si="25"/>
        <v>0</v>
      </c>
      <c r="DI37" s="393"/>
      <c r="DJ37" s="394"/>
      <c r="DK37" s="395">
        <f>SUM(DI37:DJ37)</f>
        <v>0</v>
      </c>
      <c r="DL37" s="396">
        <v>0</v>
      </c>
      <c r="DM37" s="394">
        <v>0</v>
      </c>
      <c r="DN37" s="395">
        <f>SUM(DL37:DM37)</f>
        <v>0</v>
      </c>
      <c r="DO37" s="397">
        <f>SUM(DI37+DL37)</f>
        <v>0</v>
      </c>
      <c r="DP37" s="405">
        <f>SUM(DJ37+DM37)</f>
        <v>0</v>
      </c>
      <c r="DQ37" s="398">
        <f>SUM(DO37:DP37)</f>
        <v>0</v>
      </c>
      <c r="DR37" s="398"/>
      <c r="DS37" s="393">
        <v>19</v>
      </c>
      <c r="DT37" s="394">
        <v>29</v>
      </c>
      <c r="DU37" s="395">
        <f t="shared" si="76"/>
        <v>48</v>
      </c>
      <c r="DV37" s="396">
        <v>0</v>
      </c>
      <c r="DW37" s="394">
        <v>0</v>
      </c>
      <c r="DX37" s="395">
        <f t="shared" si="77"/>
        <v>0</v>
      </c>
      <c r="DY37" s="397">
        <f t="shared" si="78"/>
        <v>19</v>
      </c>
      <c r="DZ37" s="405">
        <f t="shared" si="79"/>
        <v>29</v>
      </c>
      <c r="EA37" s="398">
        <f t="shared" si="80"/>
        <v>48</v>
      </c>
      <c r="EB37" s="398"/>
      <c r="EC37" s="393">
        <v>6</v>
      </c>
      <c r="ED37" s="394">
        <v>9</v>
      </c>
      <c r="EE37" s="395">
        <f>SUM(EC37:ED37)</f>
        <v>15</v>
      </c>
      <c r="EF37" s="396">
        <v>0</v>
      </c>
      <c r="EG37" s="394">
        <v>0</v>
      </c>
      <c r="EH37" s="395">
        <f>SUM(EF37:EG37)</f>
        <v>0</v>
      </c>
      <c r="EI37" s="397">
        <f>SUM(EC37+EF37)</f>
        <v>6</v>
      </c>
      <c r="EJ37" s="405">
        <f>SUM(ED37+EG37)</f>
        <v>9</v>
      </c>
      <c r="EK37" s="398">
        <f>SUM(EI37:EJ37)</f>
        <v>15</v>
      </c>
      <c r="EL37" s="398"/>
      <c r="EM37" s="393">
        <v>27</v>
      </c>
      <c r="EN37" s="394">
        <v>26</v>
      </c>
      <c r="EO37" s="395">
        <f>SUM(EM37:EN37)</f>
        <v>53</v>
      </c>
      <c r="EP37" s="396">
        <v>0</v>
      </c>
      <c r="EQ37" s="394">
        <v>0</v>
      </c>
      <c r="ER37" s="395">
        <f>SUM(EP37:EQ37)</f>
        <v>0</v>
      </c>
      <c r="ES37" s="397">
        <f t="shared" si="432"/>
        <v>27</v>
      </c>
      <c r="ET37" s="405">
        <f t="shared" si="432"/>
        <v>26</v>
      </c>
      <c r="EU37" s="398">
        <f>SUM(ES37:ET37)</f>
        <v>53</v>
      </c>
      <c r="EV37" s="398"/>
      <c r="EW37" s="492">
        <f t="shared" si="26"/>
        <v>52</v>
      </c>
      <c r="EX37" s="487">
        <f t="shared" si="27"/>
        <v>64</v>
      </c>
      <c r="EY37" s="487">
        <f t="shared" si="28"/>
        <v>116</v>
      </c>
      <c r="EZ37" s="487">
        <f t="shared" si="29"/>
        <v>0</v>
      </c>
      <c r="FA37" s="474"/>
      <c r="FB37" s="474">
        <f t="shared" si="30"/>
        <v>116</v>
      </c>
      <c r="FC37" s="475"/>
      <c r="FD37" s="547">
        <f t="shared" si="31"/>
        <v>97</v>
      </c>
      <c r="FE37" s="547">
        <f t="shared" si="32"/>
        <v>74</v>
      </c>
      <c r="FF37" s="547">
        <f t="shared" si="33"/>
        <v>0</v>
      </c>
      <c r="FG37" s="547">
        <f t="shared" si="34"/>
        <v>0</v>
      </c>
      <c r="FH37" s="577">
        <f t="shared" si="35"/>
        <v>97</v>
      </c>
      <c r="FI37" s="577">
        <f t="shared" si="36"/>
        <v>74</v>
      </c>
      <c r="FJ37" s="577">
        <f t="shared" si="37"/>
        <v>171</v>
      </c>
      <c r="FK37" s="577">
        <f t="shared" si="38"/>
        <v>52</v>
      </c>
      <c r="FL37" s="577">
        <f t="shared" si="39"/>
        <v>64</v>
      </c>
      <c r="FM37" s="577">
        <f t="shared" si="40"/>
        <v>116</v>
      </c>
      <c r="FN37" s="393">
        <v>1</v>
      </c>
      <c r="FO37" s="394">
        <v>8</v>
      </c>
      <c r="FP37" s="395">
        <f>SUM(FN37:FO37)</f>
        <v>9</v>
      </c>
      <c r="FQ37" s="396">
        <v>0</v>
      </c>
      <c r="FR37" s="394">
        <v>0</v>
      </c>
      <c r="FS37" s="395">
        <f>SUM(FQ37:FR37)</f>
        <v>0</v>
      </c>
      <c r="FT37" s="397">
        <f t="shared" si="433"/>
        <v>1</v>
      </c>
      <c r="FU37" s="405">
        <f t="shared" si="433"/>
        <v>8</v>
      </c>
      <c r="FV37" s="398">
        <f>SUM(FT37:FU37)</f>
        <v>9</v>
      </c>
      <c r="FW37" s="398"/>
      <c r="FX37" s="393">
        <v>1</v>
      </c>
      <c r="FY37" s="394">
        <v>0</v>
      </c>
      <c r="FZ37" s="395">
        <f>SUM(FX37:FY37)</f>
        <v>1</v>
      </c>
      <c r="GA37" s="396">
        <v>0</v>
      </c>
      <c r="GB37" s="394">
        <v>0</v>
      </c>
      <c r="GC37" s="395">
        <f t="shared" si="450"/>
        <v>0</v>
      </c>
      <c r="GD37" s="397">
        <f t="shared" si="41"/>
        <v>1</v>
      </c>
      <c r="GE37" s="405">
        <f t="shared" si="42"/>
        <v>0</v>
      </c>
      <c r="GF37" s="398">
        <f t="shared" si="43"/>
        <v>1</v>
      </c>
      <c r="GG37" s="398"/>
      <c r="GH37" s="393">
        <v>2</v>
      </c>
      <c r="GI37" s="394">
        <v>6</v>
      </c>
      <c r="GJ37" s="395">
        <f t="shared" si="451"/>
        <v>8</v>
      </c>
      <c r="GK37" s="396">
        <v>0</v>
      </c>
      <c r="GL37" s="394">
        <v>0</v>
      </c>
      <c r="GM37" s="395">
        <f t="shared" si="452"/>
        <v>0</v>
      </c>
      <c r="GN37" s="397">
        <f t="shared" si="453"/>
        <v>2</v>
      </c>
      <c r="GO37" s="405">
        <f t="shared" si="454"/>
        <v>6</v>
      </c>
      <c r="GP37" s="398">
        <f t="shared" si="455"/>
        <v>8</v>
      </c>
      <c r="GQ37" s="398"/>
      <c r="GR37" s="650">
        <f t="shared" si="47"/>
        <v>56</v>
      </c>
      <c r="GS37" s="650">
        <f t="shared" si="48"/>
        <v>78</v>
      </c>
      <c r="GT37" s="650">
        <f t="shared" si="49"/>
        <v>101</v>
      </c>
      <c r="GU37" s="650">
        <f t="shared" si="50"/>
        <v>88</v>
      </c>
      <c r="GV37" s="650">
        <f t="shared" si="51"/>
        <v>0</v>
      </c>
      <c r="GW37" s="650">
        <f t="shared" si="52"/>
        <v>0</v>
      </c>
      <c r="GX37" s="393"/>
      <c r="GY37" s="394"/>
      <c r="GZ37" s="395">
        <f t="shared" si="53"/>
        <v>0</v>
      </c>
      <c r="HA37" s="396"/>
      <c r="HB37" s="394"/>
      <c r="HC37" s="395">
        <f t="shared" si="54"/>
        <v>0</v>
      </c>
      <c r="HD37" s="397">
        <f t="shared" si="55"/>
        <v>0</v>
      </c>
      <c r="HE37" s="405">
        <f t="shared" si="56"/>
        <v>0</v>
      </c>
      <c r="HF37" s="398">
        <f t="shared" si="57"/>
        <v>0</v>
      </c>
      <c r="HG37" s="398"/>
      <c r="HH37" s="492">
        <f t="shared" si="58"/>
        <v>4</v>
      </c>
      <c r="HI37" s="487">
        <f t="shared" si="59"/>
        <v>14</v>
      </c>
      <c r="HJ37" s="487">
        <f t="shared" si="60"/>
        <v>4</v>
      </c>
      <c r="HK37" s="487">
        <f t="shared" si="61"/>
        <v>14</v>
      </c>
      <c r="HL37" s="487">
        <f t="shared" si="62"/>
        <v>0</v>
      </c>
      <c r="HM37" s="487">
        <f t="shared" si="63"/>
        <v>0</v>
      </c>
      <c r="HN37" s="474"/>
      <c r="HO37" s="474">
        <f t="shared" si="64"/>
        <v>18</v>
      </c>
      <c r="HP37" s="475"/>
      <c r="HQ37" s="547">
        <f t="shared" si="426"/>
        <v>4</v>
      </c>
      <c r="HR37" s="547">
        <f t="shared" si="427"/>
        <v>14</v>
      </c>
      <c r="HS37" s="547">
        <f t="shared" si="428"/>
        <v>0</v>
      </c>
      <c r="HT37" s="547">
        <f t="shared" si="429"/>
        <v>0</v>
      </c>
      <c r="HU37" s="393"/>
      <c r="HV37" s="394"/>
      <c r="HW37" s="395">
        <f t="shared" si="69"/>
        <v>0</v>
      </c>
      <c r="HX37" s="396"/>
      <c r="HY37" s="394"/>
      <c r="HZ37" s="395">
        <f t="shared" si="70"/>
        <v>0</v>
      </c>
      <c r="IA37" s="397">
        <f t="shared" si="71"/>
        <v>0</v>
      </c>
      <c r="IB37" s="405">
        <f t="shared" si="72"/>
        <v>0</v>
      </c>
      <c r="IC37" s="398">
        <f t="shared" si="73"/>
        <v>0</v>
      </c>
      <c r="ID37" s="398"/>
      <c r="IE37" s="393"/>
      <c r="IF37" s="394"/>
      <c r="IG37" s="395"/>
      <c r="IH37" s="396"/>
      <c r="II37" s="394"/>
      <c r="IJ37" s="395"/>
      <c r="IK37" s="397"/>
      <c r="IL37" s="405"/>
      <c r="IM37" s="398"/>
      <c r="IN37" s="398"/>
      <c r="IO37" s="393"/>
      <c r="IP37" s="394"/>
      <c r="IQ37" s="395"/>
      <c r="IR37" s="396"/>
      <c r="IS37" s="394"/>
      <c r="IT37" s="395"/>
      <c r="IU37" s="397"/>
      <c r="IV37" s="405"/>
      <c r="IW37" s="398"/>
      <c r="IX37" s="398"/>
      <c r="IY37" s="393"/>
      <c r="IZ37" s="394"/>
      <c r="JA37" s="395"/>
      <c r="JB37" s="396"/>
      <c r="JC37" s="394"/>
      <c r="JD37" s="395"/>
      <c r="JE37" s="397"/>
      <c r="JF37" s="405"/>
      <c r="JG37" s="398"/>
      <c r="JH37" s="398"/>
      <c r="JI37" s="494"/>
      <c r="JJ37" s="479"/>
      <c r="JK37" s="479"/>
      <c r="JL37" s="479"/>
      <c r="JM37" s="474"/>
      <c r="JN37" s="474">
        <f t="shared" si="74"/>
        <v>0</v>
      </c>
      <c r="JO37" s="475"/>
      <c r="JP37" s="393"/>
      <c r="JQ37" s="394"/>
      <c r="JR37" s="395"/>
      <c r="JS37" s="396"/>
      <c r="JT37" s="394"/>
      <c r="JU37" s="395"/>
      <c r="JV37" s="397"/>
      <c r="JW37" s="405"/>
      <c r="JX37" s="398"/>
      <c r="JY37" s="398"/>
      <c r="JZ37" s="577">
        <f t="shared" si="417"/>
        <v>134</v>
      </c>
      <c r="KA37" s="412">
        <f t="shared" si="403"/>
        <v>56</v>
      </c>
      <c r="KB37" s="412">
        <f t="shared" si="404"/>
        <v>78</v>
      </c>
      <c r="KC37" s="412">
        <f t="shared" si="405"/>
        <v>101</v>
      </c>
      <c r="KD37" s="412">
        <f t="shared" si="406"/>
        <v>88</v>
      </c>
      <c r="KE37" s="412">
        <f t="shared" si="407"/>
        <v>0</v>
      </c>
      <c r="KF37" s="693">
        <f t="shared" si="408"/>
        <v>0</v>
      </c>
      <c r="KG37" s="687">
        <f t="shared" si="75"/>
        <v>134</v>
      </c>
      <c r="KH37" s="680">
        <v>600</v>
      </c>
      <c r="KI37" s="680">
        <f t="shared" si="434"/>
        <v>466</v>
      </c>
      <c r="KJ37" s="681">
        <f t="shared" si="435"/>
        <v>0.22333333333333333</v>
      </c>
      <c r="KK37" s="359">
        <f>KB36+KB37</f>
        <v>579</v>
      </c>
      <c r="KL37" s="359"/>
      <c r="KM37" s="359">
        <f>SVT9</f>
        <v>0</v>
      </c>
      <c r="KN37" s="359"/>
      <c r="KO37" s="359"/>
      <c r="KP37" s="359"/>
      <c r="KQ37" s="359"/>
    </row>
    <row r="38" spans="1:303" ht="36" customHeight="1" x14ac:dyDescent="0.3">
      <c r="A38" s="744"/>
      <c r="B38" s="438" t="s">
        <v>33</v>
      </c>
      <c r="C38" s="391" t="s">
        <v>130</v>
      </c>
      <c r="D38" s="392">
        <v>8</v>
      </c>
      <c r="E38" s="393"/>
      <c r="F38" s="394"/>
      <c r="G38" s="395"/>
      <c r="H38" s="396"/>
      <c r="I38" s="394"/>
      <c r="J38" s="395"/>
      <c r="K38" s="397"/>
      <c r="L38" s="398"/>
      <c r="M38" s="398"/>
      <c r="N38" s="399"/>
      <c r="O38" s="393"/>
      <c r="P38" s="394"/>
      <c r="Q38" s="400"/>
      <c r="R38" s="396"/>
      <c r="S38" s="394"/>
      <c r="T38" s="400"/>
      <c r="U38" s="397"/>
      <c r="V38" s="398"/>
      <c r="W38" s="398"/>
      <c r="X38" s="399"/>
      <c r="Y38" s="393"/>
      <c r="Z38" s="394"/>
      <c r="AA38" s="400"/>
      <c r="AB38" s="396"/>
      <c r="AC38" s="394"/>
      <c r="AD38" s="400"/>
      <c r="AE38" s="397"/>
      <c r="AF38" s="405"/>
      <c r="AG38" s="398"/>
      <c r="AH38" s="403"/>
      <c r="AI38" s="393"/>
      <c r="AJ38" s="394"/>
      <c r="AK38" s="395"/>
      <c r="AL38" s="396"/>
      <c r="AM38" s="394"/>
      <c r="AN38" s="395"/>
      <c r="AO38" s="397"/>
      <c r="AP38" s="398"/>
      <c r="AQ38" s="398"/>
      <c r="AR38" s="404"/>
      <c r="AS38" s="486">
        <f t="shared" si="7"/>
        <v>0</v>
      </c>
      <c r="AT38" s="487">
        <f t="shared" si="8"/>
        <v>0</v>
      </c>
      <c r="AU38" s="487">
        <f t="shared" si="9"/>
        <v>0</v>
      </c>
      <c r="AV38" s="487">
        <f t="shared" si="10"/>
        <v>0</v>
      </c>
      <c r="AW38" s="478"/>
      <c r="AX38" s="479">
        <f t="shared" si="11"/>
        <v>0</v>
      </c>
      <c r="AY38" s="537" t="e">
        <f t="shared" ref="AY38:AY43" si="456">AX38/AW38</f>
        <v>#DIV/0!</v>
      </c>
      <c r="AZ38" s="547">
        <f t="shared" si="418"/>
        <v>0</v>
      </c>
      <c r="BA38" s="547">
        <f t="shared" si="419"/>
        <v>0</v>
      </c>
      <c r="BB38" s="547">
        <f t="shared" si="420"/>
        <v>0</v>
      </c>
      <c r="BC38" s="547">
        <f t="shared" si="421"/>
        <v>0</v>
      </c>
      <c r="BD38" s="393"/>
      <c r="BE38" s="394"/>
      <c r="BF38" s="395"/>
      <c r="BG38" s="396"/>
      <c r="BH38" s="394"/>
      <c r="BI38" s="395"/>
      <c r="BJ38" s="397"/>
      <c r="BK38" s="398"/>
      <c r="BL38" s="405"/>
      <c r="BM38" s="398"/>
      <c r="BN38" s="393"/>
      <c r="BO38" s="394"/>
      <c r="BP38" s="395"/>
      <c r="BQ38" s="396"/>
      <c r="BR38" s="394"/>
      <c r="BS38" s="395"/>
      <c r="BT38" s="397"/>
      <c r="BU38" s="405"/>
      <c r="BV38" s="398"/>
      <c r="BW38" s="398"/>
      <c r="BX38" s="626">
        <f t="shared" si="16"/>
        <v>0</v>
      </c>
      <c r="BY38" s="626">
        <f t="shared" si="17"/>
        <v>0</v>
      </c>
      <c r="BZ38" s="626">
        <f t="shared" si="18"/>
        <v>0</v>
      </c>
      <c r="CA38" s="626">
        <f t="shared" si="19"/>
        <v>0</v>
      </c>
      <c r="CB38" s="625">
        <f t="shared" si="20"/>
        <v>0</v>
      </c>
      <c r="CC38" s="393"/>
      <c r="CD38" s="394"/>
      <c r="CE38" s="395"/>
      <c r="CF38" s="396"/>
      <c r="CG38" s="394"/>
      <c r="CH38" s="395"/>
      <c r="CI38" s="397"/>
      <c r="CJ38" s="398"/>
      <c r="CK38" s="398"/>
      <c r="CL38" s="414"/>
      <c r="CM38" s="393"/>
      <c r="CN38" s="394"/>
      <c r="CO38" s="395"/>
      <c r="CP38" s="396"/>
      <c r="CQ38" s="394"/>
      <c r="CR38" s="395"/>
      <c r="CS38" s="397"/>
      <c r="CT38" s="398"/>
      <c r="CU38" s="405"/>
      <c r="CV38" s="405"/>
      <c r="CW38" s="492">
        <f t="shared" si="449"/>
        <v>0</v>
      </c>
      <c r="CX38" s="487">
        <f t="shared" si="449"/>
        <v>0</v>
      </c>
      <c r="CY38" s="487">
        <f t="shared" si="431"/>
        <v>0</v>
      </c>
      <c r="CZ38" s="487">
        <f t="shared" si="422"/>
        <v>0</v>
      </c>
      <c r="DA38" s="474"/>
      <c r="DB38" s="474">
        <f t="shared" ref="DB38:DB43" si="457">SUM(CW38:CX38)</f>
        <v>0</v>
      </c>
      <c r="DC38" s="475"/>
      <c r="DD38" s="547">
        <f t="shared" si="21"/>
        <v>0</v>
      </c>
      <c r="DE38" s="547">
        <f t="shared" si="22"/>
        <v>0</v>
      </c>
      <c r="DF38" s="547">
        <f t="shared" si="23"/>
        <v>0</v>
      </c>
      <c r="DG38" s="547">
        <f t="shared" si="24"/>
        <v>0</v>
      </c>
      <c r="DH38" s="576">
        <f t="shared" si="25"/>
        <v>0</v>
      </c>
      <c r="DI38" s="393"/>
      <c r="DJ38" s="394"/>
      <c r="DK38" s="395"/>
      <c r="DL38" s="396"/>
      <c r="DM38" s="394"/>
      <c r="DN38" s="395"/>
      <c r="DO38" s="397"/>
      <c r="DP38" s="405"/>
      <c r="DQ38" s="398"/>
      <c r="DR38" s="398"/>
      <c r="DS38" s="393"/>
      <c r="DT38" s="394"/>
      <c r="DU38" s="395">
        <f t="shared" si="76"/>
        <v>0</v>
      </c>
      <c r="DV38" s="396"/>
      <c r="DW38" s="394"/>
      <c r="DX38" s="395">
        <f t="shared" si="77"/>
        <v>0</v>
      </c>
      <c r="DY38" s="397">
        <f t="shared" si="78"/>
        <v>0</v>
      </c>
      <c r="DZ38" s="405">
        <v>1</v>
      </c>
      <c r="EA38" s="398">
        <f t="shared" si="80"/>
        <v>1</v>
      </c>
      <c r="EB38" s="398"/>
      <c r="EC38" s="393"/>
      <c r="ED38" s="394"/>
      <c r="EE38" s="395"/>
      <c r="EF38" s="396"/>
      <c r="EG38" s="394"/>
      <c r="EH38" s="395"/>
      <c r="EI38" s="397"/>
      <c r="EJ38" s="405">
        <v>5</v>
      </c>
      <c r="EK38" s="398">
        <v>0</v>
      </c>
      <c r="EL38" s="398"/>
      <c r="EM38" s="393"/>
      <c r="EN38" s="394"/>
      <c r="EO38" s="395"/>
      <c r="EP38" s="396"/>
      <c r="EQ38" s="394"/>
      <c r="ER38" s="395"/>
      <c r="ES38" s="397"/>
      <c r="ET38" s="405"/>
      <c r="EU38" s="398"/>
      <c r="EV38" s="398"/>
      <c r="EW38" s="492">
        <f t="shared" si="26"/>
        <v>0</v>
      </c>
      <c r="EX38" s="487">
        <f t="shared" si="27"/>
        <v>6</v>
      </c>
      <c r="EY38" s="487">
        <f t="shared" si="28"/>
        <v>0</v>
      </c>
      <c r="EZ38" s="487">
        <f t="shared" si="29"/>
        <v>0</v>
      </c>
      <c r="FA38" s="474"/>
      <c r="FB38" s="474">
        <f t="shared" si="30"/>
        <v>6</v>
      </c>
      <c r="FC38" s="475"/>
      <c r="FD38" s="547">
        <f t="shared" si="31"/>
        <v>0</v>
      </c>
      <c r="FE38" s="547">
        <f t="shared" si="32"/>
        <v>0</v>
      </c>
      <c r="FF38" s="547">
        <f t="shared" si="33"/>
        <v>0</v>
      </c>
      <c r="FG38" s="547">
        <f t="shared" si="34"/>
        <v>0</v>
      </c>
      <c r="FH38" s="577">
        <f t="shared" si="35"/>
        <v>0</v>
      </c>
      <c r="FI38" s="577">
        <f t="shared" si="36"/>
        <v>0</v>
      </c>
      <c r="FJ38" s="577">
        <f t="shared" si="37"/>
        <v>0</v>
      </c>
      <c r="FK38" s="577">
        <f t="shared" si="38"/>
        <v>0</v>
      </c>
      <c r="FL38" s="577">
        <f t="shared" si="39"/>
        <v>6</v>
      </c>
      <c r="FM38" s="577">
        <f t="shared" si="40"/>
        <v>6</v>
      </c>
      <c r="FN38" s="393"/>
      <c r="FO38" s="394"/>
      <c r="FP38" s="395">
        <v>2</v>
      </c>
      <c r="FQ38" s="396"/>
      <c r="FR38" s="394"/>
      <c r="FS38" s="395"/>
      <c r="FT38" s="397">
        <f t="shared" ref="FT38:FT52" si="458">SUM(FN38+FQ38)</f>
        <v>0</v>
      </c>
      <c r="FU38" s="405">
        <f t="shared" ref="FU38:FU52" si="459">SUM(FO38+FR38)</f>
        <v>0</v>
      </c>
      <c r="FV38" s="398">
        <f t="shared" ref="FV38:FV52" si="460">SUM(FT38:FU38)</f>
        <v>0</v>
      </c>
      <c r="FW38" s="398"/>
      <c r="FX38" s="393"/>
      <c r="FY38" s="394"/>
      <c r="FZ38" s="395">
        <v>2</v>
      </c>
      <c r="GA38" s="396"/>
      <c r="GB38" s="394"/>
      <c r="GC38" s="395"/>
      <c r="GD38" s="397">
        <f t="shared" si="41"/>
        <v>0</v>
      </c>
      <c r="GE38" s="405">
        <f t="shared" si="42"/>
        <v>0</v>
      </c>
      <c r="GF38" s="398">
        <f t="shared" si="43"/>
        <v>0</v>
      </c>
      <c r="GG38" s="398"/>
      <c r="GH38" s="393"/>
      <c r="GI38" s="394"/>
      <c r="GJ38" s="395"/>
      <c r="GK38" s="396"/>
      <c r="GL38" s="394"/>
      <c r="GM38" s="395"/>
      <c r="GN38" s="397">
        <f t="shared" si="453"/>
        <v>0</v>
      </c>
      <c r="GO38" s="405">
        <f t="shared" si="454"/>
        <v>0</v>
      </c>
      <c r="GP38" s="398">
        <f t="shared" si="455"/>
        <v>0</v>
      </c>
      <c r="GQ38" s="398"/>
      <c r="GR38" s="650">
        <f t="shared" si="47"/>
        <v>0</v>
      </c>
      <c r="GS38" s="650">
        <f t="shared" si="48"/>
        <v>6</v>
      </c>
      <c r="GT38" s="650">
        <f t="shared" si="49"/>
        <v>0</v>
      </c>
      <c r="GU38" s="650">
        <f t="shared" si="50"/>
        <v>0</v>
      </c>
      <c r="GV38" s="650">
        <f t="shared" si="51"/>
        <v>0</v>
      </c>
      <c r="GW38" s="650">
        <f t="shared" si="52"/>
        <v>0</v>
      </c>
      <c r="GX38" s="393"/>
      <c r="GY38" s="394"/>
      <c r="GZ38" s="395">
        <f t="shared" si="53"/>
        <v>0</v>
      </c>
      <c r="HA38" s="396"/>
      <c r="HB38" s="394"/>
      <c r="HC38" s="395">
        <f t="shared" si="54"/>
        <v>0</v>
      </c>
      <c r="HD38" s="397">
        <f t="shared" si="55"/>
        <v>0</v>
      </c>
      <c r="HE38" s="405">
        <f t="shared" si="56"/>
        <v>0</v>
      </c>
      <c r="HF38" s="398">
        <f t="shared" si="57"/>
        <v>0</v>
      </c>
      <c r="HG38" s="398"/>
      <c r="HH38" s="492">
        <f t="shared" si="58"/>
        <v>0</v>
      </c>
      <c r="HI38" s="487">
        <f t="shared" si="59"/>
        <v>0</v>
      </c>
      <c r="HJ38" s="487">
        <f t="shared" si="60"/>
        <v>0</v>
      </c>
      <c r="HK38" s="487">
        <f t="shared" si="61"/>
        <v>0</v>
      </c>
      <c r="HL38" s="487">
        <f t="shared" si="62"/>
        <v>0</v>
      </c>
      <c r="HM38" s="487">
        <f t="shared" si="63"/>
        <v>0</v>
      </c>
      <c r="HN38" s="474"/>
      <c r="HO38" s="474">
        <f t="shared" si="64"/>
        <v>0</v>
      </c>
      <c r="HP38" s="475"/>
      <c r="HQ38" s="547">
        <f t="shared" si="426"/>
        <v>0</v>
      </c>
      <c r="HR38" s="547">
        <f t="shared" si="427"/>
        <v>0</v>
      </c>
      <c r="HS38" s="547">
        <f t="shared" si="428"/>
        <v>0</v>
      </c>
      <c r="HT38" s="547">
        <f t="shared" si="429"/>
        <v>0</v>
      </c>
      <c r="HU38" s="393"/>
      <c r="HV38" s="394"/>
      <c r="HW38" s="395">
        <f t="shared" si="69"/>
        <v>0</v>
      </c>
      <c r="HX38" s="396"/>
      <c r="HY38" s="394"/>
      <c r="HZ38" s="395">
        <f t="shared" si="70"/>
        <v>0</v>
      </c>
      <c r="IA38" s="397">
        <f t="shared" si="71"/>
        <v>0</v>
      </c>
      <c r="IB38" s="405">
        <f t="shared" si="72"/>
        <v>0</v>
      </c>
      <c r="IC38" s="398">
        <f t="shared" si="73"/>
        <v>0</v>
      </c>
      <c r="ID38" s="398"/>
      <c r="IE38" s="393"/>
      <c r="IF38" s="394"/>
      <c r="IG38" s="395"/>
      <c r="IH38" s="396"/>
      <c r="II38" s="394"/>
      <c r="IJ38" s="395"/>
      <c r="IK38" s="397"/>
      <c r="IL38" s="405"/>
      <c r="IM38" s="398"/>
      <c r="IN38" s="398"/>
      <c r="IO38" s="393"/>
      <c r="IP38" s="394"/>
      <c r="IQ38" s="395"/>
      <c r="IR38" s="396"/>
      <c r="IS38" s="394"/>
      <c r="IT38" s="395"/>
      <c r="IU38" s="397"/>
      <c r="IV38" s="405"/>
      <c r="IW38" s="398"/>
      <c r="IX38" s="398"/>
      <c r="IY38" s="393"/>
      <c r="IZ38" s="394"/>
      <c r="JA38" s="395"/>
      <c r="JB38" s="396"/>
      <c r="JC38" s="394"/>
      <c r="JD38" s="395"/>
      <c r="JE38" s="397"/>
      <c r="JF38" s="405"/>
      <c r="JG38" s="398"/>
      <c r="JH38" s="398"/>
      <c r="JI38" s="494"/>
      <c r="JJ38" s="479"/>
      <c r="JK38" s="479"/>
      <c r="JL38" s="479"/>
      <c r="JM38" s="474"/>
      <c r="JN38" s="474">
        <f t="shared" si="74"/>
        <v>0</v>
      </c>
      <c r="JO38" s="475"/>
      <c r="JP38" s="393"/>
      <c r="JQ38" s="394"/>
      <c r="JR38" s="395"/>
      <c r="JS38" s="396"/>
      <c r="JT38" s="394"/>
      <c r="JU38" s="395"/>
      <c r="JV38" s="397"/>
      <c r="JW38" s="405"/>
      <c r="JX38" s="398"/>
      <c r="JY38" s="398"/>
      <c r="JZ38" s="577">
        <f t="shared" si="417"/>
        <v>6</v>
      </c>
      <c r="KA38" s="412">
        <f t="shared" ref="KA38:KB43" si="461">SUM(JV38+JE38+IU38+IK38+IA38+HD38+GN38+GD38+FT38+ES38+EI38+DY38+DO38+CS38+CI38+BT38+BJ38+AO38+AE38+U38+K38)</f>
        <v>0</v>
      </c>
      <c r="KB38" s="412">
        <f t="shared" si="461"/>
        <v>6</v>
      </c>
      <c r="KC38" s="412">
        <f t="shared" ref="KC38:KD43" si="462">SUM(JP38+IY38+IO38+IE38+HU38+GX38+GH38+FX38+FN38+EM38+EC38+DS38+DI38+CM38+CC38+BN38+BD38+AI38+Y38+O38+E38)</f>
        <v>0</v>
      </c>
      <c r="KD38" s="412">
        <f t="shared" si="462"/>
        <v>0</v>
      </c>
      <c r="KE38" s="412">
        <f t="shared" ref="KE38:KF43" si="463">SUM(JS38+JB38+IR38+IH38+HX38+HA38+GK38+GA38+FQ38+EP38+EF38+DV38+DL38+CP38+CF38+BQ38+BG38+AL38+AB38+R38+H38)</f>
        <v>0</v>
      </c>
      <c r="KF38" s="693">
        <f t="shared" si="463"/>
        <v>0</v>
      </c>
      <c r="KG38" s="687">
        <f t="shared" si="75"/>
        <v>6</v>
      </c>
      <c r="KH38" s="680">
        <v>8</v>
      </c>
      <c r="KI38" s="680">
        <f t="shared" si="434"/>
        <v>2</v>
      </c>
      <c r="KJ38" s="681">
        <f t="shared" si="435"/>
        <v>0.75</v>
      </c>
      <c r="KK38" s="359">
        <f t="shared" ref="KK38:KK78" si="464">KI38/10</f>
        <v>0.2</v>
      </c>
      <c r="KL38" s="359">
        <f>SUM(KL34:KL37)</f>
        <v>864</v>
      </c>
      <c r="KM38" s="359"/>
      <c r="KN38" s="359"/>
      <c r="KO38" s="359"/>
      <c r="KP38" s="359"/>
      <c r="KQ38" s="359"/>
    </row>
    <row r="39" spans="1:303" ht="36" customHeight="1" x14ac:dyDescent="0.3">
      <c r="A39" s="744"/>
      <c r="B39" s="438" t="s">
        <v>34</v>
      </c>
      <c r="C39" s="391" t="s">
        <v>130</v>
      </c>
      <c r="D39" s="392">
        <v>240</v>
      </c>
      <c r="E39" s="393"/>
      <c r="F39" s="394"/>
      <c r="G39" s="395"/>
      <c r="H39" s="396"/>
      <c r="I39" s="394"/>
      <c r="J39" s="395"/>
      <c r="K39" s="397"/>
      <c r="L39" s="398"/>
      <c r="M39" s="398"/>
      <c r="N39" s="399"/>
      <c r="O39" s="393"/>
      <c r="P39" s="394"/>
      <c r="Q39" s="400"/>
      <c r="R39" s="396"/>
      <c r="S39" s="394"/>
      <c r="T39" s="400"/>
      <c r="U39" s="397"/>
      <c r="V39" s="398"/>
      <c r="W39" s="398"/>
      <c r="X39" s="399"/>
      <c r="Y39" s="393">
        <v>133</v>
      </c>
      <c r="Z39" s="394">
        <v>107</v>
      </c>
      <c r="AA39" s="400">
        <f>SUM('Activity Tracking Table'!Y39:Z39)</f>
        <v>240</v>
      </c>
      <c r="AB39" s="396">
        <v>0</v>
      </c>
      <c r="AC39" s="394">
        <v>0</v>
      </c>
      <c r="AD39" s="400">
        <f>SUM(AB39:AC39)</f>
        <v>0</v>
      </c>
      <c r="AE39" s="397">
        <f>SUM(Y39+AB39)</f>
        <v>133</v>
      </c>
      <c r="AF39" s="405">
        <f>SUM(Z39+AC39)</f>
        <v>107</v>
      </c>
      <c r="AG39" s="398">
        <f>SUM(AE39:AF39)</f>
        <v>240</v>
      </c>
      <c r="AH39" s="403">
        <v>7</v>
      </c>
      <c r="AI39" s="393"/>
      <c r="AJ39" s="394"/>
      <c r="AK39" s="395"/>
      <c r="AL39" s="396"/>
      <c r="AM39" s="394"/>
      <c r="AN39" s="395"/>
      <c r="AO39" s="397"/>
      <c r="AP39" s="398"/>
      <c r="AQ39" s="398"/>
      <c r="AR39" s="404">
        <v>8</v>
      </c>
      <c r="AS39" s="486">
        <f t="shared" si="7"/>
        <v>133</v>
      </c>
      <c r="AT39" s="487">
        <f t="shared" si="8"/>
        <v>107</v>
      </c>
      <c r="AU39" s="487">
        <f t="shared" si="9"/>
        <v>240</v>
      </c>
      <c r="AV39" s="487">
        <f t="shared" si="10"/>
        <v>0</v>
      </c>
      <c r="AW39" s="478"/>
      <c r="AX39" s="479">
        <f t="shared" si="11"/>
        <v>240</v>
      </c>
      <c r="AY39" s="537" t="e">
        <f t="shared" si="456"/>
        <v>#DIV/0!</v>
      </c>
      <c r="AZ39" s="547">
        <f t="shared" si="418"/>
        <v>133</v>
      </c>
      <c r="BA39" s="547">
        <f t="shared" si="419"/>
        <v>107</v>
      </c>
      <c r="BB39" s="547">
        <f t="shared" si="420"/>
        <v>0</v>
      </c>
      <c r="BC39" s="547">
        <f t="shared" si="421"/>
        <v>0</v>
      </c>
      <c r="BD39" s="393"/>
      <c r="BE39" s="394"/>
      <c r="BF39" s="395"/>
      <c r="BG39" s="396"/>
      <c r="BH39" s="394"/>
      <c r="BI39" s="395"/>
      <c r="BJ39" s="397"/>
      <c r="BK39" s="398"/>
      <c r="BL39" s="405"/>
      <c r="BM39" s="398"/>
      <c r="BN39" s="393"/>
      <c r="BO39" s="394"/>
      <c r="BP39" s="395"/>
      <c r="BQ39" s="396"/>
      <c r="BR39" s="394"/>
      <c r="BS39" s="395"/>
      <c r="BT39" s="397"/>
      <c r="BU39" s="405"/>
      <c r="BV39" s="398"/>
      <c r="BW39" s="398"/>
      <c r="BX39" s="626">
        <f t="shared" si="16"/>
        <v>133</v>
      </c>
      <c r="BY39" s="626">
        <f t="shared" si="17"/>
        <v>107</v>
      </c>
      <c r="BZ39" s="626">
        <f t="shared" si="18"/>
        <v>0</v>
      </c>
      <c r="CA39" s="626">
        <f t="shared" si="19"/>
        <v>0</v>
      </c>
      <c r="CB39" s="625">
        <f t="shared" si="20"/>
        <v>240</v>
      </c>
      <c r="CC39" s="393">
        <v>0</v>
      </c>
      <c r="CD39" s="394">
        <v>0</v>
      </c>
      <c r="CE39" s="395">
        <f>SUM(CC39:CD39)</f>
        <v>0</v>
      </c>
      <c r="CF39" s="396">
        <v>0</v>
      </c>
      <c r="CG39" s="394">
        <v>0</v>
      </c>
      <c r="CH39" s="395">
        <f>SUM(CF39:CG39)</f>
        <v>0</v>
      </c>
      <c r="CI39" s="397"/>
      <c r="CJ39" s="398"/>
      <c r="CK39" s="398"/>
      <c r="CL39" s="414">
        <v>7</v>
      </c>
      <c r="CM39" s="393"/>
      <c r="CN39" s="394"/>
      <c r="CO39" s="395"/>
      <c r="CP39" s="396"/>
      <c r="CQ39" s="394"/>
      <c r="CR39" s="395"/>
      <c r="CS39" s="397"/>
      <c r="CT39" s="398"/>
      <c r="CU39" s="405"/>
      <c r="CV39" s="405">
        <v>24</v>
      </c>
      <c r="CW39" s="492">
        <f t="shared" si="449"/>
        <v>0</v>
      </c>
      <c r="CX39" s="487">
        <f t="shared" si="449"/>
        <v>0</v>
      </c>
      <c r="CY39" s="487">
        <f t="shared" si="431"/>
        <v>0</v>
      </c>
      <c r="CZ39" s="487">
        <f t="shared" si="422"/>
        <v>0</v>
      </c>
      <c r="DA39" s="474"/>
      <c r="DB39" s="474">
        <f t="shared" si="457"/>
        <v>0</v>
      </c>
      <c r="DC39" s="475"/>
      <c r="DD39" s="547">
        <f t="shared" si="21"/>
        <v>0</v>
      </c>
      <c r="DE39" s="547">
        <f t="shared" si="22"/>
        <v>0</v>
      </c>
      <c r="DF39" s="547">
        <f t="shared" si="23"/>
        <v>0</v>
      </c>
      <c r="DG39" s="547">
        <f t="shared" si="24"/>
        <v>0</v>
      </c>
      <c r="DH39" s="576">
        <f t="shared" si="25"/>
        <v>240</v>
      </c>
      <c r="DI39" s="393"/>
      <c r="DJ39" s="394"/>
      <c r="DK39" s="395"/>
      <c r="DL39" s="396"/>
      <c r="DM39" s="394"/>
      <c r="DN39" s="395"/>
      <c r="DO39" s="397"/>
      <c r="DP39" s="405"/>
      <c r="DQ39" s="398"/>
      <c r="DR39" s="398"/>
      <c r="DS39" s="393"/>
      <c r="DT39" s="394"/>
      <c r="DU39" s="395">
        <f t="shared" si="76"/>
        <v>0</v>
      </c>
      <c r="DV39" s="396"/>
      <c r="DW39" s="394"/>
      <c r="DX39" s="395">
        <f t="shared" si="77"/>
        <v>0</v>
      </c>
      <c r="DY39" s="397">
        <f t="shared" si="78"/>
        <v>0</v>
      </c>
      <c r="DZ39" s="405">
        <f t="shared" si="79"/>
        <v>0</v>
      </c>
      <c r="EA39" s="398">
        <f t="shared" si="80"/>
        <v>0</v>
      </c>
      <c r="EB39" s="398"/>
      <c r="EC39" s="393"/>
      <c r="ED39" s="394"/>
      <c r="EE39" s="395"/>
      <c r="EF39" s="396"/>
      <c r="EG39" s="394"/>
      <c r="EH39" s="395"/>
      <c r="EI39" s="397"/>
      <c r="EJ39" s="405"/>
      <c r="EK39" s="398"/>
      <c r="EL39" s="398"/>
      <c r="EM39" s="393"/>
      <c r="EN39" s="394"/>
      <c r="EO39" s="395"/>
      <c r="EP39" s="396"/>
      <c r="EQ39" s="394"/>
      <c r="ER39" s="395"/>
      <c r="ES39" s="397"/>
      <c r="ET39" s="405"/>
      <c r="EU39" s="398"/>
      <c r="EV39" s="398"/>
      <c r="EW39" s="492">
        <f t="shared" si="26"/>
        <v>0</v>
      </c>
      <c r="EX39" s="487">
        <f t="shared" si="27"/>
        <v>0</v>
      </c>
      <c r="EY39" s="487">
        <f t="shared" si="28"/>
        <v>0</v>
      </c>
      <c r="EZ39" s="487">
        <f t="shared" si="29"/>
        <v>0</v>
      </c>
      <c r="FA39" s="474"/>
      <c r="FB39" s="474">
        <f t="shared" si="30"/>
        <v>0</v>
      </c>
      <c r="FC39" s="475"/>
      <c r="FD39" s="547">
        <f t="shared" si="31"/>
        <v>0</v>
      </c>
      <c r="FE39" s="547">
        <f t="shared" si="32"/>
        <v>0</v>
      </c>
      <c r="FF39" s="547">
        <f t="shared" si="33"/>
        <v>0</v>
      </c>
      <c r="FG39" s="547">
        <f t="shared" si="34"/>
        <v>0</v>
      </c>
      <c r="FH39" s="577">
        <f t="shared" si="35"/>
        <v>0</v>
      </c>
      <c r="FI39" s="577">
        <f t="shared" si="36"/>
        <v>0</v>
      </c>
      <c r="FJ39" s="577">
        <f t="shared" si="37"/>
        <v>0</v>
      </c>
      <c r="FK39" s="577">
        <f t="shared" si="38"/>
        <v>133</v>
      </c>
      <c r="FL39" s="577">
        <f t="shared" si="39"/>
        <v>107</v>
      </c>
      <c r="FM39" s="577">
        <f t="shared" si="40"/>
        <v>240</v>
      </c>
      <c r="FN39" s="393"/>
      <c r="FO39" s="394"/>
      <c r="FP39" s="395"/>
      <c r="FQ39" s="396"/>
      <c r="FR39" s="394"/>
      <c r="FS39" s="395"/>
      <c r="FT39" s="397">
        <f t="shared" si="458"/>
        <v>0</v>
      </c>
      <c r="FU39" s="405">
        <f t="shared" si="459"/>
        <v>0</v>
      </c>
      <c r="FV39" s="398">
        <f t="shared" si="460"/>
        <v>0</v>
      </c>
      <c r="FW39" s="398"/>
      <c r="FX39" s="393"/>
      <c r="FY39" s="394"/>
      <c r="FZ39" s="395"/>
      <c r="GA39" s="396"/>
      <c r="GB39" s="394"/>
      <c r="GC39" s="395"/>
      <c r="GD39" s="397">
        <f t="shared" si="41"/>
        <v>0</v>
      </c>
      <c r="GE39" s="405">
        <f t="shared" si="42"/>
        <v>0</v>
      </c>
      <c r="GF39" s="398">
        <f t="shared" si="43"/>
        <v>0</v>
      </c>
      <c r="GG39" s="398"/>
      <c r="GH39" s="393"/>
      <c r="GI39" s="394"/>
      <c r="GJ39" s="395"/>
      <c r="GK39" s="396"/>
      <c r="GL39" s="394"/>
      <c r="GM39" s="395"/>
      <c r="GN39" s="397">
        <f t="shared" si="453"/>
        <v>0</v>
      </c>
      <c r="GO39" s="405">
        <f t="shared" si="454"/>
        <v>0</v>
      </c>
      <c r="GP39" s="398">
        <f t="shared" si="455"/>
        <v>0</v>
      </c>
      <c r="GQ39" s="398"/>
      <c r="GR39" s="650">
        <f t="shared" si="47"/>
        <v>0</v>
      </c>
      <c r="GS39" s="650">
        <f t="shared" si="48"/>
        <v>0</v>
      </c>
      <c r="GT39" s="650">
        <f t="shared" si="49"/>
        <v>0</v>
      </c>
      <c r="GU39" s="650">
        <f t="shared" si="50"/>
        <v>0</v>
      </c>
      <c r="GV39" s="650">
        <f t="shared" si="51"/>
        <v>0</v>
      </c>
      <c r="GW39" s="650">
        <f t="shared" si="52"/>
        <v>0</v>
      </c>
      <c r="GX39" s="393"/>
      <c r="GY39" s="394"/>
      <c r="GZ39" s="395">
        <f t="shared" si="53"/>
        <v>0</v>
      </c>
      <c r="HA39" s="396"/>
      <c r="HB39" s="394"/>
      <c r="HC39" s="395">
        <f t="shared" si="54"/>
        <v>0</v>
      </c>
      <c r="HD39" s="397">
        <f t="shared" si="55"/>
        <v>0</v>
      </c>
      <c r="HE39" s="405">
        <f t="shared" si="56"/>
        <v>0</v>
      </c>
      <c r="HF39" s="398">
        <f t="shared" si="57"/>
        <v>0</v>
      </c>
      <c r="HG39" s="398"/>
      <c r="HH39" s="492">
        <f t="shared" si="58"/>
        <v>0</v>
      </c>
      <c r="HI39" s="487">
        <f t="shared" si="59"/>
        <v>0</v>
      </c>
      <c r="HJ39" s="487">
        <f t="shared" si="60"/>
        <v>0</v>
      </c>
      <c r="HK39" s="487">
        <f t="shared" si="61"/>
        <v>0</v>
      </c>
      <c r="HL39" s="487">
        <f t="shared" si="62"/>
        <v>0</v>
      </c>
      <c r="HM39" s="487">
        <f t="shared" si="63"/>
        <v>0</v>
      </c>
      <c r="HN39" s="474"/>
      <c r="HO39" s="474">
        <f t="shared" si="64"/>
        <v>0</v>
      </c>
      <c r="HP39" s="475"/>
      <c r="HQ39" s="547">
        <f t="shared" si="426"/>
        <v>0</v>
      </c>
      <c r="HR39" s="547">
        <f t="shared" si="427"/>
        <v>0</v>
      </c>
      <c r="HS39" s="547">
        <f t="shared" si="428"/>
        <v>0</v>
      </c>
      <c r="HT39" s="547">
        <f t="shared" si="429"/>
        <v>0</v>
      </c>
      <c r="HU39" s="393"/>
      <c r="HV39" s="394"/>
      <c r="HW39" s="395">
        <f t="shared" si="69"/>
        <v>0</v>
      </c>
      <c r="HX39" s="396"/>
      <c r="HY39" s="394"/>
      <c r="HZ39" s="395">
        <f t="shared" si="70"/>
        <v>0</v>
      </c>
      <c r="IA39" s="397">
        <f t="shared" si="71"/>
        <v>0</v>
      </c>
      <c r="IB39" s="405">
        <f t="shared" si="72"/>
        <v>0</v>
      </c>
      <c r="IC39" s="398">
        <f t="shared" si="73"/>
        <v>0</v>
      </c>
      <c r="ID39" s="398"/>
      <c r="IE39" s="393"/>
      <c r="IF39" s="394"/>
      <c r="IG39" s="395"/>
      <c r="IH39" s="396"/>
      <c r="II39" s="394"/>
      <c r="IJ39" s="395"/>
      <c r="IK39" s="397"/>
      <c r="IL39" s="405"/>
      <c r="IM39" s="398"/>
      <c r="IN39" s="398"/>
      <c r="IO39" s="393"/>
      <c r="IP39" s="394"/>
      <c r="IQ39" s="395"/>
      <c r="IR39" s="396"/>
      <c r="IS39" s="394"/>
      <c r="IT39" s="395"/>
      <c r="IU39" s="397"/>
      <c r="IV39" s="405"/>
      <c r="IW39" s="398"/>
      <c r="IX39" s="398"/>
      <c r="IY39" s="393"/>
      <c r="IZ39" s="394"/>
      <c r="JA39" s="395"/>
      <c r="JB39" s="396"/>
      <c r="JC39" s="394"/>
      <c r="JD39" s="395"/>
      <c r="JE39" s="397"/>
      <c r="JF39" s="405"/>
      <c r="JG39" s="398"/>
      <c r="JH39" s="398"/>
      <c r="JI39" s="494"/>
      <c r="JJ39" s="479"/>
      <c r="JK39" s="479"/>
      <c r="JL39" s="479"/>
      <c r="JM39" s="474"/>
      <c r="JN39" s="474">
        <f t="shared" si="74"/>
        <v>0</v>
      </c>
      <c r="JO39" s="475"/>
      <c r="JP39" s="393"/>
      <c r="JQ39" s="394"/>
      <c r="JR39" s="395"/>
      <c r="JS39" s="396"/>
      <c r="JT39" s="394"/>
      <c r="JU39" s="395"/>
      <c r="JV39" s="397"/>
      <c r="JW39" s="405"/>
      <c r="JX39" s="398"/>
      <c r="JY39" s="398"/>
      <c r="JZ39" s="577">
        <f t="shared" si="417"/>
        <v>0</v>
      </c>
      <c r="KA39" s="412">
        <f t="shared" si="461"/>
        <v>133</v>
      </c>
      <c r="KB39" s="412">
        <f t="shared" si="461"/>
        <v>107</v>
      </c>
      <c r="KC39" s="412">
        <f t="shared" si="462"/>
        <v>133</v>
      </c>
      <c r="KD39" s="412">
        <f t="shared" si="462"/>
        <v>107</v>
      </c>
      <c r="KE39" s="412">
        <f t="shared" si="463"/>
        <v>0</v>
      </c>
      <c r="KF39" s="693">
        <f t="shared" si="463"/>
        <v>0</v>
      </c>
      <c r="KG39" s="687">
        <f t="shared" si="75"/>
        <v>240</v>
      </c>
      <c r="KH39" s="680">
        <v>240</v>
      </c>
      <c r="KI39" s="680">
        <f t="shared" si="434"/>
        <v>0</v>
      </c>
      <c r="KJ39" s="681">
        <f t="shared" si="435"/>
        <v>1</v>
      </c>
      <c r="KK39" s="359">
        <f t="shared" si="464"/>
        <v>0</v>
      </c>
      <c r="KL39" s="359"/>
      <c r="KM39" s="359"/>
      <c r="KN39" s="359"/>
      <c r="KO39" s="359"/>
      <c r="KP39" s="359"/>
      <c r="KQ39" s="359"/>
    </row>
    <row r="40" spans="1:303" ht="36" customHeight="1" x14ac:dyDescent="0.3">
      <c r="A40" s="390"/>
      <c r="B40" s="438" t="s">
        <v>36</v>
      </c>
      <c r="C40" s="391" t="s">
        <v>130</v>
      </c>
      <c r="D40" s="392">
        <v>6</v>
      </c>
      <c r="E40" s="393"/>
      <c r="F40" s="394"/>
      <c r="G40" s="395"/>
      <c r="H40" s="396"/>
      <c r="I40" s="394"/>
      <c r="J40" s="395"/>
      <c r="K40" s="397"/>
      <c r="L40" s="398"/>
      <c r="M40" s="398"/>
      <c r="N40" s="399"/>
      <c r="O40" s="393"/>
      <c r="P40" s="394"/>
      <c r="Q40" s="400"/>
      <c r="R40" s="396"/>
      <c r="S40" s="394"/>
      <c r="T40" s="400"/>
      <c r="U40" s="397"/>
      <c r="V40" s="398"/>
      <c r="W40" s="398"/>
      <c r="X40" s="399"/>
      <c r="Y40" s="393"/>
      <c r="Z40" s="394"/>
      <c r="AA40" s="400"/>
      <c r="AB40" s="396"/>
      <c r="AC40" s="394"/>
      <c r="AD40" s="400"/>
      <c r="AE40" s="397"/>
      <c r="AF40" s="405"/>
      <c r="AG40" s="398"/>
      <c r="AH40" s="403"/>
      <c r="AI40" s="393"/>
      <c r="AJ40" s="394"/>
      <c r="AK40" s="395"/>
      <c r="AL40" s="396"/>
      <c r="AM40" s="394"/>
      <c r="AN40" s="395"/>
      <c r="AO40" s="397"/>
      <c r="AP40" s="398"/>
      <c r="AQ40" s="398"/>
      <c r="AR40" s="404"/>
      <c r="AS40" s="486">
        <f t="shared" si="7"/>
        <v>0</v>
      </c>
      <c r="AT40" s="487">
        <f t="shared" si="8"/>
        <v>0</v>
      </c>
      <c r="AU40" s="487">
        <f t="shared" si="9"/>
        <v>0</v>
      </c>
      <c r="AV40" s="487">
        <f t="shared" si="10"/>
        <v>0</v>
      </c>
      <c r="AW40" s="478"/>
      <c r="AX40" s="479">
        <f t="shared" si="11"/>
        <v>0</v>
      </c>
      <c r="AY40" s="537" t="e">
        <f t="shared" si="456"/>
        <v>#DIV/0!</v>
      </c>
      <c r="AZ40" s="547">
        <f t="shared" si="418"/>
        <v>0</v>
      </c>
      <c r="BA40" s="547">
        <f t="shared" si="419"/>
        <v>0</v>
      </c>
      <c r="BB40" s="547">
        <f t="shared" si="420"/>
        <v>0</v>
      </c>
      <c r="BC40" s="547">
        <f t="shared" si="421"/>
        <v>0</v>
      </c>
      <c r="BD40" s="393"/>
      <c r="BE40" s="394"/>
      <c r="BF40" s="395"/>
      <c r="BG40" s="396"/>
      <c r="BH40" s="394"/>
      <c r="BI40" s="395"/>
      <c r="BJ40" s="397"/>
      <c r="BK40" s="398"/>
      <c r="BL40" s="405"/>
      <c r="BM40" s="398"/>
      <c r="BN40" s="393"/>
      <c r="BO40" s="394"/>
      <c r="BP40" s="395"/>
      <c r="BQ40" s="396"/>
      <c r="BR40" s="394"/>
      <c r="BS40" s="395"/>
      <c r="BT40" s="397"/>
      <c r="BU40" s="405"/>
      <c r="BV40" s="398"/>
      <c r="BW40" s="398"/>
      <c r="BX40" s="626">
        <f t="shared" si="16"/>
        <v>0</v>
      </c>
      <c r="BY40" s="626">
        <f t="shared" si="17"/>
        <v>0</v>
      </c>
      <c r="BZ40" s="626">
        <f t="shared" si="18"/>
        <v>0</v>
      </c>
      <c r="CA40" s="626">
        <f t="shared" si="19"/>
        <v>0</v>
      </c>
      <c r="CB40" s="625">
        <f t="shared" si="20"/>
        <v>0</v>
      </c>
      <c r="CC40" s="393"/>
      <c r="CD40" s="394"/>
      <c r="CE40" s="395"/>
      <c r="CF40" s="396"/>
      <c r="CG40" s="394"/>
      <c r="CH40" s="395"/>
      <c r="CI40" s="397"/>
      <c r="CJ40" s="398"/>
      <c r="CK40" s="398"/>
      <c r="CL40" s="414"/>
      <c r="CM40" s="393"/>
      <c r="CN40" s="394"/>
      <c r="CO40" s="395"/>
      <c r="CP40" s="396"/>
      <c r="CQ40" s="394"/>
      <c r="CR40" s="395"/>
      <c r="CS40" s="397"/>
      <c r="CT40" s="398"/>
      <c r="CU40" s="405"/>
      <c r="CV40" s="405"/>
      <c r="CW40" s="492">
        <f t="shared" si="449"/>
        <v>0</v>
      </c>
      <c r="CX40" s="487">
        <f t="shared" si="449"/>
        <v>0</v>
      </c>
      <c r="CY40" s="487">
        <f t="shared" si="431"/>
        <v>0</v>
      </c>
      <c r="CZ40" s="487">
        <f t="shared" si="422"/>
        <v>0</v>
      </c>
      <c r="DA40" s="474"/>
      <c r="DB40" s="474">
        <f t="shared" si="457"/>
        <v>0</v>
      </c>
      <c r="DC40" s="475"/>
      <c r="DD40" s="547">
        <f t="shared" si="21"/>
        <v>0</v>
      </c>
      <c r="DE40" s="547">
        <f t="shared" si="22"/>
        <v>0</v>
      </c>
      <c r="DF40" s="547">
        <f t="shared" si="23"/>
        <v>0</v>
      </c>
      <c r="DG40" s="547">
        <f t="shared" si="24"/>
        <v>0</v>
      </c>
      <c r="DH40" s="576">
        <f t="shared" si="25"/>
        <v>0</v>
      </c>
      <c r="DI40" s="393"/>
      <c r="DJ40" s="394"/>
      <c r="DK40" s="395"/>
      <c r="DL40" s="396"/>
      <c r="DM40" s="394"/>
      <c r="DN40" s="395"/>
      <c r="DO40" s="397"/>
      <c r="DP40" s="405"/>
      <c r="DQ40" s="398"/>
      <c r="DR40" s="398"/>
      <c r="DS40" s="393"/>
      <c r="DT40" s="394"/>
      <c r="DU40" s="395">
        <f t="shared" si="76"/>
        <v>0</v>
      </c>
      <c r="DV40" s="396"/>
      <c r="DW40" s="394"/>
      <c r="DX40" s="395">
        <f t="shared" si="77"/>
        <v>0</v>
      </c>
      <c r="DY40" s="397">
        <f t="shared" si="78"/>
        <v>0</v>
      </c>
      <c r="DZ40" s="405">
        <f t="shared" si="79"/>
        <v>0</v>
      </c>
      <c r="EA40" s="398">
        <f t="shared" si="80"/>
        <v>0</v>
      </c>
      <c r="EB40" s="398"/>
      <c r="EC40" s="393"/>
      <c r="ED40" s="394"/>
      <c r="EE40" s="395"/>
      <c r="EF40" s="396"/>
      <c r="EG40" s="394"/>
      <c r="EH40" s="395"/>
      <c r="EI40" s="397"/>
      <c r="EJ40" s="405"/>
      <c r="EK40" s="398"/>
      <c r="EL40" s="398"/>
      <c r="EM40" s="393"/>
      <c r="EN40" s="394"/>
      <c r="EO40" s="395"/>
      <c r="EP40" s="396"/>
      <c r="EQ40" s="394"/>
      <c r="ER40" s="395"/>
      <c r="ES40" s="397"/>
      <c r="ET40" s="405"/>
      <c r="EU40" s="398"/>
      <c r="EV40" s="398"/>
      <c r="EW40" s="492">
        <f t="shared" si="26"/>
        <v>0</v>
      </c>
      <c r="EX40" s="487">
        <f t="shared" si="27"/>
        <v>0</v>
      </c>
      <c r="EY40" s="487">
        <f t="shared" si="28"/>
        <v>0</v>
      </c>
      <c r="EZ40" s="487">
        <f t="shared" si="29"/>
        <v>0</v>
      </c>
      <c r="FA40" s="474"/>
      <c r="FB40" s="474">
        <f t="shared" si="30"/>
        <v>0</v>
      </c>
      <c r="FC40" s="475"/>
      <c r="FD40" s="547">
        <f t="shared" si="31"/>
        <v>0</v>
      </c>
      <c r="FE40" s="547">
        <f t="shared" si="32"/>
        <v>0</v>
      </c>
      <c r="FF40" s="547">
        <f t="shared" si="33"/>
        <v>0</v>
      </c>
      <c r="FG40" s="547">
        <f t="shared" si="34"/>
        <v>0</v>
      </c>
      <c r="FH40" s="577">
        <f t="shared" si="35"/>
        <v>0</v>
      </c>
      <c r="FI40" s="577">
        <f t="shared" si="36"/>
        <v>0</v>
      </c>
      <c r="FJ40" s="577">
        <f t="shared" si="37"/>
        <v>0</v>
      </c>
      <c r="FK40" s="577">
        <f t="shared" si="38"/>
        <v>0</v>
      </c>
      <c r="FL40" s="577">
        <f t="shared" si="39"/>
        <v>0</v>
      </c>
      <c r="FM40" s="577">
        <f t="shared" si="40"/>
        <v>0</v>
      </c>
      <c r="FN40" s="393"/>
      <c r="FO40" s="394"/>
      <c r="FP40" s="395"/>
      <c r="FQ40" s="396"/>
      <c r="FR40" s="394"/>
      <c r="FS40" s="395"/>
      <c r="FT40" s="397">
        <f t="shared" si="458"/>
        <v>0</v>
      </c>
      <c r="FU40" s="405">
        <f t="shared" si="459"/>
        <v>0</v>
      </c>
      <c r="FV40" s="398">
        <f t="shared" si="460"/>
        <v>0</v>
      </c>
      <c r="FW40" s="398"/>
      <c r="FX40" s="393"/>
      <c r="FY40" s="394"/>
      <c r="FZ40" s="395"/>
      <c r="GA40" s="396"/>
      <c r="GB40" s="394"/>
      <c r="GC40" s="395"/>
      <c r="GD40" s="397">
        <f t="shared" si="41"/>
        <v>0</v>
      </c>
      <c r="GE40" s="405">
        <f t="shared" si="42"/>
        <v>0</v>
      </c>
      <c r="GF40" s="398">
        <f t="shared" si="43"/>
        <v>0</v>
      </c>
      <c r="GG40" s="398"/>
      <c r="GH40" s="393"/>
      <c r="GI40" s="394"/>
      <c r="GJ40" s="395"/>
      <c r="GK40" s="396"/>
      <c r="GL40" s="394"/>
      <c r="GM40" s="395"/>
      <c r="GN40" s="397">
        <f t="shared" si="453"/>
        <v>0</v>
      </c>
      <c r="GO40" s="405">
        <f t="shared" si="454"/>
        <v>0</v>
      </c>
      <c r="GP40" s="398">
        <f t="shared" si="455"/>
        <v>0</v>
      </c>
      <c r="GQ40" s="398"/>
      <c r="GR40" s="650">
        <f t="shared" si="47"/>
        <v>0</v>
      </c>
      <c r="GS40" s="650">
        <f t="shared" si="48"/>
        <v>0</v>
      </c>
      <c r="GT40" s="650">
        <f t="shared" si="49"/>
        <v>0</v>
      </c>
      <c r="GU40" s="650">
        <f t="shared" si="50"/>
        <v>0</v>
      </c>
      <c r="GV40" s="650">
        <f t="shared" si="51"/>
        <v>0</v>
      </c>
      <c r="GW40" s="650">
        <f t="shared" si="52"/>
        <v>0</v>
      </c>
      <c r="GX40" s="393"/>
      <c r="GY40" s="394"/>
      <c r="GZ40" s="395">
        <f t="shared" si="53"/>
        <v>0</v>
      </c>
      <c r="HA40" s="396"/>
      <c r="HB40" s="394"/>
      <c r="HC40" s="395">
        <f t="shared" si="54"/>
        <v>0</v>
      </c>
      <c r="HD40" s="397">
        <f t="shared" si="55"/>
        <v>0</v>
      </c>
      <c r="HE40" s="405">
        <f t="shared" si="56"/>
        <v>0</v>
      </c>
      <c r="HF40" s="398">
        <f t="shared" si="57"/>
        <v>0</v>
      </c>
      <c r="HG40" s="398"/>
      <c r="HH40" s="492">
        <f t="shared" si="58"/>
        <v>0</v>
      </c>
      <c r="HI40" s="487">
        <f t="shared" si="59"/>
        <v>0</v>
      </c>
      <c r="HJ40" s="487">
        <f t="shared" si="60"/>
        <v>0</v>
      </c>
      <c r="HK40" s="487">
        <f t="shared" si="61"/>
        <v>0</v>
      </c>
      <c r="HL40" s="487">
        <f t="shared" si="62"/>
        <v>0</v>
      </c>
      <c r="HM40" s="487">
        <f t="shared" si="63"/>
        <v>0</v>
      </c>
      <c r="HN40" s="474"/>
      <c r="HO40" s="474">
        <f t="shared" si="64"/>
        <v>0</v>
      </c>
      <c r="HP40" s="475"/>
      <c r="HQ40" s="547">
        <f t="shared" si="426"/>
        <v>0</v>
      </c>
      <c r="HR40" s="547">
        <f t="shared" si="427"/>
        <v>0</v>
      </c>
      <c r="HS40" s="547">
        <f t="shared" si="428"/>
        <v>0</v>
      </c>
      <c r="HT40" s="547">
        <f t="shared" si="429"/>
        <v>0</v>
      </c>
      <c r="HU40" s="393"/>
      <c r="HV40" s="394"/>
      <c r="HW40" s="395">
        <f t="shared" si="69"/>
        <v>0</v>
      </c>
      <c r="HX40" s="396"/>
      <c r="HY40" s="394"/>
      <c r="HZ40" s="395">
        <f t="shared" si="70"/>
        <v>0</v>
      </c>
      <c r="IA40" s="397">
        <f t="shared" si="71"/>
        <v>0</v>
      </c>
      <c r="IB40" s="405">
        <f t="shared" si="72"/>
        <v>0</v>
      </c>
      <c r="IC40" s="398">
        <f t="shared" si="73"/>
        <v>0</v>
      </c>
      <c r="ID40" s="398"/>
      <c r="IE40" s="393"/>
      <c r="IF40" s="394"/>
      <c r="IG40" s="395"/>
      <c r="IH40" s="396"/>
      <c r="II40" s="394"/>
      <c r="IJ40" s="395"/>
      <c r="IK40" s="397"/>
      <c r="IL40" s="405"/>
      <c r="IM40" s="398"/>
      <c r="IN40" s="398"/>
      <c r="IO40" s="393"/>
      <c r="IP40" s="394"/>
      <c r="IQ40" s="395"/>
      <c r="IR40" s="396"/>
      <c r="IS40" s="394"/>
      <c r="IT40" s="395"/>
      <c r="IU40" s="397"/>
      <c r="IV40" s="405"/>
      <c r="IW40" s="398"/>
      <c r="IX40" s="398"/>
      <c r="IY40" s="393"/>
      <c r="IZ40" s="394"/>
      <c r="JA40" s="395"/>
      <c r="JB40" s="396"/>
      <c r="JC40" s="394"/>
      <c r="JD40" s="395"/>
      <c r="JE40" s="397"/>
      <c r="JF40" s="405"/>
      <c r="JG40" s="398"/>
      <c r="JH40" s="398"/>
      <c r="JI40" s="494"/>
      <c r="JJ40" s="479"/>
      <c r="JK40" s="479"/>
      <c r="JL40" s="479"/>
      <c r="JM40" s="474"/>
      <c r="JN40" s="474">
        <f t="shared" si="74"/>
        <v>0</v>
      </c>
      <c r="JO40" s="475"/>
      <c r="JP40" s="393"/>
      <c r="JQ40" s="394"/>
      <c r="JR40" s="395"/>
      <c r="JS40" s="396"/>
      <c r="JT40" s="394"/>
      <c r="JU40" s="395"/>
      <c r="JV40" s="397"/>
      <c r="JW40" s="405"/>
      <c r="JX40" s="398"/>
      <c r="JY40" s="398"/>
      <c r="JZ40" s="577">
        <f t="shared" si="417"/>
        <v>0</v>
      </c>
      <c r="KA40" s="412">
        <f t="shared" si="461"/>
        <v>0</v>
      </c>
      <c r="KB40" s="412">
        <f t="shared" si="461"/>
        <v>0</v>
      </c>
      <c r="KC40" s="412">
        <f t="shared" si="462"/>
        <v>0</v>
      </c>
      <c r="KD40" s="412">
        <f t="shared" si="462"/>
        <v>0</v>
      </c>
      <c r="KE40" s="412">
        <f t="shared" si="463"/>
        <v>0</v>
      </c>
      <c r="KF40" s="693">
        <f t="shared" si="463"/>
        <v>0</v>
      </c>
      <c r="KG40" s="687">
        <f t="shared" si="75"/>
        <v>0</v>
      </c>
      <c r="KH40" s="680">
        <v>6</v>
      </c>
      <c r="KI40" s="680">
        <f t="shared" si="434"/>
        <v>6</v>
      </c>
      <c r="KJ40" s="681">
        <f t="shared" si="435"/>
        <v>0</v>
      </c>
      <c r="KK40" s="359">
        <f t="shared" si="464"/>
        <v>0.6</v>
      </c>
      <c r="KL40" s="359"/>
      <c r="KM40" s="359"/>
      <c r="KN40" s="359"/>
      <c r="KO40" s="359"/>
      <c r="KP40" s="359"/>
      <c r="KQ40" s="359"/>
    </row>
    <row r="41" spans="1:303" ht="36" customHeight="1" x14ac:dyDescent="0.3">
      <c r="A41" s="390"/>
      <c r="B41" s="439" t="s">
        <v>37</v>
      </c>
      <c r="C41" s="391" t="s">
        <v>130</v>
      </c>
      <c r="D41" s="392">
        <v>50</v>
      </c>
      <c r="E41" s="393"/>
      <c r="F41" s="394"/>
      <c r="G41" s="395"/>
      <c r="H41" s="396"/>
      <c r="I41" s="394"/>
      <c r="J41" s="395"/>
      <c r="K41" s="397"/>
      <c r="L41" s="398"/>
      <c r="M41" s="398"/>
      <c r="N41" s="399"/>
      <c r="O41" s="393"/>
      <c r="P41" s="394"/>
      <c r="Q41" s="400"/>
      <c r="R41" s="396"/>
      <c r="S41" s="394"/>
      <c r="T41" s="400"/>
      <c r="U41" s="397"/>
      <c r="V41" s="398"/>
      <c r="W41" s="398"/>
      <c r="X41" s="399"/>
      <c r="Y41" s="393"/>
      <c r="Z41" s="394"/>
      <c r="AA41" s="400"/>
      <c r="AB41" s="396"/>
      <c r="AC41" s="394"/>
      <c r="AD41" s="400"/>
      <c r="AE41" s="397"/>
      <c r="AF41" s="405"/>
      <c r="AG41" s="398"/>
      <c r="AH41" s="403"/>
      <c r="AI41" s="393"/>
      <c r="AJ41" s="394"/>
      <c r="AK41" s="395"/>
      <c r="AL41" s="396"/>
      <c r="AM41" s="394"/>
      <c r="AN41" s="395"/>
      <c r="AO41" s="397"/>
      <c r="AP41" s="398"/>
      <c r="AQ41" s="398"/>
      <c r="AR41" s="404"/>
      <c r="AS41" s="486">
        <f t="shared" si="7"/>
        <v>0</v>
      </c>
      <c r="AT41" s="487">
        <f t="shared" si="8"/>
        <v>0</v>
      </c>
      <c r="AU41" s="487">
        <f t="shared" si="9"/>
        <v>0</v>
      </c>
      <c r="AV41" s="487">
        <f t="shared" si="10"/>
        <v>0</v>
      </c>
      <c r="AW41" s="478"/>
      <c r="AX41" s="479">
        <f t="shared" si="11"/>
        <v>0</v>
      </c>
      <c r="AY41" s="537" t="e">
        <f t="shared" si="456"/>
        <v>#DIV/0!</v>
      </c>
      <c r="AZ41" s="547">
        <f t="shared" si="418"/>
        <v>0</v>
      </c>
      <c r="BA41" s="547">
        <f t="shared" si="419"/>
        <v>0</v>
      </c>
      <c r="BB41" s="547">
        <f t="shared" si="420"/>
        <v>0</v>
      </c>
      <c r="BC41" s="547">
        <f t="shared" si="421"/>
        <v>0</v>
      </c>
      <c r="BD41" s="393"/>
      <c r="BE41" s="394"/>
      <c r="BF41" s="395"/>
      <c r="BG41" s="396"/>
      <c r="BH41" s="394"/>
      <c r="BI41" s="395"/>
      <c r="BJ41" s="397"/>
      <c r="BK41" s="398"/>
      <c r="BL41" s="405"/>
      <c r="BM41" s="398"/>
      <c r="BN41" s="393"/>
      <c r="BO41" s="394"/>
      <c r="BP41" s="395"/>
      <c r="BQ41" s="396"/>
      <c r="BR41" s="394"/>
      <c r="BS41" s="395"/>
      <c r="BT41" s="397"/>
      <c r="BU41" s="405"/>
      <c r="BV41" s="398"/>
      <c r="BW41" s="398"/>
      <c r="BX41" s="626">
        <f t="shared" si="16"/>
        <v>0</v>
      </c>
      <c r="BY41" s="626">
        <f t="shared" si="17"/>
        <v>0</v>
      </c>
      <c r="BZ41" s="626">
        <f t="shared" si="18"/>
        <v>0</v>
      </c>
      <c r="CA41" s="626">
        <f t="shared" si="19"/>
        <v>0</v>
      </c>
      <c r="CB41" s="625">
        <f t="shared" si="20"/>
        <v>0</v>
      </c>
      <c r="CC41" s="393"/>
      <c r="CD41" s="394"/>
      <c r="CE41" s="395"/>
      <c r="CF41" s="396"/>
      <c r="CG41" s="394"/>
      <c r="CH41" s="395"/>
      <c r="CI41" s="397"/>
      <c r="CJ41" s="398"/>
      <c r="CK41" s="398"/>
      <c r="CL41" s="414"/>
      <c r="CM41" s="393"/>
      <c r="CN41" s="394"/>
      <c r="CO41" s="395"/>
      <c r="CP41" s="396"/>
      <c r="CQ41" s="394"/>
      <c r="CR41" s="395"/>
      <c r="CS41" s="397"/>
      <c r="CT41" s="398"/>
      <c r="CU41" s="405"/>
      <c r="CV41" s="405"/>
      <c r="CW41" s="492">
        <f t="shared" si="449"/>
        <v>0</v>
      </c>
      <c r="CX41" s="487">
        <f t="shared" si="449"/>
        <v>0</v>
      </c>
      <c r="CY41" s="487">
        <f t="shared" si="431"/>
        <v>0</v>
      </c>
      <c r="CZ41" s="487">
        <f t="shared" si="422"/>
        <v>0</v>
      </c>
      <c r="DA41" s="474"/>
      <c r="DB41" s="474">
        <f t="shared" si="457"/>
        <v>0</v>
      </c>
      <c r="DC41" s="475"/>
      <c r="DD41" s="547">
        <f t="shared" si="21"/>
        <v>0</v>
      </c>
      <c r="DE41" s="547">
        <f t="shared" si="22"/>
        <v>0</v>
      </c>
      <c r="DF41" s="547">
        <f t="shared" si="23"/>
        <v>0</v>
      </c>
      <c r="DG41" s="547">
        <f t="shared" si="24"/>
        <v>0</v>
      </c>
      <c r="DH41" s="576">
        <f t="shared" si="25"/>
        <v>0</v>
      </c>
      <c r="DI41" s="393"/>
      <c r="DJ41" s="394"/>
      <c r="DK41" s="395"/>
      <c r="DL41" s="396"/>
      <c r="DM41" s="394"/>
      <c r="DN41" s="395"/>
      <c r="DO41" s="397"/>
      <c r="DP41" s="405"/>
      <c r="DQ41" s="398"/>
      <c r="DR41" s="398"/>
      <c r="DS41" s="393"/>
      <c r="DT41" s="394"/>
      <c r="DU41" s="395">
        <f t="shared" si="76"/>
        <v>0</v>
      </c>
      <c r="DV41" s="396"/>
      <c r="DW41" s="394"/>
      <c r="DX41" s="395">
        <f t="shared" si="77"/>
        <v>0</v>
      </c>
      <c r="DY41" s="397">
        <f t="shared" si="78"/>
        <v>0</v>
      </c>
      <c r="DZ41" s="405">
        <f t="shared" si="79"/>
        <v>0</v>
      </c>
      <c r="EA41" s="398">
        <f t="shared" si="80"/>
        <v>0</v>
      </c>
      <c r="EB41" s="398"/>
      <c r="EC41" s="393">
        <v>0</v>
      </c>
      <c r="ED41" s="394">
        <v>0</v>
      </c>
      <c r="EE41" s="395">
        <f>SUM(EC41:ED41)</f>
        <v>0</v>
      </c>
      <c r="EF41" s="396">
        <v>0</v>
      </c>
      <c r="EG41" s="394">
        <v>0</v>
      </c>
      <c r="EH41" s="395">
        <f>SUM(EF41:EG41)</f>
        <v>0</v>
      </c>
      <c r="EI41" s="397">
        <f t="shared" ref="EI41:EJ43" si="465">SUM(EC41+EF41)</f>
        <v>0</v>
      </c>
      <c r="EJ41" s="405">
        <f t="shared" si="465"/>
        <v>0</v>
      </c>
      <c r="EK41" s="398">
        <f>SUM(EI41:EJ41)</f>
        <v>0</v>
      </c>
      <c r="EL41" s="398"/>
      <c r="EM41" s="393">
        <v>36</v>
      </c>
      <c r="EN41" s="394">
        <v>14</v>
      </c>
      <c r="EO41" s="395">
        <f>SUM(EM41:EN41)</f>
        <v>50</v>
      </c>
      <c r="EP41" s="396">
        <v>0</v>
      </c>
      <c r="EQ41" s="394">
        <v>0</v>
      </c>
      <c r="ER41" s="395">
        <v>0</v>
      </c>
      <c r="ES41" s="397">
        <f>SUM(EM41+EP41)</f>
        <v>36</v>
      </c>
      <c r="ET41" s="405">
        <f>SUM(EN41+EQ41)</f>
        <v>14</v>
      </c>
      <c r="EU41" s="398">
        <f>SUM(ES41:ET41)</f>
        <v>50</v>
      </c>
      <c r="EV41" s="398"/>
      <c r="EW41" s="492">
        <f t="shared" si="26"/>
        <v>36</v>
      </c>
      <c r="EX41" s="487">
        <f t="shared" si="27"/>
        <v>14</v>
      </c>
      <c r="EY41" s="487">
        <f t="shared" si="28"/>
        <v>50</v>
      </c>
      <c r="EZ41" s="487">
        <f t="shared" si="29"/>
        <v>0</v>
      </c>
      <c r="FA41" s="474"/>
      <c r="FB41" s="474">
        <f t="shared" si="30"/>
        <v>50</v>
      </c>
      <c r="FC41" s="475"/>
      <c r="FD41" s="547">
        <f t="shared" si="31"/>
        <v>36</v>
      </c>
      <c r="FE41" s="547">
        <f t="shared" si="32"/>
        <v>14</v>
      </c>
      <c r="FF41" s="547">
        <f t="shared" si="33"/>
        <v>0</v>
      </c>
      <c r="FG41" s="547">
        <f t="shared" si="34"/>
        <v>0</v>
      </c>
      <c r="FH41" s="577">
        <f t="shared" si="35"/>
        <v>36</v>
      </c>
      <c r="FI41" s="577">
        <f t="shared" si="36"/>
        <v>14</v>
      </c>
      <c r="FJ41" s="577">
        <f t="shared" si="37"/>
        <v>50</v>
      </c>
      <c r="FK41" s="577">
        <f t="shared" si="38"/>
        <v>36</v>
      </c>
      <c r="FL41" s="577">
        <f t="shared" si="39"/>
        <v>14</v>
      </c>
      <c r="FM41" s="577">
        <f t="shared" si="40"/>
        <v>50</v>
      </c>
      <c r="FN41" s="393"/>
      <c r="FO41" s="394"/>
      <c r="FP41" s="395"/>
      <c r="FQ41" s="396"/>
      <c r="FR41" s="394"/>
      <c r="FS41" s="395"/>
      <c r="FT41" s="397">
        <f t="shared" si="458"/>
        <v>0</v>
      </c>
      <c r="FU41" s="405">
        <f t="shared" si="459"/>
        <v>0</v>
      </c>
      <c r="FV41" s="398">
        <f t="shared" si="460"/>
        <v>0</v>
      </c>
      <c r="FW41" s="398"/>
      <c r="FX41" s="393"/>
      <c r="FY41" s="394"/>
      <c r="FZ41" s="395"/>
      <c r="GA41" s="396"/>
      <c r="GB41" s="394"/>
      <c r="GC41" s="395"/>
      <c r="GD41" s="397">
        <f t="shared" si="41"/>
        <v>0</v>
      </c>
      <c r="GE41" s="405">
        <f t="shared" si="42"/>
        <v>0</v>
      </c>
      <c r="GF41" s="398">
        <f t="shared" si="43"/>
        <v>0</v>
      </c>
      <c r="GG41" s="398"/>
      <c r="GH41" s="393"/>
      <c r="GI41" s="394"/>
      <c r="GJ41" s="395"/>
      <c r="GK41" s="396"/>
      <c r="GL41" s="394"/>
      <c r="GM41" s="395"/>
      <c r="GN41" s="397">
        <f t="shared" si="453"/>
        <v>0</v>
      </c>
      <c r="GO41" s="405">
        <f t="shared" si="454"/>
        <v>0</v>
      </c>
      <c r="GP41" s="398">
        <f t="shared" si="455"/>
        <v>0</v>
      </c>
      <c r="GQ41" s="398"/>
      <c r="GR41" s="650">
        <f t="shared" si="47"/>
        <v>36</v>
      </c>
      <c r="GS41" s="650">
        <f t="shared" si="48"/>
        <v>14</v>
      </c>
      <c r="GT41" s="650">
        <f t="shared" si="49"/>
        <v>36</v>
      </c>
      <c r="GU41" s="650">
        <f t="shared" si="50"/>
        <v>14</v>
      </c>
      <c r="GV41" s="650">
        <f t="shared" si="51"/>
        <v>0</v>
      </c>
      <c r="GW41" s="650">
        <f t="shared" si="52"/>
        <v>0</v>
      </c>
      <c r="GX41" s="393">
        <v>2</v>
      </c>
      <c r="GY41" s="394">
        <v>17</v>
      </c>
      <c r="GZ41" s="395">
        <f t="shared" si="53"/>
        <v>19</v>
      </c>
      <c r="HA41" s="396">
        <v>0</v>
      </c>
      <c r="HB41" s="394">
        <v>0</v>
      </c>
      <c r="HC41" s="395">
        <f t="shared" si="54"/>
        <v>0</v>
      </c>
      <c r="HD41" s="397">
        <f t="shared" si="55"/>
        <v>2</v>
      </c>
      <c r="HE41" s="405">
        <f t="shared" si="56"/>
        <v>17</v>
      </c>
      <c r="HF41" s="398">
        <f t="shared" si="57"/>
        <v>19</v>
      </c>
      <c r="HG41" s="398"/>
      <c r="HH41" s="492">
        <f t="shared" si="58"/>
        <v>2</v>
      </c>
      <c r="HI41" s="487">
        <f t="shared" si="59"/>
        <v>17</v>
      </c>
      <c r="HJ41" s="487">
        <f t="shared" si="60"/>
        <v>2</v>
      </c>
      <c r="HK41" s="487">
        <f t="shared" si="61"/>
        <v>17</v>
      </c>
      <c r="HL41" s="487">
        <f t="shared" si="62"/>
        <v>0</v>
      </c>
      <c r="HM41" s="487">
        <f t="shared" si="63"/>
        <v>0</v>
      </c>
      <c r="HN41" s="474"/>
      <c r="HO41" s="474">
        <f t="shared" si="64"/>
        <v>19</v>
      </c>
      <c r="HP41" s="475"/>
      <c r="HQ41" s="547">
        <f t="shared" si="426"/>
        <v>2</v>
      </c>
      <c r="HR41" s="547">
        <f t="shared" si="427"/>
        <v>17</v>
      </c>
      <c r="HS41" s="547">
        <f t="shared" si="428"/>
        <v>0</v>
      </c>
      <c r="HT41" s="547">
        <f t="shared" si="429"/>
        <v>0</v>
      </c>
      <c r="HU41" s="393"/>
      <c r="HV41" s="394"/>
      <c r="HW41" s="395">
        <f t="shared" si="69"/>
        <v>0</v>
      </c>
      <c r="HX41" s="396"/>
      <c r="HY41" s="394"/>
      <c r="HZ41" s="395">
        <f t="shared" si="70"/>
        <v>0</v>
      </c>
      <c r="IA41" s="397">
        <f t="shared" si="71"/>
        <v>0</v>
      </c>
      <c r="IB41" s="405">
        <f t="shared" si="72"/>
        <v>0</v>
      </c>
      <c r="IC41" s="398">
        <f t="shared" si="73"/>
        <v>0</v>
      </c>
      <c r="ID41" s="398"/>
      <c r="IE41" s="393"/>
      <c r="IF41" s="394"/>
      <c r="IG41" s="395"/>
      <c r="IH41" s="396"/>
      <c r="II41" s="394"/>
      <c r="IJ41" s="395"/>
      <c r="IK41" s="397"/>
      <c r="IL41" s="405"/>
      <c r="IM41" s="398"/>
      <c r="IN41" s="398"/>
      <c r="IO41" s="393"/>
      <c r="IP41" s="394"/>
      <c r="IQ41" s="395"/>
      <c r="IR41" s="396"/>
      <c r="IS41" s="394"/>
      <c r="IT41" s="395"/>
      <c r="IU41" s="397"/>
      <c r="IV41" s="405"/>
      <c r="IW41" s="398"/>
      <c r="IX41" s="398"/>
      <c r="IY41" s="393"/>
      <c r="IZ41" s="394"/>
      <c r="JA41" s="395"/>
      <c r="JB41" s="396"/>
      <c r="JC41" s="394"/>
      <c r="JD41" s="395"/>
      <c r="JE41" s="397"/>
      <c r="JF41" s="405"/>
      <c r="JG41" s="398"/>
      <c r="JH41" s="398"/>
      <c r="JI41" s="494"/>
      <c r="JJ41" s="479"/>
      <c r="JK41" s="479"/>
      <c r="JL41" s="479"/>
      <c r="JM41" s="474"/>
      <c r="JN41" s="474">
        <f t="shared" si="74"/>
        <v>0</v>
      </c>
      <c r="JO41" s="475"/>
      <c r="JP41" s="393"/>
      <c r="JQ41" s="394"/>
      <c r="JR41" s="395"/>
      <c r="JS41" s="396"/>
      <c r="JT41" s="394"/>
      <c r="JU41" s="395"/>
      <c r="JV41" s="397"/>
      <c r="JW41" s="405"/>
      <c r="JX41" s="398"/>
      <c r="JY41" s="398"/>
      <c r="JZ41" s="577">
        <f t="shared" si="417"/>
        <v>69</v>
      </c>
      <c r="KA41" s="412">
        <f t="shared" si="461"/>
        <v>38</v>
      </c>
      <c r="KB41" s="412">
        <f t="shared" si="461"/>
        <v>31</v>
      </c>
      <c r="KC41" s="412">
        <f t="shared" si="462"/>
        <v>38</v>
      </c>
      <c r="KD41" s="412">
        <f t="shared" si="462"/>
        <v>31</v>
      </c>
      <c r="KE41" s="412">
        <f t="shared" si="463"/>
        <v>0</v>
      </c>
      <c r="KF41" s="693">
        <f t="shared" si="463"/>
        <v>0</v>
      </c>
      <c r="KG41" s="687">
        <f t="shared" si="75"/>
        <v>69</v>
      </c>
      <c r="KH41" s="680">
        <v>50</v>
      </c>
      <c r="KI41" s="680">
        <f t="shared" si="434"/>
        <v>-19</v>
      </c>
      <c r="KJ41" s="681">
        <f t="shared" si="435"/>
        <v>1.38</v>
      </c>
      <c r="KK41" s="359">
        <f t="shared" si="464"/>
        <v>-1.9</v>
      </c>
      <c r="KL41" s="359"/>
      <c r="KM41" s="359"/>
      <c r="KN41" s="359"/>
      <c r="KO41" s="359"/>
      <c r="KP41" s="359"/>
      <c r="KQ41" s="359"/>
    </row>
    <row r="42" spans="1:303" ht="36" customHeight="1" x14ac:dyDescent="0.3">
      <c r="A42" s="390"/>
      <c r="B42" s="440" t="s">
        <v>38</v>
      </c>
      <c r="C42" s="391" t="s">
        <v>130</v>
      </c>
      <c r="D42" s="392">
        <v>50</v>
      </c>
      <c r="E42" s="393"/>
      <c r="F42" s="394"/>
      <c r="G42" s="395"/>
      <c r="H42" s="396"/>
      <c r="I42" s="394"/>
      <c r="J42" s="395"/>
      <c r="K42" s="397"/>
      <c r="L42" s="398"/>
      <c r="M42" s="398"/>
      <c r="N42" s="399"/>
      <c r="O42" s="393"/>
      <c r="P42" s="394"/>
      <c r="Q42" s="400"/>
      <c r="R42" s="396"/>
      <c r="S42" s="394"/>
      <c r="T42" s="400"/>
      <c r="U42" s="397"/>
      <c r="V42" s="398"/>
      <c r="W42" s="398"/>
      <c r="X42" s="399"/>
      <c r="Y42" s="393"/>
      <c r="Z42" s="394"/>
      <c r="AA42" s="400"/>
      <c r="AB42" s="396"/>
      <c r="AC42" s="394"/>
      <c r="AD42" s="400"/>
      <c r="AE42" s="397"/>
      <c r="AF42" s="405"/>
      <c r="AG42" s="398"/>
      <c r="AH42" s="403"/>
      <c r="AI42" s="393"/>
      <c r="AJ42" s="394"/>
      <c r="AK42" s="395"/>
      <c r="AL42" s="396"/>
      <c r="AM42" s="394"/>
      <c r="AN42" s="395"/>
      <c r="AO42" s="397"/>
      <c r="AP42" s="398"/>
      <c r="AQ42" s="398"/>
      <c r="AR42" s="404"/>
      <c r="AS42" s="486">
        <f t="shared" si="7"/>
        <v>0</v>
      </c>
      <c r="AT42" s="487">
        <f t="shared" si="8"/>
        <v>0</v>
      </c>
      <c r="AU42" s="487">
        <f t="shared" si="9"/>
        <v>0</v>
      </c>
      <c r="AV42" s="487">
        <f t="shared" si="10"/>
        <v>0</v>
      </c>
      <c r="AW42" s="478"/>
      <c r="AX42" s="479">
        <f t="shared" si="11"/>
        <v>0</v>
      </c>
      <c r="AY42" s="537" t="e">
        <f t="shared" si="456"/>
        <v>#DIV/0!</v>
      </c>
      <c r="AZ42" s="547">
        <f t="shared" si="418"/>
        <v>0</v>
      </c>
      <c r="BA42" s="547">
        <f t="shared" si="419"/>
        <v>0</v>
      </c>
      <c r="BB42" s="547">
        <f t="shared" si="420"/>
        <v>0</v>
      </c>
      <c r="BC42" s="547">
        <f t="shared" si="421"/>
        <v>0</v>
      </c>
      <c r="BD42" s="393"/>
      <c r="BE42" s="394"/>
      <c r="BF42" s="395"/>
      <c r="BG42" s="396"/>
      <c r="BH42" s="394"/>
      <c r="BI42" s="395"/>
      <c r="BJ42" s="397"/>
      <c r="BK42" s="398"/>
      <c r="BL42" s="405"/>
      <c r="BM42" s="398"/>
      <c r="BN42" s="393"/>
      <c r="BO42" s="394"/>
      <c r="BP42" s="395"/>
      <c r="BQ42" s="396"/>
      <c r="BR42" s="394"/>
      <c r="BS42" s="395"/>
      <c r="BT42" s="397"/>
      <c r="BU42" s="405"/>
      <c r="BV42" s="398"/>
      <c r="BW42" s="398"/>
      <c r="BX42" s="626">
        <f t="shared" si="16"/>
        <v>0</v>
      </c>
      <c r="BY42" s="626">
        <f t="shared" si="17"/>
        <v>0</v>
      </c>
      <c r="BZ42" s="626">
        <f t="shared" si="18"/>
        <v>0</v>
      </c>
      <c r="CA42" s="626">
        <f t="shared" si="19"/>
        <v>0</v>
      </c>
      <c r="CB42" s="625">
        <f t="shared" si="20"/>
        <v>0</v>
      </c>
      <c r="CC42" s="393"/>
      <c r="CD42" s="394"/>
      <c r="CE42" s="395"/>
      <c r="CF42" s="396"/>
      <c r="CG42" s="394"/>
      <c r="CH42" s="395"/>
      <c r="CI42" s="397"/>
      <c r="CJ42" s="398"/>
      <c r="CK42" s="398"/>
      <c r="CL42" s="414"/>
      <c r="CM42" s="393"/>
      <c r="CN42" s="394"/>
      <c r="CO42" s="395"/>
      <c r="CP42" s="396"/>
      <c r="CQ42" s="394"/>
      <c r="CR42" s="395"/>
      <c r="CS42" s="397"/>
      <c r="CT42" s="398"/>
      <c r="CU42" s="405"/>
      <c r="CV42" s="405"/>
      <c r="CW42" s="492">
        <f t="shared" si="449"/>
        <v>0</v>
      </c>
      <c r="CX42" s="487">
        <f t="shared" si="449"/>
        <v>0</v>
      </c>
      <c r="CY42" s="487">
        <f t="shared" si="431"/>
        <v>0</v>
      </c>
      <c r="CZ42" s="487">
        <f t="shared" si="422"/>
        <v>0</v>
      </c>
      <c r="DA42" s="474"/>
      <c r="DB42" s="474">
        <f t="shared" si="457"/>
        <v>0</v>
      </c>
      <c r="DC42" s="475"/>
      <c r="DD42" s="547">
        <f t="shared" si="21"/>
        <v>0</v>
      </c>
      <c r="DE42" s="547">
        <f t="shared" si="22"/>
        <v>0</v>
      </c>
      <c r="DF42" s="547">
        <f t="shared" si="23"/>
        <v>0</v>
      </c>
      <c r="DG42" s="547">
        <f t="shared" si="24"/>
        <v>0</v>
      </c>
      <c r="DH42" s="576">
        <f t="shared" si="25"/>
        <v>0</v>
      </c>
      <c r="DI42" s="393"/>
      <c r="DJ42" s="394"/>
      <c r="DK42" s="395"/>
      <c r="DL42" s="396"/>
      <c r="DM42" s="394"/>
      <c r="DN42" s="395"/>
      <c r="DO42" s="397"/>
      <c r="DP42" s="405"/>
      <c r="DQ42" s="398"/>
      <c r="DR42" s="398"/>
      <c r="DS42" s="393"/>
      <c r="DT42" s="394"/>
      <c r="DU42" s="395">
        <f t="shared" si="76"/>
        <v>0</v>
      </c>
      <c r="DV42" s="396"/>
      <c r="DW42" s="394"/>
      <c r="DX42" s="395">
        <f t="shared" si="77"/>
        <v>0</v>
      </c>
      <c r="DY42" s="397">
        <f t="shared" si="78"/>
        <v>0</v>
      </c>
      <c r="DZ42" s="405">
        <f t="shared" si="79"/>
        <v>0</v>
      </c>
      <c r="EA42" s="398">
        <f t="shared" si="80"/>
        <v>0</v>
      </c>
      <c r="EB42" s="398"/>
      <c r="EC42" s="393">
        <v>23</v>
      </c>
      <c r="ED42" s="394">
        <v>0</v>
      </c>
      <c r="EE42" s="395">
        <f>SUM(EC42:ED42)</f>
        <v>23</v>
      </c>
      <c r="EF42" s="396">
        <v>0</v>
      </c>
      <c r="EG42" s="394">
        <v>0</v>
      </c>
      <c r="EH42" s="395">
        <f>SUM(EF42:EG42)</f>
        <v>0</v>
      </c>
      <c r="EI42" s="397">
        <f t="shared" si="465"/>
        <v>23</v>
      </c>
      <c r="EJ42" s="405">
        <f t="shared" si="465"/>
        <v>0</v>
      </c>
      <c r="EK42" s="398">
        <f>SUM(EI42:EJ42)</f>
        <v>23</v>
      </c>
      <c r="EL42" s="398"/>
      <c r="EM42" s="393">
        <v>77</v>
      </c>
      <c r="EN42" s="394">
        <v>0</v>
      </c>
      <c r="EO42" s="395">
        <f>SUM(EM42:EN42)</f>
        <v>77</v>
      </c>
      <c r="EP42" s="396">
        <v>0</v>
      </c>
      <c r="EQ42" s="394">
        <v>0</v>
      </c>
      <c r="ER42" s="395">
        <f>SUM(EP42:EQ42)</f>
        <v>0</v>
      </c>
      <c r="ES42" s="397">
        <f>SUM(EM42+EP42)</f>
        <v>77</v>
      </c>
      <c r="ET42" s="405">
        <f>SUM(EN42+EQ42)</f>
        <v>0</v>
      </c>
      <c r="EU42" s="398">
        <f>SUM(ES42:ET42)</f>
        <v>77</v>
      </c>
      <c r="EV42" s="398"/>
      <c r="EW42" s="492">
        <f t="shared" si="26"/>
        <v>100</v>
      </c>
      <c r="EX42" s="487">
        <f t="shared" si="27"/>
        <v>0</v>
      </c>
      <c r="EY42" s="487">
        <f t="shared" si="28"/>
        <v>100</v>
      </c>
      <c r="EZ42" s="487">
        <f t="shared" si="29"/>
        <v>0</v>
      </c>
      <c r="FA42" s="474"/>
      <c r="FB42" s="474">
        <f t="shared" si="30"/>
        <v>100</v>
      </c>
      <c r="FC42" s="475"/>
      <c r="FD42" s="547">
        <f t="shared" si="31"/>
        <v>100</v>
      </c>
      <c r="FE42" s="547">
        <f t="shared" si="32"/>
        <v>0</v>
      </c>
      <c r="FF42" s="547">
        <f t="shared" si="33"/>
        <v>0</v>
      </c>
      <c r="FG42" s="547">
        <f t="shared" si="34"/>
        <v>0</v>
      </c>
      <c r="FH42" s="577">
        <f t="shared" si="35"/>
        <v>100</v>
      </c>
      <c r="FI42" s="577">
        <f t="shared" si="36"/>
        <v>0</v>
      </c>
      <c r="FJ42" s="577">
        <f t="shared" si="37"/>
        <v>100</v>
      </c>
      <c r="FK42" s="577">
        <f t="shared" si="38"/>
        <v>100</v>
      </c>
      <c r="FL42" s="577">
        <f t="shared" si="39"/>
        <v>0</v>
      </c>
      <c r="FM42" s="577">
        <f t="shared" si="40"/>
        <v>100</v>
      </c>
      <c r="FN42" s="393"/>
      <c r="FO42" s="394"/>
      <c r="FP42" s="395"/>
      <c r="FQ42" s="396"/>
      <c r="FR42" s="394"/>
      <c r="FS42" s="395"/>
      <c r="FT42" s="397">
        <f t="shared" si="458"/>
        <v>0</v>
      </c>
      <c r="FU42" s="405">
        <f t="shared" si="459"/>
        <v>0</v>
      </c>
      <c r="FV42" s="398">
        <f t="shared" si="460"/>
        <v>0</v>
      </c>
      <c r="FW42" s="398"/>
      <c r="FX42" s="393"/>
      <c r="FY42" s="394"/>
      <c r="FZ42" s="395"/>
      <c r="GA42" s="396"/>
      <c r="GB42" s="394"/>
      <c r="GC42" s="395"/>
      <c r="GD42" s="397">
        <f t="shared" si="41"/>
        <v>0</v>
      </c>
      <c r="GE42" s="405">
        <f t="shared" si="42"/>
        <v>0</v>
      </c>
      <c r="GF42" s="398">
        <f t="shared" si="43"/>
        <v>0</v>
      </c>
      <c r="GG42" s="398"/>
      <c r="GH42" s="393"/>
      <c r="GI42" s="394"/>
      <c r="GJ42" s="395"/>
      <c r="GK42" s="396"/>
      <c r="GL42" s="394"/>
      <c r="GM42" s="395"/>
      <c r="GN42" s="397">
        <f t="shared" si="453"/>
        <v>0</v>
      </c>
      <c r="GO42" s="405">
        <f t="shared" si="454"/>
        <v>0</v>
      </c>
      <c r="GP42" s="398">
        <f t="shared" si="455"/>
        <v>0</v>
      </c>
      <c r="GQ42" s="398"/>
      <c r="GR42" s="650">
        <f t="shared" si="47"/>
        <v>100</v>
      </c>
      <c r="GS42" s="650">
        <f t="shared" si="48"/>
        <v>0</v>
      </c>
      <c r="GT42" s="650">
        <f t="shared" si="49"/>
        <v>100</v>
      </c>
      <c r="GU42" s="650">
        <f t="shared" si="50"/>
        <v>0</v>
      </c>
      <c r="GV42" s="650">
        <f t="shared" si="51"/>
        <v>0</v>
      </c>
      <c r="GW42" s="650">
        <f t="shared" si="52"/>
        <v>0</v>
      </c>
      <c r="GX42" s="393"/>
      <c r="GY42" s="394"/>
      <c r="GZ42" s="395">
        <f t="shared" si="53"/>
        <v>0</v>
      </c>
      <c r="HA42" s="396"/>
      <c r="HB42" s="394"/>
      <c r="HC42" s="395">
        <f t="shared" si="54"/>
        <v>0</v>
      </c>
      <c r="HD42" s="397">
        <f t="shared" si="55"/>
        <v>0</v>
      </c>
      <c r="HE42" s="405">
        <f t="shared" si="56"/>
        <v>0</v>
      </c>
      <c r="HF42" s="398">
        <f t="shared" si="57"/>
        <v>0</v>
      </c>
      <c r="HG42" s="398"/>
      <c r="HH42" s="492">
        <f t="shared" si="58"/>
        <v>0</v>
      </c>
      <c r="HI42" s="487">
        <f t="shared" si="59"/>
        <v>0</v>
      </c>
      <c r="HJ42" s="487">
        <f t="shared" si="60"/>
        <v>0</v>
      </c>
      <c r="HK42" s="487">
        <f t="shared" si="61"/>
        <v>0</v>
      </c>
      <c r="HL42" s="487">
        <f t="shared" si="62"/>
        <v>0</v>
      </c>
      <c r="HM42" s="487">
        <f t="shared" si="63"/>
        <v>0</v>
      </c>
      <c r="HN42" s="474"/>
      <c r="HO42" s="474">
        <f t="shared" si="64"/>
        <v>0</v>
      </c>
      <c r="HP42" s="475"/>
      <c r="HQ42" s="547">
        <f t="shared" si="426"/>
        <v>0</v>
      </c>
      <c r="HR42" s="547">
        <f t="shared" si="427"/>
        <v>0</v>
      </c>
      <c r="HS42" s="547">
        <f t="shared" si="428"/>
        <v>0</v>
      </c>
      <c r="HT42" s="547">
        <f t="shared" si="429"/>
        <v>0</v>
      </c>
      <c r="HU42" s="393"/>
      <c r="HV42" s="394"/>
      <c r="HW42" s="395">
        <f t="shared" si="69"/>
        <v>0</v>
      </c>
      <c r="HX42" s="396"/>
      <c r="HY42" s="394"/>
      <c r="HZ42" s="395">
        <f t="shared" si="70"/>
        <v>0</v>
      </c>
      <c r="IA42" s="397">
        <f t="shared" si="71"/>
        <v>0</v>
      </c>
      <c r="IB42" s="405">
        <f t="shared" si="72"/>
        <v>0</v>
      </c>
      <c r="IC42" s="398">
        <f t="shared" si="73"/>
        <v>0</v>
      </c>
      <c r="ID42" s="398"/>
      <c r="IE42" s="393"/>
      <c r="IF42" s="394"/>
      <c r="IG42" s="395"/>
      <c r="IH42" s="396"/>
      <c r="II42" s="394"/>
      <c r="IJ42" s="395"/>
      <c r="IK42" s="397"/>
      <c r="IL42" s="405"/>
      <c r="IM42" s="398"/>
      <c r="IN42" s="398"/>
      <c r="IO42" s="393"/>
      <c r="IP42" s="394"/>
      <c r="IQ42" s="395"/>
      <c r="IR42" s="396"/>
      <c r="IS42" s="394"/>
      <c r="IT42" s="395"/>
      <c r="IU42" s="397"/>
      <c r="IV42" s="405"/>
      <c r="IW42" s="398"/>
      <c r="IX42" s="398"/>
      <c r="IY42" s="393"/>
      <c r="IZ42" s="394"/>
      <c r="JA42" s="395"/>
      <c r="JB42" s="396"/>
      <c r="JC42" s="394"/>
      <c r="JD42" s="395"/>
      <c r="JE42" s="397"/>
      <c r="JF42" s="405"/>
      <c r="JG42" s="398"/>
      <c r="JH42" s="398"/>
      <c r="JI42" s="494"/>
      <c r="JJ42" s="479"/>
      <c r="JK42" s="479"/>
      <c r="JL42" s="479"/>
      <c r="JM42" s="474"/>
      <c r="JN42" s="474">
        <f t="shared" si="74"/>
        <v>0</v>
      </c>
      <c r="JO42" s="475"/>
      <c r="JP42" s="393"/>
      <c r="JQ42" s="394"/>
      <c r="JR42" s="395"/>
      <c r="JS42" s="396"/>
      <c r="JT42" s="394"/>
      <c r="JU42" s="395"/>
      <c r="JV42" s="397"/>
      <c r="JW42" s="405"/>
      <c r="JX42" s="398"/>
      <c r="JY42" s="398"/>
      <c r="JZ42" s="577">
        <f t="shared" si="417"/>
        <v>100</v>
      </c>
      <c r="KA42" s="412">
        <f t="shared" si="461"/>
        <v>100</v>
      </c>
      <c r="KB42" s="412">
        <f t="shared" si="461"/>
        <v>0</v>
      </c>
      <c r="KC42" s="412">
        <f t="shared" si="462"/>
        <v>100</v>
      </c>
      <c r="KD42" s="412">
        <f t="shared" si="462"/>
        <v>0</v>
      </c>
      <c r="KE42" s="412">
        <f t="shared" si="463"/>
        <v>0</v>
      </c>
      <c r="KF42" s="693">
        <f t="shared" si="463"/>
        <v>0</v>
      </c>
      <c r="KG42" s="687">
        <f t="shared" si="75"/>
        <v>100</v>
      </c>
      <c r="KH42" s="680">
        <v>50</v>
      </c>
      <c r="KI42" s="680">
        <f t="shared" si="434"/>
        <v>-50</v>
      </c>
      <c r="KJ42" s="681">
        <f t="shared" si="435"/>
        <v>2</v>
      </c>
      <c r="KK42" s="359">
        <f t="shared" si="464"/>
        <v>-5</v>
      </c>
      <c r="KL42" s="359"/>
      <c r="KM42" s="359"/>
      <c r="KN42" s="359"/>
      <c r="KO42" s="359"/>
      <c r="KP42" s="359"/>
      <c r="KQ42" s="359"/>
    </row>
    <row r="43" spans="1:303" ht="36" customHeight="1" x14ac:dyDescent="0.3">
      <c r="A43" s="390"/>
      <c r="B43" s="440" t="s">
        <v>39</v>
      </c>
      <c r="C43" s="391" t="s">
        <v>130</v>
      </c>
      <c r="D43" s="392">
        <v>600</v>
      </c>
      <c r="E43" s="393"/>
      <c r="F43" s="394"/>
      <c r="G43" s="395"/>
      <c r="H43" s="396"/>
      <c r="I43" s="394"/>
      <c r="J43" s="395"/>
      <c r="K43" s="397"/>
      <c r="L43" s="398"/>
      <c r="M43" s="398"/>
      <c r="N43" s="399"/>
      <c r="O43" s="393"/>
      <c r="P43" s="394"/>
      <c r="Q43" s="400"/>
      <c r="R43" s="396"/>
      <c r="S43" s="394"/>
      <c r="T43" s="400"/>
      <c r="U43" s="397"/>
      <c r="V43" s="398"/>
      <c r="W43" s="398"/>
      <c r="X43" s="399"/>
      <c r="Y43" s="393"/>
      <c r="Z43" s="394"/>
      <c r="AA43" s="400"/>
      <c r="AB43" s="396"/>
      <c r="AC43" s="394"/>
      <c r="AD43" s="400"/>
      <c r="AE43" s="397"/>
      <c r="AF43" s="405"/>
      <c r="AG43" s="398"/>
      <c r="AH43" s="403"/>
      <c r="AI43" s="393"/>
      <c r="AJ43" s="394"/>
      <c r="AK43" s="395"/>
      <c r="AL43" s="396"/>
      <c r="AM43" s="394"/>
      <c r="AN43" s="395"/>
      <c r="AO43" s="397"/>
      <c r="AP43" s="398"/>
      <c r="AQ43" s="398"/>
      <c r="AR43" s="404"/>
      <c r="AS43" s="486">
        <f t="shared" si="7"/>
        <v>0</v>
      </c>
      <c r="AT43" s="487">
        <f t="shared" si="8"/>
        <v>0</v>
      </c>
      <c r="AU43" s="487">
        <f t="shared" si="9"/>
        <v>0</v>
      </c>
      <c r="AV43" s="487">
        <f t="shared" si="10"/>
        <v>0</v>
      </c>
      <c r="AW43" s="478"/>
      <c r="AX43" s="479">
        <f t="shared" si="11"/>
        <v>0</v>
      </c>
      <c r="AY43" s="537" t="e">
        <f t="shared" si="456"/>
        <v>#DIV/0!</v>
      </c>
      <c r="AZ43" s="547">
        <f t="shared" si="418"/>
        <v>0</v>
      </c>
      <c r="BA43" s="547">
        <f t="shared" si="419"/>
        <v>0</v>
      </c>
      <c r="BB43" s="547">
        <f t="shared" si="420"/>
        <v>0</v>
      </c>
      <c r="BC43" s="547">
        <f t="shared" si="421"/>
        <v>0</v>
      </c>
      <c r="BD43" s="393"/>
      <c r="BE43" s="394"/>
      <c r="BF43" s="395"/>
      <c r="BG43" s="396"/>
      <c r="BH43" s="394"/>
      <c r="BI43" s="395"/>
      <c r="BJ43" s="397"/>
      <c r="BK43" s="398"/>
      <c r="BL43" s="405"/>
      <c r="BM43" s="398"/>
      <c r="BN43" s="393"/>
      <c r="BO43" s="394"/>
      <c r="BP43" s="395"/>
      <c r="BQ43" s="396"/>
      <c r="BR43" s="394"/>
      <c r="BS43" s="395"/>
      <c r="BT43" s="397"/>
      <c r="BU43" s="405"/>
      <c r="BV43" s="398"/>
      <c r="BW43" s="398"/>
      <c r="BX43" s="626">
        <f t="shared" si="16"/>
        <v>0</v>
      </c>
      <c r="BY43" s="626">
        <f t="shared" si="17"/>
        <v>0</v>
      </c>
      <c r="BZ43" s="626">
        <f t="shared" si="18"/>
        <v>0</v>
      </c>
      <c r="CA43" s="626">
        <f t="shared" si="19"/>
        <v>0</v>
      </c>
      <c r="CB43" s="625">
        <f t="shared" si="20"/>
        <v>0</v>
      </c>
      <c r="CC43" s="393"/>
      <c r="CD43" s="394"/>
      <c r="CE43" s="395"/>
      <c r="CF43" s="396"/>
      <c r="CG43" s="394"/>
      <c r="CH43" s="395"/>
      <c r="CI43" s="397"/>
      <c r="CJ43" s="398"/>
      <c r="CK43" s="398"/>
      <c r="CL43" s="414"/>
      <c r="CM43" s="393"/>
      <c r="CN43" s="394"/>
      <c r="CO43" s="395"/>
      <c r="CP43" s="396"/>
      <c r="CQ43" s="394"/>
      <c r="CR43" s="395"/>
      <c r="CS43" s="397"/>
      <c r="CT43" s="398"/>
      <c r="CU43" s="405"/>
      <c r="CV43" s="405"/>
      <c r="CW43" s="492">
        <f t="shared" si="449"/>
        <v>0</v>
      </c>
      <c r="CX43" s="487">
        <f t="shared" si="449"/>
        <v>0</v>
      </c>
      <c r="CY43" s="487">
        <f t="shared" si="431"/>
        <v>0</v>
      </c>
      <c r="CZ43" s="487">
        <f t="shared" si="422"/>
        <v>0</v>
      </c>
      <c r="DA43" s="474"/>
      <c r="DB43" s="474">
        <f t="shared" si="457"/>
        <v>0</v>
      </c>
      <c r="DC43" s="475"/>
      <c r="DD43" s="547">
        <f t="shared" si="21"/>
        <v>0</v>
      </c>
      <c r="DE43" s="547">
        <f t="shared" si="22"/>
        <v>0</v>
      </c>
      <c r="DF43" s="547">
        <f t="shared" si="23"/>
        <v>0</v>
      </c>
      <c r="DG43" s="547">
        <f t="shared" si="24"/>
        <v>0</v>
      </c>
      <c r="DH43" s="576">
        <f t="shared" si="25"/>
        <v>0</v>
      </c>
      <c r="DI43" s="393"/>
      <c r="DJ43" s="394"/>
      <c r="DK43" s="395"/>
      <c r="DL43" s="396"/>
      <c r="DM43" s="394"/>
      <c r="DN43" s="395"/>
      <c r="DO43" s="397"/>
      <c r="DP43" s="405"/>
      <c r="DQ43" s="398"/>
      <c r="DR43" s="398"/>
      <c r="DS43" s="393"/>
      <c r="DT43" s="394"/>
      <c r="DU43" s="395">
        <f t="shared" si="76"/>
        <v>0</v>
      </c>
      <c r="DV43" s="396"/>
      <c r="DW43" s="394"/>
      <c r="DX43" s="395">
        <f t="shared" si="77"/>
        <v>0</v>
      </c>
      <c r="DY43" s="397">
        <f t="shared" si="78"/>
        <v>0</v>
      </c>
      <c r="DZ43" s="405">
        <f t="shared" si="79"/>
        <v>0</v>
      </c>
      <c r="EA43" s="398">
        <f t="shared" si="80"/>
        <v>0</v>
      </c>
      <c r="EB43" s="398"/>
      <c r="EC43" s="393">
        <v>140</v>
      </c>
      <c r="ED43" s="394">
        <v>160</v>
      </c>
      <c r="EE43" s="395">
        <f>SUM(EC43:ED43)</f>
        <v>300</v>
      </c>
      <c r="EF43" s="396">
        <v>0</v>
      </c>
      <c r="EG43" s="394">
        <v>0</v>
      </c>
      <c r="EH43" s="395">
        <f>SUM(EF43:EG43)</f>
        <v>0</v>
      </c>
      <c r="EI43" s="397">
        <f t="shared" si="465"/>
        <v>140</v>
      </c>
      <c r="EJ43" s="405">
        <f t="shared" si="465"/>
        <v>160</v>
      </c>
      <c r="EK43" s="398">
        <f>SUM(EI43:EJ43)</f>
        <v>300</v>
      </c>
      <c r="EL43" s="398"/>
      <c r="EM43" s="393"/>
      <c r="EN43" s="394"/>
      <c r="EO43" s="395"/>
      <c r="EP43" s="396"/>
      <c r="EQ43" s="394"/>
      <c r="ER43" s="395"/>
      <c r="ES43" s="397"/>
      <c r="ET43" s="405"/>
      <c r="EU43" s="398"/>
      <c r="EV43" s="398"/>
      <c r="EW43" s="492">
        <f t="shared" si="26"/>
        <v>140</v>
      </c>
      <c r="EX43" s="487">
        <f t="shared" si="27"/>
        <v>160</v>
      </c>
      <c r="EY43" s="487">
        <f t="shared" si="28"/>
        <v>300</v>
      </c>
      <c r="EZ43" s="487">
        <f t="shared" si="29"/>
        <v>0</v>
      </c>
      <c r="FA43" s="474"/>
      <c r="FB43" s="474">
        <f t="shared" si="30"/>
        <v>300</v>
      </c>
      <c r="FC43" s="475"/>
      <c r="FD43" s="547">
        <f t="shared" si="31"/>
        <v>140</v>
      </c>
      <c r="FE43" s="547">
        <f t="shared" si="32"/>
        <v>160</v>
      </c>
      <c r="FF43" s="547">
        <f t="shared" si="33"/>
        <v>0</v>
      </c>
      <c r="FG43" s="547">
        <f t="shared" si="34"/>
        <v>0</v>
      </c>
      <c r="FH43" s="577">
        <f t="shared" si="35"/>
        <v>140</v>
      </c>
      <c r="FI43" s="577">
        <f t="shared" si="36"/>
        <v>160</v>
      </c>
      <c r="FJ43" s="577">
        <f t="shared" si="37"/>
        <v>300</v>
      </c>
      <c r="FK43" s="577">
        <f t="shared" si="38"/>
        <v>140</v>
      </c>
      <c r="FL43" s="577">
        <f t="shared" si="39"/>
        <v>160</v>
      </c>
      <c r="FM43" s="577">
        <f t="shared" si="40"/>
        <v>300</v>
      </c>
      <c r="FN43" s="393"/>
      <c r="FO43" s="394"/>
      <c r="FP43" s="395"/>
      <c r="FQ43" s="396"/>
      <c r="FR43" s="394"/>
      <c r="FS43" s="395"/>
      <c r="FT43" s="397">
        <f t="shared" si="458"/>
        <v>0</v>
      </c>
      <c r="FU43" s="405">
        <f t="shared" si="459"/>
        <v>0</v>
      </c>
      <c r="FV43" s="398">
        <f t="shared" si="460"/>
        <v>0</v>
      </c>
      <c r="FW43" s="398"/>
      <c r="FX43" s="393"/>
      <c r="FY43" s="394"/>
      <c r="FZ43" s="395"/>
      <c r="GA43" s="396"/>
      <c r="GB43" s="394"/>
      <c r="GC43" s="395"/>
      <c r="GD43" s="397">
        <f t="shared" si="41"/>
        <v>0</v>
      </c>
      <c r="GE43" s="405">
        <f t="shared" si="42"/>
        <v>0</v>
      </c>
      <c r="GF43" s="398">
        <f t="shared" si="43"/>
        <v>0</v>
      </c>
      <c r="GG43" s="398"/>
      <c r="GH43" s="393">
        <v>144</v>
      </c>
      <c r="GI43" s="394">
        <v>156</v>
      </c>
      <c r="GJ43" s="395">
        <f>GH43+GI43</f>
        <v>300</v>
      </c>
      <c r="GK43" s="396">
        <v>0</v>
      </c>
      <c r="GL43" s="394">
        <v>0</v>
      </c>
      <c r="GM43" s="395" t="b">
        <f>GK43=GL43</f>
        <v>1</v>
      </c>
      <c r="GN43" s="397">
        <f t="shared" si="453"/>
        <v>144</v>
      </c>
      <c r="GO43" s="405">
        <f t="shared" si="454"/>
        <v>156</v>
      </c>
      <c r="GP43" s="398">
        <f t="shared" si="455"/>
        <v>300</v>
      </c>
      <c r="GQ43" s="398"/>
      <c r="GR43" s="650">
        <f t="shared" si="47"/>
        <v>284</v>
      </c>
      <c r="GS43" s="650">
        <f t="shared" si="48"/>
        <v>316</v>
      </c>
      <c r="GT43" s="650">
        <f t="shared" si="49"/>
        <v>284</v>
      </c>
      <c r="GU43" s="650">
        <f t="shared" si="50"/>
        <v>316</v>
      </c>
      <c r="GV43" s="650">
        <f t="shared" si="51"/>
        <v>0</v>
      </c>
      <c r="GW43" s="650">
        <f t="shared" si="52"/>
        <v>0</v>
      </c>
      <c r="GX43" s="393"/>
      <c r="GY43" s="394"/>
      <c r="GZ43" s="395">
        <f t="shared" si="53"/>
        <v>0</v>
      </c>
      <c r="HA43" s="396"/>
      <c r="HB43" s="394"/>
      <c r="HC43" s="395">
        <f t="shared" si="54"/>
        <v>0</v>
      </c>
      <c r="HD43" s="397">
        <f t="shared" si="55"/>
        <v>0</v>
      </c>
      <c r="HE43" s="405">
        <f t="shared" si="56"/>
        <v>0</v>
      </c>
      <c r="HF43" s="398">
        <f t="shared" si="57"/>
        <v>0</v>
      </c>
      <c r="HG43" s="398"/>
      <c r="HH43" s="492">
        <f t="shared" si="58"/>
        <v>144</v>
      </c>
      <c r="HI43" s="487">
        <f t="shared" si="59"/>
        <v>156</v>
      </c>
      <c r="HJ43" s="487">
        <f t="shared" si="60"/>
        <v>144</v>
      </c>
      <c r="HK43" s="487">
        <f t="shared" si="61"/>
        <v>156</v>
      </c>
      <c r="HL43" s="487">
        <f t="shared" si="62"/>
        <v>0</v>
      </c>
      <c r="HM43" s="487">
        <f t="shared" si="63"/>
        <v>0</v>
      </c>
      <c r="HN43" s="474"/>
      <c r="HO43" s="474">
        <f t="shared" si="64"/>
        <v>300</v>
      </c>
      <c r="HP43" s="475"/>
      <c r="HQ43" s="547">
        <f t="shared" si="426"/>
        <v>144</v>
      </c>
      <c r="HR43" s="547">
        <f t="shared" si="427"/>
        <v>156</v>
      </c>
      <c r="HS43" s="547">
        <f t="shared" si="428"/>
        <v>0</v>
      </c>
      <c r="HT43" s="547">
        <f t="shared" si="429"/>
        <v>0</v>
      </c>
      <c r="HU43" s="393"/>
      <c r="HV43" s="394"/>
      <c r="HW43" s="395">
        <f t="shared" si="69"/>
        <v>0</v>
      </c>
      <c r="HX43" s="396"/>
      <c r="HY43" s="394"/>
      <c r="HZ43" s="395">
        <f t="shared" si="70"/>
        <v>0</v>
      </c>
      <c r="IA43" s="397">
        <f t="shared" si="71"/>
        <v>0</v>
      </c>
      <c r="IB43" s="405">
        <f t="shared" si="72"/>
        <v>0</v>
      </c>
      <c r="IC43" s="398">
        <f t="shared" si="73"/>
        <v>0</v>
      </c>
      <c r="ID43" s="398"/>
      <c r="IE43" s="393"/>
      <c r="IF43" s="394"/>
      <c r="IG43" s="395"/>
      <c r="IH43" s="396"/>
      <c r="II43" s="394"/>
      <c r="IJ43" s="395"/>
      <c r="IK43" s="397"/>
      <c r="IL43" s="405"/>
      <c r="IM43" s="398"/>
      <c r="IN43" s="398"/>
      <c r="IO43" s="393"/>
      <c r="IP43" s="394"/>
      <c r="IQ43" s="395"/>
      <c r="IR43" s="396"/>
      <c r="IS43" s="394"/>
      <c r="IT43" s="395"/>
      <c r="IU43" s="397"/>
      <c r="IV43" s="405"/>
      <c r="IW43" s="398"/>
      <c r="IX43" s="398"/>
      <c r="IY43" s="393"/>
      <c r="IZ43" s="394"/>
      <c r="JA43" s="395"/>
      <c r="JB43" s="396"/>
      <c r="JC43" s="394"/>
      <c r="JD43" s="395"/>
      <c r="JE43" s="397"/>
      <c r="JF43" s="405"/>
      <c r="JG43" s="398"/>
      <c r="JH43" s="398"/>
      <c r="JI43" s="494"/>
      <c r="JJ43" s="479"/>
      <c r="JK43" s="479"/>
      <c r="JL43" s="479"/>
      <c r="JM43" s="474"/>
      <c r="JN43" s="474">
        <f t="shared" si="74"/>
        <v>0</v>
      </c>
      <c r="JO43" s="475"/>
      <c r="JP43" s="393"/>
      <c r="JQ43" s="394"/>
      <c r="JR43" s="395"/>
      <c r="JS43" s="396"/>
      <c r="JT43" s="394"/>
      <c r="JU43" s="395"/>
      <c r="JV43" s="397"/>
      <c r="JW43" s="405"/>
      <c r="JX43" s="398"/>
      <c r="JY43" s="398"/>
      <c r="JZ43" s="577">
        <f t="shared" si="417"/>
        <v>600</v>
      </c>
      <c r="KA43" s="412">
        <f t="shared" si="461"/>
        <v>284</v>
      </c>
      <c r="KB43" s="412">
        <f t="shared" si="461"/>
        <v>316</v>
      </c>
      <c r="KC43" s="412">
        <f t="shared" si="462"/>
        <v>284</v>
      </c>
      <c r="KD43" s="412">
        <f t="shared" si="462"/>
        <v>316</v>
      </c>
      <c r="KE43" s="412">
        <f t="shared" si="463"/>
        <v>0</v>
      </c>
      <c r="KF43" s="693">
        <f t="shared" si="463"/>
        <v>0</v>
      </c>
      <c r="KG43" s="687">
        <f t="shared" si="75"/>
        <v>600</v>
      </c>
      <c r="KH43" s="680">
        <v>600</v>
      </c>
      <c r="KI43" s="680">
        <f t="shared" si="434"/>
        <v>0</v>
      </c>
      <c r="KJ43" s="681">
        <f t="shared" si="435"/>
        <v>1</v>
      </c>
      <c r="KK43" s="359">
        <f t="shared" si="464"/>
        <v>0</v>
      </c>
      <c r="KL43" s="359"/>
      <c r="KM43" s="359"/>
      <c r="KN43" s="359"/>
      <c r="KO43" s="359"/>
      <c r="KP43" s="359"/>
      <c r="KQ43" s="359"/>
    </row>
    <row r="44" spans="1:303" ht="36" customHeight="1" x14ac:dyDescent="0.3">
      <c r="A44" s="498"/>
      <c r="B44" s="440" t="s">
        <v>151</v>
      </c>
      <c r="C44" s="391"/>
      <c r="D44" s="392"/>
      <c r="E44" s="393"/>
      <c r="F44" s="394"/>
      <c r="G44" s="395"/>
      <c r="H44" s="396"/>
      <c r="I44" s="394"/>
      <c r="J44" s="395"/>
      <c r="K44" s="397"/>
      <c r="L44" s="398"/>
      <c r="M44" s="398"/>
      <c r="N44" s="399"/>
      <c r="O44" s="393"/>
      <c r="P44" s="394"/>
      <c r="Q44" s="400"/>
      <c r="R44" s="396"/>
      <c r="S44" s="394"/>
      <c r="T44" s="400"/>
      <c r="U44" s="397"/>
      <c r="V44" s="398"/>
      <c r="W44" s="398"/>
      <c r="X44" s="399"/>
      <c r="Y44" s="393"/>
      <c r="Z44" s="394"/>
      <c r="AA44" s="400"/>
      <c r="AB44" s="396"/>
      <c r="AC44" s="394"/>
      <c r="AD44" s="400"/>
      <c r="AE44" s="397"/>
      <c r="AF44" s="405"/>
      <c r="AG44" s="398"/>
      <c r="AH44" s="403"/>
      <c r="AI44" s="393"/>
      <c r="AJ44" s="394"/>
      <c r="AK44" s="395"/>
      <c r="AL44" s="396"/>
      <c r="AM44" s="394"/>
      <c r="AN44" s="395"/>
      <c r="AO44" s="397"/>
      <c r="AP44" s="398"/>
      <c r="AQ44" s="398"/>
      <c r="AR44" s="404"/>
      <c r="AS44" s="486"/>
      <c r="AT44" s="487"/>
      <c r="AU44" s="487"/>
      <c r="AV44" s="487"/>
      <c r="AW44" s="478"/>
      <c r="AX44" s="479"/>
      <c r="AY44" s="537"/>
      <c r="AZ44" s="547"/>
      <c r="BA44" s="547"/>
      <c r="BB44" s="547"/>
      <c r="BC44" s="547"/>
      <c r="BD44" s="393"/>
      <c r="BE44" s="394"/>
      <c r="BF44" s="395"/>
      <c r="BG44" s="396"/>
      <c r="BH44" s="394"/>
      <c r="BI44" s="395"/>
      <c r="BJ44" s="397"/>
      <c r="BK44" s="398"/>
      <c r="BL44" s="405"/>
      <c r="BM44" s="398"/>
      <c r="BN44" s="393"/>
      <c r="BO44" s="394"/>
      <c r="BP44" s="395"/>
      <c r="BQ44" s="396"/>
      <c r="BR44" s="394"/>
      <c r="BS44" s="395"/>
      <c r="BT44" s="397"/>
      <c r="BU44" s="405"/>
      <c r="BV44" s="398"/>
      <c r="BW44" s="398"/>
      <c r="BX44" s="626"/>
      <c r="BY44" s="626"/>
      <c r="BZ44" s="626"/>
      <c r="CA44" s="626"/>
      <c r="CB44" s="625"/>
      <c r="CC44" s="393"/>
      <c r="CD44" s="394"/>
      <c r="CE44" s="395"/>
      <c r="CF44" s="396"/>
      <c r="CG44" s="394"/>
      <c r="CH44" s="395"/>
      <c r="CI44" s="397"/>
      <c r="CJ44" s="398"/>
      <c r="CK44" s="398"/>
      <c r="CL44" s="414"/>
      <c r="CM44" s="393"/>
      <c r="CN44" s="394"/>
      <c r="CO44" s="395"/>
      <c r="CP44" s="396"/>
      <c r="CQ44" s="394"/>
      <c r="CR44" s="395"/>
      <c r="CS44" s="397"/>
      <c r="CT44" s="398"/>
      <c r="CU44" s="405"/>
      <c r="CV44" s="405"/>
      <c r="CW44" s="492"/>
      <c r="CX44" s="487"/>
      <c r="CY44" s="487"/>
      <c r="CZ44" s="487"/>
      <c r="DA44" s="474"/>
      <c r="DB44" s="474"/>
      <c r="DC44" s="475"/>
      <c r="DD44" s="547"/>
      <c r="DE44" s="547"/>
      <c r="DF44" s="547"/>
      <c r="DG44" s="547"/>
      <c r="DH44" s="576"/>
      <c r="DI44" s="393"/>
      <c r="DJ44" s="394"/>
      <c r="DK44" s="395"/>
      <c r="DL44" s="396"/>
      <c r="DM44" s="394"/>
      <c r="DN44" s="395"/>
      <c r="DO44" s="397"/>
      <c r="DP44" s="405"/>
      <c r="DQ44" s="398"/>
      <c r="DR44" s="398"/>
      <c r="DS44" s="393"/>
      <c r="DT44" s="394"/>
      <c r="DU44" s="395"/>
      <c r="DV44" s="396"/>
      <c r="DW44" s="394"/>
      <c r="DX44" s="395"/>
      <c r="DY44" s="397"/>
      <c r="DZ44" s="405"/>
      <c r="EA44" s="398"/>
      <c r="EB44" s="398"/>
      <c r="EC44" s="393"/>
      <c r="ED44" s="394"/>
      <c r="EE44" s="395"/>
      <c r="EF44" s="396"/>
      <c r="EG44" s="394"/>
      <c r="EH44" s="395"/>
      <c r="EI44" s="397"/>
      <c r="EJ44" s="405"/>
      <c r="EK44" s="398"/>
      <c r="EL44" s="398"/>
      <c r="EM44" s="393"/>
      <c r="EN44" s="394"/>
      <c r="EO44" s="395"/>
      <c r="EP44" s="396"/>
      <c r="EQ44" s="394"/>
      <c r="ER44" s="395"/>
      <c r="ES44" s="397"/>
      <c r="ET44" s="405"/>
      <c r="EU44" s="398"/>
      <c r="EV44" s="398"/>
      <c r="EW44" s="492"/>
      <c r="EX44" s="487"/>
      <c r="EY44" s="487"/>
      <c r="EZ44" s="487"/>
      <c r="FA44" s="474"/>
      <c r="FB44" s="474"/>
      <c r="FC44" s="475"/>
      <c r="FD44" s="547"/>
      <c r="FE44" s="547"/>
      <c r="FF44" s="547"/>
      <c r="FG44" s="547"/>
      <c r="FH44" s="577"/>
      <c r="FI44" s="577"/>
      <c r="FJ44" s="577"/>
      <c r="FK44" s="577"/>
      <c r="FL44" s="577"/>
      <c r="FM44" s="577"/>
      <c r="FN44" s="393"/>
      <c r="FO44" s="394"/>
      <c r="FP44" s="395"/>
      <c r="FQ44" s="396"/>
      <c r="FR44" s="394"/>
      <c r="FS44" s="395"/>
      <c r="FT44" s="397"/>
      <c r="FU44" s="405"/>
      <c r="FV44" s="398"/>
      <c r="FW44" s="398"/>
      <c r="FX44" s="393"/>
      <c r="FY44" s="394"/>
      <c r="FZ44" s="395"/>
      <c r="GA44" s="396"/>
      <c r="GB44" s="394"/>
      <c r="GC44" s="395"/>
      <c r="GD44" s="397"/>
      <c r="GE44" s="405"/>
      <c r="GF44" s="398"/>
      <c r="GG44" s="398"/>
      <c r="GH44" s="393"/>
      <c r="GI44" s="394"/>
      <c r="GJ44" s="395"/>
      <c r="GK44" s="396"/>
      <c r="GL44" s="394"/>
      <c r="GM44" s="395"/>
      <c r="GN44" s="397"/>
      <c r="GO44" s="405"/>
      <c r="GP44" s="398"/>
      <c r="GQ44" s="398"/>
      <c r="GR44" s="650"/>
      <c r="GS44" s="650"/>
      <c r="GT44" s="650"/>
      <c r="GU44" s="650"/>
      <c r="GV44" s="650"/>
      <c r="GW44" s="650"/>
      <c r="GX44" s="393"/>
      <c r="GY44" s="394"/>
      <c r="GZ44" s="395"/>
      <c r="HA44" s="396"/>
      <c r="HB44" s="394"/>
      <c r="HC44" s="395"/>
      <c r="HD44" s="397"/>
      <c r="HE44" s="405"/>
      <c r="HF44" s="398"/>
      <c r="HG44" s="398"/>
      <c r="HH44" s="492"/>
      <c r="HI44" s="487"/>
      <c r="HJ44" s="487"/>
      <c r="HK44" s="487"/>
      <c r="HL44" s="487"/>
      <c r="HM44" s="487"/>
      <c r="HN44" s="474"/>
      <c r="HO44" s="474"/>
      <c r="HP44" s="475"/>
      <c r="HQ44" s="547"/>
      <c r="HR44" s="547"/>
      <c r="HS44" s="547"/>
      <c r="HT44" s="547"/>
      <c r="HU44" s="393">
        <v>101</v>
      </c>
      <c r="HV44" s="394">
        <v>99</v>
      </c>
      <c r="HW44" s="395">
        <f t="shared" si="69"/>
        <v>200</v>
      </c>
      <c r="HX44" s="396">
        <v>0</v>
      </c>
      <c r="HY44" s="394">
        <v>0</v>
      </c>
      <c r="HZ44" s="395">
        <f t="shared" si="70"/>
        <v>0</v>
      </c>
      <c r="IA44" s="397"/>
      <c r="IB44" s="405"/>
      <c r="IC44" s="398"/>
      <c r="ID44" s="398"/>
      <c r="IE44" s="393"/>
      <c r="IF44" s="394"/>
      <c r="IG44" s="395"/>
      <c r="IH44" s="396"/>
      <c r="II44" s="394"/>
      <c r="IJ44" s="395"/>
      <c r="IK44" s="397"/>
      <c r="IL44" s="405"/>
      <c r="IM44" s="398"/>
      <c r="IN44" s="398"/>
      <c r="IO44" s="393"/>
      <c r="IP44" s="394"/>
      <c r="IQ44" s="395"/>
      <c r="IR44" s="396"/>
      <c r="IS44" s="394"/>
      <c r="IT44" s="395"/>
      <c r="IU44" s="397"/>
      <c r="IV44" s="405"/>
      <c r="IW44" s="398"/>
      <c r="IX44" s="398"/>
      <c r="IY44" s="393"/>
      <c r="IZ44" s="394"/>
      <c r="JA44" s="395"/>
      <c r="JB44" s="396"/>
      <c r="JC44" s="394"/>
      <c r="JD44" s="395"/>
      <c r="JE44" s="397"/>
      <c r="JF44" s="405"/>
      <c r="JG44" s="398"/>
      <c r="JH44" s="398"/>
      <c r="JI44" s="494"/>
      <c r="JJ44" s="479"/>
      <c r="JK44" s="479"/>
      <c r="JL44" s="479"/>
      <c r="JM44" s="474"/>
      <c r="JN44" s="474"/>
      <c r="JO44" s="475"/>
      <c r="JP44" s="393"/>
      <c r="JQ44" s="394"/>
      <c r="JR44" s="395"/>
      <c r="JS44" s="396"/>
      <c r="JT44" s="394"/>
      <c r="JU44" s="395"/>
      <c r="JV44" s="397"/>
      <c r="JW44" s="405"/>
      <c r="JX44" s="398"/>
      <c r="JY44" s="398"/>
      <c r="JZ44" s="577"/>
      <c r="KA44" s="412"/>
      <c r="KB44" s="412"/>
      <c r="KC44" s="412"/>
      <c r="KD44" s="412"/>
      <c r="KE44" s="412"/>
      <c r="KF44" s="693"/>
      <c r="KG44" s="687"/>
      <c r="KH44" s="680"/>
      <c r="KI44" s="680"/>
      <c r="KJ44" s="681"/>
      <c r="KK44" s="359"/>
      <c r="KL44" s="359"/>
      <c r="KM44" s="359"/>
      <c r="KN44" s="359"/>
      <c r="KO44" s="359"/>
      <c r="KP44" s="359"/>
      <c r="KQ44" s="359"/>
    </row>
    <row r="45" spans="1:303" ht="36" customHeight="1" x14ac:dyDescent="0.3">
      <c r="A45" s="498"/>
      <c r="B45" s="440" t="s">
        <v>152</v>
      </c>
      <c r="C45" s="391"/>
      <c r="D45" s="392"/>
      <c r="E45" s="393"/>
      <c r="F45" s="394"/>
      <c r="G45" s="395"/>
      <c r="H45" s="396"/>
      <c r="I45" s="394"/>
      <c r="J45" s="395"/>
      <c r="K45" s="397"/>
      <c r="L45" s="398"/>
      <c r="M45" s="398"/>
      <c r="N45" s="399"/>
      <c r="O45" s="393"/>
      <c r="P45" s="394"/>
      <c r="Q45" s="400"/>
      <c r="R45" s="396"/>
      <c r="S45" s="394"/>
      <c r="T45" s="400"/>
      <c r="U45" s="397"/>
      <c r="V45" s="398"/>
      <c r="W45" s="398"/>
      <c r="X45" s="399"/>
      <c r="Y45" s="393"/>
      <c r="Z45" s="394"/>
      <c r="AA45" s="400"/>
      <c r="AB45" s="396"/>
      <c r="AC45" s="394"/>
      <c r="AD45" s="400"/>
      <c r="AE45" s="397"/>
      <c r="AF45" s="405"/>
      <c r="AG45" s="398"/>
      <c r="AH45" s="403"/>
      <c r="AI45" s="393"/>
      <c r="AJ45" s="394"/>
      <c r="AK45" s="395"/>
      <c r="AL45" s="396"/>
      <c r="AM45" s="394"/>
      <c r="AN45" s="395"/>
      <c r="AO45" s="397"/>
      <c r="AP45" s="398"/>
      <c r="AQ45" s="398"/>
      <c r="AR45" s="404"/>
      <c r="AS45" s="486"/>
      <c r="AT45" s="487"/>
      <c r="AU45" s="487"/>
      <c r="AV45" s="487"/>
      <c r="AW45" s="478"/>
      <c r="AX45" s="479"/>
      <c r="AY45" s="537"/>
      <c r="AZ45" s="547">
        <f t="shared" si="418"/>
        <v>0</v>
      </c>
      <c r="BA45" s="547">
        <f t="shared" si="419"/>
        <v>0</v>
      </c>
      <c r="BB45" s="547">
        <f t="shared" si="420"/>
        <v>0</v>
      </c>
      <c r="BC45" s="547">
        <f t="shared" si="421"/>
        <v>0</v>
      </c>
      <c r="BD45" s="393"/>
      <c r="BE45" s="394"/>
      <c r="BF45" s="395"/>
      <c r="BG45" s="396"/>
      <c r="BH45" s="394"/>
      <c r="BI45" s="395"/>
      <c r="BJ45" s="397"/>
      <c r="BK45" s="398"/>
      <c r="BL45" s="405"/>
      <c r="BM45" s="398"/>
      <c r="BN45" s="393"/>
      <c r="BO45" s="394"/>
      <c r="BP45" s="395"/>
      <c r="BQ45" s="396"/>
      <c r="BR45" s="394"/>
      <c r="BS45" s="395"/>
      <c r="BT45" s="397"/>
      <c r="BU45" s="405"/>
      <c r="BV45" s="398"/>
      <c r="BW45" s="398"/>
      <c r="BX45" s="626">
        <f t="shared" si="16"/>
        <v>0</v>
      </c>
      <c r="BY45" s="626">
        <f t="shared" si="17"/>
        <v>0</v>
      </c>
      <c r="BZ45" s="626">
        <f t="shared" si="18"/>
        <v>0</v>
      </c>
      <c r="CA45" s="626">
        <f t="shared" si="19"/>
        <v>0</v>
      </c>
      <c r="CB45" s="625">
        <f t="shared" si="20"/>
        <v>0</v>
      </c>
      <c r="CC45" s="393"/>
      <c r="CD45" s="394"/>
      <c r="CE45" s="395"/>
      <c r="CF45" s="396"/>
      <c r="CG45" s="394"/>
      <c r="CH45" s="395"/>
      <c r="CI45" s="397"/>
      <c r="CJ45" s="398"/>
      <c r="CK45" s="398"/>
      <c r="CL45" s="414"/>
      <c r="CM45" s="393"/>
      <c r="CN45" s="394"/>
      <c r="CO45" s="395"/>
      <c r="CP45" s="396"/>
      <c r="CQ45" s="394"/>
      <c r="CR45" s="395"/>
      <c r="CS45" s="397"/>
      <c r="CT45" s="398"/>
      <c r="CU45" s="405"/>
      <c r="CV45" s="405"/>
      <c r="CW45" s="492"/>
      <c r="CX45" s="487"/>
      <c r="CY45" s="487"/>
      <c r="CZ45" s="487"/>
      <c r="DA45" s="474"/>
      <c r="DB45" s="474"/>
      <c r="DC45" s="475"/>
      <c r="DD45" s="547">
        <f t="shared" si="21"/>
        <v>0</v>
      </c>
      <c r="DE45" s="547">
        <f t="shared" si="22"/>
        <v>0</v>
      </c>
      <c r="DF45" s="547">
        <f t="shared" si="23"/>
        <v>0</v>
      </c>
      <c r="DG45" s="547">
        <f t="shared" si="24"/>
        <v>0</v>
      </c>
      <c r="DH45" s="576">
        <f t="shared" si="25"/>
        <v>0</v>
      </c>
      <c r="DI45" s="393"/>
      <c r="DJ45" s="394"/>
      <c r="DK45" s="395"/>
      <c r="DL45" s="396"/>
      <c r="DM45" s="394"/>
      <c r="DN45" s="395"/>
      <c r="DO45" s="397"/>
      <c r="DP45" s="405"/>
      <c r="DQ45" s="398"/>
      <c r="DR45" s="398"/>
      <c r="DS45" s="393"/>
      <c r="DT45" s="394"/>
      <c r="DU45" s="395"/>
      <c r="DV45" s="396"/>
      <c r="DW45" s="394"/>
      <c r="DX45" s="395"/>
      <c r="DY45" s="397"/>
      <c r="DZ45" s="405"/>
      <c r="EA45" s="398"/>
      <c r="EB45" s="398"/>
      <c r="EC45" s="393">
        <v>1</v>
      </c>
      <c r="ED45" s="394">
        <v>2</v>
      </c>
      <c r="EE45" s="395">
        <f>SUM(EC45:ED45)</f>
        <v>3</v>
      </c>
      <c r="EF45" s="396">
        <v>0</v>
      </c>
      <c r="EG45" s="394">
        <v>0</v>
      </c>
      <c r="EH45" s="395">
        <f>SUM(EF45:EG45)</f>
        <v>0</v>
      </c>
      <c r="EI45" s="397">
        <f>SUM(EC45+EF45)</f>
        <v>1</v>
      </c>
      <c r="EJ45" s="405">
        <f>SUM(ED45+EG45)</f>
        <v>2</v>
      </c>
      <c r="EK45" s="398">
        <f>SUM(EI45:EJ45)</f>
        <v>3</v>
      </c>
      <c r="EL45" s="398"/>
      <c r="EM45" s="393"/>
      <c r="EN45" s="394"/>
      <c r="EO45" s="395"/>
      <c r="EP45" s="396"/>
      <c r="EQ45" s="394"/>
      <c r="ER45" s="395"/>
      <c r="ES45" s="397"/>
      <c r="ET45" s="405"/>
      <c r="EU45" s="398"/>
      <c r="EV45" s="398"/>
      <c r="EW45" s="492"/>
      <c r="EX45" s="487"/>
      <c r="EY45" s="487"/>
      <c r="EZ45" s="487"/>
      <c r="FA45" s="474"/>
      <c r="FB45" s="474"/>
      <c r="FC45" s="475"/>
      <c r="FD45" s="547">
        <f t="shared" si="31"/>
        <v>1</v>
      </c>
      <c r="FE45" s="547">
        <f t="shared" si="32"/>
        <v>2</v>
      </c>
      <c r="FF45" s="547">
        <f t="shared" si="33"/>
        <v>0</v>
      </c>
      <c r="FG45" s="547">
        <f t="shared" si="34"/>
        <v>0</v>
      </c>
      <c r="FH45" s="577">
        <f t="shared" si="35"/>
        <v>1</v>
      </c>
      <c r="FI45" s="577">
        <f t="shared" si="36"/>
        <v>2</v>
      </c>
      <c r="FJ45" s="577">
        <f t="shared" si="37"/>
        <v>3</v>
      </c>
      <c r="FK45" s="577">
        <f t="shared" si="38"/>
        <v>0</v>
      </c>
      <c r="FL45" s="577">
        <f t="shared" si="39"/>
        <v>0</v>
      </c>
      <c r="FM45" s="577">
        <f t="shared" si="40"/>
        <v>0</v>
      </c>
      <c r="FN45" s="393"/>
      <c r="FO45" s="394"/>
      <c r="FP45" s="395"/>
      <c r="FQ45" s="396"/>
      <c r="FR45" s="394"/>
      <c r="FS45" s="395"/>
      <c r="FT45" s="397">
        <f t="shared" si="458"/>
        <v>0</v>
      </c>
      <c r="FU45" s="405">
        <f t="shared" si="459"/>
        <v>0</v>
      </c>
      <c r="FV45" s="398">
        <f t="shared" si="460"/>
        <v>0</v>
      </c>
      <c r="FW45" s="398"/>
      <c r="FX45" s="393"/>
      <c r="FY45" s="394"/>
      <c r="FZ45" s="395"/>
      <c r="GA45" s="396"/>
      <c r="GB45" s="394"/>
      <c r="GC45" s="395"/>
      <c r="GD45" s="397">
        <f t="shared" si="41"/>
        <v>0</v>
      </c>
      <c r="GE45" s="405">
        <f t="shared" si="42"/>
        <v>0</v>
      </c>
      <c r="GF45" s="398">
        <f t="shared" si="43"/>
        <v>0</v>
      </c>
      <c r="GG45" s="398"/>
      <c r="GH45" s="393"/>
      <c r="GI45" s="394"/>
      <c r="GJ45" s="395"/>
      <c r="GK45" s="396"/>
      <c r="GL45" s="394"/>
      <c r="GM45" s="395"/>
      <c r="GN45" s="397">
        <f t="shared" si="453"/>
        <v>0</v>
      </c>
      <c r="GO45" s="405">
        <f t="shared" si="454"/>
        <v>0</v>
      </c>
      <c r="GP45" s="398">
        <f t="shared" si="455"/>
        <v>0</v>
      </c>
      <c r="GQ45" s="398"/>
      <c r="GR45" s="650">
        <f t="shared" si="47"/>
        <v>1</v>
      </c>
      <c r="GS45" s="650">
        <f t="shared" si="48"/>
        <v>2</v>
      </c>
      <c r="GT45" s="650">
        <f t="shared" si="49"/>
        <v>1</v>
      </c>
      <c r="GU45" s="650">
        <f t="shared" si="50"/>
        <v>2</v>
      </c>
      <c r="GV45" s="650">
        <f t="shared" si="51"/>
        <v>0</v>
      </c>
      <c r="GW45" s="650">
        <f t="shared" si="52"/>
        <v>0</v>
      </c>
      <c r="GX45" s="393"/>
      <c r="GY45" s="394"/>
      <c r="GZ45" s="395">
        <f t="shared" si="53"/>
        <v>0</v>
      </c>
      <c r="HA45" s="396"/>
      <c r="HB45" s="394"/>
      <c r="HC45" s="395">
        <f t="shared" si="54"/>
        <v>0</v>
      </c>
      <c r="HD45" s="397">
        <f t="shared" si="55"/>
        <v>0</v>
      </c>
      <c r="HE45" s="405">
        <f t="shared" si="56"/>
        <v>0</v>
      </c>
      <c r="HF45" s="398">
        <f t="shared" si="57"/>
        <v>0</v>
      </c>
      <c r="HG45" s="398"/>
      <c r="HH45" s="492">
        <f t="shared" si="58"/>
        <v>0</v>
      </c>
      <c r="HI45" s="487">
        <f t="shared" si="59"/>
        <v>0</v>
      </c>
      <c r="HJ45" s="487">
        <f t="shared" si="60"/>
        <v>0</v>
      </c>
      <c r="HK45" s="487">
        <f t="shared" si="61"/>
        <v>0</v>
      </c>
      <c r="HL45" s="487">
        <f t="shared" si="62"/>
        <v>0</v>
      </c>
      <c r="HM45" s="487">
        <f t="shared" si="63"/>
        <v>0</v>
      </c>
      <c r="HN45" s="474"/>
      <c r="HO45" s="474">
        <f t="shared" si="64"/>
        <v>0</v>
      </c>
      <c r="HP45" s="475"/>
      <c r="HQ45" s="547">
        <f t="shared" si="426"/>
        <v>0</v>
      </c>
      <c r="HR45" s="547">
        <f t="shared" si="427"/>
        <v>0</v>
      </c>
      <c r="HS45" s="547">
        <f t="shared" si="428"/>
        <v>0</v>
      </c>
      <c r="HT45" s="547">
        <f t="shared" si="429"/>
        <v>0</v>
      </c>
      <c r="HU45" s="393"/>
      <c r="HV45" s="394"/>
      <c r="HW45" s="395">
        <f t="shared" si="69"/>
        <v>0</v>
      </c>
      <c r="HX45" s="396"/>
      <c r="HY45" s="394"/>
      <c r="HZ45" s="395">
        <f t="shared" si="70"/>
        <v>0</v>
      </c>
      <c r="IA45" s="397">
        <f t="shared" si="71"/>
        <v>0</v>
      </c>
      <c r="IB45" s="405">
        <f t="shared" si="72"/>
        <v>0</v>
      </c>
      <c r="IC45" s="398">
        <f t="shared" si="73"/>
        <v>0</v>
      </c>
      <c r="ID45" s="398"/>
      <c r="IE45" s="393"/>
      <c r="IF45" s="394"/>
      <c r="IG45" s="395"/>
      <c r="IH45" s="396"/>
      <c r="II45" s="394"/>
      <c r="IJ45" s="395"/>
      <c r="IK45" s="397"/>
      <c r="IL45" s="405"/>
      <c r="IM45" s="398"/>
      <c r="IN45" s="398"/>
      <c r="IO45" s="393"/>
      <c r="IP45" s="394"/>
      <c r="IQ45" s="395"/>
      <c r="IR45" s="396"/>
      <c r="IS45" s="394"/>
      <c r="IT45" s="395"/>
      <c r="IU45" s="397"/>
      <c r="IV45" s="405"/>
      <c r="IW45" s="398"/>
      <c r="IX45" s="398"/>
      <c r="IY45" s="393"/>
      <c r="IZ45" s="394"/>
      <c r="JA45" s="395"/>
      <c r="JB45" s="396"/>
      <c r="JC45" s="394"/>
      <c r="JD45" s="395"/>
      <c r="JE45" s="397"/>
      <c r="JF45" s="405"/>
      <c r="JG45" s="398"/>
      <c r="JH45" s="398"/>
      <c r="JI45" s="494"/>
      <c r="JJ45" s="479"/>
      <c r="JK45" s="479"/>
      <c r="JL45" s="479"/>
      <c r="JM45" s="474"/>
      <c r="JN45" s="474">
        <f t="shared" si="74"/>
        <v>0</v>
      </c>
      <c r="JO45" s="475"/>
      <c r="JP45" s="393"/>
      <c r="JQ45" s="394"/>
      <c r="JR45" s="395"/>
      <c r="JS45" s="396"/>
      <c r="JT45" s="394"/>
      <c r="JU45" s="395"/>
      <c r="JV45" s="397"/>
      <c r="JW45" s="405"/>
      <c r="JX45" s="398"/>
      <c r="JY45" s="398"/>
      <c r="JZ45" s="577">
        <f t="shared" ref="JZ45:JZ59" si="466">JX45+JN45+HO45+FB45</f>
        <v>0</v>
      </c>
      <c r="KA45" s="412"/>
      <c r="KB45" s="412"/>
      <c r="KC45" s="412"/>
      <c r="KD45" s="412"/>
      <c r="KE45" s="412"/>
      <c r="KF45" s="693"/>
      <c r="KG45" s="687"/>
      <c r="KH45" s="680"/>
      <c r="KI45" s="680"/>
      <c r="KJ45" s="681"/>
      <c r="KK45" s="359"/>
      <c r="KL45" s="359"/>
      <c r="KM45" s="359"/>
      <c r="KN45" s="359"/>
      <c r="KO45" s="359"/>
      <c r="KP45" s="359"/>
      <c r="KQ45" s="359"/>
    </row>
    <row r="46" spans="1:303" ht="36" customHeight="1" x14ac:dyDescent="0.3">
      <c r="A46" s="498"/>
      <c r="B46" s="440"/>
      <c r="C46" s="391"/>
      <c r="D46" s="392"/>
      <c r="E46" s="393"/>
      <c r="F46" s="394"/>
      <c r="G46" s="395"/>
      <c r="H46" s="396"/>
      <c r="I46" s="394"/>
      <c r="J46" s="395"/>
      <c r="K46" s="397"/>
      <c r="L46" s="398"/>
      <c r="M46" s="398"/>
      <c r="N46" s="399"/>
      <c r="O46" s="393"/>
      <c r="P46" s="394"/>
      <c r="Q46" s="400"/>
      <c r="R46" s="396"/>
      <c r="S46" s="394"/>
      <c r="T46" s="400"/>
      <c r="U46" s="397"/>
      <c r="V46" s="398"/>
      <c r="W46" s="398"/>
      <c r="X46" s="399"/>
      <c r="Y46" s="393"/>
      <c r="Z46" s="394"/>
      <c r="AA46" s="400"/>
      <c r="AB46" s="396"/>
      <c r="AC46" s="394"/>
      <c r="AD46" s="400"/>
      <c r="AE46" s="397"/>
      <c r="AF46" s="405"/>
      <c r="AG46" s="398"/>
      <c r="AH46" s="403"/>
      <c r="AI46" s="393"/>
      <c r="AJ46" s="394"/>
      <c r="AK46" s="395"/>
      <c r="AL46" s="396"/>
      <c r="AM46" s="394"/>
      <c r="AN46" s="395"/>
      <c r="AO46" s="397"/>
      <c r="AP46" s="398"/>
      <c r="AQ46" s="398"/>
      <c r="AR46" s="404"/>
      <c r="AS46" s="549">
        <v>0</v>
      </c>
      <c r="AT46" s="550"/>
      <c r="AU46" s="550"/>
      <c r="AV46" s="550"/>
      <c r="AW46" s="551"/>
      <c r="AX46" s="552"/>
      <c r="AY46" s="553"/>
      <c r="AZ46" s="548">
        <f>AZ39+AZ34</f>
        <v>149</v>
      </c>
      <c r="BA46" s="548">
        <f>BA39+BA34</f>
        <v>111</v>
      </c>
      <c r="BB46" s="548"/>
      <c r="BC46" s="548"/>
      <c r="BD46" s="393"/>
      <c r="BE46" s="394"/>
      <c r="BF46" s="395"/>
      <c r="BG46" s="396"/>
      <c r="BH46" s="394"/>
      <c r="BI46" s="395"/>
      <c r="BJ46" s="397"/>
      <c r="BK46" s="398"/>
      <c r="BL46" s="405"/>
      <c r="BM46" s="398"/>
      <c r="BN46" s="393"/>
      <c r="BO46" s="394"/>
      <c r="BP46" s="395"/>
      <c r="BQ46" s="396"/>
      <c r="BR46" s="394"/>
      <c r="BS46" s="395"/>
      <c r="BT46" s="397"/>
      <c r="BU46" s="405"/>
      <c r="BV46" s="398"/>
      <c r="BW46" s="398"/>
      <c r="BX46" s="626">
        <f t="shared" si="16"/>
        <v>0</v>
      </c>
      <c r="BY46" s="626">
        <f t="shared" si="17"/>
        <v>0</v>
      </c>
      <c r="BZ46" s="626">
        <f t="shared" si="18"/>
        <v>0</v>
      </c>
      <c r="CA46" s="626">
        <f t="shared" si="19"/>
        <v>0</v>
      </c>
      <c r="CB46" s="625">
        <f t="shared" si="20"/>
        <v>0</v>
      </c>
      <c r="CC46" s="393"/>
      <c r="CD46" s="394"/>
      <c r="CE46" s="395"/>
      <c r="CF46" s="396"/>
      <c r="CG46" s="394"/>
      <c r="CH46" s="395"/>
      <c r="CI46" s="397"/>
      <c r="CJ46" s="398"/>
      <c r="CK46" s="398"/>
      <c r="CL46" s="414"/>
      <c r="CM46" s="393"/>
      <c r="CN46" s="394"/>
      <c r="CO46" s="395"/>
      <c r="CP46" s="396"/>
      <c r="CQ46" s="394"/>
      <c r="CR46" s="395"/>
      <c r="CS46" s="397"/>
      <c r="CT46" s="398"/>
      <c r="CU46" s="405"/>
      <c r="CV46" s="405"/>
      <c r="CW46" s="492"/>
      <c r="CX46" s="487"/>
      <c r="CY46" s="487"/>
      <c r="CZ46" s="487"/>
      <c r="DA46" s="474"/>
      <c r="DB46" s="474"/>
      <c r="DC46" s="475"/>
      <c r="DD46" s="548">
        <v>0</v>
      </c>
      <c r="DE46" s="548">
        <v>0</v>
      </c>
      <c r="DF46" s="548">
        <v>0</v>
      </c>
      <c r="DG46" s="548">
        <v>0</v>
      </c>
      <c r="DH46" s="576">
        <f t="shared" si="25"/>
        <v>0</v>
      </c>
      <c r="DI46" s="393"/>
      <c r="DJ46" s="394"/>
      <c r="DK46" s="395"/>
      <c r="DL46" s="396"/>
      <c r="DM46" s="394"/>
      <c r="DN46" s="395"/>
      <c r="DO46" s="397"/>
      <c r="DP46" s="405"/>
      <c r="DQ46" s="398"/>
      <c r="DR46" s="398"/>
      <c r="DS46" s="393"/>
      <c r="DT46" s="394"/>
      <c r="DU46" s="395"/>
      <c r="DV46" s="396"/>
      <c r="DW46" s="394"/>
      <c r="DX46" s="395"/>
      <c r="DY46" s="397"/>
      <c r="DZ46" s="405"/>
      <c r="EA46" s="398"/>
      <c r="EB46" s="398"/>
      <c r="EC46" s="393"/>
      <c r="ED46" s="394"/>
      <c r="EE46" s="395"/>
      <c r="EF46" s="396"/>
      <c r="EG46" s="394"/>
      <c r="EH46" s="395"/>
      <c r="EI46" s="397"/>
      <c r="EJ46" s="405"/>
      <c r="EK46" s="398"/>
      <c r="EL46" s="398"/>
      <c r="EM46" s="393"/>
      <c r="EN46" s="394"/>
      <c r="EO46" s="395"/>
      <c r="EP46" s="396"/>
      <c r="EQ46" s="394"/>
      <c r="ER46" s="395"/>
      <c r="ES46" s="397"/>
      <c r="ET46" s="405"/>
      <c r="EU46" s="398"/>
      <c r="EV46" s="398"/>
      <c r="EW46" s="492"/>
      <c r="EX46" s="487"/>
      <c r="EY46" s="487"/>
      <c r="EZ46" s="487"/>
      <c r="FA46" s="474"/>
      <c r="FB46" s="474"/>
      <c r="FC46" s="555" t="s">
        <v>130</v>
      </c>
      <c r="FD46" s="547">
        <f t="shared" si="31"/>
        <v>0</v>
      </c>
      <c r="FE46" s="547">
        <f t="shared" si="32"/>
        <v>0</v>
      </c>
      <c r="FF46" s="547">
        <f t="shared" si="33"/>
        <v>0</v>
      </c>
      <c r="FG46" s="547">
        <f t="shared" si="34"/>
        <v>0</v>
      </c>
      <c r="FH46" s="577">
        <f t="shared" si="35"/>
        <v>0</v>
      </c>
      <c r="FI46" s="577">
        <f t="shared" si="36"/>
        <v>0</v>
      </c>
      <c r="FJ46" s="577">
        <f t="shared" si="37"/>
        <v>0</v>
      </c>
      <c r="FK46" s="577">
        <f t="shared" si="38"/>
        <v>0</v>
      </c>
      <c r="FL46" s="577">
        <f t="shared" si="39"/>
        <v>0</v>
      </c>
      <c r="FM46" s="577">
        <f t="shared" si="40"/>
        <v>0</v>
      </c>
      <c r="FN46" s="393"/>
      <c r="FO46" s="394"/>
      <c r="FP46" s="395"/>
      <c r="FQ46" s="396"/>
      <c r="FR46" s="394"/>
      <c r="FS46" s="395"/>
      <c r="FT46" s="397">
        <f t="shared" si="458"/>
        <v>0</v>
      </c>
      <c r="FU46" s="405">
        <f t="shared" si="459"/>
        <v>0</v>
      </c>
      <c r="FV46" s="398">
        <f t="shared" si="460"/>
        <v>0</v>
      </c>
      <c r="FW46" s="398"/>
      <c r="FX46" s="393"/>
      <c r="FY46" s="394"/>
      <c r="FZ46" s="395"/>
      <c r="GA46" s="396"/>
      <c r="GB46" s="394"/>
      <c r="GC46" s="395"/>
      <c r="GD46" s="397">
        <f t="shared" si="41"/>
        <v>0</v>
      </c>
      <c r="GE46" s="405">
        <f t="shared" si="42"/>
        <v>0</v>
      </c>
      <c r="GF46" s="398">
        <f t="shared" si="43"/>
        <v>0</v>
      </c>
      <c r="GG46" s="398"/>
      <c r="GH46" s="393"/>
      <c r="GI46" s="394"/>
      <c r="GJ46" s="395"/>
      <c r="GK46" s="396"/>
      <c r="GL46" s="394"/>
      <c r="GM46" s="395"/>
      <c r="GN46" s="397">
        <f t="shared" si="453"/>
        <v>0</v>
      </c>
      <c r="GO46" s="405">
        <f t="shared" si="454"/>
        <v>0</v>
      </c>
      <c r="GP46" s="398">
        <f t="shared" si="455"/>
        <v>0</v>
      </c>
      <c r="GQ46" s="398"/>
      <c r="GR46" s="650">
        <f t="shared" si="47"/>
        <v>0</v>
      </c>
      <c r="GS46" s="650">
        <f t="shared" si="48"/>
        <v>0</v>
      </c>
      <c r="GT46" s="650">
        <f t="shared" si="49"/>
        <v>0</v>
      </c>
      <c r="GU46" s="650">
        <f t="shared" si="50"/>
        <v>0</v>
      </c>
      <c r="GV46" s="650">
        <f t="shared" si="51"/>
        <v>0</v>
      </c>
      <c r="GW46" s="650">
        <f t="shared" si="52"/>
        <v>0</v>
      </c>
      <c r="GX46" s="393"/>
      <c r="GY46" s="394"/>
      <c r="GZ46" s="395">
        <f t="shared" si="53"/>
        <v>0</v>
      </c>
      <c r="HA46" s="396"/>
      <c r="HB46" s="394"/>
      <c r="HC46" s="395">
        <f t="shared" si="54"/>
        <v>0</v>
      </c>
      <c r="HD46" s="397">
        <f t="shared" si="55"/>
        <v>0</v>
      </c>
      <c r="HE46" s="405">
        <f t="shared" si="56"/>
        <v>0</v>
      </c>
      <c r="HF46" s="398">
        <f t="shared" si="57"/>
        <v>0</v>
      </c>
      <c r="HG46" s="398"/>
      <c r="HH46" s="492">
        <f t="shared" si="58"/>
        <v>0</v>
      </c>
      <c r="HI46" s="487">
        <f t="shared" si="59"/>
        <v>0</v>
      </c>
      <c r="HJ46" s="487">
        <f t="shared" si="60"/>
        <v>0</v>
      </c>
      <c r="HK46" s="487">
        <f t="shared" si="61"/>
        <v>0</v>
      </c>
      <c r="HL46" s="487">
        <f t="shared" si="62"/>
        <v>0</v>
      </c>
      <c r="HM46" s="487">
        <f t="shared" si="63"/>
        <v>0</v>
      </c>
      <c r="HN46" s="474"/>
      <c r="HO46" s="474">
        <f t="shared" si="64"/>
        <v>0</v>
      </c>
      <c r="HP46" s="475"/>
      <c r="HQ46" s="548">
        <f>HQ43+HQ42+HQ41+HQ34</f>
        <v>228</v>
      </c>
      <c r="HR46" s="548">
        <f t="shared" ref="HR46:HT46" si="467">HR43+HR42+HR41+HR34</f>
        <v>260</v>
      </c>
      <c r="HS46" s="548">
        <f t="shared" si="467"/>
        <v>0</v>
      </c>
      <c r="HT46" s="548">
        <f t="shared" si="467"/>
        <v>0</v>
      </c>
      <c r="HU46" s="393"/>
      <c r="HV46" s="394"/>
      <c r="HW46" s="395">
        <f t="shared" si="69"/>
        <v>0</v>
      </c>
      <c r="HX46" s="396"/>
      <c r="HY46" s="394"/>
      <c r="HZ46" s="395">
        <f t="shared" si="70"/>
        <v>0</v>
      </c>
      <c r="IA46" s="397">
        <f t="shared" si="71"/>
        <v>0</v>
      </c>
      <c r="IB46" s="405">
        <f t="shared" si="72"/>
        <v>0</v>
      </c>
      <c r="IC46" s="398">
        <f t="shared" si="73"/>
        <v>0</v>
      </c>
      <c r="ID46" s="398"/>
      <c r="IE46" s="393"/>
      <c r="IF46" s="394"/>
      <c r="IG46" s="395"/>
      <c r="IH46" s="396"/>
      <c r="II46" s="394"/>
      <c r="IJ46" s="395"/>
      <c r="IK46" s="397"/>
      <c r="IL46" s="405"/>
      <c r="IM46" s="398"/>
      <c r="IN46" s="398"/>
      <c r="IO46" s="393"/>
      <c r="IP46" s="394"/>
      <c r="IQ46" s="395"/>
      <c r="IR46" s="396"/>
      <c r="IS46" s="394"/>
      <c r="IT46" s="395"/>
      <c r="IU46" s="397"/>
      <c r="IV46" s="405"/>
      <c r="IW46" s="398"/>
      <c r="IX46" s="398"/>
      <c r="IY46" s="393"/>
      <c r="IZ46" s="394"/>
      <c r="JA46" s="395"/>
      <c r="JB46" s="396"/>
      <c r="JC46" s="394"/>
      <c r="JD46" s="395"/>
      <c r="JE46" s="397"/>
      <c r="JF46" s="405"/>
      <c r="JG46" s="398"/>
      <c r="JH46" s="398"/>
      <c r="JI46" s="494"/>
      <c r="JJ46" s="479"/>
      <c r="JK46" s="479"/>
      <c r="JL46" s="479"/>
      <c r="JM46" s="474"/>
      <c r="JN46" s="474">
        <f t="shared" si="74"/>
        <v>0</v>
      </c>
      <c r="JO46" s="475"/>
      <c r="JP46" s="393"/>
      <c r="JQ46" s="394"/>
      <c r="JR46" s="395"/>
      <c r="JS46" s="396"/>
      <c r="JT46" s="394"/>
      <c r="JU46" s="395"/>
      <c r="JV46" s="397"/>
      <c r="JW46" s="405"/>
      <c r="JX46" s="398"/>
      <c r="JY46" s="398"/>
      <c r="JZ46" s="577">
        <f t="shared" si="466"/>
        <v>0</v>
      </c>
      <c r="KA46" s="412"/>
      <c r="KB46" s="412"/>
      <c r="KC46" s="412"/>
      <c r="KD46" s="412"/>
      <c r="KE46" s="412"/>
      <c r="KF46" s="693"/>
      <c r="KG46" s="687"/>
      <c r="KH46" s="680"/>
      <c r="KI46" s="680"/>
      <c r="KJ46" s="681"/>
      <c r="KK46" s="359"/>
      <c r="KL46" s="359"/>
      <c r="KM46" s="359"/>
      <c r="KN46" s="359"/>
      <c r="KO46" s="359"/>
      <c r="KP46" s="359"/>
      <c r="KQ46" s="359"/>
    </row>
    <row r="47" spans="1:303" ht="40.5" customHeight="1" x14ac:dyDescent="0.3">
      <c r="A47" s="789" t="s">
        <v>153</v>
      </c>
      <c r="B47" s="339" t="s">
        <v>41</v>
      </c>
      <c r="C47" s="391" t="s">
        <v>130</v>
      </c>
      <c r="D47" s="392">
        <v>10</v>
      </c>
      <c r="E47" s="393"/>
      <c r="F47" s="394"/>
      <c r="G47" s="395"/>
      <c r="H47" s="396"/>
      <c r="I47" s="394"/>
      <c r="J47" s="395"/>
      <c r="K47" s="397"/>
      <c r="L47" s="398"/>
      <c r="M47" s="398"/>
      <c r="N47" s="399"/>
      <c r="O47" s="393"/>
      <c r="P47" s="394"/>
      <c r="Q47" s="400"/>
      <c r="R47" s="396"/>
      <c r="S47" s="394"/>
      <c r="T47" s="400"/>
      <c r="U47" s="397"/>
      <c r="V47" s="398"/>
      <c r="W47" s="398"/>
      <c r="X47" s="399"/>
      <c r="Y47" s="393"/>
      <c r="Z47" s="394"/>
      <c r="AA47" s="400"/>
      <c r="AB47" s="396"/>
      <c r="AC47" s="394"/>
      <c r="AD47" s="400"/>
      <c r="AE47" s="397"/>
      <c r="AF47" s="405"/>
      <c r="AG47" s="398"/>
      <c r="AH47" s="403"/>
      <c r="AI47" s="393"/>
      <c r="AJ47" s="394"/>
      <c r="AK47" s="395"/>
      <c r="AL47" s="396"/>
      <c r="AM47" s="394"/>
      <c r="AN47" s="395"/>
      <c r="AO47" s="397"/>
      <c r="AP47" s="398"/>
      <c r="AQ47" s="398"/>
      <c r="AR47" s="404"/>
      <c r="AS47" s="486">
        <f t="shared" si="7"/>
        <v>0</v>
      </c>
      <c r="AT47" s="487">
        <f t="shared" si="8"/>
        <v>0</v>
      </c>
      <c r="AU47" s="487">
        <f t="shared" si="9"/>
        <v>0</v>
      </c>
      <c r="AV47" s="487">
        <f t="shared" si="10"/>
        <v>0</v>
      </c>
      <c r="AW47" s="478"/>
      <c r="AX47" s="479">
        <f t="shared" si="11"/>
        <v>0</v>
      </c>
      <c r="AY47" s="537" t="e">
        <f>AX47/AW47</f>
        <v>#DIV/0!</v>
      </c>
      <c r="AZ47" s="547">
        <f t="shared" si="418"/>
        <v>0</v>
      </c>
      <c r="BA47" s="547">
        <f t="shared" si="419"/>
        <v>0</v>
      </c>
      <c r="BB47" s="547">
        <f t="shared" si="420"/>
        <v>0</v>
      </c>
      <c r="BC47" s="547">
        <f t="shared" si="421"/>
        <v>0</v>
      </c>
      <c r="BD47" s="393"/>
      <c r="BE47" s="394"/>
      <c r="BF47" s="395"/>
      <c r="BG47" s="396"/>
      <c r="BH47" s="394"/>
      <c r="BI47" s="395"/>
      <c r="BJ47" s="397"/>
      <c r="BK47" s="398"/>
      <c r="BL47" s="405"/>
      <c r="BM47" s="398"/>
      <c r="BN47" s="393"/>
      <c r="BO47" s="394"/>
      <c r="BP47" s="395"/>
      <c r="BQ47" s="396"/>
      <c r="BR47" s="394"/>
      <c r="BS47" s="395"/>
      <c r="BT47" s="397"/>
      <c r="BU47" s="405"/>
      <c r="BV47" s="398"/>
      <c r="BW47" s="398"/>
      <c r="BX47" s="626">
        <f t="shared" si="16"/>
        <v>0</v>
      </c>
      <c r="BY47" s="626">
        <f t="shared" si="17"/>
        <v>0</v>
      </c>
      <c r="BZ47" s="626">
        <f t="shared" si="18"/>
        <v>0</v>
      </c>
      <c r="CA47" s="626">
        <f t="shared" si="19"/>
        <v>0</v>
      </c>
      <c r="CB47" s="625">
        <f t="shared" si="20"/>
        <v>0</v>
      </c>
      <c r="CC47" s="393">
        <v>0</v>
      </c>
      <c r="CD47" s="394">
        <v>0</v>
      </c>
      <c r="CE47" s="395">
        <f>SUM(CC47:CD47)</f>
        <v>0</v>
      </c>
      <c r="CF47" s="396">
        <v>0</v>
      </c>
      <c r="CG47" s="394">
        <v>0</v>
      </c>
      <c r="CH47" s="395">
        <f>SUM(CF47:CG47)</f>
        <v>0</v>
      </c>
      <c r="CI47" s="397">
        <f>SUM(CC47+CF47)</f>
        <v>0</v>
      </c>
      <c r="CJ47" s="398">
        <f>SUM(CD47+CG47)</f>
        <v>0</v>
      </c>
      <c r="CK47" s="398">
        <f>SUM(CI47:CJ47)</f>
        <v>0</v>
      </c>
      <c r="CL47" s="414"/>
      <c r="CM47" s="393"/>
      <c r="CN47" s="394"/>
      <c r="CO47" s="395"/>
      <c r="CP47" s="396"/>
      <c r="CQ47" s="394"/>
      <c r="CR47" s="395"/>
      <c r="CS47" s="397"/>
      <c r="CT47" s="398"/>
      <c r="CU47" s="405"/>
      <c r="CV47" s="405"/>
      <c r="CW47" s="492">
        <f t="shared" ref="CW47:CY48" si="468">SUM(CS47+CI47+BT47+BJ47)</f>
        <v>0</v>
      </c>
      <c r="CX47" s="487">
        <f t="shared" si="468"/>
        <v>0</v>
      </c>
      <c r="CY47" s="487">
        <f t="shared" si="468"/>
        <v>0</v>
      </c>
      <c r="CZ47" s="487">
        <f>SUM(CR47+CH47+BS47+BI47)</f>
        <v>0</v>
      </c>
      <c r="DA47" s="474"/>
      <c r="DB47" s="474">
        <f>SUM(CW47:CX47)</f>
        <v>0</v>
      </c>
      <c r="DC47" s="475"/>
      <c r="DD47" s="547">
        <f t="shared" si="21"/>
        <v>0</v>
      </c>
      <c r="DE47" s="547">
        <f t="shared" si="22"/>
        <v>0</v>
      </c>
      <c r="DF47" s="547">
        <f t="shared" si="23"/>
        <v>0</v>
      </c>
      <c r="DG47" s="547">
        <f t="shared" si="24"/>
        <v>0</v>
      </c>
      <c r="DH47" s="576">
        <f t="shared" si="25"/>
        <v>0</v>
      </c>
      <c r="DI47" s="393">
        <v>7</v>
      </c>
      <c r="DJ47" s="394"/>
      <c r="DK47" s="395">
        <f>SUM(DI47:DJ47)</f>
        <v>7</v>
      </c>
      <c r="DL47" s="396">
        <v>0</v>
      </c>
      <c r="DM47" s="394">
        <v>0</v>
      </c>
      <c r="DN47" s="395">
        <f>SUM(DL47:DM47)</f>
        <v>0</v>
      </c>
      <c r="DO47" s="397">
        <f>SUM(DI47+DL47)</f>
        <v>7</v>
      </c>
      <c r="DP47" s="405">
        <f>SUM(DJ47+DM47)</f>
        <v>0</v>
      </c>
      <c r="DQ47" s="398">
        <f>SUM(DO47:DP47)</f>
        <v>7</v>
      </c>
      <c r="DR47" s="398"/>
      <c r="DS47" s="393">
        <v>8</v>
      </c>
      <c r="DT47" s="394"/>
      <c r="DU47" s="395">
        <f t="shared" si="76"/>
        <v>8</v>
      </c>
      <c r="DV47" s="396"/>
      <c r="DW47" s="394"/>
      <c r="DX47" s="395">
        <f t="shared" si="77"/>
        <v>0</v>
      </c>
      <c r="DY47" s="397">
        <f t="shared" si="78"/>
        <v>8</v>
      </c>
      <c r="DZ47" s="405">
        <f t="shared" si="79"/>
        <v>0</v>
      </c>
      <c r="EA47" s="398">
        <f t="shared" si="80"/>
        <v>8</v>
      </c>
      <c r="EB47" s="398"/>
      <c r="EC47" s="393">
        <v>2</v>
      </c>
      <c r="ED47" s="394">
        <v>3</v>
      </c>
      <c r="EE47" s="395">
        <f>SUM(EC47:ED47)</f>
        <v>5</v>
      </c>
      <c r="EF47" s="396">
        <v>0</v>
      </c>
      <c r="EG47" s="394">
        <v>0</v>
      </c>
      <c r="EH47" s="395">
        <f>SUM(EF47:EG47)</f>
        <v>0</v>
      </c>
      <c r="EI47" s="397">
        <f t="shared" ref="EI47:EJ50" si="469">SUM(EC47+EF47)</f>
        <v>2</v>
      </c>
      <c r="EJ47" s="405">
        <f t="shared" si="469"/>
        <v>3</v>
      </c>
      <c r="EK47" s="398">
        <f>SUM(EI47:EJ47)</f>
        <v>5</v>
      </c>
      <c r="EL47" s="398"/>
      <c r="EM47" s="393">
        <v>9</v>
      </c>
      <c r="EN47" s="394">
        <v>5</v>
      </c>
      <c r="EO47" s="395">
        <f>SUM(EM47:EN47)</f>
        <v>14</v>
      </c>
      <c r="EP47" s="396">
        <v>0</v>
      </c>
      <c r="EQ47" s="394">
        <v>0</v>
      </c>
      <c r="ER47" s="395">
        <v>0</v>
      </c>
      <c r="ES47" s="397">
        <f>SUM(EM47+EP47)</f>
        <v>9</v>
      </c>
      <c r="ET47" s="405">
        <f>SUM(EN47+EQ47)</f>
        <v>5</v>
      </c>
      <c r="EU47" s="398">
        <f>SUM(ES47:ET47)</f>
        <v>14</v>
      </c>
      <c r="EV47" s="398"/>
      <c r="EW47" s="492">
        <f t="shared" si="26"/>
        <v>26</v>
      </c>
      <c r="EX47" s="487">
        <f t="shared" si="27"/>
        <v>8</v>
      </c>
      <c r="EY47" s="487">
        <f t="shared" si="28"/>
        <v>34</v>
      </c>
      <c r="EZ47" s="487">
        <f t="shared" si="29"/>
        <v>0</v>
      </c>
      <c r="FA47" s="474"/>
      <c r="FB47" s="474">
        <f t="shared" si="30"/>
        <v>34</v>
      </c>
      <c r="FC47" s="475"/>
      <c r="FD47" s="547">
        <f t="shared" si="31"/>
        <v>26</v>
      </c>
      <c r="FE47" s="547">
        <f t="shared" si="32"/>
        <v>8</v>
      </c>
      <c r="FF47" s="547">
        <f t="shared" si="33"/>
        <v>0</v>
      </c>
      <c r="FG47" s="547">
        <f t="shared" si="34"/>
        <v>0</v>
      </c>
      <c r="FH47" s="577">
        <f t="shared" si="35"/>
        <v>26</v>
      </c>
      <c r="FI47" s="577">
        <f t="shared" si="36"/>
        <v>8</v>
      </c>
      <c r="FJ47" s="577">
        <f t="shared" si="37"/>
        <v>34</v>
      </c>
      <c r="FK47" s="577">
        <f t="shared" si="38"/>
        <v>26</v>
      </c>
      <c r="FL47" s="577">
        <f t="shared" si="39"/>
        <v>8</v>
      </c>
      <c r="FM47" s="577">
        <f t="shared" si="40"/>
        <v>34</v>
      </c>
      <c r="FN47" s="393">
        <v>0</v>
      </c>
      <c r="FO47" s="394">
        <v>0</v>
      </c>
      <c r="FP47" s="395">
        <f>FN47+FO47</f>
        <v>0</v>
      </c>
      <c r="FQ47" s="396">
        <v>0</v>
      </c>
      <c r="FR47" s="394">
        <v>0</v>
      </c>
      <c r="FS47" s="395">
        <f>FQ47+FR47</f>
        <v>0</v>
      </c>
      <c r="FT47" s="397">
        <f t="shared" si="458"/>
        <v>0</v>
      </c>
      <c r="FU47" s="405">
        <f t="shared" si="459"/>
        <v>0</v>
      </c>
      <c r="FV47" s="398">
        <f t="shared" si="460"/>
        <v>0</v>
      </c>
      <c r="FW47" s="398"/>
      <c r="FX47" s="393">
        <v>2</v>
      </c>
      <c r="FY47" s="394">
        <v>0</v>
      </c>
      <c r="FZ47" s="395">
        <f>FX47+FY47</f>
        <v>2</v>
      </c>
      <c r="GA47" s="396">
        <v>0</v>
      </c>
      <c r="GB47" s="394">
        <v>0</v>
      </c>
      <c r="GC47" s="395">
        <f>GA47+GB47</f>
        <v>0</v>
      </c>
      <c r="GD47" s="397">
        <f t="shared" si="41"/>
        <v>2</v>
      </c>
      <c r="GE47" s="405">
        <f t="shared" si="42"/>
        <v>0</v>
      </c>
      <c r="GF47" s="398">
        <f t="shared" si="43"/>
        <v>2</v>
      </c>
      <c r="GG47" s="398"/>
      <c r="GH47" s="393">
        <v>0</v>
      </c>
      <c r="GI47" s="394">
        <v>4</v>
      </c>
      <c r="GJ47" s="395">
        <f>GH47+GI47</f>
        <v>4</v>
      </c>
      <c r="GK47" s="396">
        <v>0</v>
      </c>
      <c r="GL47" s="394">
        <v>0</v>
      </c>
      <c r="GM47" s="395">
        <f>GK47+GL47</f>
        <v>0</v>
      </c>
      <c r="GN47" s="397">
        <f t="shared" si="453"/>
        <v>0</v>
      </c>
      <c r="GO47" s="405">
        <f t="shared" si="454"/>
        <v>4</v>
      </c>
      <c r="GP47" s="398">
        <f t="shared" si="455"/>
        <v>4</v>
      </c>
      <c r="GQ47" s="398"/>
      <c r="GR47" s="650">
        <f t="shared" si="47"/>
        <v>28</v>
      </c>
      <c r="GS47" s="650">
        <f t="shared" si="48"/>
        <v>12</v>
      </c>
      <c r="GT47" s="650">
        <f t="shared" si="49"/>
        <v>28</v>
      </c>
      <c r="GU47" s="650">
        <f t="shared" si="50"/>
        <v>12</v>
      </c>
      <c r="GV47" s="650">
        <f t="shared" si="51"/>
        <v>0</v>
      </c>
      <c r="GW47" s="650">
        <f t="shared" si="52"/>
        <v>0</v>
      </c>
      <c r="GX47" s="393">
        <v>1</v>
      </c>
      <c r="GY47" s="394">
        <v>2</v>
      </c>
      <c r="GZ47" s="395">
        <f t="shared" si="53"/>
        <v>3</v>
      </c>
      <c r="HA47" s="396">
        <v>0</v>
      </c>
      <c r="HB47" s="394">
        <v>0</v>
      </c>
      <c r="HC47" s="395">
        <f t="shared" si="54"/>
        <v>0</v>
      </c>
      <c r="HD47" s="397">
        <f t="shared" si="55"/>
        <v>1</v>
      </c>
      <c r="HE47" s="405">
        <f t="shared" si="56"/>
        <v>2</v>
      </c>
      <c r="HF47" s="398">
        <f t="shared" si="57"/>
        <v>3</v>
      </c>
      <c r="HG47" s="398"/>
      <c r="HH47" s="492">
        <f t="shared" si="58"/>
        <v>3</v>
      </c>
      <c r="HI47" s="487">
        <f t="shared" si="59"/>
        <v>6</v>
      </c>
      <c r="HJ47" s="487">
        <f t="shared" si="60"/>
        <v>3</v>
      </c>
      <c r="HK47" s="487">
        <f t="shared" si="61"/>
        <v>6</v>
      </c>
      <c r="HL47" s="487">
        <f t="shared" si="62"/>
        <v>0</v>
      </c>
      <c r="HM47" s="487">
        <f t="shared" si="63"/>
        <v>0</v>
      </c>
      <c r="HN47" s="474"/>
      <c r="HO47" s="474">
        <f t="shared" si="64"/>
        <v>9</v>
      </c>
      <c r="HP47" s="475"/>
      <c r="HQ47" s="547">
        <f t="shared" ref="HQ47:HQ59" si="470">FN47+FX47+GH47+GX47</f>
        <v>3</v>
      </c>
      <c r="HR47" s="547">
        <f t="shared" ref="HR47:HR59" si="471">FO47+FY47+GI47+GY47</f>
        <v>6</v>
      </c>
      <c r="HS47" s="547">
        <f t="shared" ref="HS47:HS59" si="472">FQ47+GA47+GK47+HA47</f>
        <v>0</v>
      </c>
      <c r="HT47" s="547">
        <f t="shared" ref="HT47:HT59" si="473">FR47+GB47+GL47+HB47</f>
        <v>0</v>
      </c>
      <c r="HU47" s="393">
        <v>3</v>
      </c>
      <c r="HV47" s="394">
        <v>6</v>
      </c>
      <c r="HW47" s="395">
        <f t="shared" si="69"/>
        <v>9</v>
      </c>
      <c r="HX47" s="396">
        <v>9</v>
      </c>
      <c r="HY47" s="394">
        <v>9</v>
      </c>
      <c r="HZ47" s="395">
        <f t="shared" si="70"/>
        <v>18</v>
      </c>
      <c r="IA47" s="397">
        <f t="shared" si="71"/>
        <v>12</v>
      </c>
      <c r="IB47" s="405">
        <f t="shared" si="72"/>
        <v>15</v>
      </c>
      <c r="IC47" s="398">
        <f t="shared" si="73"/>
        <v>27</v>
      </c>
      <c r="ID47" s="398"/>
      <c r="IE47" s="393"/>
      <c r="IF47" s="394"/>
      <c r="IG47" s="395"/>
      <c r="IH47" s="396"/>
      <c r="II47" s="394"/>
      <c r="IJ47" s="395"/>
      <c r="IK47" s="397"/>
      <c r="IL47" s="405"/>
      <c r="IM47" s="398"/>
      <c r="IN47" s="398"/>
      <c r="IO47" s="393"/>
      <c r="IP47" s="394"/>
      <c r="IQ47" s="395"/>
      <c r="IR47" s="396"/>
      <c r="IS47" s="394"/>
      <c r="IT47" s="395"/>
      <c r="IU47" s="397"/>
      <c r="IV47" s="405"/>
      <c r="IW47" s="398"/>
      <c r="IX47" s="398"/>
      <c r="IY47" s="393"/>
      <c r="IZ47" s="394"/>
      <c r="JA47" s="395"/>
      <c r="JB47" s="396"/>
      <c r="JC47" s="394"/>
      <c r="JD47" s="395"/>
      <c r="JE47" s="397"/>
      <c r="JF47" s="405"/>
      <c r="JG47" s="398"/>
      <c r="JH47" s="398"/>
      <c r="JI47" s="494"/>
      <c r="JJ47" s="479"/>
      <c r="JK47" s="479"/>
      <c r="JL47" s="479"/>
      <c r="JM47" s="474"/>
      <c r="JN47" s="474">
        <f t="shared" si="74"/>
        <v>27</v>
      </c>
      <c r="JO47" s="475"/>
      <c r="JP47" s="393"/>
      <c r="JQ47" s="394"/>
      <c r="JR47" s="395"/>
      <c r="JS47" s="396"/>
      <c r="JT47" s="394"/>
      <c r="JU47" s="395"/>
      <c r="JV47" s="397"/>
      <c r="JW47" s="405"/>
      <c r="JX47" s="398"/>
      <c r="JY47" s="398"/>
      <c r="JZ47" s="577">
        <f t="shared" si="466"/>
        <v>70</v>
      </c>
      <c r="KA47" s="412">
        <f t="shared" ref="KA47:KB51" si="474">SUM(JV47+JE47+IU47+IK47+IA47+HD47+GN47+GD47+FT47+ES47+EI47+DY47+DO47+CS47+CI47+BT47+BJ47+AO47+AE47+U47+K47)</f>
        <v>41</v>
      </c>
      <c r="KB47" s="412">
        <f t="shared" si="474"/>
        <v>29</v>
      </c>
      <c r="KC47" s="412">
        <f t="shared" ref="KC47:KD51" si="475">SUM(JP47+IY47+IO47+IE47+HU47+GX47+GH47+FX47+FN47+EM47+EC47+DS47+DI47+CM47+CC47+BN47+BD47+AI47+Y47+O47+E47)</f>
        <v>32</v>
      </c>
      <c r="KD47" s="412">
        <f t="shared" si="475"/>
        <v>20</v>
      </c>
      <c r="KE47" s="412">
        <f t="shared" ref="KE47:KF51" si="476">SUM(JS47+JB47+IR47+IH47+HX47+HA47+GK47+GA47+FQ47+EP47+EF47+DV47+DL47+CP47+CF47+BQ47+BG47+AL47+AB47+R47+H47)</f>
        <v>9</v>
      </c>
      <c r="KF47" s="693">
        <f t="shared" si="476"/>
        <v>9</v>
      </c>
      <c r="KG47" s="687">
        <f t="shared" si="75"/>
        <v>70</v>
      </c>
      <c r="KH47" s="680">
        <v>10</v>
      </c>
      <c r="KI47" s="680">
        <f>KH47-KG47</f>
        <v>-60</v>
      </c>
      <c r="KJ47" s="681">
        <f>KG47/KH47</f>
        <v>7</v>
      </c>
      <c r="KK47" s="359">
        <f t="shared" si="464"/>
        <v>-6</v>
      </c>
      <c r="KL47" s="359"/>
      <c r="KM47" s="359"/>
      <c r="KN47" s="359"/>
      <c r="KO47" s="359"/>
      <c r="KP47" s="359"/>
      <c r="KQ47" s="359"/>
    </row>
    <row r="48" spans="1:303" ht="36" customHeight="1" x14ac:dyDescent="0.3">
      <c r="A48" s="790"/>
      <c r="B48" s="339" t="s">
        <v>42</v>
      </c>
      <c r="C48" s="391" t="s">
        <v>131</v>
      </c>
      <c r="D48" s="392"/>
      <c r="E48" s="393"/>
      <c r="F48" s="394"/>
      <c r="G48" s="395"/>
      <c r="H48" s="396"/>
      <c r="I48" s="394"/>
      <c r="J48" s="395"/>
      <c r="K48" s="397"/>
      <c r="L48" s="398"/>
      <c r="M48" s="398"/>
      <c r="N48" s="399"/>
      <c r="O48" s="393"/>
      <c r="P48" s="394"/>
      <c r="Q48" s="400"/>
      <c r="R48" s="396"/>
      <c r="S48" s="394"/>
      <c r="T48" s="400"/>
      <c r="U48" s="397"/>
      <c r="V48" s="398"/>
      <c r="W48" s="398"/>
      <c r="X48" s="399"/>
      <c r="Y48" s="393"/>
      <c r="Z48" s="394"/>
      <c r="AA48" s="400"/>
      <c r="AB48" s="396"/>
      <c r="AC48" s="394"/>
      <c r="AD48" s="400"/>
      <c r="AE48" s="397"/>
      <c r="AF48" s="405"/>
      <c r="AG48" s="398"/>
      <c r="AH48" s="403"/>
      <c r="AI48" s="393"/>
      <c r="AJ48" s="394"/>
      <c r="AK48" s="395"/>
      <c r="AL48" s="396"/>
      <c r="AM48" s="394"/>
      <c r="AN48" s="395"/>
      <c r="AO48" s="397"/>
      <c r="AP48" s="398"/>
      <c r="AQ48" s="398"/>
      <c r="AR48" s="404"/>
      <c r="AS48" s="486">
        <f t="shared" si="7"/>
        <v>0</v>
      </c>
      <c r="AT48" s="487">
        <f t="shared" si="8"/>
        <v>0</v>
      </c>
      <c r="AU48" s="487">
        <f t="shared" si="9"/>
        <v>0</v>
      </c>
      <c r="AV48" s="487">
        <f t="shared" si="10"/>
        <v>0</v>
      </c>
      <c r="AW48" s="478"/>
      <c r="AX48" s="479">
        <f t="shared" si="11"/>
        <v>0</v>
      </c>
      <c r="AY48" s="537"/>
      <c r="AZ48" s="547">
        <f t="shared" si="418"/>
        <v>0</v>
      </c>
      <c r="BA48" s="547">
        <f t="shared" si="419"/>
        <v>0</v>
      </c>
      <c r="BB48" s="547">
        <f t="shared" si="420"/>
        <v>0</v>
      </c>
      <c r="BC48" s="547">
        <f t="shared" si="421"/>
        <v>0</v>
      </c>
      <c r="BD48" s="393"/>
      <c r="BE48" s="394"/>
      <c r="BF48" s="395"/>
      <c r="BG48" s="396"/>
      <c r="BH48" s="394"/>
      <c r="BI48" s="395"/>
      <c r="BJ48" s="397"/>
      <c r="BK48" s="398"/>
      <c r="BL48" s="405"/>
      <c r="BM48" s="398"/>
      <c r="BN48" s="393"/>
      <c r="BO48" s="394"/>
      <c r="BP48" s="395"/>
      <c r="BQ48" s="396"/>
      <c r="BR48" s="394"/>
      <c r="BS48" s="395"/>
      <c r="BT48" s="397"/>
      <c r="BU48" s="405"/>
      <c r="BV48" s="398"/>
      <c r="BW48" s="398"/>
      <c r="BX48" s="626">
        <f t="shared" si="16"/>
        <v>0</v>
      </c>
      <c r="BY48" s="626">
        <f t="shared" si="17"/>
        <v>0</v>
      </c>
      <c r="BZ48" s="626">
        <f t="shared" si="18"/>
        <v>0</v>
      </c>
      <c r="CA48" s="626">
        <f t="shared" si="19"/>
        <v>0</v>
      </c>
      <c r="CB48" s="625">
        <f t="shared" si="20"/>
        <v>0</v>
      </c>
      <c r="CC48" s="393"/>
      <c r="CD48" s="394"/>
      <c r="CE48" s="395"/>
      <c r="CF48" s="396"/>
      <c r="CG48" s="394"/>
      <c r="CH48" s="395"/>
      <c r="CI48" s="397"/>
      <c r="CJ48" s="398"/>
      <c r="CK48" s="398"/>
      <c r="CL48" s="414"/>
      <c r="CM48" s="393">
        <v>2</v>
      </c>
      <c r="CN48" s="394">
        <v>8</v>
      </c>
      <c r="CO48" s="395">
        <f>SUM(CM48:CN48)</f>
        <v>10</v>
      </c>
      <c r="CP48" s="396">
        <v>0</v>
      </c>
      <c r="CQ48" s="394">
        <v>0</v>
      </c>
      <c r="CR48" s="395">
        <f>SUM(CP48:CQ48)</f>
        <v>0</v>
      </c>
      <c r="CS48" s="397">
        <f>SUM(CM48+CP48)</f>
        <v>2</v>
      </c>
      <c r="CT48" s="398">
        <f>SUM(CN48+CQ48)</f>
        <v>8</v>
      </c>
      <c r="CU48" s="405">
        <f>SUM(CS48:CT48)</f>
        <v>10</v>
      </c>
      <c r="CV48" s="405"/>
      <c r="CW48" s="492">
        <f t="shared" si="468"/>
        <v>2</v>
      </c>
      <c r="CX48" s="487">
        <f t="shared" si="468"/>
        <v>8</v>
      </c>
      <c r="CY48" s="487">
        <f t="shared" si="468"/>
        <v>10</v>
      </c>
      <c r="CZ48" s="487">
        <f>SUM(CR48+CH48+BS48+BI48)</f>
        <v>0</v>
      </c>
      <c r="DA48" s="474"/>
      <c r="DB48" s="474">
        <f>CY48</f>
        <v>10</v>
      </c>
      <c r="DC48" s="475"/>
      <c r="DD48" s="547">
        <f t="shared" si="21"/>
        <v>2</v>
      </c>
      <c r="DE48" s="547">
        <f t="shared" si="22"/>
        <v>8</v>
      </c>
      <c r="DF48" s="547">
        <f t="shared" si="23"/>
        <v>0</v>
      </c>
      <c r="DG48" s="547">
        <f t="shared" si="24"/>
        <v>0</v>
      </c>
      <c r="DH48" s="576">
        <f t="shared" si="25"/>
        <v>10</v>
      </c>
      <c r="DI48" s="393">
        <v>8</v>
      </c>
      <c r="DJ48" s="394">
        <v>16</v>
      </c>
      <c r="DK48" s="395">
        <f>SUM(DI48:DJ48)</f>
        <v>24</v>
      </c>
      <c r="DL48" s="396">
        <v>0</v>
      </c>
      <c r="DM48" s="394">
        <v>0</v>
      </c>
      <c r="DN48" s="395">
        <v>0</v>
      </c>
      <c r="DO48" s="397">
        <f>DI48</f>
        <v>8</v>
      </c>
      <c r="DP48" s="405">
        <f>DJ48</f>
        <v>16</v>
      </c>
      <c r="DQ48" s="398">
        <f>SUM(DO48:DP48)</f>
        <v>24</v>
      </c>
      <c r="DR48" s="398"/>
      <c r="DS48" s="393">
        <v>17</v>
      </c>
      <c r="DT48" s="394">
        <v>30</v>
      </c>
      <c r="DU48" s="395">
        <f t="shared" si="76"/>
        <v>47</v>
      </c>
      <c r="DV48" s="396">
        <v>0</v>
      </c>
      <c r="DW48" s="394">
        <v>0</v>
      </c>
      <c r="DX48" s="395">
        <f t="shared" si="77"/>
        <v>0</v>
      </c>
      <c r="DY48" s="397">
        <f t="shared" si="78"/>
        <v>17</v>
      </c>
      <c r="DZ48" s="405">
        <f t="shared" si="79"/>
        <v>30</v>
      </c>
      <c r="EA48" s="398">
        <f t="shared" si="80"/>
        <v>47</v>
      </c>
      <c r="EB48" s="398"/>
      <c r="EC48" s="393">
        <v>17</v>
      </c>
      <c r="ED48" s="394">
        <v>34</v>
      </c>
      <c r="EE48" s="395">
        <f>SUM(EC48:ED48)</f>
        <v>51</v>
      </c>
      <c r="EF48" s="396">
        <v>0</v>
      </c>
      <c r="EG48" s="394">
        <v>0</v>
      </c>
      <c r="EH48" s="395">
        <f>SUM(EF48:EG48)</f>
        <v>0</v>
      </c>
      <c r="EI48" s="397">
        <f t="shared" si="469"/>
        <v>17</v>
      </c>
      <c r="EJ48" s="405">
        <f t="shared" si="469"/>
        <v>34</v>
      </c>
      <c r="EK48" s="398">
        <f>SUM(EI48:EJ48)</f>
        <v>51</v>
      </c>
      <c r="EL48" s="398"/>
      <c r="EM48" s="393"/>
      <c r="EN48" s="394"/>
      <c r="EO48" s="395"/>
      <c r="EP48" s="396"/>
      <c r="EQ48" s="394"/>
      <c r="ER48" s="395"/>
      <c r="ES48" s="397"/>
      <c r="ET48" s="405"/>
      <c r="EU48" s="398"/>
      <c r="EV48" s="398"/>
      <c r="EW48" s="492">
        <f t="shared" si="26"/>
        <v>42</v>
      </c>
      <c r="EX48" s="487">
        <f t="shared" si="27"/>
        <v>80</v>
      </c>
      <c r="EY48" s="487">
        <f t="shared" si="28"/>
        <v>122</v>
      </c>
      <c r="EZ48" s="487">
        <f t="shared" si="29"/>
        <v>0</v>
      </c>
      <c r="FA48" s="474"/>
      <c r="FB48" s="474">
        <f t="shared" si="30"/>
        <v>122</v>
      </c>
      <c r="FC48" s="475"/>
      <c r="FD48" s="547">
        <f t="shared" si="31"/>
        <v>44</v>
      </c>
      <c r="FE48" s="547">
        <f t="shared" si="32"/>
        <v>88</v>
      </c>
      <c r="FF48" s="547">
        <f t="shared" si="33"/>
        <v>0</v>
      </c>
      <c r="FG48" s="547">
        <f t="shared" si="34"/>
        <v>0</v>
      </c>
      <c r="FH48" s="577">
        <f t="shared" si="35"/>
        <v>44</v>
      </c>
      <c r="FI48" s="577">
        <f t="shared" si="36"/>
        <v>88</v>
      </c>
      <c r="FJ48" s="577">
        <f t="shared" si="37"/>
        <v>132</v>
      </c>
      <c r="FK48" s="577">
        <f t="shared" si="38"/>
        <v>44</v>
      </c>
      <c r="FL48" s="577">
        <f t="shared" si="39"/>
        <v>88</v>
      </c>
      <c r="FM48" s="577">
        <f t="shared" si="40"/>
        <v>132</v>
      </c>
      <c r="FN48" s="393">
        <v>0</v>
      </c>
      <c r="FO48" s="394">
        <v>3</v>
      </c>
      <c r="FP48" s="395">
        <f>FN48+FO48</f>
        <v>3</v>
      </c>
      <c r="FQ48" s="396">
        <v>0</v>
      </c>
      <c r="FR48" s="394">
        <v>0</v>
      </c>
      <c r="FS48" s="395">
        <f>FQ48+FR48</f>
        <v>0</v>
      </c>
      <c r="FT48" s="397">
        <f t="shared" si="458"/>
        <v>0</v>
      </c>
      <c r="FU48" s="405">
        <f t="shared" si="459"/>
        <v>3</v>
      </c>
      <c r="FV48" s="398">
        <f t="shared" si="460"/>
        <v>3</v>
      </c>
      <c r="FW48" s="398"/>
      <c r="FX48" s="393">
        <v>0</v>
      </c>
      <c r="FY48" s="394">
        <v>0</v>
      </c>
      <c r="FZ48" s="395">
        <f t="shared" ref="FZ48:FZ49" si="477">FX48+FY48</f>
        <v>0</v>
      </c>
      <c r="GA48" s="396">
        <v>0</v>
      </c>
      <c r="GB48" s="394">
        <v>0</v>
      </c>
      <c r="GC48" s="395">
        <f>GA48+GB48</f>
        <v>0</v>
      </c>
      <c r="GD48" s="397">
        <f t="shared" si="41"/>
        <v>0</v>
      </c>
      <c r="GE48" s="405">
        <f t="shared" si="42"/>
        <v>0</v>
      </c>
      <c r="GF48" s="398">
        <f t="shared" si="43"/>
        <v>0</v>
      </c>
      <c r="GG48" s="398"/>
      <c r="GH48" s="393"/>
      <c r="GI48" s="394"/>
      <c r="GJ48" s="395"/>
      <c r="GK48" s="396"/>
      <c r="GL48" s="394"/>
      <c r="GM48" s="395"/>
      <c r="GN48" s="397">
        <f t="shared" si="453"/>
        <v>0</v>
      </c>
      <c r="GO48" s="405">
        <f t="shared" si="454"/>
        <v>0</v>
      </c>
      <c r="GP48" s="398">
        <f t="shared" si="455"/>
        <v>0</v>
      </c>
      <c r="GQ48" s="398"/>
      <c r="GR48" s="650">
        <f t="shared" si="47"/>
        <v>44</v>
      </c>
      <c r="GS48" s="650">
        <f t="shared" si="48"/>
        <v>91</v>
      </c>
      <c r="GT48" s="650">
        <f t="shared" si="49"/>
        <v>44</v>
      </c>
      <c r="GU48" s="650">
        <f t="shared" si="50"/>
        <v>91</v>
      </c>
      <c r="GV48" s="650">
        <f t="shared" si="51"/>
        <v>0</v>
      </c>
      <c r="GW48" s="650">
        <f t="shared" si="52"/>
        <v>0</v>
      </c>
      <c r="GX48" s="393"/>
      <c r="GY48" s="394"/>
      <c r="GZ48" s="395">
        <f t="shared" si="53"/>
        <v>0</v>
      </c>
      <c r="HA48" s="396"/>
      <c r="HB48" s="394"/>
      <c r="HC48" s="395">
        <f t="shared" si="54"/>
        <v>0</v>
      </c>
      <c r="HD48" s="397">
        <f t="shared" si="55"/>
        <v>0</v>
      </c>
      <c r="HE48" s="405">
        <f t="shared" si="56"/>
        <v>0</v>
      </c>
      <c r="HF48" s="398">
        <f t="shared" si="57"/>
        <v>0</v>
      </c>
      <c r="HG48" s="398"/>
      <c r="HH48" s="492">
        <f t="shared" si="58"/>
        <v>0</v>
      </c>
      <c r="HI48" s="487">
        <f t="shared" si="59"/>
        <v>3</v>
      </c>
      <c r="HJ48" s="487">
        <f t="shared" si="60"/>
        <v>0</v>
      </c>
      <c r="HK48" s="487">
        <f t="shared" si="61"/>
        <v>3</v>
      </c>
      <c r="HL48" s="487">
        <f t="shared" si="62"/>
        <v>0</v>
      </c>
      <c r="HM48" s="487">
        <f t="shared" si="63"/>
        <v>0</v>
      </c>
      <c r="HN48" s="474"/>
      <c r="HO48" s="474">
        <f t="shared" si="64"/>
        <v>3</v>
      </c>
      <c r="HP48" s="475"/>
      <c r="HQ48" s="547">
        <f t="shared" si="470"/>
        <v>0</v>
      </c>
      <c r="HR48" s="547">
        <f t="shared" si="471"/>
        <v>3</v>
      </c>
      <c r="HS48" s="547">
        <f t="shared" si="472"/>
        <v>0</v>
      </c>
      <c r="HT48" s="547">
        <f t="shared" si="473"/>
        <v>0</v>
      </c>
      <c r="HU48" s="393"/>
      <c r="HV48" s="394"/>
      <c r="HW48" s="395">
        <f t="shared" si="69"/>
        <v>0</v>
      </c>
      <c r="HX48" s="396"/>
      <c r="HY48" s="394"/>
      <c r="HZ48" s="395">
        <f t="shared" si="70"/>
        <v>0</v>
      </c>
      <c r="IA48" s="397">
        <f t="shared" si="71"/>
        <v>0</v>
      </c>
      <c r="IB48" s="405">
        <f t="shared" si="72"/>
        <v>0</v>
      </c>
      <c r="IC48" s="398">
        <f t="shared" si="73"/>
        <v>0</v>
      </c>
      <c r="ID48" s="398"/>
      <c r="IE48" s="393"/>
      <c r="IF48" s="394"/>
      <c r="IG48" s="395"/>
      <c r="IH48" s="396"/>
      <c r="II48" s="394"/>
      <c r="IJ48" s="395"/>
      <c r="IK48" s="397"/>
      <c r="IL48" s="405"/>
      <c r="IM48" s="398"/>
      <c r="IN48" s="398"/>
      <c r="IO48" s="393"/>
      <c r="IP48" s="394"/>
      <c r="IQ48" s="395"/>
      <c r="IR48" s="396"/>
      <c r="IS48" s="394"/>
      <c r="IT48" s="395"/>
      <c r="IU48" s="397"/>
      <c r="IV48" s="405"/>
      <c r="IW48" s="398"/>
      <c r="IX48" s="398"/>
      <c r="IY48" s="393"/>
      <c r="IZ48" s="394"/>
      <c r="JA48" s="395"/>
      <c r="JB48" s="396"/>
      <c r="JC48" s="394"/>
      <c r="JD48" s="395"/>
      <c r="JE48" s="397"/>
      <c r="JF48" s="405"/>
      <c r="JG48" s="398"/>
      <c r="JH48" s="398"/>
      <c r="JI48" s="494"/>
      <c r="JJ48" s="479"/>
      <c r="JK48" s="479"/>
      <c r="JL48" s="479"/>
      <c r="JM48" s="474"/>
      <c r="JN48" s="474">
        <f t="shared" si="74"/>
        <v>0</v>
      </c>
      <c r="JO48" s="475"/>
      <c r="JP48" s="393"/>
      <c r="JQ48" s="394"/>
      <c r="JR48" s="395"/>
      <c r="JS48" s="396"/>
      <c r="JT48" s="394"/>
      <c r="JU48" s="395"/>
      <c r="JV48" s="397"/>
      <c r="JW48" s="405"/>
      <c r="JX48" s="398"/>
      <c r="JY48" s="398"/>
      <c r="JZ48" s="577">
        <f t="shared" si="466"/>
        <v>125</v>
      </c>
      <c r="KA48" s="412">
        <f t="shared" si="474"/>
        <v>44</v>
      </c>
      <c r="KB48" s="412">
        <f t="shared" si="474"/>
        <v>91</v>
      </c>
      <c r="KC48" s="412">
        <f t="shared" si="475"/>
        <v>44</v>
      </c>
      <c r="KD48" s="412">
        <f t="shared" si="475"/>
        <v>91</v>
      </c>
      <c r="KE48" s="412">
        <f t="shared" si="476"/>
        <v>0</v>
      </c>
      <c r="KF48" s="693">
        <f t="shared" si="476"/>
        <v>0</v>
      </c>
      <c r="KG48" s="687">
        <f t="shared" si="75"/>
        <v>135</v>
      </c>
      <c r="KH48" s="680"/>
      <c r="KI48" s="680"/>
      <c r="KJ48" s="681"/>
      <c r="KK48" s="359">
        <f t="shared" si="464"/>
        <v>0</v>
      </c>
      <c r="KL48" s="359"/>
      <c r="KM48" s="359"/>
      <c r="KN48" s="359"/>
      <c r="KO48" s="359"/>
      <c r="KP48" s="359"/>
      <c r="KQ48" s="359"/>
    </row>
    <row r="49" spans="1:303" ht="43.5" customHeight="1" x14ac:dyDescent="0.3">
      <c r="A49" s="791"/>
      <c r="B49" s="339" t="s">
        <v>154</v>
      </c>
      <c r="C49" s="391" t="s">
        <v>141</v>
      </c>
      <c r="D49" s="392"/>
      <c r="E49" s="393"/>
      <c r="F49" s="394"/>
      <c r="G49" s="395"/>
      <c r="H49" s="396"/>
      <c r="I49" s="394"/>
      <c r="J49" s="395"/>
      <c r="K49" s="397"/>
      <c r="L49" s="398"/>
      <c r="M49" s="398"/>
      <c r="N49" s="399"/>
      <c r="O49" s="393"/>
      <c r="P49" s="394"/>
      <c r="Q49" s="400"/>
      <c r="R49" s="396"/>
      <c r="S49" s="394"/>
      <c r="T49" s="400"/>
      <c r="U49" s="397"/>
      <c r="V49" s="398"/>
      <c r="W49" s="398"/>
      <c r="X49" s="399"/>
      <c r="Y49" s="393"/>
      <c r="Z49" s="394"/>
      <c r="AA49" s="400"/>
      <c r="AB49" s="396"/>
      <c r="AC49" s="394"/>
      <c r="AD49" s="400"/>
      <c r="AE49" s="397"/>
      <c r="AF49" s="405"/>
      <c r="AG49" s="398"/>
      <c r="AH49" s="403"/>
      <c r="AI49" s="393"/>
      <c r="AJ49" s="394"/>
      <c r="AK49" s="395"/>
      <c r="AL49" s="396"/>
      <c r="AM49" s="394"/>
      <c r="AN49" s="395"/>
      <c r="AO49" s="397"/>
      <c r="AP49" s="398"/>
      <c r="AQ49" s="398"/>
      <c r="AR49" s="404"/>
      <c r="AS49" s="486"/>
      <c r="AT49" s="487"/>
      <c r="AU49" s="487"/>
      <c r="AV49" s="487"/>
      <c r="AW49" s="478"/>
      <c r="AX49" s="479"/>
      <c r="AY49" s="537"/>
      <c r="AZ49" s="547">
        <f t="shared" si="418"/>
        <v>0</v>
      </c>
      <c r="BA49" s="547">
        <f t="shared" si="419"/>
        <v>0</v>
      </c>
      <c r="BB49" s="547">
        <f t="shared" si="420"/>
        <v>0</v>
      </c>
      <c r="BC49" s="547">
        <f t="shared" si="421"/>
        <v>0</v>
      </c>
      <c r="BD49" s="393"/>
      <c r="BE49" s="394"/>
      <c r="BF49" s="395"/>
      <c r="BG49" s="396"/>
      <c r="BH49" s="394"/>
      <c r="BI49" s="395"/>
      <c r="BJ49" s="397"/>
      <c r="BK49" s="398"/>
      <c r="BL49" s="405"/>
      <c r="BM49" s="398"/>
      <c r="BN49" s="393"/>
      <c r="BO49" s="394"/>
      <c r="BP49" s="395"/>
      <c r="BQ49" s="396"/>
      <c r="BR49" s="394"/>
      <c r="BS49" s="395"/>
      <c r="BT49" s="397"/>
      <c r="BU49" s="405"/>
      <c r="BV49" s="398"/>
      <c r="BW49" s="398"/>
      <c r="BX49" s="626">
        <f t="shared" si="16"/>
        <v>0</v>
      </c>
      <c r="BY49" s="626">
        <f t="shared" si="17"/>
        <v>0</v>
      </c>
      <c r="BZ49" s="626">
        <f t="shared" si="18"/>
        <v>0</v>
      </c>
      <c r="CA49" s="626">
        <f t="shared" si="19"/>
        <v>0</v>
      </c>
      <c r="CB49" s="625">
        <f t="shared" si="20"/>
        <v>0</v>
      </c>
      <c r="CC49" s="393"/>
      <c r="CD49" s="394"/>
      <c r="CE49" s="395"/>
      <c r="CF49" s="396"/>
      <c r="CG49" s="394"/>
      <c r="CH49" s="395"/>
      <c r="CI49" s="397"/>
      <c r="CJ49" s="398"/>
      <c r="CK49" s="398"/>
      <c r="CL49" s="414"/>
      <c r="CM49" s="393"/>
      <c r="CN49" s="394"/>
      <c r="CO49" s="395"/>
      <c r="CP49" s="396"/>
      <c r="CQ49" s="394"/>
      <c r="CR49" s="395"/>
      <c r="CS49" s="397"/>
      <c r="CT49" s="398"/>
      <c r="CU49" s="405"/>
      <c r="CV49" s="405"/>
      <c r="CW49" s="492"/>
      <c r="CX49" s="487"/>
      <c r="CY49" s="487"/>
      <c r="CZ49" s="487"/>
      <c r="DA49" s="474"/>
      <c r="DB49" s="474"/>
      <c r="DC49" s="475"/>
      <c r="DD49" s="547">
        <f t="shared" si="21"/>
        <v>0</v>
      </c>
      <c r="DE49" s="547">
        <f t="shared" si="22"/>
        <v>0</v>
      </c>
      <c r="DF49" s="547">
        <f t="shared" si="23"/>
        <v>0</v>
      </c>
      <c r="DG49" s="547">
        <f t="shared" si="24"/>
        <v>0</v>
      </c>
      <c r="DH49" s="576">
        <f t="shared" si="25"/>
        <v>0</v>
      </c>
      <c r="DI49" s="393"/>
      <c r="DJ49" s="394"/>
      <c r="DK49" s="395"/>
      <c r="DL49" s="396"/>
      <c r="DM49" s="394"/>
      <c r="DN49" s="395"/>
      <c r="DO49" s="397"/>
      <c r="DP49" s="405"/>
      <c r="DQ49" s="398"/>
      <c r="DR49" s="398"/>
      <c r="DS49" s="393">
        <v>8</v>
      </c>
      <c r="DT49" s="394">
        <v>4</v>
      </c>
      <c r="DU49" s="395"/>
      <c r="DV49" s="396">
        <v>0</v>
      </c>
      <c r="DW49" s="394">
        <v>0</v>
      </c>
      <c r="DX49" s="395"/>
      <c r="DY49" s="397">
        <f t="shared" si="78"/>
        <v>8</v>
      </c>
      <c r="DZ49" s="405">
        <f t="shared" si="79"/>
        <v>4</v>
      </c>
      <c r="EA49" s="398">
        <f t="shared" si="80"/>
        <v>12</v>
      </c>
      <c r="EB49" s="398"/>
      <c r="EC49" s="521"/>
      <c r="ED49" s="522">
        <v>0</v>
      </c>
      <c r="EE49" s="522">
        <f>SUM(EC49:ED49)</f>
        <v>0</v>
      </c>
      <c r="EF49" s="523">
        <v>0</v>
      </c>
      <c r="EG49" s="522">
        <v>0</v>
      </c>
      <c r="EH49" s="522">
        <f>SUM(EF49:EG49)</f>
        <v>0</v>
      </c>
      <c r="EI49" s="524">
        <f t="shared" si="469"/>
        <v>0</v>
      </c>
      <c r="EJ49" s="525">
        <f t="shared" si="469"/>
        <v>0</v>
      </c>
      <c r="EK49" s="526">
        <f>SUM(EI49:EJ49)</f>
        <v>0</v>
      </c>
      <c r="EL49" s="526"/>
      <c r="EM49" s="393">
        <v>16</v>
      </c>
      <c r="EN49" s="394">
        <v>2</v>
      </c>
      <c r="EO49" s="395">
        <f>SUM(EM49:EN49)</f>
        <v>18</v>
      </c>
      <c r="EP49" s="396">
        <v>0</v>
      </c>
      <c r="EQ49" s="394">
        <v>0</v>
      </c>
      <c r="ER49" s="395">
        <f>SUM(EP49:EQ49)</f>
        <v>0</v>
      </c>
      <c r="ES49" s="397">
        <f>SUM(EM49+EP49)</f>
        <v>16</v>
      </c>
      <c r="ET49" s="405">
        <f>SUM(EN49+EQ49)</f>
        <v>2</v>
      </c>
      <c r="EU49" s="398">
        <f>SUM(ES49:ET49)</f>
        <v>18</v>
      </c>
      <c r="EV49" s="398"/>
      <c r="EW49" s="492">
        <f t="shared" si="26"/>
        <v>24</v>
      </c>
      <c r="EX49" s="487">
        <f t="shared" si="27"/>
        <v>6</v>
      </c>
      <c r="EY49" s="487">
        <f t="shared" si="28"/>
        <v>18</v>
      </c>
      <c r="EZ49" s="487">
        <f t="shared" si="29"/>
        <v>0</v>
      </c>
      <c r="FA49" s="474"/>
      <c r="FB49" s="474">
        <f t="shared" si="30"/>
        <v>30</v>
      </c>
      <c r="FC49" s="475"/>
      <c r="FD49" s="547">
        <f t="shared" si="31"/>
        <v>24</v>
      </c>
      <c r="FE49" s="547">
        <f t="shared" si="32"/>
        <v>6</v>
      </c>
      <c r="FF49" s="547">
        <f t="shared" si="33"/>
        <v>0</v>
      </c>
      <c r="FG49" s="547">
        <f t="shared" si="34"/>
        <v>0</v>
      </c>
      <c r="FH49" s="577">
        <f t="shared" si="35"/>
        <v>24</v>
      </c>
      <c r="FI49" s="577">
        <f t="shared" si="36"/>
        <v>6</v>
      </c>
      <c r="FJ49" s="577">
        <f t="shared" si="37"/>
        <v>30</v>
      </c>
      <c r="FK49" s="577">
        <f t="shared" si="38"/>
        <v>24</v>
      </c>
      <c r="FL49" s="577">
        <f t="shared" si="39"/>
        <v>6</v>
      </c>
      <c r="FM49" s="577">
        <f t="shared" si="40"/>
        <v>30</v>
      </c>
      <c r="FN49" s="393"/>
      <c r="FO49" s="394"/>
      <c r="FP49" s="395"/>
      <c r="FQ49" s="396"/>
      <c r="FR49" s="394"/>
      <c r="FS49" s="395"/>
      <c r="FT49" s="397">
        <f t="shared" si="458"/>
        <v>0</v>
      </c>
      <c r="FU49" s="405">
        <f t="shared" si="459"/>
        <v>0</v>
      </c>
      <c r="FV49" s="398">
        <f t="shared" si="460"/>
        <v>0</v>
      </c>
      <c r="FW49" s="398"/>
      <c r="FX49" s="393"/>
      <c r="FY49" s="394"/>
      <c r="FZ49" s="395">
        <f t="shared" si="477"/>
        <v>0</v>
      </c>
      <c r="GA49" s="396"/>
      <c r="GB49" s="394"/>
      <c r="GC49" s="395">
        <f>GA49+GB49</f>
        <v>0</v>
      </c>
      <c r="GD49" s="397">
        <f t="shared" si="41"/>
        <v>0</v>
      </c>
      <c r="GE49" s="405">
        <f t="shared" si="42"/>
        <v>0</v>
      </c>
      <c r="GF49" s="398">
        <f t="shared" si="43"/>
        <v>0</v>
      </c>
      <c r="GG49" s="398"/>
      <c r="GH49" s="393"/>
      <c r="GI49" s="394"/>
      <c r="GJ49" s="395"/>
      <c r="GK49" s="396"/>
      <c r="GL49" s="394"/>
      <c r="GM49" s="395"/>
      <c r="GN49" s="397">
        <f t="shared" si="453"/>
        <v>0</v>
      </c>
      <c r="GO49" s="405">
        <f t="shared" si="454"/>
        <v>0</v>
      </c>
      <c r="GP49" s="398">
        <f t="shared" si="455"/>
        <v>0</v>
      </c>
      <c r="GQ49" s="398"/>
      <c r="GR49" s="650">
        <f t="shared" si="47"/>
        <v>24</v>
      </c>
      <c r="GS49" s="650">
        <f t="shared" si="48"/>
        <v>6</v>
      </c>
      <c r="GT49" s="650">
        <f t="shared" si="49"/>
        <v>24</v>
      </c>
      <c r="GU49" s="650">
        <f t="shared" si="50"/>
        <v>6</v>
      </c>
      <c r="GV49" s="650">
        <f t="shared" si="51"/>
        <v>0</v>
      </c>
      <c r="GW49" s="650">
        <f t="shared" si="52"/>
        <v>0</v>
      </c>
      <c r="GX49" s="393"/>
      <c r="GY49" s="394"/>
      <c r="GZ49" s="395">
        <f t="shared" si="53"/>
        <v>0</v>
      </c>
      <c r="HA49" s="396"/>
      <c r="HB49" s="394"/>
      <c r="HC49" s="395">
        <f t="shared" si="54"/>
        <v>0</v>
      </c>
      <c r="HD49" s="397">
        <f t="shared" si="55"/>
        <v>0</v>
      </c>
      <c r="HE49" s="405">
        <f t="shared" si="56"/>
        <v>0</v>
      </c>
      <c r="HF49" s="398">
        <f t="shared" si="57"/>
        <v>0</v>
      </c>
      <c r="HG49" s="398"/>
      <c r="HH49" s="492">
        <f t="shared" si="58"/>
        <v>0</v>
      </c>
      <c r="HI49" s="487">
        <f t="shared" si="59"/>
        <v>0</v>
      </c>
      <c r="HJ49" s="487">
        <f t="shared" si="60"/>
        <v>0</v>
      </c>
      <c r="HK49" s="487">
        <f t="shared" si="61"/>
        <v>0</v>
      </c>
      <c r="HL49" s="487">
        <f t="shared" si="62"/>
        <v>0</v>
      </c>
      <c r="HM49" s="487">
        <f t="shared" si="63"/>
        <v>0</v>
      </c>
      <c r="HN49" s="474"/>
      <c r="HO49" s="474">
        <f t="shared" si="64"/>
        <v>0</v>
      </c>
      <c r="HP49" s="475"/>
      <c r="HQ49" s="547">
        <f t="shared" si="470"/>
        <v>0</v>
      </c>
      <c r="HR49" s="547">
        <f t="shared" si="471"/>
        <v>0</v>
      </c>
      <c r="HS49" s="547">
        <f t="shared" si="472"/>
        <v>0</v>
      </c>
      <c r="HT49" s="547">
        <f t="shared" si="473"/>
        <v>0</v>
      </c>
      <c r="HU49" s="393"/>
      <c r="HV49" s="394"/>
      <c r="HW49" s="395">
        <f t="shared" si="69"/>
        <v>0</v>
      </c>
      <c r="HX49" s="396"/>
      <c r="HY49" s="394"/>
      <c r="HZ49" s="395">
        <f t="shared" si="70"/>
        <v>0</v>
      </c>
      <c r="IA49" s="397">
        <f t="shared" si="71"/>
        <v>0</v>
      </c>
      <c r="IB49" s="405">
        <f t="shared" si="72"/>
        <v>0</v>
      </c>
      <c r="IC49" s="398">
        <f t="shared" si="73"/>
        <v>0</v>
      </c>
      <c r="ID49" s="398"/>
      <c r="IE49" s="393"/>
      <c r="IF49" s="394"/>
      <c r="IG49" s="395"/>
      <c r="IH49" s="396"/>
      <c r="II49" s="394"/>
      <c r="IJ49" s="395"/>
      <c r="IK49" s="397"/>
      <c r="IL49" s="405"/>
      <c r="IM49" s="398"/>
      <c r="IN49" s="398"/>
      <c r="IO49" s="393"/>
      <c r="IP49" s="394"/>
      <c r="IQ49" s="395"/>
      <c r="IR49" s="396"/>
      <c r="IS49" s="394"/>
      <c r="IT49" s="395"/>
      <c r="IU49" s="397"/>
      <c r="IV49" s="405"/>
      <c r="IW49" s="398"/>
      <c r="IX49" s="398"/>
      <c r="IY49" s="393"/>
      <c r="IZ49" s="394"/>
      <c r="JA49" s="395"/>
      <c r="JB49" s="396"/>
      <c r="JC49" s="394"/>
      <c r="JD49" s="395"/>
      <c r="JE49" s="397"/>
      <c r="JF49" s="405"/>
      <c r="JG49" s="398"/>
      <c r="JH49" s="398"/>
      <c r="JI49" s="494"/>
      <c r="JJ49" s="479"/>
      <c r="JK49" s="479"/>
      <c r="JL49" s="479"/>
      <c r="JM49" s="474"/>
      <c r="JN49" s="474">
        <f t="shared" si="74"/>
        <v>0</v>
      </c>
      <c r="JO49" s="475"/>
      <c r="JP49" s="393"/>
      <c r="JQ49" s="394"/>
      <c r="JR49" s="395"/>
      <c r="JS49" s="396"/>
      <c r="JT49" s="394"/>
      <c r="JU49" s="395"/>
      <c r="JV49" s="397"/>
      <c r="JW49" s="405"/>
      <c r="JX49" s="398"/>
      <c r="JY49" s="398"/>
      <c r="JZ49" s="577">
        <f t="shared" si="466"/>
        <v>30</v>
      </c>
      <c r="KA49" s="412">
        <f t="shared" si="474"/>
        <v>24</v>
      </c>
      <c r="KB49" s="412">
        <f t="shared" si="474"/>
        <v>6</v>
      </c>
      <c r="KC49" s="412">
        <f t="shared" si="475"/>
        <v>24</v>
      </c>
      <c r="KD49" s="412">
        <f t="shared" si="475"/>
        <v>6</v>
      </c>
      <c r="KE49" s="412">
        <f t="shared" si="476"/>
        <v>0</v>
      </c>
      <c r="KF49" s="693">
        <f t="shared" si="476"/>
        <v>0</v>
      </c>
      <c r="KG49" s="687">
        <f t="shared" si="75"/>
        <v>30</v>
      </c>
      <c r="KH49" s="680"/>
      <c r="KI49" s="680"/>
      <c r="KJ49" s="681"/>
      <c r="KK49" s="359">
        <f t="shared" si="464"/>
        <v>0</v>
      </c>
      <c r="KL49" s="359"/>
      <c r="KM49" s="359"/>
      <c r="KN49" s="359"/>
      <c r="KO49" s="359"/>
      <c r="KP49" s="359"/>
      <c r="KQ49" s="359"/>
    </row>
    <row r="50" spans="1:303" ht="43.5" customHeight="1" x14ac:dyDescent="0.3">
      <c r="A50" s="496"/>
      <c r="B50" s="339" t="s">
        <v>44</v>
      </c>
      <c r="C50" s="391"/>
      <c r="D50" s="392"/>
      <c r="E50" s="393"/>
      <c r="F50" s="394"/>
      <c r="G50" s="395"/>
      <c r="H50" s="396"/>
      <c r="I50" s="394"/>
      <c r="J50" s="395"/>
      <c r="K50" s="397"/>
      <c r="L50" s="398"/>
      <c r="M50" s="398"/>
      <c r="N50" s="399"/>
      <c r="O50" s="393"/>
      <c r="P50" s="394"/>
      <c r="Q50" s="400"/>
      <c r="R50" s="396"/>
      <c r="S50" s="394"/>
      <c r="T50" s="400"/>
      <c r="U50" s="397"/>
      <c r="V50" s="398"/>
      <c r="W50" s="398"/>
      <c r="X50" s="399"/>
      <c r="Y50" s="393"/>
      <c r="Z50" s="394"/>
      <c r="AA50" s="400"/>
      <c r="AB50" s="396"/>
      <c r="AC50" s="394"/>
      <c r="AD50" s="400"/>
      <c r="AE50" s="397"/>
      <c r="AF50" s="405"/>
      <c r="AG50" s="398"/>
      <c r="AH50" s="403"/>
      <c r="AI50" s="393"/>
      <c r="AJ50" s="394"/>
      <c r="AK50" s="395"/>
      <c r="AL50" s="396"/>
      <c r="AM50" s="394"/>
      <c r="AN50" s="395"/>
      <c r="AO50" s="397"/>
      <c r="AP50" s="398"/>
      <c r="AQ50" s="398"/>
      <c r="AR50" s="404"/>
      <c r="AS50" s="486"/>
      <c r="AT50" s="487"/>
      <c r="AU50" s="487"/>
      <c r="AV50" s="487"/>
      <c r="AW50" s="478"/>
      <c r="AX50" s="479"/>
      <c r="AY50" s="537"/>
      <c r="AZ50" s="547">
        <f t="shared" si="418"/>
        <v>0</v>
      </c>
      <c r="BA50" s="547">
        <f t="shared" si="419"/>
        <v>0</v>
      </c>
      <c r="BB50" s="547">
        <f t="shared" si="420"/>
        <v>0</v>
      </c>
      <c r="BC50" s="547">
        <f t="shared" si="421"/>
        <v>0</v>
      </c>
      <c r="BD50" s="393"/>
      <c r="BE50" s="394"/>
      <c r="BF50" s="395"/>
      <c r="BG50" s="396"/>
      <c r="BH50" s="394"/>
      <c r="BI50" s="395"/>
      <c r="BJ50" s="397"/>
      <c r="BK50" s="398"/>
      <c r="BL50" s="405"/>
      <c r="BM50" s="398"/>
      <c r="BN50" s="393"/>
      <c r="BO50" s="394"/>
      <c r="BP50" s="395"/>
      <c r="BQ50" s="396"/>
      <c r="BR50" s="394"/>
      <c r="BS50" s="395"/>
      <c r="BT50" s="397"/>
      <c r="BU50" s="405"/>
      <c r="BV50" s="398"/>
      <c r="BW50" s="398"/>
      <c r="BX50" s="626">
        <f t="shared" si="16"/>
        <v>0</v>
      </c>
      <c r="BY50" s="626">
        <f t="shared" si="17"/>
        <v>0</v>
      </c>
      <c r="BZ50" s="626">
        <f t="shared" si="18"/>
        <v>0</v>
      </c>
      <c r="CA50" s="626">
        <f t="shared" si="19"/>
        <v>0</v>
      </c>
      <c r="CB50" s="625">
        <f t="shared" si="20"/>
        <v>0</v>
      </c>
      <c r="CC50" s="393"/>
      <c r="CD50" s="394"/>
      <c r="CE50" s="395"/>
      <c r="CF50" s="396"/>
      <c r="CG50" s="394"/>
      <c r="CH50" s="395"/>
      <c r="CI50" s="397"/>
      <c r="CJ50" s="398"/>
      <c r="CK50" s="398"/>
      <c r="CL50" s="414"/>
      <c r="CM50" s="393"/>
      <c r="CN50" s="394"/>
      <c r="CO50" s="395"/>
      <c r="CP50" s="396"/>
      <c r="CQ50" s="394"/>
      <c r="CR50" s="395"/>
      <c r="CS50" s="397"/>
      <c r="CT50" s="398"/>
      <c r="CU50" s="405"/>
      <c r="CV50" s="405"/>
      <c r="CW50" s="492"/>
      <c r="CX50" s="487"/>
      <c r="CY50" s="487"/>
      <c r="CZ50" s="487"/>
      <c r="DA50" s="474"/>
      <c r="DB50" s="474"/>
      <c r="DC50" s="475"/>
      <c r="DD50" s="547">
        <f t="shared" si="21"/>
        <v>0</v>
      </c>
      <c r="DE50" s="547">
        <f t="shared" si="22"/>
        <v>0</v>
      </c>
      <c r="DF50" s="547">
        <f t="shared" si="23"/>
        <v>0</v>
      </c>
      <c r="DG50" s="547">
        <f t="shared" si="24"/>
        <v>0</v>
      </c>
      <c r="DH50" s="576">
        <f t="shared" si="25"/>
        <v>0</v>
      </c>
      <c r="DI50" s="393"/>
      <c r="DJ50" s="394"/>
      <c r="DK50" s="395"/>
      <c r="DL50" s="396"/>
      <c r="DM50" s="394"/>
      <c r="DN50" s="395"/>
      <c r="DO50" s="397"/>
      <c r="DP50" s="405"/>
      <c r="DQ50" s="398"/>
      <c r="DR50" s="398"/>
      <c r="DS50" s="393">
        <v>3</v>
      </c>
      <c r="DT50" s="394">
        <v>9</v>
      </c>
      <c r="DU50" s="395">
        <f>DS50+DT50</f>
        <v>12</v>
      </c>
      <c r="DV50" s="396">
        <v>0</v>
      </c>
      <c r="DW50" s="394">
        <v>0</v>
      </c>
      <c r="DX50" s="395">
        <f>DV50+DW50</f>
        <v>0</v>
      </c>
      <c r="DY50" s="397">
        <f>DS50+DV50</f>
        <v>3</v>
      </c>
      <c r="DZ50" s="405">
        <f>DT50+DW50</f>
        <v>9</v>
      </c>
      <c r="EA50" s="398">
        <f>DY50+DZ50</f>
        <v>12</v>
      </c>
      <c r="EB50" s="398"/>
      <c r="EC50" s="393">
        <v>4</v>
      </c>
      <c r="ED50" s="394">
        <v>11</v>
      </c>
      <c r="EE50" s="395">
        <f>SUM(EC50:ED50)</f>
        <v>15</v>
      </c>
      <c r="EF50" s="396">
        <v>0</v>
      </c>
      <c r="EG50" s="394">
        <v>0</v>
      </c>
      <c r="EH50" s="395">
        <f>SUM(EF50:EG50)</f>
        <v>0</v>
      </c>
      <c r="EI50" s="397">
        <f t="shared" si="469"/>
        <v>4</v>
      </c>
      <c r="EJ50" s="405">
        <f t="shared" si="469"/>
        <v>11</v>
      </c>
      <c r="EK50" s="398">
        <f>SUM(EI50:EJ50)</f>
        <v>15</v>
      </c>
      <c r="EL50" s="398"/>
      <c r="EM50" s="393">
        <v>3</v>
      </c>
      <c r="EN50" s="394">
        <v>3</v>
      </c>
      <c r="EO50" s="395">
        <f>EM50+EN50</f>
        <v>6</v>
      </c>
      <c r="EP50" s="396">
        <v>0</v>
      </c>
      <c r="EQ50" s="394">
        <v>0</v>
      </c>
      <c r="ER50" s="395">
        <f>EP50+EQ50</f>
        <v>0</v>
      </c>
      <c r="ES50" s="397">
        <f>EM50+EP50</f>
        <v>3</v>
      </c>
      <c r="ET50" s="405">
        <f>EN50+EQ50</f>
        <v>3</v>
      </c>
      <c r="EU50" s="398">
        <f>ES50+ET50</f>
        <v>6</v>
      </c>
      <c r="EV50" s="398"/>
      <c r="EW50" s="492">
        <f t="shared" ref="EW50" si="478">SUM(ES50+EI50+DY50+DO50)</f>
        <v>10</v>
      </c>
      <c r="EX50" s="487">
        <f t="shared" ref="EX50" si="479">SUM(ET50+EJ50+DZ50+DP50)</f>
        <v>23</v>
      </c>
      <c r="EY50" s="487">
        <f t="shared" ref="EY50" si="480">SUM(EO50+EE50+DU50+DK50)</f>
        <v>33</v>
      </c>
      <c r="EZ50" s="487">
        <f t="shared" ref="EZ50" si="481">SUM(ER50+EH50+DX50+DN50)</f>
        <v>0</v>
      </c>
      <c r="FA50" s="474"/>
      <c r="FB50" s="474">
        <f t="shared" ref="FB50" si="482">SUM(EW50:EX50)</f>
        <v>33</v>
      </c>
      <c r="FC50" s="475"/>
      <c r="FD50" s="547">
        <f t="shared" si="31"/>
        <v>10</v>
      </c>
      <c r="FE50" s="547">
        <f t="shared" si="32"/>
        <v>23</v>
      </c>
      <c r="FF50" s="547">
        <f t="shared" si="33"/>
        <v>0</v>
      </c>
      <c r="FG50" s="547">
        <f t="shared" si="34"/>
        <v>0</v>
      </c>
      <c r="FH50" s="577">
        <f t="shared" si="35"/>
        <v>10</v>
      </c>
      <c r="FI50" s="577">
        <f t="shared" si="36"/>
        <v>23</v>
      </c>
      <c r="FJ50" s="577">
        <f t="shared" si="37"/>
        <v>33</v>
      </c>
      <c r="FK50" s="577">
        <f t="shared" si="38"/>
        <v>10</v>
      </c>
      <c r="FL50" s="577">
        <f t="shared" si="39"/>
        <v>23</v>
      </c>
      <c r="FM50" s="577">
        <f t="shared" si="40"/>
        <v>33</v>
      </c>
      <c r="FN50" s="393">
        <v>1</v>
      </c>
      <c r="FO50" s="394">
        <v>1</v>
      </c>
      <c r="FP50" s="395">
        <f>FN50+FO50</f>
        <v>2</v>
      </c>
      <c r="FQ50" s="396">
        <v>0</v>
      </c>
      <c r="FR50" s="394">
        <v>0</v>
      </c>
      <c r="FS50" s="395">
        <f>FQ50+FR50</f>
        <v>0</v>
      </c>
      <c r="FT50" s="397">
        <f t="shared" si="458"/>
        <v>1</v>
      </c>
      <c r="FU50" s="405">
        <f t="shared" si="459"/>
        <v>1</v>
      </c>
      <c r="FV50" s="398">
        <f t="shared" si="460"/>
        <v>2</v>
      </c>
      <c r="FW50" s="398"/>
      <c r="FX50" s="393">
        <v>0</v>
      </c>
      <c r="FY50" s="394">
        <v>2</v>
      </c>
      <c r="FZ50" s="395">
        <f>FX50+FY50</f>
        <v>2</v>
      </c>
      <c r="GA50" s="396">
        <v>0</v>
      </c>
      <c r="GB50" s="394">
        <v>0</v>
      </c>
      <c r="GC50" s="395">
        <f>GA50+GB50</f>
        <v>0</v>
      </c>
      <c r="GD50" s="397">
        <f t="shared" si="41"/>
        <v>0</v>
      </c>
      <c r="GE50" s="405">
        <f t="shared" si="42"/>
        <v>2</v>
      </c>
      <c r="GF50" s="398">
        <f t="shared" si="43"/>
        <v>2</v>
      </c>
      <c r="GG50" s="398"/>
      <c r="GH50" s="393">
        <v>0</v>
      </c>
      <c r="GI50" s="394">
        <v>2</v>
      </c>
      <c r="GJ50" s="395">
        <f>GH50+GI50</f>
        <v>2</v>
      </c>
      <c r="GK50" s="396">
        <v>0</v>
      </c>
      <c r="GL50" s="394">
        <v>0</v>
      </c>
      <c r="GM50" s="395">
        <f>GK50+GL50</f>
        <v>0</v>
      </c>
      <c r="GN50" s="397">
        <f t="shared" si="453"/>
        <v>0</v>
      </c>
      <c r="GO50" s="405">
        <f t="shared" si="454"/>
        <v>2</v>
      </c>
      <c r="GP50" s="398">
        <f t="shared" si="455"/>
        <v>2</v>
      </c>
      <c r="GQ50" s="398"/>
      <c r="GR50" s="650">
        <f t="shared" si="47"/>
        <v>11</v>
      </c>
      <c r="GS50" s="650">
        <f t="shared" si="48"/>
        <v>28</v>
      </c>
      <c r="GT50" s="650">
        <f t="shared" si="49"/>
        <v>11</v>
      </c>
      <c r="GU50" s="650">
        <f t="shared" si="50"/>
        <v>28</v>
      </c>
      <c r="GV50" s="650">
        <f t="shared" si="51"/>
        <v>0</v>
      </c>
      <c r="GW50" s="650">
        <f t="shared" si="52"/>
        <v>0</v>
      </c>
      <c r="GX50" s="393">
        <v>3</v>
      </c>
      <c r="GY50" s="394">
        <v>2</v>
      </c>
      <c r="GZ50" s="395">
        <f t="shared" si="53"/>
        <v>5</v>
      </c>
      <c r="HA50" s="396">
        <v>0</v>
      </c>
      <c r="HB50" s="394">
        <v>0</v>
      </c>
      <c r="HC50" s="395">
        <f t="shared" si="54"/>
        <v>0</v>
      </c>
      <c r="HD50" s="397">
        <f t="shared" si="55"/>
        <v>3</v>
      </c>
      <c r="HE50" s="405">
        <f t="shared" si="56"/>
        <v>2</v>
      </c>
      <c r="HF50" s="398">
        <f t="shared" si="57"/>
        <v>5</v>
      </c>
      <c r="HG50" s="398"/>
      <c r="HH50" s="492">
        <f t="shared" si="58"/>
        <v>4</v>
      </c>
      <c r="HI50" s="487">
        <f t="shared" si="59"/>
        <v>7</v>
      </c>
      <c r="HJ50" s="487">
        <f t="shared" si="60"/>
        <v>4</v>
      </c>
      <c r="HK50" s="487">
        <f t="shared" si="61"/>
        <v>7</v>
      </c>
      <c r="HL50" s="487">
        <f t="shared" si="62"/>
        <v>0</v>
      </c>
      <c r="HM50" s="487">
        <f t="shared" si="63"/>
        <v>0</v>
      </c>
      <c r="HN50" s="474"/>
      <c r="HO50" s="474">
        <f t="shared" si="64"/>
        <v>11</v>
      </c>
      <c r="HP50" s="475"/>
      <c r="HQ50" s="547">
        <f t="shared" si="470"/>
        <v>4</v>
      </c>
      <c r="HR50" s="547">
        <f t="shared" si="471"/>
        <v>7</v>
      </c>
      <c r="HS50" s="547">
        <f t="shared" si="472"/>
        <v>0</v>
      </c>
      <c r="HT50" s="547">
        <f t="shared" si="473"/>
        <v>0</v>
      </c>
      <c r="HU50" s="393">
        <v>3</v>
      </c>
      <c r="HV50" s="394">
        <v>1</v>
      </c>
      <c r="HW50" s="395">
        <f t="shared" si="69"/>
        <v>4</v>
      </c>
      <c r="HX50" s="396">
        <v>0</v>
      </c>
      <c r="HY50" s="394">
        <v>0</v>
      </c>
      <c r="HZ50" s="395">
        <f t="shared" si="70"/>
        <v>0</v>
      </c>
      <c r="IA50" s="397">
        <f t="shared" si="71"/>
        <v>3</v>
      </c>
      <c r="IB50" s="405">
        <f t="shared" si="72"/>
        <v>1</v>
      </c>
      <c r="IC50" s="398">
        <f t="shared" si="73"/>
        <v>4</v>
      </c>
      <c r="ID50" s="398"/>
      <c r="IE50" s="393"/>
      <c r="IF50" s="394"/>
      <c r="IG50" s="395"/>
      <c r="IH50" s="396"/>
      <c r="II50" s="394"/>
      <c r="IJ50" s="395"/>
      <c r="IK50" s="397"/>
      <c r="IL50" s="405"/>
      <c r="IM50" s="398"/>
      <c r="IN50" s="398"/>
      <c r="IO50" s="393"/>
      <c r="IP50" s="394"/>
      <c r="IQ50" s="395"/>
      <c r="IR50" s="396"/>
      <c r="IS50" s="394"/>
      <c r="IT50" s="395"/>
      <c r="IU50" s="397"/>
      <c r="IV50" s="405"/>
      <c r="IW50" s="398"/>
      <c r="IX50" s="398"/>
      <c r="IY50" s="393"/>
      <c r="IZ50" s="394"/>
      <c r="JA50" s="395"/>
      <c r="JB50" s="396"/>
      <c r="JC50" s="394"/>
      <c r="JD50" s="395"/>
      <c r="JE50" s="397"/>
      <c r="JF50" s="405"/>
      <c r="JG50" s="398"/>
      <c r="JH50" s="398"/>
      <c r="JI50" s="494"/>
      <c r="JJ50" s="479"/>
      <c r="JK50" s="479"/>
      <c r="JL50" s="479"/>
      <c r="JM50" s="474"/>
      <c r="JN50" s="474">
        <f t="shared" si="74"/>
        <v>4</v>
      </c>
      <c r="JO50" s="475"/>
      <c r="JP50" s="393"/>
      <c r="JQ50" s="394"/>
      <c r="JR50" s="395"/>
      <c r="JS50" s="396"/>
      <c r="JT50" s="394"/>
      <c r="JU50" s="395"/>
      <c r="JV50" s="397"/>
      <c r="JW50" s="405"/>
      <c r="JX50" s="398"/>
      <c r="JY50" s="398"/>
      <c r="JZ50" s="577">
        <f t="shared" si="466"/>
        <v>48</v>
      </c>
      <c r="KA50" s="412">
        <f t="shared" si="474"/>
        <v>17</v>
      </c>
      <c r="KB50" s="412">
        <f t="shared" si="474"/>
        <v>31</v>
      </c>
      <c r="KC50" s="412">
        <f t="shared" si="475"/>
        <v>17</v>
      </c>
      <c r="KD50" s="412">
        <f t="shared" si="475"/>
        <v>31</v>
      </c>
      <c r="KE50" s="412">
        <f t="shared" si="476"/>
        <v>0</v>
      </c>
      <c r="KF50" s="693">
        <f t="shared" si="476"/>
        <v>0</v>
      </c>
      <c r="KG50" s="687">
        <f t="shared" ref="KG50" si="483">SUM(KA50:KB50)</f>
        <v>48</v>
      </c>
      <c r="KH50" s="680"/>
      <c r="KI50" s="680"/>
      <c r="KJ50" s="681"/>
      <c r="KK50" s="359"/>
      <c r="KL50" s="359"/>
      <c r="KM50" s="359"/>
      <c r="KN50" s="359"/>
      <c r="KO50" s="359"/>
      <c r="KP50" s="359"/>
      <c r="KQ50" s="359"/>
    </row>
    <row r="51" spans="1:303" ht="60" customHeight="1" x14ac:dyDescent="0.3">
      <c r="A51" s="794" t="s">
        <v>155</v>
      </c>
      <c r="B51" s="339" t="s">
        <v>156</v>
      </c>
      <c r="C51" s="391" t="s">
        <v>130</v>
      </c>
      <c r="D51" s="392">
        <v>150</v>
      </c>
      <c r="E51" s="393"/>
      <c r="F51" s="394"/>
      <c r="G51" s="395"/>
      <c r="H51" s="396"/>
      <c r="I51" s="394"/>
      <c r="J51" s="395"/>
      <c r="K51" s="397"/>
      <c r="L51" s="398"/>
      <c r="M51" s="398"/>
      <c r="N51" s="399"/>
      <c r="O51" s="393"/>
      <c r="P51" s="394"/>
      <c r="Q51" s="400"/>
      <c r="R51" s="396"/>
      <c r="S51" s="394"/>
      <c r="T51" s="400"/>
      <c r="U51" s="397"/>
      <c r="V51" s="398"/>
      <c r="W51" s="398"/>
      <c r="X51" s="399"/>
      <c r="Y51" s="393">
        <v>10</v>
      </c>
      <c r="Z51" s="394">
        <v>23</v>
      </c>
      <c r="AA51" s="400">
        <f>SUM(Y51:Z51)</f>
        <v>33</v>
      </c>
      <c r="AB51" s="396">
        <v>7</v>
      </c>
      <c r="AC51" s="394">
        <v>4</v>
      </c>
      <c r="AD51" s="400">
        <f>SUM(AB51:AC51)</f>
        <v>11</v>
      </c>
      <c r="AE51" s="397">
        <f>SUM(Y51+AB51)</f>
        <v>17</v>
      </c>
      <c r="AF51" s="405">
        <f>SUM(Z51+AC51)</f>
        <v>27</v>
      </c>
      <c r="AG51" s="398">
        <f>SUM(AE51:AF51)</f>
        <v>44</v>
      </c>
      <c r="AH51" s="403"/>
      <c r="AI51" s="393"/>
      <c r="AJ51" s="394"/>
      <c r="AK51" s="395"/>
      <c r="AL51" s="396"/>
      <c r="AM51" s="394"/>
      <c r="AN51" s="395"/>
      <c r="AO51" s="397"/>
      <c r="AP51" s="398"/>
      <c r="AQ51" s="398"/>
      <c r="AR51" s="404"/>
      <c r="AS51" s="486">
        <f t="shared" si="7"/>
        <v>17</v>
      </c>
      <c r="AT51" s="487">
        <f t="shared" si="8"/>
        <v>27</v>
      </c>
      <c r="AU51" s="487">
        <f t="shared" si="9"/>
        <v>33</v>
      </c>
      <c r="AV51" s="487">
        <f t="shared" si="10"/>
        <v>0</v>
      </c>
      <c r="AW51" s="478"/>
      <c r="AX51" s="479">
        <f t="shared" si="11"/>
        <v>44</v>
      </c>
      <c r="AY51" s="537" t="e">
        <f>AX51/AW51</f>
        <v>#DIV/0!</v>
      </c>
      <c r="AZ51" s="547">
        <f t="shared" si="418"/>
        <v>10</v>
      </c>
      <c r="BA51" s="547">
        <f t="shared" si="419"/>
        <v>23</v>
      </c>
      <c r="BB51" s="547">
        <f t="shared" si="420"/>
        <v>7</v>
      </c>
      <c r="BC51" s="547">
        <f t="shared" si="421"/>
        <v>4</v>
      </c>
      <c r="BD51" s="393"/>
      <c r="BE51" s="394"/>
      <c r="BF51" s="395"/>
      <c r="BG51" s="396"/>
      <c r="BH51" s="394"/>
      <c r="BI51" s="395"/>
      <c r="BJ51" s="397"/>
      <c r="BK51" s="398"/>
      <c r="BL51" s="405"/>
      <c r="BM51" s="398"/>
      <c r="BN51" s="393"/>
      <c r="BO51" s="394"/>
      <c r="BP51" s="395"/>
      <c r="BQ51" s="396"/>
      <c r="BR51" s="394"/>
      <c r="BS51" s="395"/>
      <c r="BT51" s="397"/>
      <c r="BU51" s="405"/>
      <c r="BV51" s="398"/>
      <c r="BW51" s="398"/>
      <c r="BX51" s="626">
        <f t="shared" si="16"/>
        <v>10</v>
      </c>
      <c r="BY51" s="626">
        <f t="shared" si="17"/>
        <v>23</v>
      </c>
      <c r="BZ51" s="626">
        <f t="shared" si="18"/>
        <v>7</v>
      </c>
      <c r="CA51" s="626">
        <f t="shared" si="19"/>
        <v>4</v>
      </c>
      <c r="CB51" s="625">
        <f t="shared" si="20"/>
        <v>44</v>
      </c>
      <c r="CC51" s="393"/>
      <c r="CD51" s="394"/>
      <c r="CE51" s="395"/>
      <c r="CF51" s="396"/>
      <c r="CG51" s="394"/>
      <c r="CH51" s="395"/>
      <c r="CI51" s="397"/>
      <c r="CJ51" s="398"/>
      <c r="CK51" s="398"/>
      <c r="CL51" s="414"/>
      <c r="CM51" s="393">
        <v>47</v>
      </c>
      <c r="CN51" s="394">
        <v>53</v>
      </c>
      <c r="CO51" s="395">
        <f>SUM(CM51:CN51)</f>
        <v>100</v>
      </c>
      <c r="CP51" s="396">
        <v>5</v>
      </c>
      <c r="CQ51" s="394">
        <v>1</v>
      </c>
      <c r="CR51" s="395">
        <f>SUM(CP51:CQ51)</f>
        <v>6</v>
      </c>
      <c r="CS51" s="397">
        <f>SUM(CM51+CP51)</f>
        <v>52</v>
      </c>
      <c r="CT51" s="398">
        <f>SUM(CN51+CQ51)</f>
        <v>54</v>
      </c>
      <c r="CU51" s="405">
        <f>SUM(CS51:CT51)</f>
        <v>106</v>
      </c>
      <c r="CV51" s="405"/>
      <c r="CW51" s="492">
        <f>SUM(CS51+CI51+BT51+BJ51)</f>
        <v>52</v>
      </c>
      <c r="CX51" s="487">
        <f>SUM(CT51+CJ51+BU51+BK51)</f>
        <v>54</v>
      </c>
      <c r="CY51" s="487">
        <f>SUM(CU51+CK51+BV51+BL51)</f>
        <v>106</v>
      </c>
      <c r="CZ51" s="487">
        <f>SUM(CR51+CH51+BS51+BI51)</f>
        <v>6</v>
      </c>
      <c r="DA51" s="474"/>
      <c r="DB51" s="474">
        <f>CY51</f>
        <v>106</v>
      </c>
      <c r="DC51" s="475"/>
      <c r="DD51" s="547">
        <f t="shared" si="21"/>
        <v>47</v>
      </c>
      <c r="DE51" s="547">
        <f t="shared" si="22"/>
        <v>53</v>
      </c>
      <c r="DF51" s="547">
        <f t="shared" si="23"/>
        <v>5</v>
      </c>
      <c r="DG51" s="547">
        <f t="shared" si="24"/>
        <v>1</v>
      </c>
      <c r="DH51" s="576">
        <f t="shared" si="25"/>
        <v>150</v>
      </c>
      <c r="DI51" s="393"/>
      <c r="DJ51" s="394"/>
      <c r="DK51" s="395"/>
      <c r="DL51" s="396"/>
      <c r="DM51" s="394"/>
      <c r="DN51" s="395"/>
      <c r="DO51" s="397"/>
      <c r="DP51" s="405"/>
      <c r="DQ51" s="398"/>
      <c r="DR51" s="398"/>
      <c r="DS51" s="393"/>
      <c r="DT51" s="394"/>
      <c r="DU51" s="395">
        <f t="shared" si="76"/>
        <v>0</v>
      </c>
      <c r="DV51" s="396"/>
      <c r="DW51" s="394"/>
      <c r="DX51" s="395">
        <f t="shared" si="77"/>
        <v>0</v>
      </c>
      <c r="DY51" s="397">
        <f t="shared" si="78"/>
        <v>0</v>
      </c>
      <c r="DZ51" s="405">
        <f t="shared" si="79"/>
        <v>0</v>
      </c>
      <c r="EA51" s="398">
        <f t="shared" si="80"/>
        <v>0</v>
      </c>
      <c r="EB51" s="398"/>
      <c r="EC51" s="393"/>
      <c r="ED51" s="394"/>
      <c r="EE51" s="395"/>
      <c r="EF51" s="396"/>
      <c r="EG51" s="394"/>
      <c r="EH51" s="395"/>
      <c r="EI51" s="397"/>
      <c r="EJ51" s="405"/>
      <c r="EK51" s="398"/>
      <c r="EL51" s="398"/>
      <c r="EM51" s="393"/>
      <c r="EN51" s="394"/>
      <c r="EO51" s="395"/>
      <c r="EP51" s="396"/>
      <c r="EQ51" s="394"/>
      <c r="ER51" s="395"/>
      <c r="ES51" s="397"/>
      <c r="ET51" s="405"/>
      <c r="EU51" s="398"/>
      <c r="EV51" s="398"/>
      <c r="EW51" s="492">
        <f t="shared" si="26"/>
        <v>0</v>
      </c>
      <c r="EX51" s="487">
        <f t="shared" si="27"/>
        <v>0</v>
      </c>
      <c r="EY51" s="487">
        <f t="shared" si="28"/>
        <v>0</v>
      </c>
      <c r="EZ51" s="487">
        <f t="shared" si="29"/>
        <v>0</v>
      </c>
      <c r="FA51" s="474"/>
      <c r="FB51" s="474">
        <f t="shared" si="30"/>
        <v>0</v>
      </c>
      <c r="FC51" s="475"/>
      <c r="FD51" s="547">
        <f t="shared" si="31"/>
        <v>47</v>
      </c>
      <c r="FE51" s="547">
        <f t="shared" si="32"/>
        <v>53</v>
      </c>
      <c r="FF51" s="547">
        <f t="shared" si="33"/>
        <v>5</v>
      </c>
      <c r="FG51" s="547">
        <f t="shared" si="34"/>
        <v>1</v>
      </c>
      <c r="FH51" s="577">
        <f t="shared" si="35"/>
        <v>52</v>
      </c>
      <c r="FI51" s="577">
        <f t="shared" si="36"/>
        <v>54</v>
      </c>
      <c r="FJ51" s="577">
        <f t="shared" si="37"/>
        <v>106</v>
      </c>
      <c r="FK51" s="577">
        <f t="shared" si="38"/>
        <v>69</v>
      </c>
      <c r="FL51" s="577">
        <f t="shared" si="39"/>
        <v>81</v>
      </c>
      <c r="FM51" s="577">
        <f t="shared" si="40"/>
        <v>150</v>
      </c>
      <c r="FN51" s="393"/>
      <c r="FO51" s="394"/>
      <c r="FP51" s="395"/>
      <c r="FQ51" s="396"/>
      <c r="FR51" s="394"/>
      <c r="FS51" s="395"/>
      <c r="FT51" s="397">
        <f t="shared" si="458"/>
        <v>0</v>
      </c>
      <c r="FU51" s="405">
        <f t="shared" si="459"/>
        <v>0</v>
      </c>
      <c r="FV51" s="398">
        <f t="shared" si="460"/>
        <v>0</v>
      </c>
      <c r="FW51" s="398"/>
      <c r="FX51" s="393"/>
      <c r="FY51" s="394"/>
      <c r="FZ51" s="395"/>
      <c r="GA51" s="396"/>
      <c r="GB51" s="394"/>
      <c r="GC51" s="395"/>
      <c r="GD51" s="397">
        <f t="shared" si="41"/>
        <v>0</v>
      </c>
      <c r="GE51" s="405">
        <f t="shared" si="42"/>
        <v>0</v>
      </c>
      <c r="GF51" s="398">
        <f t="shared" si="43"/>
        <v>0</v>
      </c>
      <c r="GG51" s="398"/>
      <c r="GH51" s="393"/>
      <c r="GI51" s="394"/>
      <c r="GJ51" s="395"/>
      <c r="GK51" s="396"/>
      <c r="GL51" s="394"/>
      <c r="GM51" s="395"/>
      <c r="GN51" s="397">
        <f t="shared" si="453"/>
        <v>0</v>
      </c>
      <c r="GO51" s="405">
        <f t="shared" si="454"/>
        <v>0</v>
      </c>
      <c r="GP51" s="398">
        <f t="shared" si="455"/>
        <v>0</v>
      </c>
      <c r="GQ51" s="398"/>
      <c r="GR51" s="650">
        <f t="shared" si="47"/>
        <v>52</v>
      </c>
      <c r="GS51" s="650">
        <f t="shared" si="48"/>
        <v>54</v>
      </c>
      <c r="GT51" s="650">
        <f t="shared" si="49"/>
        <v>47</v>
      </c>
      <c r="GU51" s="650">
        <f t="shared" si="50"/>
        <v>53</v>
      </c>
      <c r="GV51" s="650">
        <f t="shared" si="51"/>
        <v>5</v>
      </c>
      <c r="GW51" s="650">
        <f t="shared" si="52"/>
        <v>1</v>
      </c>
      <c r="GX51" s="393"/>
      <c r="GY51" s="394"/>
      <c r="GZ51" s="395">
        <f t="shared" si="53"/>
        <v>0</v>
      </c>
      <c r="HA51" s="396"/>
      <c r="HB51" s="394"/>
      <c r="HC51" s="395">
        <f t="shared" si="54"/>
        <v>0</v>
      </c>
      <c r="HD51" s="397">
        <f t="shared" si="55"/>
        <v>0</v>
      </c>
      <c r="HE51" s="405">
        <f t="shared" si="56"/>
        <v>0</v>
      </c>
      <c r="HF51" s="398">
        <f t="shared" si="57"/>
        <v>0</v>
      </c>
      <c r="HG51" s="398"/>
      <c r="HH51" s="492">
        <f t="shared" si="58"/>
        <v>0</v>
      </c>
      <c r="HI51" s="487">
        <f t="shared" si="59"/>
        <v>0</v>
      </c>
      <c r="HJ51" s="487">
        <f t="shared" si="60"/>
        <v>0</v>
      </c>
      <c r="HK51" s="487">
        <f t="shared" si="61"/>
        <v>0</v>
      </c>
      <c r="HL51" s="487">
        <f t="shared" si="62"/>
        <v>0</v>
      </c>
      <c r="HM51" s="487">
        <f t="shared" si="63"/>
        <v>0</v>
      </c>
      <c r="HN51" s="474"/>
      <c r="HO51" s="474">
        <f t="shared" si="64"/>
        <v>0</v>
      </c>
      <c r="HP51" s="475"/>
      <c r="HQ51" s="547">
        <f t="shared" si="470"/>
        <v>0</v>
      </c>
      <c r="HR51" s="547">
        <f t="shared" si="471"/>
        <v>0</v>
      </c>
      <c r="HS51" s="547">
        <f t="shared" si="472"/>
        <v>0</v>
      </c>
      <c r="HT51" s="547">
        <f t="shared" si="473"/>
        <v>0</v>
      </c>
      <c r="HU51" s="393"/>
      <c r="HV51" s="394"/>
      <c r="HW51" s="395">
        <f t="shared" si="69"/>
        <v>0</v>
      </c>
      <c r="HX51" s="396"/>
      <c r="HY51" s="394"/>
      <c r="HZ51" s="395">
        <f t="shared" si="70"/>
        <v>0</v>
      </c>
      <c r="IA51" s="397">
        <f t="shared" si="71"/>
        <v>0</v>
      </c>
      <c r="IB51" s="405">
        <f t="shared" si="72"/>
        <v>0</v>
      </c>
      <c r="IC51" s="398">
        <f t="shared" si="73"/>
        <v>0</v>
      </c>
      <c r="ID51" s="398"/>
      <c r="IE51" s="393"/>
      <c r="IF51" s="394"/>
      <c r="IG51" s="395"/>
      <c r="IH51" s="396"/>
      <c r="II51" s="394"/>
      <c r="IJ51" s="395"/>
      <c r="IK51" s="397"/>
      <c r="IL51" s="405"/>
      <c r="IM51" s="398"/>
      <c r="IN51" s="398"/>
      <c r="IO51" s="393"/>
      <c r="IP51" s="394"/>
      <c r="IQ51" s="395"/>
      <c r="IR51" s="396"/>
      <c r="IS51" s="394"/>
      <c r="IT51" s="395"/>
      <c r="IU51" s="397"/>
      <c r="IV51" s="405"/>
      <c r="IW51" s="398"/>
      <c r="IX51" s="398"/>
      <c r="IY51" s="393"/>
      <c r="IZ51" s="394"/>
      <c r="JA51" s="395"/>
      <c r="JB51" s="396"/>
      <c r="JC51" s="394"/>
      <c r="JD51" s="395"/>
      <c r="JE51" s="397"/>
      <c r="JF51" s="405"/>
      <c r="JG51" s="398"/>
      <c r="JH51" s="398"/>
      <c r="JI51" s="494"/>
      <c r="JJ51" s="479"/>
      <c r="JK51" s="479"/>
      <c r="JL51" s="479"/>
      <c r="JM51" s="474"/>
      <c r="JN51" s="474">
        <f t="shared" si="74"/>
        <v>0</v>
      </c>
      <c r="JO51" s="475"/>
      <c r="JP51" s="393"/>
      <c r="JQ51" s="394"/>
      <c r="JR51" s="395"/>
      <c r="JS51" s="396"/>
      <c r="JT51" s="394"/>
      <c r="JU51" s="395"/>
      <c r="JV51" s="397"/>
      <c r="JW51" s="405"/>
      <c r="JX51" s="398"/>
      <c r="JY51" s="398"/>
      <c r="JZ51" s="577">
        <f t="shared" si="466"/>
        <v>0</v>
      </c>
      <c r="KA51" s="412">
        <f t="shared" si="474"/>
        <v>69</v>
      </c>
      <c r="KB51" s="412">
        <f t="shared" si="474"/>
        <v>81</v>
      </c>
      <c r="KC51" s="412">
        <f t="shared" si="475"/>
        <v>57</v>
      </c>
      <c r="KD51" s="412">
        <f t="shared" si="475"/>
        <v>76</v>
      </c>
      <c r="KE51" s="412">
        <f t="shared" si="476"/>
        <v>12</v>
      </c>
      <c r="KF51" s="693">
        <f t="shared" si="476"/>
        <v>5</v>
      </c>
      <c r="KG51" s="687">
        <f t="shared" si="75"/>
        <v>150</v>
      </c>
      <c r="KH51" s="680">
        <v>150</v>
      </c>
      <c r="KI51" s="680">
        <f>KH51-KG51</f>
        <v>0</v>
      </c>
      <c r="KJ51" s="681">
        <f>KG51/KH51</f>
        <v>1</v>
      </c>
      <c r="KK51" s="359">
        <f t="shared" si="464"/>
        <v>0</v>
      </c>
      <c r="KL51" s="359">
        <f>SUM(CX51+AT51)</f>
        <v>81</v>
      </c>
      <c r="KM51" s="359">
        <f>SUM(KK51:KL51)</f>
        <v>81</v>
      </c>
      <c r="KN51" s="359"/>
      <c r="KO51" s="359"/>
      <c r="KP51" s="359"/>
      <c r="KQ51" s="359"/>
    </row>
    <row r="52" spans="1:303" ht="60" customHeight="1" x14ac:dyDescent="0.3">
      <c r="A52" s="795"/>
      <c r="B52" s="339" t="s">
        <v>156</v>
      </c>
      <c r="C52" s="391" t="s">
        <v>131</v>
      </c>
      <c r="D52" s="392"/>
      <c r="E52" s="393"/>
      <c r="F52" s="394"/>
      <c r="G52" s="395"/>
      <c r="H52" s="396"/>
      <c r="I52" s="394"/>
      <c r="J52" s="395"/>
      <c r="K52" s="397"/>
      <c r="L52" s="398"/>
      <c r="M52" s="398"/>
      <c r="N52" s="399"/>
      <c r="O52" s="393"/>
      <c r="P52" s="394"/>
      <c r="Q52" s="400"/>
      <c r="R52" s="396"/>
      <c r="S52" s="394"/>
      <c r="T52" s="400"/>
      <c r="U52" s="397"/>
      <c r="V52" s="398"/>
      <c r="W52" s="398"/>
      <c r="X52" s="399"/>
      <c r="Y52" s="393"/>
      <c r="Z52" s="394"/>
      <c r="AA52" s="400"/>
      <c r="AB52" s="396"/>
      <c r="AC52" s="394"/>
      <c r="AD52" s="400"/>
      <c r="AE52" s="397"/>
      <c r="AF52" s="405"/>
      <c r="AG52" s="398"/>
      <c r="AH52" s="403"/>
      <c r="AI52" s="393"/>
      <c r="AJ52" s="394"/>
      <c r="AK52" s="395"/>
      <c r="AL52" s="396"/>
      <c r="AM52" s="394"/>
      <c r="AN52" s="395"/>
      <c r="AO52" s="397"/>
      <c r="AP52" s="398"/>
      <c r="AQ52" s="398"/>
      <c r="AR52" s="404"/>
      <c r="AS52" s="486"/>
      <c r="AT52" s="487"/>
      <c r="AU52" s="487"/>
      <c r="AV52" s="487"/>
      <c r="AW52" s="478"/>
      <c r="AX52" s="479"/>
      <c r="AY52" s="537"/>
      <c r="AZ52" s="547">
        <f t="shared" si="418"/>
        <v>0</v>
      </c>
      <c r="BA52" s="547">
        <f t="shared" si="419"/>
        <v>0</v>
      </c>
      <c r="BB52" s="547">
        <f t="shared" si="420"/>
        <v>0</v>
      </c>
      <c r="BC52" s="547">
        <f t="shared" si="421"/>
        <v>0</v>
      </c>
      <c r="BD52" s="393"/>
      <c r="BE52" s="394"/>
      <c r="BF52" s="395"/>
      <c r="BG52" s="396"/>
      <c r="BH52" s="394"/>
      <c r="BI52" s="395"/>
      <c r="BJ52" s="397"/>
      <c r="BK52" s="398"/>
      <c r="BL52" s="405"/>
      <c r="BM52" s="398"/>
      <c r="BN52" s="393"/>
      <c r="BO52" s="394"/>
      <c r="BP52" s="395"/>
      <c r="BQ52" s="396"/>
      <c r="BR52" s="394"/>
      <c r="BS52" s="395"/>
      <c r="BT52" s="397"/>
      <c r="BU52" s="405"/>
      <c r="BV52" s="398"/>
      <c r="BW52" s="398"/>
      <c r="BX52" s="626">
        <f t="shared" si="16"/>
        <v>0</v>
      </c>
      <c r="BY52" s="626">
        <f t="shared" si="17"/>
        <v>0</v>
      </c>
      <c r="BZ52" s="626">
        <f t="shared" si="18"/>
        <v>0</v>
      </c>
      <c r="CA52" s="626">
        <f t="shared" si="19"/>
        <v>0</v>
      </c>
      <c r="CB52" s="625">
        <f t="shared" si="20"/>
        <v>0</v>
      </c>
      <c r="CC52" s="393"/>
      <c r="CD52" s="394"/>
      <c r="CE52" s="395"/>
      <c r="CF52" s="396"/>
      <c r="CG52" s="394"/>
      <c r="CH52" s="395"/>
      <c r="CI52" s="397"/>
      <c r="CJ52" s="398"/>
      <c r="CK52" s="398"/>
      <c r="CL52" s="414"/>
      <c r="CM52" s="393"/>
      <c r="CN52" s="394"/>
      <c r="CO52" s="395"/>
      <c r="CP52" s="396"/>
      <c r="CQ52" s="394"/>
      <c r="CR52" s="395"/>
      <c r="CS52" s="397"/>
      <c r="CT52" s="398"/>
      <c r="CU52" s="405"/>
      <c r="CV52" s="405"/>
      <c r="CW52" s="492"/>
      <c r="CX52" s="487"/>
      <c r="CY52" s="487"/>
      <c r="CZ52" s="487"/>
      <c r="DA52" s="474"/>
      <c r="DB52" s="474"/>
      <c r="DC52" s="475"/>
      <c r="DD52" s="547">
        <f t="shared" si="21"/>
        <v>0</v>
      </c>
      <c r="DE52" s="547">
        <f t="shared" si="22"/>
        <v>0</v>
      </c>
      <c r="DF52" s="547">
        <f t="shared" si="23"/>
        <v>0</v>
      </c>
      <c r="DG52" s="547">
        <f t="shared" si="24"/>
        <v>0</v>
      </c>
      <c r="DH52" s="576">
        <f t="shared" si="25"/>
        <v>0</v>
      </c>
      <c r="DI52" s="393"/>
      <c r="DJ52" s="394"/>
      <c r="DK52" s="395"/>
      <c r="DL52" s="396"/>
      <c r="DM52" s="394"/>
      <c r="DN52" s="395"/>
      <c r="DO52" s="397"/>
      <c r="DP52" s="405"/>
      <c r="DQ52" s="398"/>
      <c r="DR52" s="398"/>
      <c r="DS52" s="393"/>
      <c r="DT52" s="394"/>
      <c r="DU52" s="395"/>
      <c r="DV52" s="396"/>
      <c r="DW52" s="394"/>
      <c r="DX52" s="395"/>
      <c r="DY52" s="397"/>
      <c r="DZ52" s="405"/>
      <c r="EA52" s="398"/>
      <c r="EB52" s="398"/>
      <c r="EC52" s="393"/>
      <c r="ED52" s="394"/>
      <c r="EE52" s="395"/>
      <c r="EF52" s="396"/>
      <c r="EG52" s="394"/>
      <c r="EH52" s="395"/>
      <c r="EI52" s="397"/>
      <c r="EJ52" s="405"/>
      <c r="EK52" s="398"/>
      <c r="EL52" s="398"/>
      <c r="EM52" s="393"/>
      <c r="EN52" s="394"/>
      <c r="EO52" s="395"/>
      <c r="EP52" s="396"/>
      <c r="EQ52" s="394"/>
      <c r="ER52" s="395"/>
      <c r="ES52" s="397"/>
      <c r="ET52" s="405"/>
      <c r="EU52" s="398"/>
      <c r="EV52" s="398"/>
      <c r="EW52" s="492"/>
      <c r="EX52" s="487"/>
      <c r="EY52" s="487"/>
      <c r="EZ52" s="487"/>
      <c r="FA52" s="474"/>
      <c r="FB52" s="474"/>
      <c r="FC52" s="475"/>
      <c r="FD52" s="547">
        <f t="shared" si="31"/>
        <v>0</v>
      </c>
      <c r="FE52" s="547">
        <f t="shared" si="32"/>
        <v>0</v>
      </c>
      <c r="FF52" s="547">
        <f t="shared" si="33"/>
        <v>0</v>
      </c>
      <c r="FG52" s="547">
        <f t="shared" si="34"/>
        <v>0</v>
      </c>
      <c r="FH52" s="577">
        <f t="shared" si="35"/>
        <v>0</v>
      </c>
      <c r="FI52" s="577">
        <f t="shared" si="36"/>
        <v>0</v>
      </c>
      <c r="FJ52" s="577">
        <f t="shared" si="37"/>
        <v>0</v>
      </c>
      <c r="FK52" s="577">
        <f t="shared" si="38"/>
        <v>0</v>
      </c>
      <c r="FL52" s="577">
        <f t="shared" si="39"/>
        <v>0</v>
      </c>
      <c r="FM52" s="577">
        <f t="shared" si="40"/>
        <v>0</v>
      </c>
      <c r="FN52" s="393"/>
      <c r="FO52" s="394"/>
      <c r="FP52" s="395"/>
      <c r="FQ52" s="396"/>
      <c r="FR52" s="394"/>
      <c r="FS52" s="395"/>
      <c r="FT52" s="397">
        <f t="shared" si="458"/>
        <v>0</v>
      </c>
      <c r="FU52" s="405">
        <f t="shared" si="459"/>
        <v>0</v>
      </c>
      <c r="FV52" s="398">
        <f t="shared" si="460"/>
        <v>0</v>
      </c>
      <c r="FW52" s="398"/>
      <c r="FX52" s="393"/>
      <c r="FY52" s="394"/>
      <c r="FZ52" s="395"/>
      <c r="GA52" s="396"/>
      <c r="GB52" s="394"/>
      <c r="GC52" s="395"/>
      <c r="GD52" s="397">
        <f t="shared" si="41"/>
        <v>0</v>
      </c>
      <c r="GE52" s="405">
        <f t="shared" si="42"/>
        <v>0</v>
      </c>
      <c r="GF52" s="398">
        <f t="shared" si="43"/>
        <v>0</v>
      </c>
      <c r="GG52" s="398"/>
      <c r="GH52" s="393"/>
      <c r="GI52" s="394"/>
      <c r="GJ52" s="395"/>
      <c r="GK52" s="396"/>
      <c r="GL52" s="394"/>
      <c r="GM52" s="395"/>
      <c r="GN52" s="397">
        <f t="shared" si="453"/>
        <v>0</v>
      </c>
      <c r="GO52" s="405">
        <f t="shared" si="454"/>
        <v>0</v>
      </c>
      <c r="GP52" s="398">
        <f t="shared" si="455"/>
        <v>0</v>
      </c>
      <c r="GQ52" s="398"/>
      <c r="GR52" s="650">
        <f t="shared" si="47"/>
        <v>0</v>
      </c>
      <c r="GS52" s="650">
        <f t="shared" si="48"/>
        <v>0</v>
      </c>
      <c r="GT52" s="650">
        <f t="shared" si="49"/>
        <v>0</v>
      </c>
      <c r="GU52" s="650">
        <f t="shared" si="50"/>
        <v>0</v>
      </c>
      <c r="GV52" s="650">
        <f t="shared" si="51"/>
        <v>0</v>
      </c>
      <c r="GW52" s="650">
        <f t="shared" si="52"/>
        <v>0</v>
      </c>
      <c r="GX52" s="393"/>
      <c r="GY52" s="394"/>
      <c r="GZ52" s="395">
        <f t="shared" si="53"/>
        <v>0</v>
      </c>
      <c r="HA52" s="396"/>
      <c r="HB52" s="394"/>
      <c r="HC52" s="395">
        <f t="shared" si="54"/>
        <v>0</v>
      </c>
      <c r="HD52" s="397">
        <f t="shared" si="55"/>
        <v>0</v>
      </c>
      <c r="HE52" s="405">
        <f t="shared" si="56"/>
        <v>0</v>
      </c>
      <c r="HF52" s="398">
        <f t="shared" si="57"/>
        <v>0</v>
      </c>
      <c r="HG52" s="398"/>
      <c r="HH52" s="492">
        <f t="shared" si="58"/>
        <v>0</v>
      </c>
      <c r="HI52" s="487">
        <f t="shared" si="59"/>
        <v>0</v>
      </c>
      <c r="HJ52" s="487">
        <f t="shared" si="60"/>
        <v>0</v>
      </c>
      <c r="HK52" s="487">
        <f t="shared" si="61"/>
        <v>0</v>
      </c>
      <c r="HL52" s="487">
        <f t="shared" si="62"/>
        <v>0</v>
      </c>
      <c r="HM52" s="487">
        <f t="shared" si="63"/>
        <v>0</v>
      </c>
      <c r="HN52" s="474"/>
      <c r="HO52" s="474">
        <f t="shared" si="64"/>
        <v>0</v>
      </c>
      <c r="HP52" s="475"/>
      <c r="HQ52" s="547">
        <f t="shared" si="470"/>
        <v>0</v>
      </c>
      <c r="HR52" s="547">
        <f t="shared" si="471"/>
        <v>0</v>
      </c>
      <c r="HS52" s="547">
        <f t="shared" si="472"/>
        <v>0</v>
      </c>
      <c r="HT52" s="547">
        <f t="shared" si="473"/>
        <v>0</v>
      </c>
      <c r="HU52" s="393"/>
      <c r="HV52" s="394"/>
      <c r="HW52" s="395">
        <f t="shared" si="69"/>
        <v>0</v>
      </c>
      <c r="HX52" s="396"/>
      <c r="HY52" s="394"/>
      <c r="HZ52" s="395">
        <f t="shared" si="70"/>
        <v>0</v>
      </c>
      <c r="IA52" s="397">
        <f t="shared" si="71"/>
        <v>0</v>
      </c>
      <c r="IB52" s="405">
        <f t="shared" si="72"/>
        <v>0</v>
      </c>
      <c r="IC52" s="398">
        <f t="shared" si="73"/>
        <v>0</v>
      </c>
      <c r="ID52" s="398"/>
      <c r="IE52" s="393"/>
      <c r="IF52" s="394"/>
      <c r="IG52" s="395"/>
      <c r="IH52" s="396"/>
      <c r="II52" s="394"/>
      <c r="IJ52" s="395"/>
      <c r="IK52" s="397"/>
      <c r="IL52" s="405"/>
      <c r="IM52" s="398"/>
      <c r="IN52" s="398"/>
      <c r="IO52" s="393"/>
      <c r="IP52" s="394"/>
      <c r="IQ52" s="395"/>
      <c r="IR52" s="396"/>
      <c r="IS52" s="394"/>
      <c r="IT52" s="395"/>
      <c r="IU52" s="397"/>
      <c r="IV52" s="405"/>
      <c r="IW52" s="398"/>
      <c r="IX52" s="398"/>
      <c r="IY52" s="393"/>
      <c r="IZ52" s="394"/>
      <c r="JA52" s="395"/>
      <c r="JB52" s="396"/>
      <c r="JC52" s="394"/>
      <c r="JD52" s="395"/>
      <c r="JE52" s="397"/>
      <c r="JF52" s="405"/>
      <c r="JG52" s="398"/>
      <c r="JH52" s="398"/>
      <c r="JI52" s="494"/>
      <c r="JJ52" s="479"/>
      <c r="JK52" s="479"/>
      <c r="JL52" s="479"/>
      <c r="JM52" s="474"/>
      <c r="JN52" s="474">
        <f t="shared" si="74"/>
        <v>0</v>
      </c>
      <c r="JO52" s="475"/>
      <c r="JP52" s="393"/>
      <c r="JQ52" s="394"/>
      <c r="JR52" s="395"/>
      <c r="JS52" s="396"/>
      <c r="JT52" s="394"/>
      <c r="JU52" s="395"/>
      <c r="JV52" s="397"/>
      <c r="JW52" s="405"/>
      <c r="JX52" s="398"/>
      <c r="JY52" s="398"/>
      <c r="JZ52" s="577">
        <f t="shared" si="466"/>
        <v>0</v>
      </c>
      <c r="KA52" s="412"/>
      <c r="KB52" s="412"/>
      <c r="KC52" s="412"/>
      <c r="KD52" s="412"/>
      <c r="KE52" s="412"/>
      <c r="KF52" s="693"/>
      <c r="KG52" s="687"/>
      <c r="KH52" s="680"/>
      <c r="KI52" s="680"/>
      <c r="KJ52" s="681"/>
      <c r="KK52" s="359"/>
      <c r="KL52" s="359"/>
      <c r="KM52" s="359"/>
      <c r="KN52" s="359"/>
      <c r="KO52" s="359"/>
      <c r="KP52" s="359"/>
      <c r="KQ52" s="359"/>
    </row>
    <row r="53" spans="1:303" s="520" customFormat="1" ht="24.75" customHeight="1" x14ac:dyDescent="0.3">
      <c r="A53" s="795"/>
      <c r="B53" s="499" t="s">
        <v>52</v>
      </c>
      <c r="C53" s="500" t="s">
        <v>133</v>
      </c>
      <c r="D53" s="501">
        <v>120</v>
      </c>
      <c r="E53" s="502"/>
      <c r="F53" s="503"/>
      <c r="G53" s="503"/>
      <c r="H53" s="504"/>
      <c r="I53" s="503"/>
      <c r="J53" s="503"/>
      <c r="K53" s="505"/>
      <c r="L53" s="501"/>
      <c r="M53" s="501"/>
      <c r="N53" s="506"/>
      <c r="O53" s="502"/>
      <c r="P53" s="503"/>
      <c r="Q53" s="507"/>
      <c r="R53" s="504"/>
      <c r="S53" s="503"/>
      <c r="T53" s="507"/>
      <c r="U53" s="505"/>
      <c r="V53" s="501"/>
      <c r="W53" s="501"/>
      <c r="X53" s="506"/>
      <c r="Y53" s="502"/>
      <c r="Z53" s="503"/>
      <c r="AA53" s="507"/>
      <c r="AB53" s="504"/>
      <c r="AC53" s="503"/>
      <c r="AD53" s="507"/>
      <c r="AE53" s="505"/>
      <c r="AF53" s="507"/>
      <c r="AG53" s="501"/>
      <c r="AH53" s="508"/>
      <c r="AI53" s="502"/>
      <c r="AJ53" s="503"/>
      <c r="AK53" s="503"/>
      <c r="AL53" s="504"/>
      <c r="AM53" s="503"/>
      <c r="AN53" s="503"/>
      <c r="AO53" s="505"/>
      <c r="AP53" s="501"/>
      <c r="AQ53" s="501"/>
      <c r="AR53" s="509"/>
      <c r="AS53" s="510">
        <f t="shared" ref="AS53:AS57" si="484">AO53+AE53+U53+K53</f>
        <v>0</v>
      </c>
      <c r="AT53" s="511">
        <f t="shared" ref="AT53:AT57" si="485">AP53+AF53+V53+L53</f>
        <v>0</v>
      </c>
      <c r="AU53" s="511">
        <f t="shared" ref="AU53:AU57" si="486">AK53+AA53+Q53+G53</f>
        <v>0</v>
      </c>
      <c r="AV53" s="511">
        <f t="shared" ref="AV53:AV57" si="487">AN53</f>
        <v>0</v>
      </c>
      <c r="AW53" s="512"/>
      <c r="AX53" s="507">
        <f t="shared" ref="AX53:AX57" si="488">SUM(AQ53+AG53+W53+M53)</f>
        <v>0</v>
      </c>
      <c r="AY53" s="539"/>
      <c r="AZ53" s="501">
        <f t="shared" ref="AZ53:AZ79" si="489">SUM(E53+O53+Y53+AI53)</f>
        <v>0</v>
      </c>
      <c r="BA53" s="501">
        <f t="shared" ref="BA53:BA79" si="490">F53+P53+Z53+AJ53</f>
        <v>0</v>
      </c>
      <c r="BB53" s="501">
        <f t="shared" ref="BB53:BB79" si="491">H53+R53+AB53+AL53</f>
        <v>0</v>
      </c>
      <c r="BC53" s="501">
        <f t="shared" ref="BC53:BC79" si="492">I53+S53+AC53+AM53</f>
        <v>0</v>
      </c>
      <c r="BD53" s="502"/>
      <c r="BE53" s="503"/>
      <c r="BF53" s="503"/>
      <c r="BG53" s="504"/>
      <c r="BH53" s="503"/>
      <c r="BI53" s="503"/>
      <c r="BJ53" s="505"/>
      <c r="BK53" s="501"/>
      <c r="BL53" s="507"/>
      <c r="BM53" s="501"/>
      <c r="BN53" s="502"/>
      <c r="BO53" s="503"/>
      <c r="BP53" s="503"/>
      <c r="BQ53" s="504"/>
      <c r="BR53" s="503"/>
      <c r="BS53" s="503"/>
      <c r="BT53" s="505"/>
      <c r="BU53" s="507"/>
      <c r="BV53" s="501"/>
      <c r="BW53" s="501"/>
      <c r="BX53" s="628"/>
      <c r="BY53" s="628"/>
      <c r="BZ53" s="628"/>
      <c r="CA53" s="628"/>
      <c r="CB53" s="628"/>
      <c r="CC53" s="502"/>
      <c r="CD53" s="503"/>
      <c r="CE53" s="503"/>
      <c r="CF53" s="504"/>
      <c r="CG53" s="503"/>
      <c r="CH53" s="503"/>
      <c r="CI53" s="505"/>
      <c r="CJ53" s="501"/>
      <c r="CK53" s="501"/>
      <c r="CL53" s="513"/>
      <c r="CM53" s="502"/>
      <c r="CN53" s="503"/>
      <c r="CO53" s="503"/>
      <c r="CP53" s="504"/>
      <c r="CQ53" s="503"/>
      <c r="CR53" s="503"/>
      <c r="CS53" s="505"/>
      <c r="CT53" s="501"/>
      <c r="CU53" s="507"/>
      <c r="CV53" s="507"/>
      <c r="CW53" s="514">
        <f t="shared" ref="CW53:CY57" si="493">SUM(CS53+CI53+BT53+BJ53)</f>
        <v>0</v>
      </c>
      <c r="CX53" s="511">
        <f t="shared" si="493"/>
        <v>0</v>
      </c>
      <c r="CY53" s="511">
        <f t="shared" si="493"/>
        <v>0</v>
      </c>
      <c r="CZ53" s="511">
        <f>SUM(CR53+CH53+BS53+BI53)</f>
        <v>0</v>
      </c>
      <c r="DA53" s="501"/>
      <c r="DB53" s="501">
        <f>SUM(CW53:CX53)</f>
        <v>0</v>
      </c>
      <c r="DC53" s="515"/>
      <c r="DD53" s="501">
        <f t="shared" si="21"/>
        <v>0</v>
      </c>
      <c r="DE53" s="501">
        <f t="shared" si="22"/>
        <v>0</v>
      </c>
      <c r="DF53" s="501">
        <f t="shared" si="23"/>
        <v>0</v>
      </c>
      <c r="DG53" s="501">
        <f t="shared" si="24"/>
        <v>0</v>
      </c>
      <c r="DH53" s="576">
        <f t="shared" si="25"/>
        <v>0</v>
      </c>
      <c r="DI53" s="502"/>
      <c r="DJ53" s="503"/>
      <c r="DK53" s="503"/>
      <c r="DL53" s="504"/>
      <c r="DM53" s="503"/>
      <c r="DN53" s="503"/>
      <c r="DO53" s="505"/>
      <c r="DP53" s="507"/>
      <c r="DQ53" s="501"/>
      <c r="DR53" s="501"/>
      <c r="DS53" s="502"/>
      <c r="DT53" s="503"/>
      <c r="DU53" s="503">
        <f t="shared" ref="DU53:DU57" si="494">SUM(DS53:DT53)</f>
        <v>0</v>
      </c>
      <c r="DV53" s="504"/>
      <c r="DW53" s="503"/>
      <c r="DX53" s="503">
        <f t="shared" ref="DX53:DX57" si="495">SUM(DV53:DW53)</f>
        <v>0</v>
      </c>
      <c r="DY53" s="505">
        <f t="shared" ref="DY53:DY57" si="496">SUM(DS53+DV53)</f>
        <v>0</v>
      </c>
      <c r="DZ53" s="507">
        <f t="shared" ref="DZ53:DZ57" si="497">SUM(DT53+DW53)</f>
        <v>0</v>
      </c>
      <c r="EA53" s="501">
        <f t="shared" ref="EA53:EA57" si="498">SUM(DY53:DZ53)</f>
        <v>0</v>
      </c>
      <c r="EB53" s="501"/>
      <c r="EC53" s="502"/>
      <c r="ED53" s="503"/>
      <c r="EE53" s="503"/>
      <c r="EF53" s="504"/>
      <c r="EG53" s="503"/>
      <c r="EH53" s="503"/>
      <c r="EI53" s="505"/>
      <c r="EJ53" s="507"/>
      <c r="EK53" s="501"/>
      <c r="EL53" s="501"/>
      <c r="EM53" s="502"/>
      <c r="EN53" s="503"/>
      <c r="EO53" s="503"/>
      <c r="EP53" s="504"/>
      <c r="EQ53" s="503"/>
      <c r="ER53" s="503"/>
      <c r="ES53" s="505"/>
      <c r="ET53" s="507"/>
      <c r="EU53" s="501"/>
      <c r="EV53" s="501"/>
      <c r="EW53" s="514">
        <f t="shared" ref="EW53:EW57" si="499">SUM(ES53+EI53+DY53+DO53)</f>
        <v>0</v>
      </c>
      <c r="EX53" s="511">
        <f t="shared" ref="EX53:EX57" si="500">SUM(ET53+EJ53+DZ53+DP53)</f>
        <v>0</v>
      </c>
      <c r="EY53" s="511">
        <f t="shared" ref="EY53:EY57" si="501">SUM(EO53+EE53+DU53+DK53)</f>
        <v>0</v>
      </c>
      <c r="EZ53" s="511">
        <f t="shared" ref="EZ53:EZ57" si="502">SUM(ER53+EH53+DX53+DN53)</f>
        <v>0</v>
      </c>
      <c r="FA53" s="501"/>
      <c r="FB53" s="501">
        <f t="shared" ref="FB53:FB57" si="503">SUM(EW53:EX53)</f>
        <v>0</v>
      </c>
      <c r="FC53" s="515"/>
      <c r="FD53" s="501"/>
      <c r="FE53" s="501"/>
      <c r="FF53" s="501"/>
      <c r="FG53" s="501"/>
      <c r="FH53" s="516"/>
      <c r="FI53" s="516"/>
      <c r="FJ53" s="516"/>
      <c r="FK53" s="577">
        <f t="shared" si="38"/>
        <v>0</v>
      </c>
      <c r="FL53" s="577">
        <f t="shared" si="39"/>
        <v>0</v>
      </c>
      <c r="FM53" s="577">
        <f t="shared" si="40"/>
        <v>0</v>
      </c>
      <c r="FN53" s="502"/>
      <c r="FO53" s="503"/>
      <c r="FP53" s="503"/>
      <c r="FQ53" s="504"/>
      <c r="FR53" s="503"/>
      <c r="FS53" s="503"/>
      <c r="FT53" s="505"/>
      <c r="FU53" s="507"/>
      <c r="FV53" s="501"/>
      <c r="FW53" s="501"/>
      <c r="FX53" s="502"/>
      <c r="FY53" s="503"/>
      <c r="FZ53" s="503"/>
      <c r="GA53" s="504"/>
      <c r="GB53" s="503"/>
      <c r="GC53" s="503"/>
      <c r="GD53" s="647">
        <f t="shared" si="41"/>
        <v>0</v>
      </c>
      <c r="GE53" s="648">
        <f t="shared" si="42"/>
        <v>0</v>
      </c>
      <c r="GF53" s="643">
        <f t="shared" si="43"/>
        <v>0</v>
      </c>
      <c r="GG53" s="643"/>
      <c r="GH53" s="644"/>
      <c r="GI53" s="645"/>
      <c r="GJ53" s="645"/>
      <c r="GK53" s="646"/>
      <c r="GL53" s="645"/>
      <c r="GM53" s="645"/>
      <c r="GN53" s="647">
        <f t="shared" ref="GN53:GN61" si="504">GH53+GK53</f>
        <v>0</v>
      </c>
      <c r="GO53" s="648">
        <f t="shared" ref="GO53:GO61" si="505">GI53+GL53</f>
        <v>0</v>
      </c>
      <c r="GP53" s="643">
        <f t="shared" ref="GP53:GP61" si="506">GN53+GO53</f>
        <v>0</v>
      </c>
      <c r="GQ53" s="643"/>
      <c r="GR53" s="649">
        <f t="shared" si="47"/>
        <v>0</v>
      </c>
      <c r="GS53" s="649">
        <f t="shared" si="48"/>
        <v>0</v>
      </c>
      <c r="GT53" s="649">
        <f t="shared" si="49"/>
        <v>0</v>
      </c>
      <c r="GU53" s="649">
        <f t="shared" si="50"/>
        <v>0</v>
      </c>
      <c r="GV53" s="649">
        <f t="shared" si="51"/>
        <v>0</v>
      </c>
      <c r="GW53" s="649">
        <f t="shared" si="52"/>
        <v>0</v>
      </c>
      <c r="GX53" s="502"/>
      <c r="GY53" s="503"/>
      <c r="GZ53" s="503"/>
      <c r="HA53" s="504"/>
      <c r="HB53" s="503"/>
      <c r="HC53" s="503"/>
      <c r="HD53" s="504"/>
      <c r="HE53" s="503"/>
      <c r="HF53" s="503"/>
      <c r="HG53" s="501"/>
      <c r="HH53" s="514">
        <f t="shared" si="58"/>
        <v>0</v>
      </c>
      <c r="HI53" s="511">
        <f t="shared" si="59"/>
        <v>0</v>
      </c>
      <c r="HJ53" s="511">
        <f t="shared" si="60"/>
        <v>0</v>
      </c>
      <c r="HK53" s="511">
        <f t="shared" si="61"/>
        <v>0</v>
      </c>
      <c r="HL53" s="511">
        <f t="shared" si="62"/>
        <v>0</v>
      </c>
      <c r="HM53" s="511">
        <f t="shared" si="63"/>
        <v>0</v>
      </c>
      <c r="HN53" s="501"/>
      <c r="HO53" s="501">
        <f t="shared" si="64"/>
        <v>0</v>
      </c>
      <c r="HP53" s="515"/>
      <c r="HQ53" s="501">
        <f t="shared" si="470"/>
        <v>0</v>
      </c>
      <c r="HR53" s="501">
        <f t="shared" si="471"/>
        <v>0</v>
      </c>
      <c r="HS53" s="501">
        <f t="shared" si="472"/>
        <v>0</v>
      </c>
      <c r="HT53" s="501">
        <f t="shared" si="473"/>
        <v>0</v>
      </c>
      <c r="HU53" s="502"/>
      <c r="HV53" s="503"/>
      <c r="HW53" s="503">
        <f t="shared" si="69"/>
        <v>0</v>
      </c>
      <c r="HX53" s="504"/>
      <c r="HY53" s="503"/>
      <c r="HZ53" s="503">
        <f t="shared" si="70"/>
        <v>0</v>
      </c>
      <c r="IA53" s="505">
        <f t="shared" si="71"/>
        <v>0</v>
      </c>
      <c r="IB53" s="507">
        <f t="shared" si="72"/>
        <v>0</v>
      </c>
      <c r="IC53" s="501">
        <f t="shared" si="73"/>
        <v>0</v>
      </c>
      <c r="ID53" s="501"/>
      <c r="IE53" s="502"/>
      <c r="IF53" s="503"/>
      <c r="IG53" s="503"/>
      <c r="IH53" s="504"/>
      <c r="II53" s="503"/>
      <c r="IJ53" s="503"/>
      <c r="IK53" s="505"/>
      <c r="IL53" s="507"/>
      <c r="IM53" s="501"/>
      <c r="IN53" s="501"/>
      <c r="IO53" s="502"/>
      <c r="IP53" s="503"/>
      <c r="IQ53" s="503"/>
      <c r="IR53" s="504"/>
      <c r="IS53" s="503"/>
      <c r="IT53" s="503"/>
      <c r="IU53" s="505"/>
      <c r="IV53" s="507"/>
      <c r="IW53" s="501"/>
      <c r="IX53" s="501"/>
      <c r="IY53" s="502"/>
      <c r="IZ53" s="503"/>
      <c r="JA53" s="503"/>
      <c r="JB53" s="504"/>
      <c r="JC53" s="503"/>
      <c r="JD53" s="503"/>
      <c r="JE53" s="505"/>
      <c r="JF53" s="507"/>
      <c r="JG53" s="501"/>
      <c r="JH53" s="501"/>
      <c r="JI53" s="509"/>
      <c r="JJ53" s="507"/>
      <c r="JK53" s="507"/>
      <c r="JL53" s="507"/>
      <c r="JM53" s="501"/>
      <c r="JN53" s="501">
        <f t="shared" si="74"/>
        <v>0</v>
      </c>
      <c r="JO53" s="515"/>
      <c r="JP53" s="502"/>
      <c r="JQ53" s="503"/>
      <c r="JR53" s="503"/>
      <c r="JS53" s="504"/>
      <c r="JT53" s="503"/>
      <c r="JU53" s="503"/>
      <c r="JV53" s="505"/>
      <c r="JW53" s="507"/>
      <c r="JX53" s="501"/>
      <c r="JY53" s="501"/>
      <c r="JZ53" s="516">
        <f t="shared" si="466"/>
        <v>0</v>
      </c>
      <c r="KA53" s="516">
        <f t="shared" ref="KA53:KB57" si="507">SUM(JV53+JE53+IU53+IK53+IA53+HD53+GN53+GD53+FT53+ES53+EI53+DY53+DO53+CS53+CI53+BT53+BJ53+AO53+AE53+U53+K53)</f>
        <v>0</v>
      </c>
      <c r="KB53" s="516">
        <f t="shared" si="507"/>
        <v>0</v>
      </c>
      <c r="KC53" s="516">
        <f t="shared" ref="KC53:KD57" si="508">SUM(JP53+IY53+IO53+IE53+HU53+GX53+GH53+FX53+FN53+EM53+EC53+DS53+DI53+CM53+CC53+BN53+BD53+AI53+Y53+O53+E53)</f>
        <v>0</v>
      </c>
      <c r="KD53" s="516">
        <f t="shared" si="508"/>
        <v>0</v>
      </c>
      <c r="KE53" s="516">
        <f t="shared" ref="KE53:KF57" si="509">SUM(JS53+JB53+IR53+IH53+HX53+HA53+GK53+GA53+FQ53+EP53+EF53+DV53+DL53+CP53+CF53+BQ53+BG53+AL53+AB53+R53+H53)</f>
        <v>0</v>
      </c>
      <c r="KF53" s="514">
        <f t="shared" si="509"/>
        <v>0</v>
      </c>
      <c r="KG53" s="688">
        <f t="shared" ref="KG53:KG57" si="510">SUM(KA53:KB53)</f>
        <v>0</v>
      </c>
      <c r="KH53" s="517">
        <v>120</v>
      </c>
      <c r="KI53" s="517">
        <f>KH53-KG53</f>
        <v>120</v>
      </c>
      <c r="KJ53" s="518">
        <f>KG53/KH53</f>
        <v>0</v>
      </c>
      <c r="KK53" s="519">
        <f t="shared" ref="KK53:KK57" si="511">KI53/10</f>
        <v>12</v>
      </c>
      <c r="KL53" s="519"/>
      <c r="KM53" s="519"/>
      <c r="KN53" s="519"/>
      <c r="KO53" s="519"/>
      <c r="KP53" s="519"/>
      <c r="KQ53" s="519"/>
    </row>
    <row r="54" spans="1:303" ht="36" customHeight="1" x14ac:dyDescent="0.3">
      <c r="A54" s="795"/>
      <c r="B54" s="439" t="s">
        <v>51</v>
      </c>
      <c r="C54" s="391" t="s">
        <v>130</v>
      </c>
      <c r="D54" s="392">
        <v>5</v>
      </c>
      <c r="E54" s="393"/>
      <c r="F54" s="394"/>
      <c r="G54" s="395"/>
      <c r="H54" s="396"/>
      <c r="I54" s="394"/>
      <c r="J54" s="395"/>
      <c r="K54" s="397"/>
      <c r="L54" s="398"/>
      <c r="M54" s="398"/>
      <c r="N54" s="399"/>
      <c r="O54" s="393"/>
      <c r="P54" s="394"/>
      <c r="Q54" s="400"/>
      <c r="R54" s="396"/>
      <c r="S54" s="394"/>
      <c r="T54" s="400"/>
      <c r="U54" s="397"/>
      <c r="V54" s="398"/>
      <c r="W54" s="398"/>
      <c r="X54" s="399"/>
      <c r="Y54" s="393"/>
      <c r="Z54" s="394"/>
      <c r="AA54" s="400"/>
      <c r="AB54" s="396"/>
      <c r="AC54" s="394"/>
      <c r="AD54" s="400"/>
      <c r="AE54" s="397"/>
      <c r="AF54" s="405"/>
      <c r="AG54" s="398"/>
      <c r="AH54" s="403"/>
      <c r="AI54" s="393"/>
      <c r="AJ54" s="394"/>
      <c r="AK54" s="395"/>
      <c r="AL54" s="396"/>
      <c r="AM54" s="394"/>
      <c r="AN54" s="395"/>
      <c r="AO54" s="397"/>
      <c r="AP54" s="398"/>
      <c r="AQ54" s="398"/>
      <c r="AR54" s="404"/>
      <c r="AS54" s="486">
        <f t="shared" si="484"/>
        <v>0</v>
      </c>
      <c r="AT54" s="487">
        <f t="shared" si="485"/>
        <v>0</v>
      </c>
      <c r="AU54" s="487">
        <f t="shared" si="486"/>
        <v>0</v>
      </c>
      <c r="AV54" s="487">
        <f t="shared" si="487"/>
        <v>0</v>
      </c>
      <c r="AW54" s="478"/>
      <c r="AX54" s="479">
        <f t="shared" si="488"/>
        <v>0</v>
      </c>
      <c r="AY54" s="537"/>
      <c r="AZ54" s="547">
        <f t="shared" si="489"/>
        <v>0</v>
      </c>
      <c r="BA54" s="547">
        <f t="shared" si="490"/>
        <v>0</v>
      </c>
      <c r="BB54" s="547">
        <f t="shared" si="491"/>
        <v>0</v>
      </c>
      <c r="BC54" s="547">
        <f t="shared" si="492"/>
        <v>0</v>
      </c>
      <c r="BD54" s="393"/>
      <c r="BE54" s="394"/>
      <c r="BF54" s="395"/>
      <c r="BG54" s="396"/>
      <c r="BH54" s="394"/>
      <c r="BI54" s="395"/>
      <c r="BJ54" s="397"/>
      <c r="BK54" s="398"/>
      <c r="BL54" s="405"/>
      <c r="BM54" s="398"/>
      <c r="BN54" s="393"/>
      <c r="BO54" s="394"/>
      <c r="BP54" s="395"/>
      <c r="BQ54" s="396"/>
      <c r="BR54" s="394"/>
      <c r="BS54" s="395"/>
      <c r="BT54" s="397"/>
      <c r="BU54" s="405"/>
      <c r="BV54" s="398"/>
      <c r="BW54" s="398"/>
      <c r="BX54" s="626">
        <f t="shared" si="16"/>
        <v>0</v>
      </c>
      <c r="BY54" s="626">
        <f t="shared" si="17"/>
        <v>0</v>
      </c>
      <c r="BZ54" s="626">
        <f t="shared" si="18"/>
        <v>0</v>
      </c>
      <c r="CA54" s="626">
        <f t="shared" si="19"/>
        <v>0</v>
      </c>
      <c r="CB54" s="625">
        <f t="shared" si="20"/>
        <v>0</v>
      </c>
      <c r="CC54" s="393"/>
      <c r="CD54" s="394"/>
      <c r="CE54" s="395"/>
      <c r="CF54" s="396"/>
      <c r="CG54" s="394"/>
      <c r="CH54" s="395"/>
      <c r="CI54" s="397"/>
      <c r="CJ54" s="398"/>
      <c r="CK54" s="398"/>
      <c r="CL54" s="414"/>
      <c r="CM54" s="393"/>
      <c r="CN54" s="394"/>
      <c r="CO54" s="395"/>
      <c r="CP54" s="396"/>
      <c r="CQ54" s="394"/>
      <c r="CR54" s="395"/>
      <c r="CS54" s="397"/>
      <c r="CT54" s="398"/>
      <c r="CU54" s="405"/>
      <c r="CV54" s="405"/>
      <c r="CW54" s="492">
        <f t="shared" si="493"/>
        <v>0</v>
      </c>
      <c r="CX54" s="487">
        <f t="shared" si="493"/>
        <v>0</v>
      </c>
      <c r="CY54" s="487">
        <f t="shared" si="493"/>
        <v>0</v>
      </c>
      <c r="CZ54" s="487">
        <f>SUM(CR54+CH54+BS54+BI54)</f>
        <v>0</v>
      </c>
      <c r="DA54" s="474"/>
      <c r="DB54" s="474">
        <f>SUM(CW54:CX54)</f>
        <v>0</v>
      </c>
      <c r="DC54" s="475"/>
      <c r="DD54" s="547">
        <f t="shared" si="21"/>
        <v>0</v>
      </c>
      <c r="DE54" s="547">
        <f t="shared" si="22"/>
        <v>0</v>
      </c>
      <c r="DF54" s="547">
        <f t="shared" si="23"/>
        <v>0</v>
      </c>
      <c r="DG54" s="547">
        <f t="shared" si="24"/>
        <v>0</v>
      </c>
      <c r="DH54" s="576">
        <f t="shared" si="25"/>
        <v>0</v>
      </c>
      <c r="DI54" s="393"/>
      <c r="DJ54" s="394"/>
      <c r="DK54" s="395"/>
      <c r="DL54" s="396"/>
      <c r="DM54" s="394"/>
      <c r="DN54" s="395"/>
      <c r="DO54" s="397"/>
      <c r="DP54" s="405"/>
      <c r="DQ54" s="398"/>
      <c r="DR54" s="398"/>
      <c r="DS54" s="393"/>
      <c r="DT54" s="394"/>
      <c r="DU54" s="395">
        <f t="shared" si="494"/>
        <v>0</v>
      </c>
      <c r="DV54" s="396"/>
      <c r="DW54" s="394"/>
      <c r="DX54" s="395">
        <f t="shared" si="495"/>
        <v>0</v>
      </c>
      <c r="DY54" s="397">
        <f t="shared" si="496"/>
        <v>0</v>
      </c>
      <c r="DZ54" s="405">
        <f t="shared" si="497"/>
        <v>0</v>
      </c>
      <c r="EA54" s="398">
        <f t="shared" si="498"/>
        <v>0</v>
      </c>
      <c r="EB54" s="398"/>
      <c r="EC54" s="393"/>
      <c r="ED54" s="394"/>
      <c r="EE54" s="395"/>
      <c r="EF54" s="396"/>
      <c r="EG54" s="394"/>
      <c r="EH54" s="395"/>
      <c r="EI54" s="397"/>
      <c r="EJ54" s="405"/>
      <c r="EK54" s="398"/>
      <c r="EL54" s="398"/>
      <c r="EM54" s="393"/>
      <c r="EN54" s="394"/>
      <c r="EO54" s="395"/>
      <c r="EP54" s="396"/>
      <c r="EQ54" s="394"/>
      <c r="ER54" s="395"/>
      <c r="ES54" s="397"/>
      <c r="ET54" s="405"/>
      <c r="EU54" s="398"/>
      <c r="EV54" s="398"/>
      <c r="EW54" s="492">
        <f t="shared" si="499"/>
        <v>0</v>
      </c>
      <c r="EX54" s="487">
        <f t="shared" si="500"/>
        <v>0</v>
      </c>
      <c r="EY54" s="487">
        <f t="shared" si="501"/>
        <v>0</v>
      </c>
      <c r="EZ54" s="487">
        <f t="shared" si="502"/>
        <v>0</v>
      </c>
      <c r="FA54" s="474"/>
      <c r="FB54" s="474">
        <f t="shared" si="503"/>
        <v>0</v>
      </c>
      <c r="FC54" s="475"/>
      <c r="FD54" s="547">
        <f t="shared" si="31"/>
        <v>0</v>
      </c>
      <c r="FE54" s="547">
        <f t="shared" si="32"/>
        <v>0</v>
      </c>
      <c r="FF54" s="547">
        <f t="shared" si="33"/>
        <v>0</v>
      </c>
      <c r="FG54" s="547">
        <f t="shared" si="34"/>
        <v>0</v>
      </c>
      <c r="FH54" s="577">
        <f t="shared" si="35"/>
        <v>0</v>
      </c>
      <c r="FI54" s="577">
        <f t="shared" si="36"/>
        <v>0</v>
      </c>
      <c r="FJ54" s="577">
        <f t="shared" si="37"/>
        <v>0</v>
      </c>
      <c r="FK54" s="577">
        <f t="shared" si="38"/>
        <v>0</v>
      </c>
      <c r="FL54" s="577">
        <f t="shared" si="39"/>
        <v>0</v>
      </c>
      <c r="FM54" s="577">
        <f t="shared" si="40"/>
        <v>0</v>
      </c>
      <c r="FN54" s="393"/>
      <c r="FO54" s="394"/>
      <c r="FP54" s="395"/>
      <c r="FQ54" s="396"/>
      <c r="FR54" s="394"/>
      <c r="FS54" s="395"/>
      <c r="FT54" s="397"/>
      <c r="FU54" s="405"/>
      <c r="FV54" s="398"/>
      <c r="FW54" s="398"/>
      <c r="FX54" s="393"/>
      <c r="FY54" s="394"/>
      <c r="FZ54" s="395"/>
      <c r="GA54" s="396"/>
      <c r="GB54" s="394"/>
      <c r="GC54" s="395"/>
      <c r="GD54" s="397">
        <f t="shared" si="41"/>
        <v>0</v>
      </c>
      <c r="GE54" s="405">
        <f t="shared" si="42"/>
        <v>0</v>
      </c>
      <c r="GF54" s="398">
        <f t="shared" si="43"/>
        <v>0</v>
      </c>
      <c r="GG54" s="398"/>
      <c r="GH54" s="393"/>
      <c r="GI54" s="394"/>
      <c r="GJ54" s="395"/>
      <c r="GK54" s="396"/>
      <c r="GL54" s="394"/>
      <c r="GM54" s="395"/>
      <c r="GN54" s="397">
        <f t="shared" si="504"/>
        <v>0</v>
      </c>
      <c r="GO54" s="405">
        <f t="shared" si="505"/>
        <v>0</v>
      </c>
      <c r="GP54" s="398">
        <f t="shared" si="506"/>
        <v>0</v>
      </c>
      <c r="GQ54" s="398"/>
      <c r="GR54" s="650">
        <f t="shared" si="47"/>
        <v>0</v>
      </c>
      <c r="GS54" s="650">
        <f t="shared" si="48"/>
        <v>0</v>
      </c>
      <c r="GT54" s="650">
        <f t="shared" si="49"/>
        <v>0</v>
      </c>
      <c r="GU54" s="650">
        <f t="shared" si="50"/>
        <v>0</v>
      </c>
      <c r="GV54" s="650">
        <f t="shared" si="51"/>
        <v>0</v>
      </c>
      <c r="GW54" s="650">
        <f t="shared" si="52"/>
        <v>0</v>
      </c>
      <c r="GX54" s="393"/>
      <c r="GY54" s="394"/>
      <c r="GZ54" s="395">
        <f t="shared" si="53"/>
        <v>0</v>
      </c>
      <c r="HA54" s="396"/>
      <c r="HB54" s="394"/>
      <c r="HC54" s="395">
        <f t="shared" si="54"/>
        <v>0</v>
      </c>
      <c r="HD54" s="397">
        <f t="shared" si="55"/>
        <v>0</v>
      </c>
      <c r="HE54" s="405">
        <f t="shared" si="56"/>
        <v>0</v>
      </c>
      <c r="HF54" s="398">
        <f t="shared" si="57"/>
        <v>0</v>
      </c>
      <c r="HG54" s="398"/>
      <c r="HH54" s="492">
        <f t="shared" si="58"/>
        <v>0</v>
      </c>
      <c r="HI54" s="487">
        <f t="shared" si="59"/>
        <v>0</v>
      </c>
      <c r="HJ54" s="487">
        <f t="shared" si="60"/>
        <v>0</v>
      </c>
      <c r="HK54" s="487">
        <f t="shared" si="61"/>
        <v>0</v>
      </c>
      <c r="HL54" s="487">
        <f t="shared" si="62"/>
        <v>0</v>
      </c>
      <c r="HM54" s="487">
        <f t="shared" si="63"/>
        <v>0</v>
      </c>
      <c r="HN54" s="474"/>
      <c r="HO54" s="474">
        <f t="shared" si="64"/>
        <v>0</v>
      </c>
      <c r="HP54" s="475"/>
      <c r="HQ54" s="547">
        <f t="shared" si="470"/>
        <v>0</v>
      </c>
      <c r="HR54" s="547">
        <f t="shared" si="471"/>
        <v>0</v>
      </c>
      <c r="HS54" s="547">
        <f t="shared" si="472"/>
        <v>0</v>
      </c>
      <c r="HT54" s="547">
        <f t="shared" si="473"/>
        <v>0</v>
      </c>
      <c r="HU54" s="393"/>
      <c r="HV54" s="394"/>
      <c r="HW54" s="395">
        <f t="shared" si="69"/>
        <v>0</v>
      </c>
      <c r="HX54" s="396"/>
      <c r="HY54" s="394"/>
      <c r="HZ54" s="395">
        <f t="shared" si="70"/>
        <v>0</v>
      </c>
      <c r="IA54" s="397">
        <f t="shared" si="71"/>
        <v>0</v>
      </c>
      <c r="IB54" s="405">
        <f t="shared" si="72"/>
        <v>0</v>
      </c>
      <c r="IC54" s="398">
        <f t="shared" si="73"/>
        <v>0</v>
      </c>
      <c r="ID54" s="398"/>
      <c r="IE54" s="393"/>
      <c r="IF54" s="394"/>
      <c r="IG54" s="395"/>
      <c r="IH54" s="396"/>
      <c r="II54" s="394"/>
      <c r="IJ54" s="395"/>
      <c r="IK54" s="397"/>
      <c r="IL54" s="405"/>
      <c r="IM54" s="398"/>
      <c r="IN54" s="398"/>
      <c r="IO54" s="393"/>
      <c r="IP54" s="394"/>
      <c r="IQ54" s="395"/>
      <c r="IR54" s="396"/>
      <c r="IS54" s="394"/>
      <c r="IT54" s="395"/>
      <c r="IU54" s="397"/>
      <c r="IV54" s="405"/>
      <c r="IW54" s="398"/>
      <c r="IX54" s="398"/>
      <c r="IY54" s="393"/>
      <c r="IZ54" s="394"/>
      <c r="JA54" s="395"/>
      <c r="JB54" s="396"/>
      <c r="JC54" s="394"/>
      <c r="JD54" s="395"/>
      <c r="JE54" s="397"/>
      <c r="JF54" s="405"/>
      <c r="JG54" s="398"/>
      <c r="JH54" s="398"/>
      <c r="JI54" s="494"/>
      <c r="JJ54" s="479"/>
      <c r="JK54" s="479"/>
      <c r="JL54" s="479"/>
      <c r="JM54" s="474"/>
      <c r="JN54" s="474">
        <f t="shared" si="74"/>
        <v>0</v>
      </c>
      <c r="JO54" s="475"/>
      <c r="JP54" s="393"/>
      <c r="JQ54" s="394"/>
      <c r="JR54" s="395"/>
      <c r="JS54" s="396"/>
      <c r="JT54" s="394"/>
      <c r="JU54" s="395"/>
      <c r="JV54" s="397"/>
      <c r="JW54" s="405"/>
      <c r="JX54" s="398"/>
      <c r="JY54" s="398"/>
      <c r="JZ54" s="577">
        <f t="shared" si="466"/>
        <v>0</v>
      </c>
      <c r="KA54" s="412">
        <f t="shared" si="507"/>
        <v>0</v>
      </c>
      <c r="KB54" s="412">
        <f t="shared" si="507"/>
        <v>0</v>
      </c>
      <c r="KC54" s="412">
        <f t="shared" si="508"/>
        <v>0</v>
      </c>
      <c r="KD54" s="412">
        <f t="shared" si="508"/>
        <v>0</v>
      </c>
      <c r="KE54" s="412">
        <f t="shared" si="509"/>
        <v>0</v>
      </c>
      <c r="KF54" s="693">
        <f t="shared" si="509"/>
        <v>0</v>
      </c>
      <c r="KG54" s="687">
        <f t="shared" si="510"/>
        <v>0</v>
      </c>
      <c r="KH54" s="680">
        <v>5</v>
      </c>
      <c r="KI54" s="680">
        <f>KH54-KG54</f>
        <v>5</v>
      </c>
      <c r="KJ54" s="681">
        <f>KG54/KH54</f>
        <v>0</v>
      </c>
      <c r="KK54" s="359">
        <f t="shared" si="511"/>
        <v>0.5</v>
      </c>
      <c r="KL54" s="359"/>
      <c r="KM54" s="359"/>
      <c r="KN54" s="359"/>
      <c r="KO54" s="359"/>
      <c r="KP54" s="359"/>
      <c r="KQ54" s="359"/>
    </row>
    <row r="55" spans="1:303" ht="27" customHeight="1" x14ac:dyDescent="0.3">
      <c r="A55" s="390"/>
      <c r="B55" s="438" t="s">
        <v>35</v>
      </c>
      <c r="C55" s="391" t="s">
        <v>130</v>
      </c>
      <c r="D55" s="392"/>
      <c r="E55" s="393"/>
      <c r="F55" s="394"/>
      <c r="G55" s="395"/>
      <c r="H55" s="396"/>
      <c r="I55" s="394"/>
      <c r="J55" s="395"/>
      <c r="K55" s="397"/>
      <c r="L55" s="398"/>
      <c r="M55" s="398"/>
      <c r="N55" s="399"/>
      <c r="O55" s="393"/>
      <c r="P55" s="394"/>
      <c r="Q55" s="400"/>
      <c r="R55" s="396"/>
      <c r="S55" s="394"/>
      <c r="T55" s="400"/>
      <c r="U55" s="397"/>
      <c r="V55" s="398"/>
      <c r="W55" s="398"/>
      <c r="X55" s="399"/>
      <c r="Y55" s="393"/>
      <c r="Z55" s="394"/>
      <c r="AA55" s="400"/>
      <c r="AB55" s="396"/>
      <c r="AC55" s="394"/>
      <c r="AD55" s="400"/>
      <c r="AE55" s="397"/>
      <c r="AF55" s="405"/>
      <c r="AG55" s="398"/>
      <c r="AH55" s="403"/>
      <c r="AI55" s="393"/>
      <c r="AJ55" s="394"/>
      <c r="AK55" s="395"/>
      <c r="AL55" s="396"/>
      <c r="AM55" s="394"/>
      <c r="AN55" s="395"/>
      <c r="AO55" s="397"/>
      <c r="AP55" s="398"/>
      <c r="AQ55" s="398"/>
      <c r="AR55" s="404"/>
      <c r="AS55" s="486">
        <f t="shared" ref="AS55" si="512">AO55+AE55+U55+K55</f>
        <v>0</v>
      </c>
      <c r="AT55" s="487">
        <f t="shared" ref="AT55" si="513">AP55+AF55+V55+L55</f>
        <v>0</v>
      </c>
      <c r="AU55" s="487">
        <f t="shared" ref="AU55" si="514">AK55+AA55+Q55+G55</f>
        <v>0</v>
      </c>
      <c r="AV55" s="487">
        <f t="shared" ref="AV55" si="515">AN55</f>
        <v>0</v>
      </c>
      <c r="AW55" s="478"/>
      <c r="AX55" s="479">
        <f t="shared" ref="AX55" si="516">SUM(AQ55+AG55+W55+M55)</f>
        <v>0</v>
      </c>
      <c r="AY55" s="537" t="e">
        <f>AX55/AW55</f>
        <v>#DIV/0!</v>
      </c>
      <c r="AZ55" s="547">
        <f t="shared" ref="AZ55" si="517">SUM(E55+O55+Y55+AI55)</f>
        <v>0</v>
      </c>
      <c r="BA55" s="547">
        <f t="shared" ref="BA55" si="518">F55+P55+Z55+AJ55</f>
        <v>0</v>
      </c>
      <c r="BB55" s="547">
        <f t="shared" ref="BB55" si="519">H55+R55+AB55+AL55</f>
        <v>0</v>
      </c>
      <c r="BC55" s="547">
        <f t="shared" ref="BC55" si="520">I55+S55+AC55+AM55</f>
        <v>0</v>
      </c>
      <c r="BD55" s="393">
        <v>1</v>
      </c>
      <c r="BE55" s="394">
        <v>3</v>
      </c>
      <c r="BF55" s="395">
        <f>SUM(BD55:BE55)</f>
        <v>4</v>
      </c>
      <c r="BG55" s="396">
        <v>4</v>
      </c>
      <c r="BH55" s="394">
        <v>1</v>
      </c>
      <c r="BI55" s="395">
        <f>SUM(BG55:BH55)</f>
        <v>5</v>
      </c>
      <c r="BJ55" s="397">
        <f>SUM(BD55+BG55)</f>
        <v>5</v>
      </c>
      <c r="BK55" s="398">
        <f>SUM(BE55+BH55)</f>
        <v>4</v>
      </c>
      <c r="BL55" s="405">
        <f>SUM(BJ55:BK55)</f>
        <v>9</v>
      </c>
      <c r="BM55" s="398"/>
      <c r="BN55" s="393"/>
      <c r="BO55" s="394"/>
      <c r="BP55" s="395"/>
      <c r="BQ55" s="396"/>
      <c r="BR55" s="394"/>
      <c r="BS55" s="395"/>
      <c r="BT55" s="397"/>
      <c r="BU55" s="405"/>
      <c r="BV55" s="398"/>
      <c r="BW55" s="398"/>
      <c r="BX55" s="626">
        <f t="shared" si="16"/>
        <v>1</v>
      </c>
      <c r="BY55" s="626">
        <f t="shared" si="17"/>
        <v>3</v>
      </c>
      <c r="BZ55" s="626">
        <f t="shared" si="18"/>
        <v>4</v>
      </c>
      <c r="CA55" s="626">
        <f t="shared" si="19"/>
        <v>1</v>
      </c>
      <c r="CB55" s="625">
        <f t="shared" si="20"/>
        <v>9</v>
      </c>
      <c r="CC55" s="393"/>
      <c r="CD55" s="394"/>
      <c r="CE55" s="395"/>
      <c r="CF55" s="396"/>
      <c r="CG55" s="394"/>
      <c r="CH55" s="395"/>
      <c r="CI55" s="397"/>
      <c r="CJ55" s="398"/>
      <c r="CK55" s="398"/>
      <c r="CL55" s="414"/>
      <c r="CM55" s="393"/>
      <c r="CN55" s="394"/>
      <c r="CO55" s="395"/>
      <c r="CP55" s="396"/>
      <c r="CQ55" s="394"/>
      <c r="CR55" s="395"/>
      <c r="CS55" s="397"/>
      <c r="CT55" s="398"/>
      <c r="CU55" s="405"/>
      <c r="CV55" s="405"/>
      <c r="CW55" s="492">
        <f t="shared" si="493"/>
        <v>5</v>
      </c>
      <c r="CX55" s="487">
        <f t="shared" si="493"/>
        <v>4</v>
      </c>
      <c r="CY55" s="487">
        <f t="shared" si="493"/>
        <v>9</v>
      </c>
      <c r="CZ55" s="487">
        <f>SUM(CR55+CH55+BS55+BI55)</f>
        <v>5</v>
      </c>
      <c r="DA55" s="474"/>
      <c r="DB55" s="474">
        <f>SUM(CW55:CX55)</f>
        <v>9</v>
      </c>
      <c r="DC55" s="475"/>
      <c r="DD55" s="547">
        <f t="shared" ref="DD55" si="521">BD55+BN55+CC55+CM55</f>
        <v>1</v>
      </c>
      <c r="DE55" s="547">
        <f t="shared" ref="DE55" si="522">BE55+BO55+CD55+CN55</f>
        <v>3</v>
      </c>
      <c r="DF55" s="547">
        <f t="shared" ref="DF55" si="523">BG55+BQ55+CF55+CP55</f>
        <v>4</v>
      </c>
      <c r="DG55" s="547">
        <f t="shared" ref="DG55" si="524">BH55+BR55+CG55+CQ55</f>
        <v>1</v>
      </c>
      <c r="DH55" s="576">
        <f t="shared" si="25"/>
        <v>9</v>
      </c>
      <c r="DI55" s="393"/>
      <c r="DJ55" s="394"/>
      <c r="DK55" s="395"/>
      <c r="DL55" s="396"/>
      <c r="DM55" s="394"/>
      <c r="DN55" s="395"/>
      <c r="DO55" s="397"/>
      <c r="DP55" s="405"/>
      <c r="DQ55" s="398"/>
      <c r="DR55" s="398"/>
      <c r="DS55" s="393"/>
      <c r="DT55" s="394"/>
      <c r="DU55" s="395">
        <f t="shared" ref="DU55" si="525">SUM(DS55:DT55)</f>
        <v>0</v>
      </c>
      <c r="DV55" s="396"/>
      <c r="DW55" s="394"/>
      <c r="DX55" s="395">
        <f t="shared" ref="DX55" si="526">SUM(DV55:DW55)</f>
        <v>0</v>
      </c>
      <c r="DY55" s="397">
        <f t="shared" ref="DY55" si="527">SUM(DS55+DV55)</f>
        <v>0</v>
      </c>
      <c r="DZ55" s="405">
        <f t="shared" ref="DZ55" si="528">SUM(DT55+DW55)</f>
        <v>0</v>
      </c>
      <c r="EA55" s="398">
        <f t="shared" ref="EA55" si="529">SUM(DY55:DZ55)</f>
        <v>0</v>
      </c>
      <c r="EB55" s="398"/>
      <c r="EC55" s="393"/>
      <c r="ED55" s="394"/>
      <c r="EE55" s="395"/>
      <c r="EF55" s="396"/>
      <c r="EG55" s="394"/>
      <c r="EH55" s="395"/>
      <c r="EI55" s="397"/>
      <c r="EJ55" s="405"/>
      <c r="EK55" s="398"/>
      <c r="EL55" s="398"/>
      <c r="EM55" s="393"/>
      <c r="EN55" s="394"/>
      <c r="EO55" s="395"/>
      <c r="EP55" s="396"/>
      <c r="EQ55" s="394"/>
      <c r="ER55" s="395"/>
      <c r="ES55" s="397"/>
      <c r="ET55" s="405"/>
      <c r="EU55" s="398"/>
      <c r="EV55" s="398"/>
      <c r="EW55" s="492">
        <f t="shared" ref="EW55" si="530">SUM(ES55+EI55+DY55+DO55)</f>
        <v>0</v>
      </c>
      <c r="EX55" s="487">
        <f t="shared" ref="EX55" si="531">SUM(ET55+EJ55+DZ55+DP55)</f>
        <v>0</v>
      </c>
      <c r="EY55" s="487">
        <f t="shared" ref="EY55" si="532">SUM(EO55+EE55+DU55+DK55)</f>
        <v>0</v>
      </c>
      <c r="EZ55" s="487">
        <f t="shared" ref="EZ55" si="533">SUM(ER55+EH55+DX55+DN55)</f>
        <v>0</v>
      </c>
      <c r="FA55" s="474"/>
      <c r="FB55" s="474">
        <f t="shared" ref="FB55" si="534">SUM(EW55:EX55)</f>
        <v>0</v>
      </c>
      <c r="FC55" s="475"/>
      <c r="FD55" s="547">
        <f t="shared" si="31"/>
        <v>0</v>
      </c>
      <c r="FE55" s="547">
        <f t="shared" si="32"/>
        <v>0</v>
      </c>
      <c r="FF55" s="547">
        <f t="shared" si="33"/>
        <v>0</v>
      </c>
      <c r="FG55" s="547">
        <f t="shared" si="34"/>
        <v>0</v>
      </c>
      <c r="FH55" s="577">
        <f t="shared" si="35"/>
        <v>0</v>
      </c>
      <c r="FI55" s="577">
        <f t="shared" si="36"/>
        <v>0</v>
      </c>
      <c r="FJ55" s="577">
        <f t="shared" si="37"/>
        <v>0</v>
      </c>
      <c r="FK55" s="577">
        <f t="shared" si="38"/>
        <v>5</v>
      </c>
      <c r="FL55" s="577">
        <f t="shared" si="39"/>
        <v>4</v>
      </c>
      <c r="FM55" s="577">
        <f t="shared" si="40"/>
        <v>9</v>
      </c>
      <c r="FN55" s="393"/>
      <c r="FO55" s="394"/>
      <c r="FP55" s="395"/>
      <c r="FQ55" s="396"/>
      <c r="FR55" s="394"/>
      <c r="FS55" s="395"/>
      <c r="FT55" s="397"/>
      <c r="FU55" s="405"/>
      <c r="FV55" s="398"/>
      <c r="FW55" s="398"/>
      <c r="FX55" s="393"/>
      <c r="FY55" s="394"/>
      <c r="FZ55" s="395"/>
      <c r="GA55" s="396"/>
      <c r="GB55" s="394"/>
      <c r="GC55" s="395"/>
      <c r="GD55" s="397">
        <f t="shared" si="41"/>
        <v>0</v>
      </c>
      <c r="GE55" s="405">
        <f t="shared" si="42"/>
        <v>0</v>
      </c>
      <c r="GF55" s="398">
        <f t="shared" si="43"/>
        <v>0</v>
      </c>
      <c r="GG55" s="398"/>
      <c r="GH55" s="393"/>
      <c r="GI55" s="394"/>
      <c r="GJ55" s="395"/>
      <c r="GK55" s="396"/>
      <c r="GL55" s="394"/>
      <c r="GM55" s="395"/>
      <c r="GN55" s="397">
        <f t="shared" si="504"/>
        <v>0</v>
      </c>
      <c r="GO55" s="405">
        <f t="shared" si="505"/>
        <v>0</v>
      </c>
      <c r="GP55" s="398">
        <f t="shared" si="506"/>
        <v>0</v>
      </c>
      <c r="GQ55" s="398"/>
      <c r="GR55" s="650">
        <f t="shared" si="47"/>
        <v>5</v>
      </c>
      <c r="GS55" s="650">
        <f t="shared" si="48"/>
        <v>4</v>
      </c>
      <c r="GT55" s="650">
        <f t="shared" si="49"/>
        <v>1</v>
      </c>
      <c r="GU55" s="650">
        <f t="shared" si="50"/>
        <v>3</v>
      </c>
      <c r="GV55" s="650">
        <f t="shared" si="51"/>
        <v>4</v>
      </c>
      <c r="GW55" s="650">
        <f t="shared" si="52"/>
        <v>1</v>
      </c>
      <c r="GX55" s="393"/>
      <c r="GY55" s="394"/>
      <c r="GZ55" s="395">
        <f t="shared" si="53"/>
        <v>0</v>
      </c>
      <c r="HA55" s="396"/>
      <c r="HB55" s="394"/>
      <c r="HC55" s="395">
        <f t="shared" si="54"/>
        <v>0</v>
      </c>
      <c r="HD55" s="397">
        <f t="shared" si="55"/>
        <v>0</v>
      </c>
      <c r="HE55" s="405">
        <f t="shared" si="56"/>
        <v>0</v>
      </c>
      <c r="HF55" s="398">
        <f t="shared" si="57"/>
        <v>0</v>
      </c>
      <c r="HG55" s="398"/>
      <c r="HH55" s="492">
        <f t="shared" si="58"/>
        <v>0</v>
      </c>
      <c r="HI55" s="487">
        <f t="shared" si="59"/>
        <v>0</v>
      </c>
      <c r="HJ55" s="487">
        <f t="shared" si="60"/>
        <v>0</v>
      </c>
      <c r="HK55" s="487">
        <f t="shared" si="61"/>
        <v>0</v>
      </c>
      <c r="HL55" s="487">
        <f t="shared" si="62"/>
        <v>0</v>
      </c>
      <c r="HM55" s="487">
        <f t="shared" si="63"/>
        <v>0</v>
      </c>
      <c r="HN55" s="474"/>
      <c r="HO55" s="474">
        <f t="shared" si="64"/>
        <v>0</v>
      </c>
      <c r="HP55" s="475"/>
      <c r="HQ55" s="547">
        <f t="shared" si="470"/>
        <v>0</v>
      </c>
      <c r="HR55" s="547">
        <f t="shared" si="471"/>
        <v>0</v>
      </c>
      <c r="HS55" s="547">
        <f t="shared" si="472"/>
        <v>0</v>
      </c>
      <c r="HT55" s="547">
        <f t="shared" si="473"/>
        <v>0</v>
      </c>
      <c r="HU55" s="393"/>
      <c r="HV55" s="394"/>
      <c r="HW55" s="395">
        <f t="shared" si="69"/>
        <v>0</v>
      </c>
      <c r="HX55" s="396"/>
      <c r="HY55" s="394"/>
      <c r="HZ55" s="395">
        <f t="shared" si="70"/>
        <v>0</v>
      </c>
      <c r="IA55" s="397">
        <f t="shared" si="71"/>
        <v>0</v>
      </c>
      <c r="IB55" s="405">
        <f t="shared" si="72"/>
        <v>0</v>
      </c>
      <c r="IC55" s="398">
        <f t="shared" si="73"/>
        <v>0</v>
      </c>
      <c r="ID55" s="398"/>
      <c r="IE55" s="393"/>
      <c r="IF55" s="394"/>
      <c r="IG55" s="395"/>
      <c r="IH55" s="396"/>
      <c r="II55" s="394"/>
      <c r="IJ55" s="395"/>
      <c r="IK55" s="397"/>
      <c r="IL55" s="405"/>
      <c r="IM55" s="398"/>
      <c r="IN55" s="398"/>
      <c r="IO55" s="393"/>
      <c r="IP55" s="394"/>
      <c r="IQ55" s="395"/>
      <c r="IR55" s="396"/>
      <c r="IS55" s="394"/>
      <c r="IT55" s="395"/>
      <c r="IU55" s="397"/>
      <c r="IV55" s="405"/>
      <c r="IW55" s="398"/>
      <c r="IX55" s="398"/>
      <c r="IY55" s="393"/>
      <c r="IZ55" s="394"/>
      <c r="JA55" s="395"/>
      <c r="JB55" s="396"/>
      <c r="JC55" s="394"/>
      <c r="JD55" s="395"/>
      <c r="JE55" s="397"/>
      <c r="JF55" s="405"/>
      <c r="JG55" s="398"/>
      <c r="JH55" s="398"/>
      <c r="JI55" s="494"/>
      <c r="JJ55" s="479"/>
      <c r="JK55" s="479"/>
      <c r="JL55" s="479"/>
      <c r="JM55" s="474"/>
      <c r="JN55" s="474">
        <f t="shared" si="74"/>
        <v>0</v>
      </c>
      <c r="JO55" s="475"/>
      <c r="JP55" s="393"/>
      <c r="JQ55" s="394"/>
      <c r="JR55" s="395"/>
      <c r="JS55" s="396"/>
      <c r="JT55" s="394"/>
      <c r="JU55" s="395"/>
      <c r="JV55" s="397"/>
      <c r="JW55" s="405"/>
      <c r="JX55" s="398"/>
      <c r="JY55" s="398"/>
      <c r="JZ55" s="577">
        <f t="shared" si="466"/>
        <v>0</v>
      </c>
      <c r="KA55" s="412">
        <f t="shared" si="507"/>
        <v>5</v>
      </c>
      <c r="KB55" s="412">
        <f t="shared" si="507"/>
        <v>4</v>
      </c>
      <c r="KC55" s="412">
        <f t="shared" si="508"/>
        <v>1</v>
      </c>
      <c r="KD55" s="412">
        <f t="shared" si="508"/>
        <v>3</v>
      </c>
      <c r="KE55" s="412">
        <f t="shared" si="509"/>
        <v>4</v>
      </c>
      <c r="KF55" s="693">
        <f t="shared" si="509"/>
        <v>1</v>
      </c>
      <c r="KG55" s="687">
        <f t="shared" ref="KG55" si="535">SUM(KA55:KB55)</f>
        <v>9</v>
      </c>
      <c r="KH55" s="680">
        <v>9</v>
      </c>
      <c r="KI55" s="680">
        <f>KH55-KG55</f>
        <v>0</v>
      </c>
      <c r="KJ55" s="681">
        <f>KG55/KH55</f>
        <v>1</v>
      </c>
      <c r="KK55" s="359">
        <f t="shared" ref="KK55" si="536">KI55/10</f>
        <v>0</v>
      </c>
      <c r="KL55" s="359"/>
      <c r="KM55" s="359"/>
      <c r="KN55" s="359"/>
      <c r="KO55" s="359"/>
      <c r="KP55" s="359"/>
      <c r="KQ55" s="359"/>
    </row>
    <row r="56" spans="1:303" ht="30" customHeight="1" x14ac:dyDescent="0.3">
      <c r="A56" s="463"/>
      <c r="B56" s="418" t="s">
        <v>54</v>
      </c>
      <c r="C56" s="391" t="s">
        <v>130</v>
      </c>
      <c r="D56" s="392">
        <v>10</v>
      </c>
      <c r="E56" s="393"/>
      <c r="F56" s="394"/>
      <c r="G56" s="395"/>
      <c r="H56" s="396"/>
      <c r="I56" s="394"/>
      <c r="J56" s="395"/>
      <c r="K56" s="397"/>
      <c r="L56" s="398"/>
      <c r="M56" s="398"/>
      <c r="N56" s="399"/>
      <c r="O56" s="393"/>
      <c r="P56" s="394"/>
      <c r="Q56" s="400"/>
      <c r="R56" s="396"/>
      <c r="S56" s="394"/>
      <c r="T56" s="400"/>
      <c r="U56" s="397"/>
      <c r="V56" s="398"/>
      <c r="W56" s="398"/>
      <c r="X56" s="399"/>
      <c r="Y56" s="393"/>
      <c r="Z56" s="394"/>
      <c r="AA56" s="400"/>
      <c r="AB56" s="396"/>
      <c r="AC56" s="394"/>
      <c r="AD56" s="400"/>
      <c r="AE56" s="397"/>
      <c r="AF56" s="405"/>
      <c r="AG56" s="398"/>
      <c r="AH56" s="403"/>
      <c r="AI56" s="393"/>
      <c r="AJ56" s="394"/>
      <c r="AK56" s="395"/>
      <c r="AL56" s="396"/>
      <c r="AM56" s="394"/>
      <c r="AN56" s="395"/>
      <c r="AO56" s="397"/>
      <c r="AP56" s="398"/>
      <c r="AQ56" s="398"/>
      <c r="AR56" s="404"/>
      <c r="AS56" s="486">
        <f t="shared" si="484"/>
        <v>0</v>
      </c>
      <c r="AT56" s="487">
        <f t="shared" si="485"/>
        <v>0</v>
      </c>
      <c r="AU56" s="487">
        <f t="shared" si="486"/>
        <v>0</v>
      </c>
      <c r="AV56" s="487">
        <f t="shared" si="487"/>
        <v>0</v>
      </c>
      <c r="AW56" s="478"/>
      <c r="AX56" s="479">
        <f t="shared" si="488"/>
        <v>0</v>
      </c>
      <c r="AY56" s="537"/>
      <c r="AZ56" s="547">
        <f t="shared" si="489"/>
        <v>0</v>
      </c>
      <c r="BA56" s="547">
        <f t="shared" si="490"/>
        <v>0</v>
      </c>
      <c r="BB56" s="547">
        <f t="shared" si="491"/>
        <v>0</v>
      </c>
      <c r="BC56" s="547">
        <f t="shared" si="492"/>
        <v>0</v>
      </c>
      <c r="BD56" s="393"/>
      <c r="BE56" s="394"/>
      <c r="BF56" s="395"/>
      <c r="BG56" s="396"/>
      <c r="BH56" s="394"/>
      <c r="BI56" s="395"/>
      <c r="BJ56" s="397"/>
      <c r="BK56" s="398"/>
      <c r="BL56" s="405"/>
      <c r="BM56" s="398"/>
      <c r="BN56" s="393"/>
      <c r="BO56" s="394"/>
      <c r="BP56" s="395"/>
      <c r="BQ56" s="396"/>
      <c r="BR56" s="394"/>
      <c r="BS56" s="395"/>
      <c r="BT56" s="397"/>
      <c r="BU56" s="405"/>
      <c r="BV56" s="398"/>
      <c r="BW56" s="398"/>
      <c r="BX56" s="626">
        <f t="shared" si="16"/>
        <v>0</v>
      </c>
      <c r="BY56" s="626">
        <f t="shared" si="17"/>
        <v>0</v>
      </c>
      <c r="BZ56" s="626">
        <f t="shared" si="18"/>
        <v>0</v>
      </c>
      <c r="CA56" s="626">
        <f t="shared" si="19"/>
        <v>0</v>
      </c>
      <c r="CB56" s="625">
        <f t="shared" si="20"/>
        <v>0</v>
      </c>
      <c r="CC56" s="393"/>
      <c r="CD56" s="394"/>
      <c r="CE56" s="395"/>
      <c r="CF56" s="396"/>
      <c r="CG56" s="394"/>
      <c r="CH56" s="395"/>
      <c r="CI56" s="397"/>
      <c r="CJ56" s="398"/>
      <c r="CK56" s="398"/>
      <c r="CL56" s="414"/>
      <c r="CM56" s="393"/>
      <c r="CN56" s="394"/>
      <c r="CO56" s="395"/>
      <c r="CP56" s="396"/>
      <c r="CQ56" s="394"/>
      <c r="CR56" s="395"/>
      <c r="CS56" s="397"/>
      <c r="CT56" s="398"/>
      <c r="CU56" s="405"/>
      <c r="CV56" s="405"/>
      <c r="CW56" s="492">
        <f t="shared" si="493"/>
        <v>0</v>
      </c>
      <c r="CX56" s="487">
        <f t="shared" si="493"/>
        <v>0</v>
      </c>
      <c r="CY56" s="487">
        <f t="shared" si="493"/>
        <v>0</v>
      </c>
      <c r="CZ56" s="487">
        <f>SUM(CR56+CH56+BS56+BI56)</f>
        <v>0</v>
      </c>
      <c r="DA56" s="474"/>
      <c r="DB56" s="474">
        <f>SUM(CW56:CX56)</f>
        <v>0</v>
      </c>
      <c r="DC56" s="475"/>
      <c r="DD56" s="547">
        <f t="shared" si="21"/>
        <v>0</v>
      </c>
      <c r="DE56" s="547">
        <f t="shared" si="22"/>
        <v>0</v>
      </c>
      <c r="DF56" s="547">
        <f t="shared" si="23"/>
        <v>0</v>
      </c>
      <c r="DG56" s="547">
        <f t="shared" si="24"/>
        <v>0</v>
      </c>
      <c r="DH56" s="576">
        <f t="shared" si="25"/>
        <v>0</v>
      </c>
      <c r="DI56" s="393"/>
      <c r="DJ56" s="394"/>
      <c r="DK56" s="395"/>
      <c r="DL56" s="396"/>
      <c r="DM56" s="394"/>
      <c r="DN56" s="395"/>
      <c r="DO56" s="397"/>
      <c r="DP56" s="405"/>
      <c r="DQ56" s="398"/>
      <c r="DR56" s="398"/>
      <c r="DS56" s="393"/>
      <c r="DT56" s="394"/>
      <c r="DU56" s="395">
        <f t="shared" si="494"/>
        <v>0</v>
      </c>
      <c r="DV56" s="396"/>
      <c r="DW56" s="394"/>
      <c r="DX56" s="395">
        <f t="shared" si="495"/>
        <v>0</v>
      </c>
      <c r="DY56" s="397">
        <f t="shared" si="496"/>
        <v>0</v>
      </c>
      <c r="DZ56" s="405">
        <f t="shared" si="497"/>
        <v>0</v>
      </c>
      <c r="EA56" s="398">
        <f t="shared" si="498"/>
        <v>0</v>
      </c>
      <c r="EB56" s="398"/>
      <c r="EC56" s="393"/>
      <c r="ED56" s="394"/>
      <c r="EE56" s="395"/>
      <c r="EF56" s="396"/>
      <c r="EG56" s="394"/>
      <c r="EH56" s="395"/>
      <c r="EI56" s="397"/>
      <c r="EJ56" s="405"/>
      <c r="EK56" s="398"/>
      <c r="EL56" s="398"/>
      <c r="EM56" s="393"/>
      <c r="EN56" s="394"/>
      <c r="EO56" s="395"/>
      <c r="EP56" s="396"/>
      <c r="EQ56" s="394"/>
      <c r="ER56" s="395"/>
      <c r="ES56" s="397"/>
      <c r="ET56" s="405"/>
      <c r="EU56" s="398"/>
      <c r="EV56" s="398"/>
      <c r="EW56" s="492">
        <f t="shared" si="499"/>
        <v>0</v>
      </c>
      <c r="EX56" s="487">
        <f t="shared" si="500"/>
        <v>0</v>
      </c>
      <c r="EY56" s="487">
        <f t="shared" si="501"/>
        <v>0</v>
      </c>
      <c r="EZ56" s="487">
        <f t="shared" si="502"/>
        <v>0</v>
      </c>
      <c r="FA56" s="474"/>
      <c r="FB56" s="474">
        <f t="shared" si="503"/>
        <v>0</v>
      </c>
      <c r="FC56" s="475"/>
      <c r="FD56" s="547">
        <f t="shared" si="31"/>
        <v>0</v>
      </c>
      <c r="FE56" s="547">
        <f t="shared" si="32"/>
        <v>0</v>
      </c>
      <c r="FF56" s="547">
        <f t="shared" si="33"/>
        <v>0</v>
      </c>
      <c r="FG56" s="547">
        <f t="shared" si="34"/>
        <v>0</v>
      </c>
      <c r="FH56" s="577">
        <f t="shared" si="35"/>
        <v>0</v>
      </c>
      <c r="FI56" s="577">
        <f t="shared" si="36"/>
        <v>0</v>
      </c>
      <c r="FJ56" s="577">
        <f t="shared" si="37"/>
        <v>0</v>
      </c>
      <c r="FK56" s="577">
        <f t="shared" si="38"/>
        <v>0</v>
      </c>
      <c r="FL56" s="577">
        <f t="shared" si="39"/>
        <v>0</v>
      </c>
      <c r="FM56" s="577">
        <f t="shared" si="40"/>
        <v>0</v>
      </c>
      <c r="FN56" s="393"/>
      <c r="FO56" s="394"/>
      <c r="FP56" s="395"/>
      <c r="FQ56" s="396"/>
      <c r="FR56" s="394"/>
      <c r="FS56" s="395"/>
      <c r="FT56" s="397"/>
      <c r="FU56" s="405"/>
      <c r="FV56" s="398"/>
      <c r="FW56" s="398"/>
      <c r="FX56" s="393"/>
      <c r="FY56" s="394"/>
      <c r="FZ56" s="395"/>
      <c r="GA56" s="396"/>
      <c r="GB56" s="394"/>
      <c r="GC56" s="395"/>
      <c r="GD56" s="397">
        <f t="shared" si="41"/>
        <v>0</v>
      </c>
      <c r="GE56" s="405">
        <f t="shared" si="42"/>
        <v>0</v>
      </c>
      <c r="GF56" s="398">
        <f t="shared" si="43"/>
        <v>0</v>
      </c>
      <c r="GG56" s="398"/>
      <c r="GH56" s="393"/>
      <c r="GI56" s="394"/>
      <c r="GJ56" s="395"/>
      <c r="GK56" s="396"/>
      <c r="GL56" s="394"/>
      <c r="GM56" s="395"/>
      <c r="GN56" s="397">
        <f t="shared" si="504"/>
        <v>0</v>
      </c>
      <c r="GO56" s="405">
        <f t="shared" si="505"/>
        <v>0</v>
      </c>
      <c r="GP56" s="398">
        <f t="shared" si="506"/>
        <v>0</v>
      </c>
      <c r="GQ56" s="398"/>
      <c r="GR56" s="650">
        <f t="shared" si="47"/>
        <v>0</v>
      </c>
      <c r="GS56" s="650">
        <f t="shared" si="48"/>
        <v>0</v>
      </c>
      <c r="GT56" s="650">
        <f t="shared" si="49"/>
        <v>0</v>
      </c>
      <c r="GU56" s="650">
        <f t="shared" si="50"/>
        <v>0</v>
      </c>
      <c r="GV56" s="650">
        <f t="shared" si="51"/>
        <v>0</v>
      </c>
      <c r="GW56" s="650">
        <f t="shared" si="52"/>
        <v>0</v>
      </c>
      <c r="GX56" s="393"/>
      <c r="GY56" s="394"/>
      <c r="GZ56" s="395">
        <f t="shared" si="53"/>
        <v>0</v>
      </c>
      <c r="HA56" s="396"/>
      <c r="HB56" s="394"/>
      <c r="HC56" s="395">
        <f t="shared" si="54"/>
        <v>0</v>
      </c>
      <c r="HD56" s="397">
        <f t="shared" si="55"/>
        <v>0</v>
      </c>
      <c r="HE56" s="405">
        <f t="shared" si="56"/>
        <v>0</v>
      </c>
      <c r="HF56" s="398">
        <f t="shared" si="57"/>
        <v>0</v>
      </c>
      <c r="HG56" s="398"/>
      <c r="HH56" s="492">
        <f t="shared" si="58"/>
        <v>0</v>
      </c>
      <c r="HI56" s="487">
        <f t="shared" si="59"/>
        <v>0</v>
      </c>
      <c r="HJ56" s="487">
        <f t="shared" si="60"/>
        <v>0</v>
      </c>
      <c r="HK56" s="487">
        <f t="shared" si="61"/>
        <v>0</v>
      </c>
      <c r="HL56" s="487">
        <f t="shared" si="62"/>
        <v>0</v>
      </c>
      <c r="HM56" s="487">
        <f t="shared" si="63"/>
        <v>0</v>
      </c>
      <c r="HN56" s="474"/>
      <c r="HO56" s="474">
        <f t="shared" si="64"/>
        <v>0</v>
      </c>
      <c r="HP56" s="475"/>
      <c r="HQ56" s="547">
        <f t="shared" si="470"/>
        <v>0</v>
      </c>
      <c r="HR56" s="547">
        <f t="shared" si="471"/>
        <v>0</v>
      </c>
      <c r="HS56" s="547">
        <f t="shared" si="472"/>
        <v>0</v>
      </c>
      <c r="HT56" s="547">
        <f t="shared" si="473"/>
        <v>0</v>
      </c>
      <c r="HU56" s="393"/>
      <c r="HV56" s="394"/>
      <c r="HW56" s="395">
        <f t="shared" si="69"/>
        <v>0</v>
      </c>
      <c r="HX56" s="396"/>
      <c r="HY56" s="394"/>
      <c r="HZ56" s="395">
        <f t="shared" si="70"/>
        <v>0</v>
      </c>
      <c r="IA56" s="397">
        <f t="shared" si="71"/>
        <v>0</v>
      </c>
      <c r="IB56" s="405">
        <f t="shared" si="72"/>
        <v>0</v>
      </c>
      <c r="IC56" s="398">
        <f t="shared" si="73"/>
        <v>0</v>
      </c>
      <c r="ID56" s="398"/>
      <c r="IE56" s="393"/>
      <c r="IF56" s="394"/>
      <c r="IG56" s="395"/>
      <c r="IH56" s="396"/>
      <c r="II56" s="394"/>
      <c r="IJ56" s="395"/>
      <c r="IK56" s="397"/>
      <c r="IL56" s="405"/>
      <c r="IM56" s="398"/>
      <c r="IN56" s="398"/>
      <c r="IO56" s="393"/>
      <c r="IP56" s="394"/>
      <c r="IQ56" s="395"/>
      <c r="IR56" s="396"/>
      <c r="IS56" s="394"/>
      <c r="IT56" s="395"/>
      <c r="IU56" s="397"/>
      <c r="IV56" s="405"/>
      <c r="IW56" s="398"/>
      <c r="IX56" s="398"/>
      <c r="IY56" s="393"/>
      <c r="IZ56" s="394"/>
      <c r="JA56" s="395"/>
      <c r="JB56" s="396"/>
      <c r="JC56" s="394"/>
      <c r="JD56" s="395"/>
      <c r="JE56" s="397"/>
      <c r="JF56" s="405"/>
      <c r="JG56" s="398"/>
      <c r="JH56" s="398"/>
      <c r="JI56" s="494"/>
      <c r="JJ56" s="479"/>
      <c r="JK56" s="479"/>
      <c r="JL56" s="479"/>
      <c r="JM56" s="474"/>
      <c r="JN56" s="474">
        <f t="shared" si="74"/>
        <v>0</v>
      </c>
      <c r="JO56" s="475"/>
      <c r="JP56" s="393"/>
      <c r="JQ56" s="394"/>
      <c r="JR56" s="395"/>
      <c r="JS56" s="396"/>
      <c r="JT56" s="394"/>
      <c r="JU56" s="395"/>
      <c r="JV56" s="397"/>
      <c r="JW56" s="405"/>
      <c r="JX56" s="398"/>
      <c r="JY56" s="398"/>
      <c r="JZ56" s="577">
        <f t="shared" si="466"/>
        <v>0</v>
      </c>
      <c r="KA56" s="412">
        <f t="shared" si="507"/>
        <v>0</v>
      </c>
      <c r="KB56" s="412">
        <f t="shared" si="507"/>
        <v>0</v>
      </c>
      <c r="KC56" s="412">
        <f t="shared" si="508"/>
        <v>0</v>
      </c>
      <c r="KD56" s="412">
        <f t="shared" si="508"/>
        <v>0</v>
      </c>
      <c r="KE56" s="412">
        <f t="shared" si="509"/>
        <v>0</v>
      </c>
      <c r="KF56" s="693">
        <f t="shared" si="509"/>
        <v>0</v>
      </c>
      <c r="KG56" s="687">
        <f t="shared" si="510"/>
        <v>0</v>
      </c>
      <c r="KH56" s="680">
        <v>10</v>
      </c>
      <c r="KI56" s="680">
        <f>KH56-KG56</f>
        <v>10</v>
      </c>
      <c r="KJ56" s="681">
        <f>KG56/KH56</f>
        <v>0</v>
      </c>
      <c r="KK56" s="359">
        <f t="shared" si="511"/>
        <v>1</v>
      </c>
      <c r="KL56" s="359"/>
      <c r="KM56" s="359"/>
      <c r="KN56" s="359"/>
      <c r="KO56" s="359"/>
      <c r="KP56" s="359"/>
      <c r="KQ56" s="359"/>
    </row>
    <row r="57" spans="1:303" ht="33" customHeight="1" x14ac:dyDescent="0.3">
      <c r="A57" s="390"/>
      <c r="B57" s="439" t="s">
        <v>61</v>
      </c>
      <c r="C57" s="391" t="s">
        <v>130</v>
      </c>
      <c r="D57" s="392">
        <v>20</v>
      </c>
      <c r="E57" s="393"/>
      <c r="F57" s="394"/>
      <c r="G57" s="395"/>
      <c r="H57" s="396"/>
      <c r="I57" s="394"/>
      <c r="J57" s="395"/>
      <c r="K57" s="397"/>
      <c r="L57" s="398"/>
      <c r="M57" s="398"/>
      <c r="N57" s="399"/>
      <c r="O57" s="393"/>
      <c r="P57" s="394"/>
      <c r="Q57" s="400"/>
      <c r="R57" s="396"/>
      <c r="S57" s="394"/>
      <c r="T57" s="400"/>
      <c r="U57" s="397"/>
      <c r="V57" s="398"/>
      <c r="W57" s="398"/>
      <c r="X57" s="399"/>
      <c r="Y57" s="393"/>
      <c r="Z57" s="394"/>
      <c r="AA57" s="400"/>
      <c r="AB57" s="396"/>
      <c r="AC57" s="394"/>
      <c r="AD57" s="400"/>
      <c r="AE57" s="397"/>
      <c r="AF57" s="405"/>
      <c r="AG57" s="398"/>
      <c r="AH57" s="403"/>
      <c r="AI57" s="393"/>
      <c r="AJ57" s="394"/>
      <c r="AK57" s="395"/>
      <c r="AL57" s="396"/>
      <c r="AM57" s="394"/>
      <c r="AN57" s="395"/>
      <c r="AO57" s="397"/>
      <c r="AP57" s="398"/>
      <c r="AQ57" s="398"/>
      <c r="AR57" s="404"/>
      <c r="AS57" s="486">
        <f t="shared" si="484"/>
        <v>0</v>
      </c>
      <c r="AT57" s="487">
        <f t="shared" si="485"/>
        <v>0</v>
      </c>
      <c r="AU57" s="487">
        <f t="shared" si="486"/>
        <v>0</v>
      </c>
      <c r="AV57" s="487">
        <f t="shared" si="487"/>
        <v>0</v>
      </c>
      <c r="AW57" s="478">
        <f>SUM(AS57:AT57)</f>
        <v>0</v>
      </c>
      <c r="AX57" s="479">
        <f t="shared" si="488"/>
        <v>0</v>
      </c>
      <c r="AY57" s="537" t="e">
        <f>AX57/AW57</f>
        <v>#DIV/0!</v>
      </c>
      <c r="AZ57" s="547">
        <f t="shared" si="489"/>
        <v>0</v>
      </c>
      <c r="BA57" s="547">
        <f t="shared" si="490"/>
        <v>0</v>
      </c>
      <c r="BB57" s="547">
        <f t="shared" si="491"/>
        <v>0</v>
      </c>
      <c r="BC57" s="547">
        <f t="shared" si="492"/>
        <v>0</v>
      </c>
      <c r="BD57" s="393"/>
      <c r="BE57" s="394"/>
      <c r="BF57" s="395"/>
      <c r="BG57" s="396"/>
      <c r="BH57" s="394"/>
      <c r="BI57" s="395"/>
      <c r="BJ57" s="397"/>
      <c r="BK57" s="398"/>
      <c r="BL57" s="405"/>
      <c r="BM57" s="398"/>
      <c r="BN57" s="393"/>
      <c r="BO57" s="394"/>
      <c r="BP57" s="395"/>
      <c r="BQ57" s="396"/>
      <c r="BR57" s="394"/>
      <c r="BS57" s="395"/>
      <c r="BT57" s="397"/>
      <c r="BU57" s="405"/>
      <c r="BV57" s="398"/>
      <c r="BW57" s="398"/>
      <c r="BX57" s="626">
        <f t="shared" si="16"/>
        <v>0</v>
      </c>
      <c r="BY57" s="626">
        <f t="shared" si="17"/>
        <v>0</v>
      </c>
      <c r="BZ57" s="626">
        <f t="shared" si="18"/>
        <v>0</v>
      </c>
      <c r="CA57" s="626">
        <f t="shared" si="19"/>
        <v>0</v>
      </c>
      <c r="CB57" s="625">
        <f t="shared" si="20"/>
        <v>0</v>
      </c>
      <c r="CC57" s="393"/>
      <c r="CD57" s="394"/>
      <c r="CE57" s="395"/>
      <c r="CF57" s="396"/>
      <c r="CG57" s="394"/>
      <c r="CH57" s="395"/>
      <c r="CI57" s="397"/>
      <c r="CJ57" s="398"/>
      <c r="CK57" s="398"/>
      <c r="CL57" s="414"/>
      <c r="CM57" s="393"/>
      <c r="CN57" s="394"/>
      <c r="CO57" s="395"/>
      <c r="CP57" s="396"/>
      <c r="CQ57" s="394"/>
      <c r="CR57" s="395"/>
      <c r="CS57" s="397"/>
      <c r="CT57" s="398"/>
      <c r="CU57" s="405"/>
      <c r="CV57" s="405"/>
      <c r="CW57" s="492">
        <f t="shared" si="493"/>
        <v>0</v>
      </c>
      <c r="CX57" s="487">
        <f t="shared" si="493"/>
        <v>0</v>
      </c>
      <c r="CY57" s="487">
        <f t="shared" si="493"/>
        <v>0</v>
      </c>
      <c r="CZ57" s="487">
        <f>SUM(CR57+CH57+BS57+BI57)</f>
        <v>0</v>
      </c>
      <c r="DA57" s="474"/>
      <c r="DB57" s="474">
        <f>SUM(CW57:CX57)</f>
        <v>0</v>
      </c>
      <c r="DC57" s="475"/>
      <c r="DD57" s="547">
        <f t="shared" si="21"/>
        <v>0</v>
      </c>
      <c r="DE57" s="547">
        <f t="shared" si="22"/>
        <v>0</v>
      </c>
      <c r="DF57" s="547">
        <f t="shared" si="23"/>
        <v>0</v>
      </c>
      <c r="DG57" s="547">
        <f t="shared" si="24"/>
        <v>0</v>
      </c>
      <c r="DH57" s="576">
        <f t="shared" si="25"/>
        <v>0</v>
      </c>
      <c r="DI57" s="393"/>
      <c r="DJ57" s="394"/>
      <c r="DK57" s="395"/>
      <c r="DL57" s="396"/>
      <c r="DM57" s="394"/>
      <c r="DN57" s="395"/>
      <c r="DO57" s="397"/>
      <c r="DP57" s="405"/>
      <c r="DQ57" s="398"/>
      <c r="DR57" s="398"/>
      <c r="DS57" s="393"/>
      <c r="DT57" s="394"/>
      <c r="DU57" s="395">
        <f t="shared" si="494"/>
        <v>0</v>
      </c>
      <c r="DV57" s="396"/>
      <c r="DW57" s="394"/>
      <c r="DX57" s="395">
        <f t="shared" si="495"/>
        <v>0</v>
      </c>
      <c r="DY57" s="397">
        <f t="shared" si="496"/>
        <v>0</v>
      </c>
      <c r="DZ57" s="405">
        <f t="shared" si="497"/>
        <v>0</v>
      </c>
      <c r="EA57" s="398">
        <f t="shared" si="498"/>
        <v>0</v>
      </c>
      <c r="EB57" s="398"/>
      <c r="EC57" s="393"/>
      <c r="ED57" s="394"/>
      <c r="EE57" s="395"/>
      <c r="EF57" s="396"/>
      <c r="EG57" s="394"/>
      <c r="EH57" s="395"/>
      <c r="EI57" s="397"/>
      <c r="EJ57" s="405"/>
      <c r="EK57" s="398"/>
      <c r="EL57" s="398"/>
      <c r="EM57" s="393"/>
      <c r="EN57" s="394"/>
      <c r="EO57" s="395"/>
      <c r="EP57" s="396"/>
      <c r="EQ57" s="394"/>
      <c r="ER57" s="395"/>
      <c r="ES57" s="397"/>
      <c r="ET57" s="405"/>
      <c r="EU57" s="398"/>
      <c r="EV57" s="398"/>
      <c r="EW57" s="492">
        <f t="shared" si="499"/>
        <v>0</v>
      </c>
      <c r="EX57" s="487">
        <f t="shared" si="500"/>
        <v>0</v>
      </c>
      <c r="EY57" s="487">
        <f t="shared" si="501"/>
        <v>0</v>
      </c>
      <c r="EZ57" s="487">
        <f t="shared" si="502"/>
        <v>0</v>
      </c>
      <c r="FA57" s="474"/>
      <c r="FB57" s="474">
        <f t="shared" si="503"/>
        <v>0</v>
      </c>
      <c r="FC57" s="475"/>
      <c r="FD57" s="547">
        <f t="shared" si="31"/>
        <v>0</v>
      </c>
      <c r="FE57" s="547">
        <f t="shared" si="32"/>
        <v>0</v>
      </c>
      <c r="FF57" s="547">
        <f t="shared" si="33"/>
        <v>0</v>
      </c>
      <c r="FG57" s="547">
        <f t="shared" si="34"/>
        <v>0</v>
      </c>
      <c r="FH57" s="577">
        <f t="shared" si="35"/>
        <v>0</v>
      </c>
      <c r="FI57" s="577">
        <f t="shared" si="36"/>
        <v>0</v>
      </c>
      <c r="FJ57" s="577">
        <f t="shared" si="37"/>
        <v>0</v>
      </c>
      <c r="FK57" s="577">
        <f t="shared" si="38"/>
        <v>0</v>
      </c>
      <c r="FL57" s="577">
        <f t="shared" si="39"/>
        <v>0</v>
      </c>
      <c r="FM57" s="577">
        <f t="shared" si="40"/>
        <v>0</v>
      </c>
      <c r="FN57" s="393"/>
      <c r="FO57" s="394"/>
      <c r="FP57" s="395"/>
      <c r="FQ57" s="396"/>
      <c r="FR57" s="394"/>
      <c r="FS57" s="395"/>
      <c r="FT57" s="397"/>
      <c r="FU57" s="405"/>
      <c r="FV57" s="398"/>
      <c r="FW57" s="398"/>
      <c r="FX57" s="393"/>
      <c r="FY57" s="394"/>
      <c r="FZ57" s="395"/>
      <c r="GA57" s="396"/>
      <c r="GB57" s="394"/>
      <c r="GC57" s="395"/>
      <c r="GD57" s="397">
        <f t="shared" si="41"/>
        <v>0</v>
      </c>
      <c r="GE57" s="405">
        <f t="shared" si="42"/>
        <v>0</v>
      </c>
      <c r="GF57" s="398">
        <f t="shared" si="43"/>
        <v>0</v>
      </c>
      <c r="GG57" s="398"/>
      <c r="GH57" s="393"/>
      <c r="GI57" s="394"/>
      <c r="GJ57" s="395"/>
      <c r="GK57" s="396"/>
      <c r="GL57" s="394"/>
      <c r="GM57" s="395"/>
      <c r="GN57" s="397">
        <f t="shared" si="504"/>
        <v>0</v>
      </c>
      <c r="GO57" s="405">
        <f t="shared" si="505"/>
        <v>0</v>
      </c>
      <c r="GP57" s="398">
        <f t="shared" si="506"/>
        <v>0</v>
      </c>
      <c r="GQ57" s="398"/>
      <c r="GR57" s="650">
        <f t="shared" si="47"/>
        <v>0</v>
      </c>
      <c r="GS57" s="650">
        <f t="shared" si="48"/>
        <v>0</v>
      </c>
      <c r="GT57" s="650">
        <f t="shared" si="49"/>
        <v>0</v>
      </c>
      <c r="GU57" s="650">
        <f t="shared" si="50"/>
        <v>0</v>
      </c>
      <c r="GV57" s="650">
        <f t="shared" si="51"/>
        <v>0</v>
      </c>
      <c r="GW57" s="650">
        <f t="shared" si="52"/>
        <v>0</v>
      </c>
      <c r="GX57" s="393"/>
      <c r="GY57" s="394"/>
      <c r="GZ57" s="395">
        <f t="shared" si="53"/>
        <v>0</v>
      </c>
      <c r="HA57" s="396"/>
      <c r="HB57" s="394"/>
      <c r="HC57" s="395">
        <f t="shared" si="54"/>
        <v>0</v>
      </c>
      <c r="HD57" s="397">
        <f t="shared" si="55"/>
        <v>0</v>
      </c>
      <c r="HE57" s="405">
        <f t="shared" si="56"/>
        <v>0</v>
      </c>
      <c r="HF57" s="398">
        <f t="shared" si="57"/>
        <v>0</v>
      </c>
      <c r="HG57" s="398"/>
      <c r="HH57" s="492">
        <f t="shared" si="58"/>
        <v>0</v>
      </c>
      <c r="HI57" s="487">
        <f t="shared" si="59"/>
        <v>0</v>
      </c>
      <c r="HJ57" s="487">
        <f t="shared" si="60"/>
        <v>0</v>
      </c>
      <c r="HK57" s="487">
        <f t="shared" si="61"/>
        <v>0</v>
      </c>
      <c r="HL57" s="487">
        <f t="shared" si="62"/>
        <v>0</v>
      </c>
      <c r="HM57" s="487">
        <f t="shared" si="63"/>
        <v>0</v>
      </c>
      <c r="HN57" s="474"/>
      <c r="HO57" s="474">
        <f t="shared" si="64"/>
        <v>0</v>
      </c>
      <c r="HP57" s="475"/>
      <c r="HQ57" s="547">
        <f t="shared" si="470"/>
        <v>0</v>
      </c>
      <c r="HR57" s="547">
        <f t="shared" si="471"/>
        <v>0</v>
      </c>
      <c r="HS57" s="547">
        <f t="shared" si="472"/>
        <v>0</v>
      </c>
      <c r="HT57" s="547">
        <f t="shared" si="473"/>
        <v>0</v>
      </c>
      <c r="HU57" s="393"/>
      <c r="HV57" s="394"/>
      <c r="HW57" s="395">
        <f t="shared" si="69"/>
        <v>0</v>
      </c>
      <c r="HX57" s="396"/>
      <c r="HY57" s="394"/>
      <c r="HZ57" s="395">
        <f t="shared" si="70"/>
        <v>0</v>
      </c>
      <c r="IA57" s="397">
        <f t="shared" si="71"/>
        <v>0</v>
      </c>
      <c r="IB57" s="405">
        <f t="shared" si="72"/>
        <v>0</v>
      </c>
      <c r="IC57" s="398">
        <f t="shared" si="73"/>
        <v>0</v>
      </c>
      <c r="ID57" s="398"/>
      <c r="IE57" s="393"/>
      <c r="IF57" s="394"/>
      <c r="IG57" s="395"/>
      <c r="IH57" s="396"/>
      <c r="II57" s="394"/>
      <c r="IJ57" s="395"/>
      <c r="IK57" s="397"/>
      <c r="IL57" s="405"/>
      <c r="IM57" s="398"/>
      <c r="IN57" s="398"/>
      <c r="IO57" s="393"/>
      <c r="IP57" s="394"/>
      <c r="IQ57" s="395"/>
      <c r="IR57" s="396"/>
      <c r="IS57" s="394"/>
      <c r="IT57" s="395"/>
      <c r="IU57" s="397"/>
      <c r="IV57" s="405"/>
      <c r="IW57" s="398"/>
      <c r="IX57" s="398"/>
      <c r="IY57" s="393"/>
      <c r="IZ57" s="394"/>
      <c r="JA57" s="395"/>
      <c r="JB57" s="396"/>
      <c r="JC57" s="394"/>
      <c r="JD57" s="395"/>
      <c r="JE57" s="397"/>
      <c r="JF57" s="405"/>
      <c r="JG57" s="398"/>
      <c r="JH57" s="398"/>
      <c r="JI57" s="494"/>
      <c r="JJ57" s="479"/>
      <c r="JK57" s="479"/>
      <c r="JL57" s="479"/>
      <c r="JM57" s="474"/>
      <c r="JN57" s="474">
        <f t="shared" si="74"/>
        <v>0</v>
      </c>
      <c r="JO57" s="475"/>
      <c r="JP57" s="393"/>
      <c r="JQ57" s="394"/>
      <c r="JR57" s="395"/>
      <c r="JS57" s="396"/>
      <c r="JT57" s="394"/>
      <c r="JU57" s="395"/>
      <c r="JV57" s="397"/>
      <c r="JW57" s="405"/>
      <c r="JX57" s="398"/>
      <c r="JY57" s="398"/>
      <c r="JZ57" s="577">
        <f t="shared" si="466"/>
        <v>0</v>
      </c>
      <c r="KA57" s="412">
        <f t="shared" si="507"/>
        <v>0</v>
      </c>
      <c r="KB57" s="412">
        <f t="shared" si="507"/>
        <v>0</v>
      </c>
      <c r="KC57" s="412">
        <f t="shared" si="508"/>
        <v>0</v>
      </c>
      <c r="KD57" s="412">
        <f t="shared" si="508"/>
        <v>0</v>
      </c>
      <c r="KE57" s="412">
        <f t="shared" si="509"/>
        <v>0</v>
      </c>
      <c r="KF57" s="693">
        <f t="shared" si="509"/>
        <v>0</v>
      </c>
      <c r="KG57" s="687">
        <f t="shared" si="510"/>
        <v>0</v>
      </c>
      <c r="KH57" s="680">
        <v>20</v>
      </c>
      <c r="KI57" s="680">
        <f>KH57-KG57</f>
        <v>20</v>
      </c>
      <c r="KJ57" s="681">
        <f>KG57/KH57</f>
        <v>0</v>
      </c>
      <c r="KK57" s="359">
        <f t="shared" si="511"/>
        <v>2</v>
      </c>
      <c r="KL57" s="359"/>
      <c r="KM57" s="359"/>
      <c r="KN57" s="359"/>
      <c r="KO57" s="359"/>
      <c r="KP57" s="359"/>
      <c r="KQ57" s="359"/>
    </row>
    <row r="58" spans="1:303" ht="36" customHeight="1" x14ac:dyDescent="0.3">
      <c r="A58" s="390"/>
      <c r="B58" s="464" t="s">
        <v>157</v>
      </c>
      <c r="C58" s="391" t="s">
        <v>130</v>
      </c>
      <c r="D58" s="392"/>
      <c r="E58" s="393"/>
      <c r="F58" s="394"/>
      <c r="G58" s="395"/>
      <c r="H58" s="396"/>
      <c r="I58" s="394"/>
      <c r="J58" s="395"/>
      <c r="K58" s="397"/>
      <c r="L58" s="398"/>
      <c r="M58" s="398"/>
      <c r="N58" s="399"/>
      <c r="O58" s="393"/>
      <c r="P58" s="394"/>
      <c r="Q58" s="400"/>
      <c r="R58" s="396"/>
      <c r="S58" s="394"/>
      <c r="T58" s="400"/>
      <c r="U58" s="397"/>
      <c r="V58" s="398"/>
      <c r="W58" s="398"/>
      <c r="X58" s="399"/>
      <c r="Y58" s="393"/>
      <c r="Z58" s="394"/>
      <c r="AA58" s="400"/>
      <c r="AB58" s="396"/>
      <c r="AC58" s="394"/>
      <c r="AD58" s="400"/>
      <c r="AE58" s="397"/>
      <c r="AF58" s="405"/>
      <c r="AG58" s="398"/>
      <c r="AH58" s="403"/>
      <c r="AI58" s="393"/>
      <c r="AJ58" s="394"/>
      <c r="AK58" s="395"/>
      <c r="AL58" s="396"/>
      <c r="AM58" s="394"/>
      <c r="AN58" s="395"/>
      <c r="AO58" s="397"/>
      <c r="AP58" s="398"/>
      <c r="AQ58" s="398"/>
      <c r="AR58" s="404"/>
      <c r="AS58" s="486"/>
      <c r="AT58" s="487"/>
      <c r="AU58" s="487"/>
      <c r="AV58" s="487"/>
      <c r="AW58" s="478"/>
      <c r="AX58" s="479"/>
      <c r="AY58" s="537"/>
      <c r="AZ58" s="547">
        <f t="shared" si="489"/>
        <v>0</v>
      </c>
      <c r="BA58" s="547">
        <f t="shared" si="490"/>
        <v>0</v>
      </c>
      <c r="BB58" s="547">
        <f t="shared" si="491"/>
        <v>0</v>
      </c>
      <c r="BC58" s="547">
        <f t="shared" si="492"/>
        <v>0</v>
      </c>
      <c r="BD58" s="393"/>
      <c r="BE58" s="394"/>
      <c r="BF58" s="395"/>
      <c r="BG58" s="396"/>
      <c r="BH58" s="394"/>
      <c r="BI58" s="395"/>
      <c r="BJ58" s="397"/>
      <c r="BK58" s="398"/>
      <c r="BL58" s="405"/>
      <c r="BM58" s="398"/>
      <c r="BN58" s="393"/>
      <c r="BO58" s="394"/>
      <c r="BP58" s="395"/>
      <c r="BQ58" s="396"/>
      <c r="BR58" s="394"/>
      <c r="BS58" s="395"/>
      <c r="BT58" s="397"/>
      <c r="BU58" s="405"/>
      <c r="BV58" s="398"/>
      <c r="BW58" s="398"/>
      <c r="BX58" s="626">
        <f t="shared" si="16"/>
        <v>0</v>
      </c>
      <c r="BY58" s="626">
        <f t="shared" si="17"/>
        <v>0</v>
      </c>
      <c r="BZ58" s="626">
        <f t="shared" si="18"/>
        <v>0</v>
      </c>
      <c r="CA58" s="626">
        <f t="shared" si="19"/>
        <v>0</v>
      </c>
      <c r="CB58" s="625">
        <f t="shared" si="20"/>
        <v>0</v>
      </c>
      <c r="CC58" s="393"/>
      <c r="CD58" s="394"/>
      <c r="CE58" s="395"/>
      <c r="CF58" s="396"/>
      <c r="CG58" s="394"/>
      <c r="CH58" s="395"/>
      <c r="CI58" s="397"/>
      <c r="CJ58" s="398"/>
      <c r="CK58" s="398"/>
      <c r="CL58" s="414"/>
      <c r="CM58" s="393"/>
      <c r="CN58" s="394"/>
      <c r="CO58" s="395"/>
      <c r="CP58" s="396"/>
      <c r="CQ58" s="394"/>
      <c r="CR58" s="395"/>
      <c r="CS58" s="397"/>
      <c r="CT58" s="398"/>
      <c r="CU58" s="405"/>
      <c r="CV58" s="405"/>
      <c r="CW58" s="492"/>
      <c r="CX58" s="487"/>
      <c r="CY58" s="487"/>
      <c r="CZ58" s="487"/>
      <c r="DA58" s="474"/>
      <c r="DB58" s="474"/>
      <c r="DC58" s="475"/>
      <c r="DD58" s="547">
        <f t="shared" si="21"/>
        <v>0</v>
      </c>
      <c r="DE58" s="547">
        <f t="shared" si="22"/>
        <v>0</v>
      </c>
      <c r="DF58" s="547">
        <f t="shared" si="23"/>
        <v>0</v>
      </c>
      <c r="DG58" s="547">
        <f t="shared" si="24"/>
        <v>0</v>
      </c>
      <c r="DH58" s="576">
        <f t="shared" si="25"/>
        <v>0</v>
      </c>
      <c r="DI58" s="530"/>
      <c r="DJ58" s="531"/>
      <c r="DK58" s="495"/>
      <c r="DL58" s="396"/>
      <c r="DM58" s="394"/>
      <c r="DN58" s="395"/>
      <c r="DO58" s="397"/>
      <c r="DP58" s="405"/>
      <c r="DQ58" s="398"/>
      <c r="DR58" s="398"/>
      <c r="DS58" s="393"/>
      <c r="DT58" s="394"/>
      <c r="DU58" s="395"/>
      <c r="DV58" s="396"/>
      <c r="DW58" s="394"/>
      <c r="DX58" s="395"/>
      <c r="DY58" s="397"/>
      <c r="DZ58" s="405"/>
      <c r="EA58" s="398"/>
      <c r="EB58" s="398"/>
      <c r="EC58" s="393"/>
      <c r="ED58" s="394"/>
      <c r="EE58" s="395"/>
      <c r="EF58" s="396"/>
      <c r="EG58" s="394"/>
      <c r="EH58" s="395"/>
      <c r="EI58" s="397"/>
      <c r="EJ58" s="405"/>
      <c r="EK58" s="398"/>
      <c r="EL58" s="398"/>
      <c r="EM58" s="393">
        <v>19</v>
      </c>
      <c r="EN58" s="394">
        <v>13</v>
      </c>
      <c r="EO58" s="395">
        <f>SUM(EM58:EN58)</f>
        <v>32</v>
      </c>
      <c r="EP58" s="396">
        <v>0</v>
      </c>
      <c r="EQ58" s="394">
        <v>0</v>
      </c>
      <c r="ER58" s="395">
        <f>SUM(EP58:EQ58)</f>
        <v>0</v>
      </c>
      <c r="ES58" s="397">
        <f>SUM(EM58+EP58)</f>
        <v>19</v>
      </c>
      <c r="ET58" s="405">
        <f>SUM(EN58+EQ58)</f>
        <v>13</v>
      </c>
      <c r="EU58" s="398">
        <f>SUM(ES58:ET58)</f>
        <v>32</v>
      </c>
      <c r="EV58" s="398"/>
      <c r="EW58" s="492"/>
      <c r="EX58" s="487"/>
      <c r="EY58" s="487"/>
      <c r="EZ58" s="487"/>
      <c r="FA58" s="474"/>
      <c r="FB58" s="474"/>
      <c r="FC58" s="475"/>
      <c r="FD58" s="547">
        <f t="shared" si="31"/>
        <v>19</v>
      </c>
      <c r="FE58" s="547">
        <f t="shared" si="32"/>
        <v>13</v>
      </c>
      <c r="FF58" s="547">
        <f t="shared" si="33"/>
        <v>0</v>
      </c>
      <c r="FG58" s="547">
        <f t="shared" si="34"/>
        <v>0</v>
      </c>
      <c r="FH58" s="577">
        <f t="shared" si="35"/>
        <v>19</v>
      </c>
      <c r="FI58" s="577">
        <f t="shared" si="36"/>
        <v>13</v>
      </c>
      <c r="FJ58" s="577">
        <f t="shared" si="37"/>
        <v>32</v>
      </c>
      <c r="FK58" s="577">
        <f t="shared" si="38"/>
        <v>0</v>
      </c>
      <c r="FL58" s="577">
        <f t="shared" si="39"/>
        <v>0</v>
      </c>
      <c r="FM58" s="577">
        <f t="shared" si="40"/>
        <v>0</v>
      </c>
      <c r="FN58" s="393"/>
      <c r="FO58" s="394"/>
      <c r="FP58" s="395"/>
      <c r="FQ58" s="396"/>
      <c r="FR58" s="394"/>
      <c r="FS58" s="395"/>
      <c r="FT58" s="397"/>
      <c r="FU58" s="405"/>
      <c r="FV58" s="398"/>
      <c r="FW58" s="398"/>
      <c r="FX58" s="393"/>
      <c r="FY58" s="394"/>
      <c r="FZ58" s="395"/>
      <c r="GA58" s="396"/>
      <c r="GB58" s="394"/>
      <c r="GC58" s="395"/>
      <c r="GD58" s="397">
        <f t="shared" si="41"/>
        <v>0</v>
      </c>
      <c r="GE58" s="405">
        <f t="shared" si="42"/>
        <v>0</v>
      </c>
      <c r="GF58" s="398">
        <f t="shared" si="43"/>
        <v>0</v>
      </c>
      <c r="GG58" s="398"/>
      <c r="GH58" s="393"/>
      <c r="GI58" s="394"/>
      <c r="GJ58" s="395"/>
      <c r="GK58" s="396"/>
      <c r="GL58" s="394"/>
      <c r="GM58" s="395"/>
      <c r="GN58" s="397">
        <f t="shared" si="504"/>
        <v>0</v>
      </c>
      <c r="GO58" s="405">
        <f t="shared" si="505"/>
        <v>0</v>
      </c>
      <c r="GP58" s="398">
        <f t="shared" si="506"/>
        <v>0</v>
      </c>
      <c r="GQ58" s="398"/>
      <c r="GR58" s="650">
        <f t="shared" si="47"/>
        <v>19</v>
      </c>
      <c r="GS58" s="650">
        <f t="shared" si="48"/>
        <v>13</v>
      </c>
      <c r="GT58" s="650">
        <f t="shared" si="49"/>
        <v>19</v>
      </c>
      <c r="GU58" s="650">
        <f t="shared" si="50"/>
        <v>13</v>
      </c>
      <c r="GV58" s="650">
        <f t="shared" si="51"/>
        <v>0</v>
      </c>
      <c r="GW58" s="650">
        <f t="shared" si="52"/>
        <v>0</v>
      </c>
      <c r="GX58" s="393"/>
      <c r="GY58" s="394"/>
      <c r="GZ58" s="395">
        <f t="shared" si="53"/>
        <v>0</v>
      </c>
      <c r="HA58" s="396"/>
      <c r="HB58" s="394"/>
      <c r="HC58" s="395">
        <f t="shared" si="54"/>
        <v>0</v>
      </c>
      <c r="HD58" s="397">
        <f t="shared" si="55"/>
        <v>0</v>
      </c>
      <c r="HE58" s="405">
        <f t="shared" si="56"/>
        <v>0</v>
      </c>
      <c r="HF58" s="398">
        <f t="shared" si="57"/>
        <v>0</v>
      </c>
      <c r="HG58" s="398"/>
      <c r="HH58" s="492">
        <f t="shared" si="58"/>
        <v>0</v>
      </c>
      <c r="HI58" s="487">
        <f t="shared" si="59"/>
        <v>0</v>
      </c>
      <c r="HJ58" s="487">
        <f t="shared" si="60"/>
        <v>0</v>
      </c>
      <c r="HK58" s="487">
        <f t="shared" si="61"/>
        <v>0</v>
      </c>
      <c r="HL58" s="487">
        <f t="shared" si="62"/>
        <v>0</v>
      </c>
      <c r="HM58" s="487">
        <f t="shared" si="63"/>
        <v>0</v>
      </c>
      <c r="HN58" s="474"/>
      <c r="HO58" s="474">
        <f t="shared" si="64"/>
        <v>0</v>
      </c>
      <c r="HP58" s="475"/>
      <c r="HQ58" s="547">
        <f t="shared" si="470"/>
        <v>0</v>
      </c>
      <c r="HR58" s="547">
        <f t="shared" si="471"/>
        <v>0</v>
      </c>
      <c r="HS58" s="547">
        <f t="shared" si="472"/>
        <v>0</v>
      </c>
      <c r="HT58" s="547">
        <f t="shared" si="473"/>
        <v>0</v>
      </c>
      <c r="HU58" s="393"/>
      <c r="HV58" s="394"/>
      <c r="HW58" s="395">
        <f t="shared" si="69"/>
        <v>0</v>
      </c>
      <c r="HX58" s="396"/>
      <c r="HY58" s="394"/>
      <c r="HZ58" s="395">
        <f t="shared" si="70"/>
        <v>0</v>
      </c>
      <c r="IA58" s="397">
        <f t="shared" si="71"/>
        <v>0</v>
      </c>
      <c r="IB58" s="405">
        <f t="shared" si="72"/>
        <v>0</v>
      </c>
      <c r="IC58" s="398">
        <f t="shared" si="73"/>
        <v>0</v>
      </c>
      <c r="ID58" s="398"/>
      <c r="IE58" s="393"/>
      <c r="IF58" s="394"/>
      <c r="IG58" s="395"/>
      <c r="IH58" s="396"/>
      <c r="II58" s="394"/>
      <c r="IJ58" s="395"/>
      <c r="IK58" s="397"/>
      <c r="IL58" s="405"/>
      <c r="IM58" s="398"/>
      <c r="IN58" s="398"/>
      <c r="IO58" s="393"/>
      <c r="IP58" s="394"/>
      <c r="IQ58" s="395"/>
      <c r="IR58" s="396"/>
      <c r="IS58" s="394"/>
      <c r="IT58" s="395"/>
      <c r="IU58" s="397"/>
      <c r="IV58" s="405"/>
      <c r="IW58" s="398"/>
      <c r="IX58" s="398"/>
      <c r="IY58" s="393"/>
      <c r="IZ58" s="394"/>
      <c r="JA58" s="395"/>
      <c r="JB58" s="396"/>
      <c r="JC58" s="394"/>
      <c r="JD58" s="395"/>
      <c r="JE58" s="397"/>
      <c r="JF58" s="405"/>
      <c r="JG58" s="398"/>
      <c r="JH58" s="398"/>
      <c r="JI58" s="494"/>
      <c r="JJ58" s="479"/>
      <c r="JK58" s="479"/>
      <c r="JL58" s="479"/>
      <c r="JM58" s="474"/>
      <c r="JN58" s="474">
        <f t="shared" si="74"/>
        <v>0</v>
      </c>
      <c r="JO58" s="475"/>
      <c r="JP58" s="393"/>
      <c r="JQ58" s="394"/>
      <c r="JR58" s="395"/>
      <c r="JS58" s="396"/>
      <c r="JT58" s="394"/>
      <c r="JU58" s="395"/>
      <c r="JV58" s="397"/>
      <c r="JW58" s="405"/>
      <c r="JX58" s="398"/>
      <c r="JY58" s="398"/>
      <c r="JZ58" s="577">
        <f t="shared" si="466"/>
        <v>0</v>
      </c>
      <c r="KA58" s="412"/>
      <c r="KB58" s="412"/>
      <c r="KC58" s="412"/>
      <c r="KD58" s="412"/>
      <c r="KE58" s="412"/>
      <c r="KF58" s="693"/>
      <c r="KG58" s="687"/>
      <c r="KH58" s="680"/>
      <c r="KI58" s="680"/>
      <c r="KJ58" s="681"/>
      <c r="KK58" s="359"/>
      <c r="KL58" s="359"/>
      <c r="KM58" s="359"/>
      <c r="KN58" s="359"/>
      <c r="KO58" s="359"/>
      <c r="KP58" s="359"/>
      <c r="KQ58" s="359"/>
    </row>
    <row r="59" spans="1:303" ht="36" customHeight="1" x14ac:dyDescent="0.4">
      <c r="A59" s="390"/>
      <c r="B59" s="464" t="s">
        <v>158</v>
      </c>
      <c r="C59" s="391" t="s">
        <v>131</v>
      </c>
      <c r="D59" s="392"/>
      <c r="E59" s="393"/>
      <c r="F59" s="394"/>
      <c r="G59" s="395"/>
      <c r="H59" s="396"/>
      <c r="I59" s="394"/>
      <c r="J59" s="395"/>
      <c r="K59" s="397"/>
      <c r="L59" s="398"/>
      <c r="M59" s="398"/>
      <c r="N59" s="399"/>
      <c r="O59" s="393">
        <v>500</v>
      </c>
      <c r="P59" s="394">
        <v>190</v>
      </c>
      <c r="Q59" s="400">
        <f>SUM(O59:P59)</f>
        <v>690</v>
      </c>
      <c r="R59" s="396">
        <v>0</v>
      </c>
      <c r="S59" s="394">
        <v>0</v>
      </c>
      <c r="T59" s="400">
        <f>SUM(R59:S59)</f>
        <v>0</v>
      </c>
      <c r="U59" s="397">
        <f>SUM(O59+R59)</f>
        <v>500</v>
      </c>
      <c r="V59" s="398">
        <f>SUM(P59+S59)</f>
        <v>190</v>
      </c>
      <c r="W59" s="398"/>
      <c r="X59" s="399"/>
      <c r="Y59" s="393"/>
      <c r="Z59" s="394"/>
      <c r="AA59" s="400"/>
      <c r="AB59" s="396"/>
      <c r="AC59" s="394"/>
      <c r="AD59" s="400"/>
      <c r="AE59" s="397"/>
      <c r="AF59" s="405"/>
      <c r="AG59" s="398"/>
      <c r="AH59" s="403"/>
      <c r="AI59" s="393">
        <v>66</v>
      </c>
      <c r="AJ59" s="394">
        <v>58</v>
      </c>
      <c r="AK59" s="395">
        <f>SUM(AI59:AJ59)</f>
        <v>124</v>
      </c>
      <c r="AL59" s="396">
        <v>0</v>
      </c>
      <c r="AM59" s="394">
        <v>0</v>
      </c>
      <c r="AN59" s="395">
        <f>SUM(AL59:AM59)</f>
        <v>0</v>
      </c>
      <c r="AO59" s="397">
        <f>SUM(AI59+AL59)</f>
        <v>66</v>
      </c>
      <c r="AP59" s="398">
        <f>SUM(AJ59+AM59)</f>
        <v>58</v>
      </c>
      <c r="AQ59" s="398">
        <f>SUM(AO59:AP59)</f>
        <v>124</v>
      </c>
      <c r="AR59" s="404"/>
      <c r="AS59" s="486">
        <f t="shared" ref="AS59" si="537">AO59+AE59+U59+K59</f>
        <v>566</v>
      </c>
      <c r="AT59" s="487">
        <f t="shared" ref="AT59" si="538">AP59+AF59+V59+L59</f>
        <v>248</v>
      </c>
      <c r="AU59" s="487">
        <f t="shared" ref="AU59" si="539">AK59+AA59+Q59+G59</f>
        <v>814</v>
      </c>
      <c r="AV59" s="487">
        <f t="shared" ref="AV59" si="540">AN59</f>
        <v>0</v>
      </c>
      <c r="AW59" s="478"/>
      <c r="AX59" s="479">
        <f t="shared" ref="AX59" si="541">SUM(AQ59+AG59+W59+M59)</f>
        <v>124</v>
      </c>
      <c r="AY59" s="537"/>
      <c r="AZ59" s="547">
        <f t="shared" si="489"/>
        <v>566</v>
      </c>
      <c r="BA59" s="547">
        <f t="shared" si="490"/>
        <v>248</v>
      </c>
      <c r="BB59" s="547">
        <f t="shared" si="491"/>
        <v>0</v>
      </c>
      <c r="BC59" s="547">
        <f t="shared" si="492"/>
        <v>0</v>
      </c>
      <c r="BD59" s="393"/>
      <c r="BE59" s="394"/>
      <c r="BF59" s="395"/>
      <c r="BG59" s="396"/>
      <c r="BH59" s="394"/>
      <c r="BI59" s="395"/>
      <c r="BJ59" s="397"/>
      <c r="BK59" s="398"/>
      <c r="BL59" s="405"/>
      <c r="BM59" s="398"/>
      <c r="BN59" s="393">
        <v>45</v>
      </c>
      <c r="BO59" s="394">
        <v>35</v>
      </c>
      <c r="BP59" s="395"/>
      <c r="BQ59" s="396"/>
      <c r="BR59" s="394"/>
      <c r="BS59" s="395"/>
      <c r="BT59" s="397"/>
      <c r="BU59" s="405"/>
      <c r="BV59" s="398"/>
      <c r="BW59" s="398"/>
      <c r="BX59" s="626">
        <f t="shared" si="16"/>
        <v>611</v>
      </c>
      <c r="BY59" s="626">
        <f t="shared" si="17"/>
        <v>283</v>
      </c>
      <c r="BZ59" s="626">
        <f t="shared" si="18"/>
        <v>0</v>
      </c>
      <c r="CA59" s="626">
        <f t="shared" si="19"/>
        <v>0</v>
      </c>
      <c r="CB59" s="625">
        <f t="shared" si="20"/>
        <v>894</v>
      </c>
      <c r="CC59" s="393"/>
      <c r="CD59" s="394"/>
      <c r="CE59" s="395"/>
      <c r="CF59" s="396"/>
      <c r="CG59" s="394"/>
      <c r="CH59" s="395"/>
      <c r="CI59" s="397"/>
      <c r="CJ59" s="398"/>
      <c r="CK59" s="398"/>
      <c r="CL59" s="414"/>
      <c r="CM59" s="393">
        <v>626</v>
      </c>
      <c r="CN59" s="394">
        <v>501</v>
      </c>
      <c r="CO59" s="395">
        <f>SUM(CM59:CN59)</f>
        <v>1127</v>
      </c>
      <c r="CP59" s="396">
        <v>0</v>
      </c>
      <c r="CQ59" s="394">
        <v>0</v>
      </c>
      <c r="CR59" s="395">
        <f>SUM(CP59:CQ59)</f>
        <v>0</v>
      </c>
      <c r="CS59" s="397"/>
      <c r="CT59" s="398"/>
      <c r="CU59" s="405"/>
      <c r="CV59" s="405"/>
      <c r="CW59" s="492"/>
      <c r="CX59" s="487"/>
      <c r="CY59" s="487"/>
      <c r="CZ59" s="487"/>
      <c r="DA59" s="474"/>
      <c r="DB59" s="474"/>
      <c r="DC59" s="529"/>
      <c r="DD59" s="547">
        <f t="shared" si="21"/>
        <v>671</v>
      </c>
      <c r="DE59" s="547">
        <f t="shared" si="22"/>
        <v>536</v>
      </c>
      <c r="DF59" s="547">
        <f t="shared" si="23"/>
        <v>0</v>
      </c>
      <c r="DG59" s="547">
        <f t="shared" si="24"/>
        <v>0</v>
      </c>
      <c r="DH59" s="581">
        <f t="shared" si="25"/>
        <v>124</v>
      </c>
      <c r="DI59" s="528">
        <v>0</v>
      </c>
      <c r="DJ59" s="528">
        <v>0</v>
      </c>
      <c r="DK59" s="580">
        <f>SUM(DI59:DJ59)</f>
        <v>0</v>
      </c>
      <c r="DL59" s="393">
        <v>0</v>
      </c>
      <c r="DM59" s="394">
        <v>0</v>
      </c>
      <c r="DN59" s="395">
        <f>SUM(DL59:DM59)</f>
        <v>0</v>
      </c>
      <c r="DO59" s="397"/>
      <c r="DP59" s="405"/>
      <c r="DQ59" s="398"/>
      <c r="DR59" s="398"/>
      <c r="DS59" s="393"/>
      <c r="DT59" s="394"/>
      <c r="DU59" s="395"/>
      <c r="DV59" s="396"/>
      <c r="DW59" s="394"/>
      <c r="DX59" s="395"/>
      <c r="DY59" s="397"/>
      <c r="DZ59" s="405"/>
      <c r="EA59" s="398"/>
      <c r="EB59" s="398"/>
      <c r="EC59" s="393"/>
      <c r="ED59" s="394"/>
      <c r="EE59" s="395"/>
      <c r="EF59" s="396"/>
      <c r="EG59" s="394"/>
      <c r="EH59" s="395"/>
      <c r="EI59" s="397"/>
      <c r="EJ59" s="405"/>
      <c r="EK59" s="398"/>
      <c r="EL59" s="398"/>
      <c r="EM59" s="393">
        <v>179</v>
      </c>
      <c r="EN59" s="394">
        <v>203</v>
      </c>
      <c r="EO59" s="395">
        <f>SUM(EM59:EN59)</f>
        <v>382</v>
      </c>
      <c r="EP59" s="396">
        <v>0</v>
      </c>
      <c r="EQ59" s="394">
        <v>0</v>
      </c>
      <c r="ER59" s="395">
        <f>SUM(EP59:EQ59)</f>
        <v>0</v>
      </c>
      <c r="ES59" s="397">
        <f>SUM(EM59+EP59)</f>
        <v>179</v>
      </c>
      <c r="ET59" s="405">
        <f>SUM(EN59+EQ59)</f>
        <v>203</v>
      </c>
      <c r="EU59" s="398">
        <f>SUM(ES59:ET59)</f>
        <v>382</v>
      </c>
      <c r="EV59" s="398">
        <v>11</v>
      </c>
      <c r="EW59" s="492">
        <f t="shared" ref="EW59" si="542">SUM(ES59+EI59+DY59+DO59)</f>
        <v>179</v>
      </c>
      <c r="EX59" s="487">
        <f t="shared" ref="EX59" si="543">SUM(ET59+EJ59+DZ59+DP59)</f>
        <v>203</v>
      </c>
      <c r="EY59" s="487">
        <f t="shared" ref="EY59" si="544">SUM(EO59+EE59+DU59+DK59)</f>
        <v>382</v>
      </c>
      <c r="EZ59" s="487">
        <f t="shared" ref="EZ59" si="545">SUM(ER59+EH59+DX59+DN59)</f>
        <v>0</v>
      </c>
      <c r="FA59" s="474"/>
      <c r="FB59" s="474">
        <f t="shared" ref="FB59" si="546">SUM(EW59:EX59)</f>
        <v>382</v>
      </c>
      <c r="FC59" s="475"/>
      <c r="FD59" s="547">
        <f t="shared" si="31"/>
        <v>805</v>
      </c>
      <c r="FE59" s="547">
        <f t="shared" si="32"/>
        <v>704</v>
      </c>
      <c r="FF59" s="547">
        <f t="shared" si="33"/>
        <v>0</v>
      </c>
      <c r="FG59" s="547">
        <f t="shared" si="34"/>
        <v>0</v>
      </c>
      <c r="FH59" s="577">
        <f t="shared" si="35"/>
        <v>805</v>
      </c>
      <c r="FI59" s="577">
        <f t="shared" si="36"/>
        <v>704</v>
      </c>
      <c r="FJ59" s="577">
        <f t="shared" si="37"/>
        <v>1509</v>
      </c>
      <c r="FK59" s="577">
        <f t="shared" si="38"/>
        <v>745</v>
      </c>
      <c r="FL59" s="577">
        <f t="shared" si="39"/>
        <v>451</v>
      </c>
      <c r="FM59" s="577">
        <f t="shared" si="40"/>
        <v>1196</v>
      </c>
      <c r="FN59" s="393"/>
      <c r="FO59" s="394"/>
      <c r="FP59" s="395"/>
      <c r="FQ59" s="396"/>
      <c r="FR59" s="394"/>
      <c r="FS59" s="395"/>
      <c r="FT59" s="397"/>
      <c r="FU59" s="405"/>
      <c r="FV59" s="398"/>
      <c r="FW59" s="398"/>
      <c r="FX59" s="393"/>
      <c r="FY59" s="394"/>
      <c r="FZ59" s="395"/>
      <c r="GA59" s="396"/>
      <c r="GB59" s="394"/>
      <c r="GC59" s="395"/>
      <c r="GD59" s="397">
        <f t="shared" si="41"/>
        <v>0</v>
      </c>
      <c r="GE59" s="405">
        <f t="shared" si="42"/>
        <v>0</v>
      </c>
      <c r="GF59" s="398">
        <f t="shared" si="43"/>
        <v>0</v>
      </c>
      <c r="GG59" s="398"/>
      <c r="GH59" s="393"/>
      <c r="GI59" s="394"/>
      <c r="GJ59" s="395"/>
      <c r="GK59" s="396"/>
      <c r="GL59" s="394"/>
      <c r="GM59" s="395"/>
      <c r="GN59" s="397">
        <f t="shared" si="504"/>
        <v>0</v>
      </c>
      <c r="GO59" s="405">
        <f t="shared" si="505"/>
        <v>0</v>
      </c>
      <c r="GP59" s="398">
        <f t="shared" si="506"/>
        <v>0</v>
      </c>
      <c r="GQ59" s="398"/>
      <c r="GR59" s="650">
        <f t="shared" si="47"/>
        <v>179</v>
      </c>
      <c r="GS59" s="650">
        <f t="shared" si="48"/>
        <v>203</v>
      </c>
      <c r="GT59" s="650">
        <f t="shared" si="49"/>
        <v>850</v>
      </c>
      <c r="GU59" s="650">
        <f t="shared" si="50"/>
        <v>739</v>
      </c>
      <c r="GV59" s="650">
        <f t="shared" si="51"/>
        <v>0</v>
      </c>
      <c r="GW59" s="650">
        <f t="shared" si="52"/>
        <v>0</v>
      </c>
      <c r="GX59" s="393">
        <v>446</v>
      </c>
      <c r="GY59" s="394">
        <v>527</v>
      </c>
      <c r="GZ59" s="395">
        <f t="shared" si="53"/>
        <v>973</v>
      </c>
      <c r="HA59" s="396">
        <v>0</v>
      </c>
      <c r="HB59" s="394">
        <v>0</v>
      </c>
      <c r="HC59" s="395">
        <f t="shared" si="54"/>
        <v>0</v>
      </c>
      <c r="HD59" s="397">
        <f t="shared" si="55"/>
        <v>446</v>
      </c>
      <c r="HE59" s="405">
        <f t="shared" si="56"/>
        <v>527</v>
      </c>
      <c r="HF59" s="398">
        <f t="shared" si="57"/>
        <v>973</v>
      </c>
      <c r="HG59" s="398"/>
      <c r="HH59" s="492">
        <f t="shared" si="58"/>
        <v>446</v>
      </c>
      <c r="HI59" s="487">
        <f t="shared" si="59"/>
        <v>527</v>
      </c>
      <c r="HJ59" s="487">
        <f t="shared" si="60"/>
        <v>446</v>
      </c>
      <c r="HK59" s="487">
        <f t="shared" si="61"/>
        <v>527</v>
      </c>
      <c r="HL59" s="487">
        <f t="shared" si="62"/>
        <v>0</v>
      </c>
      <c r="HM59" s="487">
        <f t="shared" si="63"/>
        <v>0</v>
      </c>
      <c r="HN59" s="474"/>
      <c r="HO59" s="474">
        <f t="shared" si="64"/>
        <v>973</v>
      </c>
      <c r="HP59" s="475"/>
      <c r="HQ59" s="547">
        <f t="shared" si="470"/>
        <v>446</v>
      </c>
      <c r="HR59" s="547">
        <f t="shared" si="471"/>
        <v>527</v>
      </c>
      <c r="HS59" s="547">
        <f t="shared" si="472"/>
        <v>0</v>
      </c>
      <c r="HT59" s="547">
        <f t="shared" si="473"/>
        <v>0</v>
      </c>
      <c r="HU59" s="393"/>
      <c r="HV59" s="394"/>
      <c r="HW59" s="395">
        <f t="shared" si="69"/>
        <v>0</v>
      </c>
      <c r="HX59" s="396"/>
      <c r="HY59" s="394"/>
      <c r="HZ59" s="395">
        <f t="shared" si="70"/>
        <v>0</v>
      </c>
      <c r="IA59" s="397">
        <f t="shared" si="71"/>
        <v>0</v>
      </c>
      <c r="IB59" s="405">
        <f t="shared" si="72"/>
        <v>0</v>
      </c>
      <c r="IC59" s="398">
        <f t="shared" si="73"/>
        <v>0</v>
      </c>
      <c r="ID59" s="398"/>
      <c r="IE59" s="393"/>
      <c r="IF59" s="394"/>
      <c r="IG59" s="395"/>
      <c r="IH59" s="396"/>
      <c r="II59" s="394"/>
      <c r="IJ59" s="395"/>
      <c r="IK59" s="397"/>
      <c r="IL59" s="405"/>
      <c r="IM59" s="398"/>
      <c r="IN59" s="398"/>
      <c r="IO59" s="393"/>
      <c r="IP59" s="394"/>
      <c r="IQ59" s="395"/>
      <c r="IR59" s="396"/>
      <c r="IS59" s="394"/>
      <c r="IT59" s="395"/>
      <c r="IU59" s="397"/>
      <c r="IV59" s="405"/>
      <c r="IW59" s="398"/>
      <c r="IX59" s="398"/>
      <c r="IY59" s="393"/>
      <c r="IZ59" s="394"/>
      <c r="JA59" s="395"/>
      <c r="JB59" s="396"/>
      <c r="JC59" s="394"/>
      <c r="JD59" s="395"/>
      <c r="JE59" s="397"/>
      <c r="JF59" s="405"/>
      <c r="JG59" s="398"/>
      <c r="JH59" s="398"/>
      <c r="JI59" s="494"/>
      <c r="JJ59" s="479"/>
      <c r="JK59" s="479"/>
      <c r="JL59" s="479"/>
      <c r="JM59" s="474"/>
      <c r="JN59" s="474">
        <f t="shared" si="74"/>
        <v>0</v>
      </c>
      <c r="JO59" s="475"/>
      <c r="JP59" s="393"/>
      <c r="JQ59" s="394"/>
      <c r="JR59" s="395"/>
      <c r="JS59" s="396"/>
      <c r="JT59" s="394"/>
      <c r="JU59" s="395"/>
      <c r="JV59" s="397"/>
      <c r="JW59" s="405"/>
      <c r="JX59" s="398"/>
      <c r="JY59" s="398"/>
      <c r="JZ59" s="577">
        <f t="shared" si="466"/>
        <v>1355</v>
      </c>
      <c r="KA59" s="412">
        <f>SUM(JV59+JE59+IU59+IK59+IA59+HD59+GN59+GD59+FT59+ES59+EI59+DY59+DO59+CS59+CI59+BT59+BJ59+AO59+AE59+U59+K59)</f>
        <v>1191</v>
      </c>
      <c r="KB59" s="412">
        <f>SUM(JW59+JF59+IV59+IL59+IB59+HE59+GO59+GE59+FU59+ET59+EJ59+DZ59+DP59+CT59+CJ59+BU59+BK59+AP59+AF59+V59+L59)</f>
        <v>978</v>
      </c>
      <c r="KC59" s="412">
        <f>SUM(JP59+IY59+IO59+IE59+HU59+GX59+GH59+FX59+FN59+EM59+EC59+DS59+DI59+CM59+CC59+BN59+BD59+AI59+Y59+O59+E59)</f>
        <v>1862</v>
      </c>
      <c r="KD59" s="412">
        <f>SUM(JQ59+IZ59+IP59+IF59+HV59+GY59+GI59+FY59+FO59+EN59+ED59+DT59+DJ59+CN59+CD59+BO59+BE59+AJ59+Z59+P59+F59)</f>
        <v>1514</v>
      </c>
      <c r="KE59" s="412">
        <f>SUM(JS59+JB59+IR59+IH59+HX59+HA59+GK59+GA59+FQ59+EP59+EF59+DV59+DL59+CP59+CF59+BQ59+BG59+AL59+AB59+R59+H59)</f>
        <v>0</v>
      </c>
      <c r="KF59" s="693">
        <f>SUM(JT59+JC59+IS59+II59+HY59+HB59+GL59+GB59+FR59+EQ59+EG59+DW59+DM59+CQ59+CG59+BR59+BH59+AM59+AC59+S59+I59)</f>
        <v>0</v>
      </c>
      <c r="KG59" s="687">
        <f t="shared" ref="KG59" si="547">SUM(KA59:KB59)</f>
        <v>2169</v>
      </c>
      <c r="KH59" s="680">
        <v>0</v>
      </c>
      <c r="KI59" s="680">
        <f>KH59-KG59</f>
        <v>-2169</v>
      </c>
      <c r="KJ59" s="681" t="e">
        <f>KG59/KH59</f>
        <v>#DIV/0!</v>
      </c>
      <c r="KK59" s="359"/>
      <c r="KL59" s="359"/>
      <c r="KM59" s="359"/>
      <c r="KN59" s="359"/>
      <c r="KO59" s="359"/>
      <c r="KP59" s="359"/>
      <c r="KQ59" s="359"/>
    </row>
    <row r="60" spans="1:303" ht="36" customHeight="1" x14ac:dyDescent="0.4">
      <c r="A60" s="554"/>
      <c r="B60" s="464" t="s">
        <v>158</v>
      </c>
      <c r="C60" s="391" t="s">
        <v>130</v>
      </c>
      <c r="D60" s="392"/>
      <c r="E60" s="393"/>
      <c r="F60" s="394"/>
      <c r="G60" s="395"/>
      <c r="H60" s="396"/>
      <c r="I60" s="394"/>
      <c r="J60" s="395"/>
      <c r="K60" s="397"/>
      <c r="L60" s="398"/>
      <c r="M60" s="398"/>
      <c r="N60" s="399"/>
      <c r="O60" s="393"/>
      <c r="P60" s="394"/>
      <c r="Q60" s="400"/>
      <c r="R60" s="396"/>
      <c r="S60" s="394"/>
      <c r="T60" s="400"/>
      <c r="U60" s="397"/>
      <c r="V60" s="398"/>
      <c r="W60" s="398"/>
      <c r="X60" s="399"/>
      <c r="Y60" s="393"/>
      <c r="Z60" s="394"/>
      <c r="AA60" s="400"/>
      <c r="AB60" s="396"/>
      <c r="AC60" s="394"/>
      <c r="AD60" s="400"/>
      <c r="AE60" s="397"/>
      <c r="AF60" s="405"/>
      <c r="AG60" s="398"/>
      <c r="AH60" s="403"/>
      <c r="AI60" s="393"/>
      <c r="AJ60" s="394"/>
      <c r="AK60" s="395"/>
      <c r="AL60" s="396"/>
      <c r="AM60" s="394"/>
      <c r="AN60" s="395"/>
      <c r="AO60" s="397"/>
      <c r="AP60" s="398"/>
      <c r="AQ60" s="398"/>
      <c r="AR60" s="404"/>
      <c r="AS60" s="486"/>
      <c r="AT60" s="487"/>
      <c r="AU60" s="487"/>
      <c r="AV60" s="487"/>
      <c r="AW60" s="478"/>
      <c r="AX60" s="479"/>
      <c r="AY60" s="537"/>
      <c r="AZ60" s="547"/>
      <c r="BA60" s="547"/>
      <c r="BB60" s="547"/>
      <c r="BC60" s="547"/>
      <c r="BD60" s="393"/>
      <c r="BE60" s="394"/>
      <c r="BF60" s="395"/>
      <c r="BG60" s="396"/>
      <c r="BH60" s="394"/>
      <c r="BI60" s="395"/>
      <c r="BJ60" s="397"/>
      <c r="BK60" s="398"/>
      <c r="BL60" s="405"/>
      <c r="BM60" s="398"/>
      <c r="BN60" s="393"/>
      <c r="BO60" s="394"/>
      <c r="BP60" s="395"/>
      <c r="BQ60" s="396"/>
      <c r="BR60" s="394"/>
      <c r="BS60" s="395"/>
      <c r="BT60" s="397"/>
      <c r="BU60" s="405"/>
      <c r="BV60" s="398"/>
      <c r="BW60" s="398"/>
      <c r="BX60" s="626">
        <f t="shared" si="16"/>
        <v>0</v>
      </c>
      <c r="BY60" s="626">
        <f t="shared" si="17"/>
        <v>0</v>
      </c>
      <c r="BZ60" s="626">
        <f t="shared" si="18"/>
        <v>0</v>
      </c>
      <c r="CA60" s="626">
        <f t="shared" si="19"/>
        <v>0</v>
      </c>
      <c r="CB60" s="625">
        <f t="shared" si="20"/>
        <v>0</v>
      </c>
      <c r="CC60" s="393"/>
      <c r="CD60" s="394"/>
      <c r="CE60" s="395"/>
      <c r="CF60" s="396"/>
      <c r="CG60" s="394"/>
      <c r="CH60" s="395"/>
      <c r="CI60" s="397"/>
      <c r="CJ60" s="398"/>
      <c r="CK60" s="398"/>
      <c r="CL60" s="414"/>
      <c r="CM60" s="393"/>
      <c r="CN60" s="394"/>
      <c r="CO60" s="395"/>
      <c r="CP60" s="396"/>
      <c r="CQ60" s="394"/>
      <c r="CR60" s="395"/>
      <c r="CS60" s="397"/>
      <c r="CT60" s="398"/>
      <c r="CU60" s="405"/>
      <c r="CV60" s="405"/>
      <c r="CW60" s="492"/>
      <c r="CX60" s="487"/>
      <c r="CY60" s="487"/>
      <c r="CZ60" s="487"/>
      <c r="DA60" s="474"/>
      <c r="DB60" s="474"/>
      <c r="DC60" s="529"/>
      <c r="DD60" s="547"/>
      <c r="DE60" s="547"/>
      <c r="DF60" s="547"/>
      <c r="DG60" s="547"/>
      <c r="DH60" s="581"/>
      <c r="DI60" s="528">
        <v>1080</v>
      </c>
      <c r="DJ60" s="528">
        <v>1014</v>
      </c>
      <c r="DK60" s="580">
        <f>SUM(DI60:DJ60)</f>
        <v>2094</v>
      </c>
      <c r="DL60" s="393">
        <v>0</v>
      </c>
      <c r="DM60" s="394">
        <v>0</v>
      </c>
      <c r="DN60" s="395">
        <f>SUM(DL60:DM60)</f>
        <v>0</v>
      </c>
      <c r="DO60" s="582">
        <f>DI60+DL60</f>
        <v>1080</v>
      </c>
      <c r="DP60" s="583">
        <f>DJ60+DM60</f>
        <v>1014</v>
      </c>
      <c r="DQ60" s="584">
        <f>DO60+DP60</f>
        <v>2094</v>
      </c>
      <c r="DR60" s="398"/>
      <c r="DS60" s="393"/>
      <c r="DT60" s="394"/>
      <c r="DU60" s="395"/>
      <c r="DV60" s="396"/>
      <c r="DW60" s="394"/>
      <c r="DX60" s="395"/>
      <c r="DY60" s="397"/>
      <c r="DZ60" s="405"/>
      <c r="EA60" s="398"/>
      <c r="EB60" s="398"/>
      <c r="EC60" s="393"/>
      <c r="ED60" s="394"/>
      <c r="EE60" s="395"/>
      <c r="EF60" s="396"/>
      <c r="EG60" s="394"/>
      <c r="EH60" s="395"/>
      <c r="EI60" s="397"/>
      <c r="EJ60" s="405"/>
      <c r="EK60" s="398"/>
      <c r="EL60" s="398"/>
      <c r="EM60" s="393"/>
      <c r="EN60" s="394"/>
      <c r="EO60" s="395"/>
      <c r="EP60" s="396"/>
      <c r="EQ60" s="394"/>
      <c r="ER60" s="395"/>
      <c r="ES60" s="397"/>
      <c r="ET60" s="405"/>
      <c r="EU60" s="398"/>
      <c r="EV60" s="398"/>
      <c r="EW60" s="492">
        <f t="shared" ref="EW60" si="548">SUM(ES60+EI60+DY60+DO60)</f>
        <v>1080</v>
      </c>
      <c r="EX60" s="487">
        <f t="shared" ref="EX60" si="549">SUM(ET60+EJ60+DZ60+DP60)</f>
        <v>1014</v>
      </c>
      <c r="EY60" s="487">
        <f t="shared" ref="EY60" si="550">SUM(EO60+EE60+DU60+DK60)</f>
        <v>2094</v>
      </c>
      <c r="EZ60" s="487">
        <f t="shared" ref="EZ60" si="551">SUM(ER60+EH60+DX60+DN60)</f>
        <v>0</v>
      </c>
      <c r="FA60" s="474"/>
      <c r="FB60" s="474">
        <f t="shared" ref="FB60" si="552">SUM(EW60:EX60)</f>
        <v>2094</v>
      </c>
      <c r="FC60" s="475"/>
      <c r="FD60" s="547">
        <f t="shared" si="31"/>
        <v>1080</v>
      </c>
      <c r="FE60" s="547">
        <f t="shared" si="32"/>
        <v>1014</v>
      </c>
      <c r="FF60" s="547">
        <f t="shared" si="33"/>
        <v>0</v>
      </c>
      <c r="FG60" s="547">
        <f t="shared" si="34"/>
        <v>0</v>
      </c>
      <c r="FH60" s="577">
        <f t="shared" si="35"/>
        <v>1080</v>
      </c>
      <c r="FI60" s="577">
        <f t="shared" si="36"/>
        <v>1014</v>
      </c>
      <c r="FJ60" s="577">
        <f t="shared" ref="FJ60" si="553">FH60+FI60</f>
        <v>2094</v>
      </c>
      <c r="FK60" s="577">
        <f t="shared" si="38"/>
        <v>1080</v>
      </c>
      <c r="FL60" s="577">
        <f t="shared" si="39"/>
        <v>1014</v>
      </c>
      <c r="FM60" s="577">
        <f t="shared" si="40"/>
        <v>2094</v>
      </c>
      <c r="FN60" s="393"/>
      <c r="FO60" s="394"/>
      <c r="FP60" s="395"/>
      <c r="FQ60" s="396"/>
      <c r="FR60" s="394"/>
      <c r="FS60" s="395"/>
      <c r="FT60" s="397"/>
      <c r="FU60" s="405"/>
      <c r="FV60" s="398"/>
      <c r="FW60" s="398"/>
      <c r="FX60" s="393"/>
      <c r="FY60" s="394"/>
      <c r="FZ60" s="395"/>
      <c r="GA60" s="396"/>
      <c r="GB60" s="394"/>
      <c r="GC60" s="395"/>
      <c r="GD60" s="397">
        <f t="shared" si="41"/>
        <v>0</v>
      </c>
      <c r="GE60" s="405">
        <f t="shared" si="42"/>
        <v>0</v>
      </c>
      <c r="GF60" s="398">
        <f t="shared" si="43"/>
        <v>0</v>
      </c>
      <c r="GG60" s="398"/>
      <c r="GH60" s="393">
        <v>32</v>
      </c>
      <c r="GI60" s="394">
        <v>53</v>
      </c>
      <c r="GJ60" s="395">
        <f>GH60+GI60</f>
        <v>85</v>
      </c>
      <c r="GK60" s="396">
        <v>0</v>
      </c>
      <c r="GL60" s="394">
        <v>0</v>
      </c>
      <c r="GM60" s="395"/>
      <c r="GN60" s="397">
        <f t="shared" si="504"/>
        <v>32</v>
      </c>
      <c r="GO60" s="405">
        <f t="shared" si="505"/>
        <v>53</v>
      </c>
      <c r="GP60" s="398">
        <f t="shared" si="506"/>
        <v>85</v>
      </c>
      <c r="GQ60" s="398"/>
      <c r="GR60" s="650">
        <f t="shared" si="47"/>
        <v>1112</v>
      </c>
      <c r="GS60" s="650">
        <f t="shared" si="48"/>
        <v>1067</v>
      </c>
      <c r="GT60" s="650">
        <f t="shared" si="49"/>
        <v>1112</v>
      </c>
      <c r="GU60" s="650">
        <f t="shared" si="50"/>
        <v>1067</v>
      </c>
      <c r="GV60" s="650">
        <f t="shared" si="51"/>
        <v>0</v>
      </c>
      <c r="GW60" s="650">
        <f t="shared" si="52"/>
        <v>0</v>
      </c>
      <c r="GX60" s="393"/>
      <c r="GY60" s="394"/>
      <c r="GZ60" s="395">
        <f t="shared" si="53"/>
        <v>0</v>
      </c>
      <c r="HA60" s="396"/>
      <c r="HB60" s="394"/>
      <c r="HC60" s="395">
        <f t="shared" si="54"/>
        <v>0</v>
      </c>
      <c r="HD60" s="397">
        <f t="shared" si="55"/>
        <v>0</v>
      </c>
      <c r="HE60" s="405">
        <f t="shared" si="56"/>
        <v>0</v>
      </c>
      <c r="HF60" s="398">
        <f t="shared" si="57"/>
        <v>0</v>
      </c>
      <c r="HG60" s="398"/>
      <c r="HH60" s="492">
        <f t="shared" ref="HH60" si="554">HD60+GN60+GD60+FT60</f>
        <v>32</v>
      </c>
      <c r="HI60" s="487">
        <f t="shared" ref="HI60" si="555">GO60+GE60+FU60+HE60</f>
        <v>53</v>
      </c>
      <c r="HJ60" s="487">
        <f t="shared" ref="HJ60" si="556">GX60+GH60+FX60+FN60</f>
        <v>32</v>
      </c>
      <c r="HK60" s="487">
        <f t="shared" ref="HK60" si="557">GI60+FY60+GY60+FO60</f>
        <v>53</v>
      </c>
      <c r="HL60" s="487">
        <f t="shared" ref="HL60" si="558">GK60+GA60+FQ60+HA60</f>
        <v>0</v>
      </c>
      <c r="HM60" s="487">
        <f t="shared" ref="HM60" si="559">GL60+HB60+GB60+FR60</f>
        <v>0</v>
      </c>
      <c r="HN60" s="474"/>
      <c r="HO60" s="474">
        <f t="shared" ref="HO60" si="560">HF60+GP60+GF60+FV60</f>
        <v>85</v>
      </c>
      <c r="HP60" s="475"/>
      <c r="HQ60" s="547">
        <f t="shared" ref="HQ60:HQ61" si="561">FN60+FX60+GH60+GX60</f>
        <v>32</v>
      </c>
      <c r="HR60" s="547">
        <f t="shared" ref="HR60:HR61" si="562">FO60+FY60+GI60+GY60</f>
        <v>53</v>
      </c>
      <c r="HS60" s="547">
        <f t="shared" ref="HS60:HS61" si="563">FQ60+GA60+GK60+HA60</f>
        <v>0</v>
      </c>
      <c r="HT60" s="547">
        <f t="shared" ref="HT60:HT61" si="564">FR60+GB60+GL60+HB60</f>
        <v>0</v>
      </c>
      <c r="HU60" s="393"/>
      <c r="HV60" s="394"/>
      <c r="HW60" s="395">
        <f t="shared" si="69"/>
        <v>0</v>
      </c>
      <c r="HX60" s="396"/>
      <c r="HY60" s="394"/>
      <c r="HZ60" s="395">
        <f t="shared" si="70"/>
        <v>0</v>
      </c>
      <c r="IA60" s="397">
        <f t="shared" si="71"/>
        <v>0</v>
      </c>
      <c r="IB60" s="405">
        <f t="shared" si="72"/>
        <v>0</v>
      </c>
      <c r="IC60" s="398">
        <f t="shared" si="73"/>
        <v>0</v>
      </c>
      <c r="ID60" s="398"/>
      <c r="IE60" s="393"/>
      <c r="IF60" s="394"/>
      <c r="IG60" s="395"/>
      <c r="IH60" s="396"/>
      <c r="II60" s="394"/>
      <c r="IJ60" s="395"/>
      <c r="IK60" s="397"/>
      <c r="IL60" s="405"/>
      <c r="IM60" s="398"/>
      <c r="IN60" s="398"/>
      <c r="IO60" s="393"/>
      <c r="IP60" s="394"/>
      <c r="IQ60" s="395"/>
      <c r="IR60" s="396"/>
      <c r="IS60" s="394"/>
      <c r="IT60" s="395"/>
      <c r="IU60" s="397"/>
      <c r="IV60" s="405"/>
      <c r="IW60" s="398"/>
      <c r="IX60" s="398"/>
      <c r="IY60" s="393"/>
      <c r="IZ60" s="394"/>
      <c r="JA60" s="395"/>
      <c r="JB60" s="396"/>
      <c r="JC60" s="394"/>
      <c r="JD60" s="395"/>
      <c r="JE60" s="397"/>
      <c r="JF60" s="405"/>
      <c r="JG60" s="398"/>
      <c r="JH60" s="398"/>
      <c r="JI60" s="494"/>
      <c r="JJ60" s="479"/>
      <c r="JK60" s="479"/>
      <c r="JL60" s="479"/>
      <c r="JM60" s="474"/>
      <c r="JN60" s="474">
        <f t="shared" ref="JN60:JN61" si="565">JG60+IW60+IM60+IC60</f>
        <v>0</v>
      </c>
      <c r="JO60" s="475"/>
      <c r="JP60" s="393"/>
      <c r="JQ60" s="394"/>
      <c r="JR60" s="395"/>
      <c r="JS60" s="396"/>
      <c r="JT60" s="394"/>
      <c r="JU60" s="395"/>
      <c r="JV60" s="397"/>
      <c r="JW60" s="405"/>
      <c r="JX60" s="398"/>
      <c r="JY60" s="398"/>
      <c r="JZ60" s="577">
        <f t="shared" ref="JZ60:JZ61" si="566">JX60+JN60+HO60+FB60</f>
        <v>2179</v>
      </c>
      <c r="KA60" s="412">
        <f t="shared" ref="KA60:KA61" si="567">SUM(JV60+JE60+IU60+IK60+IA60+HD60+GN60+GD60+FT60+ES60+EI60+DY60+DO60+CS60+CI60+BT60+BJ60+AO60+AE60+U60+K60)</f>
        <v>1112</v>
      </c>
      <c r="KB60" s="412">
        <f t="shared" ref="KB60:KB61" si="568">SUM(JW60+JF60+IV60+IL60+IB60+HE60+GO60+GE60+FU60+ET60+EJ60+DZ60+DP60+CT60+CJ60+BU60+BK60+AP60+AF60+V60+L60)</f>
        <v>1067</v>
      </c>
      <c r="KC60" s="412">
        <f t="shared" ref="KC60:KC61" si="569">SUM(JP60+IY60+IO60+IE60+HU60+GX60+GH60+FX60+FN60+EM60+EC60+DS60+DI60+CM60+CC60+BN60+BD60+AI60+Y60+O60+E60)</f>
        <v>1112</v>
      </c>
      <c r="KD60" s="412">
        <f t="shared" ref="KD60:KD61" si="570">SUM(JQ60+IZ60+IP60+IF60+HV60+GY60+GI60+FY60+FO60+EN60+ED60+DT60+DJ60+CN60+CD60+BO60+BE60+AJ60+Z60+P60+F60)</f>
        <v>1067</v>
      </c>
      <c r="KE60" s="412">
        <f t="shared" ref="KE60:KE61" si="571">SUM(JS60+JB60+IR60+IH60+HX60+HA60+GK60+GA60+FQ60+EP60+EF60+DV60+DL60+CP60+CF60+BQ60+BG60+AL60+AB60+R60+H60)</f>
        <v>0</v>
      </c>
      <c r="KF60" s="693">
        <f t="shared" ref="KF60:KF61" si="572">SUM(JT60+JC60+IS60+II60+HY60+HB60+GL60+GB60+FR60+EQ60+EG60+DW60+DM60+CQ60+CG60+BR60+BH60+AM60+AC60+S60+I60)</f>
        <v>0</v>
      </c>
      <c r="KG60" s="687">
        <f t="shared" ref="KG60:KG61" si="573">SUM(KA60:KB60)</f>
        <v>2179</v>
      </c>
      <c r="KH60" s="680">
        <v>0</v>
      </c>
      <c r="KI60" s="680">
        <f t="shared" ref="KI60:KI61" si="574">KH60-KG60</f>
        <v>-2179</v>
      </c>
      <c r="KJ60" s="681" t="e">
        <f t="shared" ref="KJ60:KJ61" si="575">KG60/KH60</f>
        <v>#DIV/0!</v>
      </c>
      <c r="KK60" s="359">
        <f>KG59+KG60</f>
        <v>4348</v>
      </c>
      <c r="KL60" s="359"/>
      <c r="KM60" s="359"/>
      <c r="KN60" s="359"/>
      <c r="KO60" s="359"/>
      <c r="KP60" s="359"/>
      <c r="KQ60" s="359"/>
    </row>
    <row r="61" spans="1:303" ht="36" customHeight="1" x14ac:dyDescent="0.4">
      <c r="A61" s="554"/>
      <c r="B61" s="464" t="s">
        <v>159</v>
      </c>
      <c r="C61" s="391"/>
      <c r="D61" s="392"/>
      <c r="E61" s="393"/>
      <c r="F61" s="394"/>
      <c r="G61" s="395"/>
      <c r="H61" s="396"/>
      <c r="I61" s="394"/>
      <c r="J61" s="395"/>
      <c r="K61" s="397"/>
      <c r="L61" s="398"/>
      <c r="M61" s="398"/>
      <c r="N61" s="399"/>
      <c r="O61" s="393"/>
      <c r="P61" s="394"/>
      <c r="Q61" s="400"/>
      <c r="R61" s="396"/>
      <c r="S61" s="394"/>
      <c r="T61" s="400"/>
      <c r="U61" s="397"/>
      <c r="V61" s="398"/>
      <c r="W61" s="398"/>
      <c r="X61" s="399"/>
      <c r="Y61" s="393"/>
      <c r="Z61" s="394"/>
      <c r="AA61" s="400"/>
      <c r="AB61" s="396"/>
      <c r="AC61" s="394"/>
      <c r="AD61" s="400"/>
      <c r="AE61" s="397"/>
      <c r="AF61" s="405"/>
      <c r="AG61" s="398"/>
      <c r="AH61" s="403"/>
      <c r="AI61" s="393"/>
      <c r="AJ61" s="394"/>
      <c r="AK61" s="395"/>
      <c r="AL61" s="396"/>
      <c r="AM61" s="394"/>
      <c r="AN61" s="395"/>
      <c r="AO61" s="397"/>
      <c r="AP61" s="398"/>
      <c r="AQ61" s="398"/>
      <c r="AR61" s="404"/>
      <c r="AS61" s="486"/>
      <c r="AT61" s="487"/>
      <c r="AU61" s="487"/>
      <c r="AV61" s="487"/>
      <c r="AW61" s="478"/>
      <c r="AX61" s="479"/>
      <c r="AY61" s="537"/>
      <c r="AZ61" s="548">
        <f>AZ59+AZ51</f>
        <v>576</v>
      </c>
      <c r="BA61" s="548">
        <f>BA59+BA51</f>
        <v>271</v>
      </c>
      <c r="BB61" s="548">
        <f>BB59+BB51</f>
        <v>7</v>
      </c>
      <c r="BC61" s="548">
        <f>BC59+BC51</f>
        <v>4</v>
      </c>
      <c r="BD61" s="393"/>
      <c r="BE61" s="394"/>
      <c r="BF61" s="395"/>
      <c r="BG61" s="396"/>
      <c r="BH61" s="394"/>
      <c r="BI61" s="395"/>
      <c r="BJ61" s="397"/>
      <c r="BK61" s="398"/>
      <c r="BL61" s="405"/>
      <c r="BM61" s="398"/>
      <c r="BN61" s="393"/>
      <c r="BO61" s="394"/>
      <c r="BP61" s="395"/>
      <c r="BQ61" s="396"/>
      <c r="BR61" s="394"/>
      <c r="BS61" s="395"/>
      <c r="BT61" s="397"/>
      <c r="BU61" s="405"/>
      <c r="BV61" s="398"/>
      <c r="BW61" s="398"/>
      <c r="BX61" s="626">
        <f t="shared" si="16"/>
        <v>0</v>
      </c>
      <c r="BY61" s="626">
        <f t="shared" si="17"/>
        <v>0</v>
      </c>
      <c r="BZ61" s="626">
        <f t="shared" si="18"/>
        <v>0</v>
      </c>
      <c r="CA61" s="626">
        <f t="shared" si="19"/>
        <v>0</v>
      </c>
      <c r="CB61" s="625">
        <f t="shared" si="20"/>
        <v>0</v>
      </c>
      <c r="CC61" s="393"/>
      <c r="CD61" s="394"/>
      <c r="CE61" s="395"/>
      <c r="CF61" s="396"/>
      <c r="CG61" s="394"/>
      <c r="CH61" s="395"/>
      <c r="CI61" s="397"/>
      <c r="CJ61" s="398"/>
      <c r="CK61" s="398"/>
      <c r="CL61" s="414"/>
      <c r="CM61" s="393"/>
      <c r="CN61" s="394"/>
      <c r="CO61" s="395"/>
      <c r="CP61" s="396"/>
      <c r="CQ61" s="394"/>
      <c r="CR61" s="395"/>
      <c r="CS61" s="397"/>
      <c r="CT61" s="398"/>
      <c r="CU61" s="405"/>
      <c r="CV61" s="405"/>
      <c r="CW61" s="492"/>
      <c r="CX61" s="487"/>
      <c r="CY61" s="487"/>
      <c r="CZ61" s="487"/>
      <c r="DA61" s="474"/>
      <c r="DB61" s="474"/>
      <c r="DC61" s="529"/>
      <c r="DD61" s="548">
        <f>DD59+DD55+DD51</f>
        <v>719</v>
      </c>
      <c r="DE61" s="548">
        <f>DE59+DE55+DE51</f>
        <v>592</v>
      </c>
      <c r="DF61" s="548">
        <f>DF59+DF55+DF51</f>
        <v>9</v>
      </c>
      <c r="DG61" s="548">
        <f>DG59+DG55+DG51</f>
        <v>2</v>
      </c>
      <c r="DH61" s="581">
        <f t="shared" si="25"/>
        <v>0</v>
      </c>
      <c r="DI61" s="528"/>
      <c r="DJ61" s="528"/>
      <c r="DK61" s="580"/>
      <c r="DL61" s="393"/>
      <c r="DM61" s="394"/>
      <c r="DN61" s="395"/>
      <c r="DO61" s="397"/>
      <c r="DP61" s="405"/>
      <c r="DQ61" s="398"/>
      <c r="DR61" s="398"/>
      <c r="DS61" s="393"/>
      <c r="DT61" s="394"/>
      <c r="DU61" s="395"/>
      <c r="DV61" s="396"/>
      <c r="DW61" s="394"/>
      <c r="DX61" s="395"/>
      <c r="DY61" s="397"/>
      <c r="DZ61" s="405"/>
      <c r="EA61" s="398"/>
      <c r="EB61" s="398"/>
      <c r="EC61" s="393"/>
      <c r="ED61" s="394"/>
      <c r="EE61" s="395"/>
      <c r="EF61" s="396"/>
      <c r="EG61" s="394"/>
      <c r="EH61" s="395"/>
      <c r="EI61" s="397"/>
      <c r="EJ61" s="405"/>
      <c r="EK61" s="398"/>
      <c r="EL61" s="398"/>
      <c r="EM61" s="393"/>
      <c r="EN61" s="394"/>
      <c r="EO61" s="395"/>
      <c r="EP61" s="396"/>
      <c r="EQ61" s="394"/>
      <c r="ER61" s="395"/>
      <c r="ES61" s="397"/>
      <c r="ET61" s="405"/>
      <c r="EU61" s="398"/>
      <c r="EV61" s="398"/>
      <c r="EW61" s="492"/>
      <c r="EX61" s="487"/>
      <c r="EY61" s="487"/>
      <c r="EZ61" s="487"/>
      <c r="FA61" s="474"/>
      <c r="FB61" s="802"/>
      <c r="FC61" s="803"/>
      <c r="FD61" s="547">
        <f t="shared" si="31"/>
        <v>0</v>
      </c>
      <c r="FE61" s="547">
        <f t="shared" si="32"/>
        <v>0</v>
      </c>
      <c r="FF61" s="547">
        <f t="shared" si="33"/>
        <v>0</v>
      </c>
      <c r="FG61" s="547">
        <f t="shared" si="34"/>
        <v>0</v>
      </c>
      <c r="FH61" s="577">
        <f t="shared" si="35"/>
        <v>0</v>
      </c>
      <c r="FI61" s="577">
        <f t="shared" si="36"/>
        <v>0</v>
      </c>
      <c r="FJ61" s="585">
        <f t="shared" ref="FJ61" si="576">FH61+FI61</f>
        <v>0</v>
      </c>
      <c r="FK61" s="577">
        <f t="shared" si="38"/>
        <v>0</v>
      </c>
      <c r="FL61" s="577">
        <f t="shared" si="39"/>
        <v>0</v>
      </c>
      <c r="FM61" s="577">
        <f t="shared" si="40"/>
        <v>0</v>
      </c>
      <c r="FN61" s="393"/>
      <c r="FO61" s="394"/>
      <c r="FP61" s="395"/>
      <c r="FQ61" s="396"/>
      <c r="FR61" s="394"/>
      <c r="FS61" s="395"/>
      <c r="FT61" s="397"/>
      <c r="FU61" s="405"/>
      <c r="FV61" s="398"/>
      <c r="FW61" s="398"/>
      <c r="FX61" s="393">
        <v>17</v>
      </c>
      <c r="FY61" s="394">
        <v>17</v>
      </c>
      <c r="FZ61" s="395">
        <f>FX61+FY61</f>
        <v>34</v>
      </c>
      <c r="GA61" s="396">
        <v>0</v>
      </c>
      <c r="GB61" s="394">
        <v>0</v>
      </c>
      <c r="GC61" s="395">
        <f>GA61+GB61</f>
        <v>0</v>
      </c>
      <c r="GD61" s="397">
        <f t="shared" si="41"/>
        <v>17</v>
      </c>
      <c r="GE61" s="405">
        <f t="shared" si="42"/>
        <v>17</v>
      </c>
      <c r="GF61" s="398">
        <f t="shared" si="43"/>
        <v>34</v>
      </c>
      <c r="GG61" s="398"/>
      <c r="GH61" s="393">
        <v>78</v>
      </c>
      <c r="GI61" s="394">
        <v>71</v>
      </c>
      <c r="GJ61" s="395">
        <f>GH61+GI61</f>
        <v>149</v>
      </c>
      <c r="GK61" s="396">
        <v>0</v>
      </c>
      <c r="GL61" s="394">
        <v>0</v>
      </c>
      <c r="GM61" s="395">
        <f>GK61+GL61</f>
        <v>0</v>
      </c>
      <c r="GN61" s="397">
        <f t="shared" si="504"/>
        <v>78</v>
      </c>
      <c r="GO61" s="405">
        <f t="shared" si="505"/>
        <v>71</v>
      </c>
      <c r="GP61" s="398">
        <f t="shared" si="506"/>
        <v>149</v>
      </c>
      <c r="GQ61" s="398"/>
      <c r="GR61" s="650">
        <f t="shared" si="47"/>
        <v>95</v>
      </c>
      <c r="GS61" s="650">
        <f t="shared" si="48"/>
        <v>88</v>
      </c>
      <c r="GT61" s="650">
        <f t="shared" si="49"/>
        <v>95</v>
      </c>
      <c r="GU61" s="650">
        <f t="shared" si="50"/>
        <v>88</v>
      </c>
      <c r="GV61" s="650">
        <f t="shared" si="51"/>
        <v>0</v>
      </c>
      <c r="GW61" s="650">
        <f t="shared" si="52"/>
        <v>0</v>
      </c>
      <c r="GX61" s="393">
        <v>12</v>
      </c>
      <c r="GY61" s="394">
        <v>2</v>
      </c>
      <c r="GZ61" s="395">
        <f t="shared" si="53"/>
        <v>14</v>
      </c>
      <c r="HA61" s="396">
        <v>0</v>
      </c>
      <c r="HB61" s="394">
        <v>0</v>
      </c>
      <c r="HC61" s="395">
        <f t="shared" si="54"/>
        <v>0</v>
      </c>
      <c r="HD61" s="397">
        <f t="shared" si="55"/>
        <v>12</v>
      </c>
      <c r="HE61" s="405">
        <f t="shared" si="56"/>
        <v>2</v>
      </c>
      <c r="HF61" s="398">
        <f t="shared" si="57"/>
        <v>14</v>
      </c>
      <c r="HG61" s="398"/>
      <c r="HH61" s="492">
        <f t="shared" si="58"/>
        <v>107</v>
      </c>
      <c r="HI61" s="487">
        <f t="shared" si="59"/>
        <v>90</v>
      </c>
      <c r="HJ61" s="487">
        <f t="shared" si="60"/>
        <v>107</v>
      </c>
      <c r="HK61" s="487">
        <f t="shared" si="61"/>
        <v>90</v>
      </c>
      <c r="HL61" s="487">
        <f t="shared" si="62"/>
        <v>0</v>
      </c>
      <c r="HM61" s="487">
        <f t="shared" si="63"/>
        <v>0</v>
      </c>
      <c r="HN61" s="474"/>
      <c r="HO61" s="474">
        <f t="shared" si="64"/>
        <v>197</v>
      </c>
      <c r="HP61" s="475"/>
      <c r="HQ61" s="547">
        <f t="shared" si="561"/>
        <v>107</v>
      </c>
      <c r="HR61" s="547">
        <f t="shared" si="562"/>
        <v>90</v>
      </c>
      <c r="HS61" s="547">
        <f t="shared" si="563"/>
        <v>0</v>
      </c>
      <c r="HT61" s="547">
        <f t="shared" si="564"/>
        <v>0</v>
      </c>
      <c r="HU61" s="393">
        <v>25</v>
      </c>
      <c r="HV61" s="394">
        <v>28</v>
      </c>
      <c r="HW61" s="395">
        <f t="shared" si="69"/>
        <v>53</v>
      </c>
      <c r="HX61" s="396">
        <v>0</v>
      </c>
      <c r="HY61" s="394">
        <v>0</v>
      </c>
      <c r="HZ61" s="395">
        <f t="shared" si="70"/>
        <v>0</v>
      </c>
      <c r="IA61" s="397">
        <f t="shared" si="71"/>
        <v>25</v>
      </c>
      <c r="IB61" s="405">
        <f t="shared" si="72"/>
        <v>28</v>
      </c>
      <c r="IC61" s="398">
        <f t="shared" si="73"/>
        <v>53</v>
      </c>
      <c r="ID61" s="398"/>
      <c r="IE61" s="393"/>
      <c r="IF61" s="394"/>
      <c r="IG61" s="395"/>
      <c r="IH61" s="396"/>
      <c r="II61" s="394"/>
      <c r="IJ61" s="395"/>
      <c r="IK61" s="397"/>
      <c r="IL61" s="405"/>
      <c r="IM61" s="398"/>
      <c r="IN61" s="398"/>
      <c r="IO61" s="393"/>
      <c r="IP61" s="394"/>
      <c r="IQ61" s="395"/>
      <c r="IR61" s="396"/>
      <c r="IS61" s="394"/>
      <c r="IT61" s="395"/>
      <c r="IU61" s="397"/>
      <c r="IV61" s="405"/>
      <c r="IW61" s="398"/>
      <c r="IX61" s="398"/>
      <c r="IY61" s="393"/>
      <c r="IZ61" s="394"/>
      <c r="JA61" s="395"/>
      <c r="JB61" s="396"/>
      <c r="JC61" s="394"/>
      <c r="JD61" s="395"/>
      <c r="JE61" s="397"/>
      <c r="JF61" s="405"/>
      <c r="JG61" s="398"/>
      <c r="JH61" s="398"/>
      <c r="JI61" s="494"/>
      <c r="JJ61" s="479"/>
      <c r="JK61" s="479"/>
      <c r="JL61" s="479"/>
      <c r="JM61" s="474"/>
      <c r="JN61" s="474">
        <f t="shared" si="565"/>
        <v>53</v>
      </c>
      <c r="JO61" s="475"/>
      <c r="JP61" s="393"/>
      <c r="JQ61" s="394"/>
      <c r="JR61" s="395"/>
      <c r="JS61" s="396"/>
      <c r="JT61" s="394"/>
      <c r="JU61" s="395"/>
      <c r="JV61" s="397"/>
      <c r="JW61" s="405"/>
      <c r="JX61" s="398"/>
      <c r="JY61" s="398"/>
      <c r="JZ61" s="577">
        <f t="shared" si="566"/>
        <v>250</v>
      </c>
      <c r="KA61" s="412">
        <f t="shared" si="567"/>
        <v>132</v>
      </c>
      <c r="KB61" s="412">
        <f t="shared" si="568"/>
        <v>118</v>
      </c>
      <c r="KC61" s="412">
        <f t="shared" si="569"/>
        <v>132</v>
      </c>
      <c r="KD61" s="412">
        <f t="shared" si="570"/>
        <v>118</v>
      </c>
      <c r="KE61" s="412">
        <f t="shared" si="571"/>
        <v>0</v>
      </c>
      <c r="KF61" s="693">
        <f t="shared" si="572"/>
        <v>0</v>
      </c>
      <c r="KG61" s="687">
        <f t="shared" si="573"/>
        <v>250</v>
      </c>
      <c r="KH61" s="680">
        <v>0</v>
      </c>
      <c r="KI61" s="680">
        <f t="shared" si="574"/>
        <v>-250</v>
      </c>
      <c r="KJ61" s="681" t="e">
        <f t="shared" si="575"/>
        <v>#DIV/0!</v>
      </c>
      <c r="KK61" s="359">
        <f>KG62+KG63</f>
        <v>1786</v>
      </c>
      <c r="KL61" s="359"/>
      <c r="KM61" s="359"/>
      <c r="KN61" s="359"/>
      <c r="KO61" s="359"/>
      <c r="KP61" s="359"/>
      <c r="KQ61" s="359"/>
    </row>
    <row r="62" spans="1:303" ht="35.25" customHeight="1" x14ac:dyDescent="0.3">
      <c r="A62" s="718" t="s">
        <v>47</v>
      </c>
      <c r="B62" s="339" t="s">
        <v>48</v>
      </c>
      <c r="C62" s="391" t="s">
        <v>133</v>
      </c>
      <c r="D62" s="392">
        <v>350</v>
      </c>
      <c r="E62" s="393"/>
      <c r="F62" s="394"/>
      <c r="G62" s="395"/>
      <c r="H62" s="396"/>
      <c r="I62" s="394"/>
      <c r="J62" s="395"/>
      <c r="K62" s="397"/>
      <c r="L62" s="398"/>
      <c r="M62" s="398"/>
      <c r="N62" s="399"/>
      <c r="O62" s="393">
        <v>41</v>
      </c>
      <c r="P62" s="394">
        <v>0</v>
      </c>
      <c r="Q62" s="400">
        <f>SUM(O62:P62)</f>
        <v>41</v>
      </c>
      <c r="R62" s="396">
        <v>2</v>
      </c>
      <c r="S62" s="394">
        <v>0</v>
      </c>
      <c r="T62" s="400">
        <f ca="1">SUM(R62:T62)</f>
        <v>0</v>
      </c>
      <c r="U62" s="397">
        <f>SUM(O62+R62)</f>
        <v>43</v>
      </c>
      <c r="V62" s="398">
        <f>SUM(P62+S62)</f>
        <v>0</v>
      </c>
      <c r="W62" s="398">
        <f>SUM(U62:V62)</f>
        <v>43</v>
      </c>
      <c r="X62" s="399"/>
      <c r="Y62" s="393"/>
      <c r="Z62" s="394"/>
      <c r="AA62" s="400"/>
      <c r="AB62" s="396"/>
      <c r="AC62" s="394"/>
      <c r="AD62" s="400"/>
      <c r="AE62" s="397"/>
      <c r="AF62" s="405"/>
      <c r="AG62" s="398">
        <f>SUM(AE62:AF62)</f>
        <v>0</v>
      </c>
      <c r="AH62" s="403"/>
      <c r="AI62" s="393">
        <v>167</v>
      </c>
      <c r="AJ62" s="394">
        <v>80</v>
      </c>
      <c r="AK62" s="395">
        <f>SUM(AI62:AJ62)</f>
        <v>247</v>
      </c>
      <c r="AL62" s="396">
        <v>0</v>
      </c>
      <c r="AM62" s="394">
        <v>0</v>
      </c>
      <c r="AN62" s="395">
        <f>SUM(AL62:AM62)</f>
        <v>0</v>
      </c>
      <c r="AO62" s="397">
        <f>SUM(AI62+AL62)</f>
        <v>167</v>
      </c>
      <c r="AP62" s="398">
        <f>SUM(AJ62+AM62)</f>
        <v>80</v>
      </c>
      <c r="AQ62" s="398">
        <f>SUM(AO62:AP62)</f>
        <v>247</v>
      </c>
      <c r="AR62" s="404"/>
      <c r="AS62" s="486">
        <f t="shared" si="7"/>
        <v>210</v>
      </c>
      <c r="AT62" s="487">
        <f t="shared" si="8"/>
        <v>80</v>
      </c>
      <c r="AU62" s="487">
        <f t="shared" si="9"/>
        <v>288</v>
      </c>
      <c r="AV62" s="487">
        <f t="shared" si="10"/>
        <v>0</v>
      </c>
      <c r="AW62" s="478">
        <v>350</v>
      </c>
      <c r="AX62" s="479">
        <f t="shared" si="11"/>
        <v>290</v>
      </c>
      <c r="AY62" s="537">
        <f>AX62/AW62</f>
        <v>0.82857142857142863</v>
      </c>
      <c r="AZ62" s="547">
        <f t="shared" si="489"/>
        <v>208</v>
      </c>
      <c r="BA62" s="547">
        <f t="shared" si="490"/>
        <v>80</v>
      </c>
      <c r="BB62" s="547">
        <f t="shared" si="491"/>
        <v>2</v>
      </c>
      <c r="BC62" s="547">
        <f t="shared" si="492"/>
        <v>0</v>
      </c>
      <c r="BD62" s="393"/>
      <c r="BE62" s="394"/>
      <c r="BF62" s="395"/>
      <c r="BG62" s="396"/>
      <c r="BH62" s="394"/>
      <c r="BI62" s="395"/>
      <c r="BJ62" s="397"/>
      <c r="BK62" s="398"/>
      <c r="BL62" s="405"/>
      <c r="BM62" s="398"/>
      <c r="BN62" s="393"/>
      <c r="BO62" s="394"/>
      <c r="BP62" s="395"/>
      <c r="BQ62" s="396"/>
      <c r="BR62" s="394"/>
      <c r="BS62" s="395"/>
      <c r="BT62" s="397"/>
      <c r="BU62" s="405"/>
      <c r="BV62" s="398"/>
      <c r="BW62" s="398"/>
      <c r="BX62" s="626">
        <f t="shared" si="16"/>
        <v>208</v>
      </c>
      <c r="BY62" s="626">
        <f t="shared" si="17"/>
        <v>80</v>
      </c>
      <c r="BZ62" s="626">
        <f t="shared" si="18"/>
        <v>2</v>
      </c>
      <c r="CA62" s="626">
        <f t="shared" si="19"/>
        <v>0</v>
      </c>
      <c r="CB62" s="625">
        <f t="shared" si="20"/>
        <v>290</v>
      </c>
      <c r="CC62" s="393">
        <v>46</v>
      </c>
      <c r="CD62" s="394">
        <v>22</v>
      </c>
      <c r="CE62" s="395">
        <f>SUM(CC62:CD62)</f>
        <v>68</v>
      </c>
      <c r="CF62" s="396">
        <v>0</v>
      </c>
      <c r="CG62" s="394">
        <v>0</v>
      </c>
      <c r="CH62" s="395">
        <f>SUM(CF62:CG62)</f>
        <v>0</v>
      </c>
      <c r="CI62" s="397">
        <f>SUM(CC62+CF62)</f>
        <v>46</v>
      </c>
      <c r="CJ62" s="398">
        <f>SUM(CD62+CG62)</f>
        <v>22</v>
      </c>
      <c r="CK62" s="398">
        <f>SUM(CI62:CJ62)</f>
        <v>68</v>
      </c>
      <c r="CL62" s="414"/>
      <c r="CM62" s="393"/>
      <c r="CN62" s="394"/>
      <c r="CO62" s="395"/>
      <c r="CP62" s="396"/>
      <c r="CQ62" s="394"/>
      <c r="CR62" s="395"/>
      <c r="CS62" s="397"/>
      <c r="CT62" s="398"/>
      <c r="CU62" s="405"/>
      <c r="CV62" s="405"/>
      <c r="CW62" s="492">
        <f t="shared" ref="CW62:CY63" si="577">SUM(CS62+CI62+BT62+BJ62)</f>
        <v>46</v>
      </c>
      <c r="CX62" s="487">
        <f t="shared" si="577"/>
        <v>22</v>
      </c>
      <c r="CY62" s="487">
        <f t="shared" si="577"/>
        <v>68</v>
      </c>
      <c r="CZ62" s="487">
        <f>SUM(CR62+CH62+BS62+BI62)</f>
        <v>0</v>
      </c>
      <c r="DA62" s="474"/>
      <c r="DB62" s="474">
        <f>SUM(CW62:CX62)</f>
        <v>68</v>
      </c>
      <c r="DC62" s="475"/>
      <c r="DD62" s="547">
        <f t="shared" si="21"/>
        <v>46</v>
      </c>
      <c r="DE62" s="547">
        <f t="shared" si="22"/>
        <v>22</v>
      </c>
      <c r="DF62" s="547">
        <f t="shared" si="23"/>
        <v>0</v>
      </c>
      <c r="DG62" s="547">
        <f t="shared" si="24"/>
        <v>0</v>
      </c>
      <c r="DH62" s="576">
        <f t="shared" si="25"/>
        <v>358</v>
      </c>
      <c r="DI62" s="408"/>
      <c r="DJ62" s="409"/>
      <c r="DK62" s="410"/>
      <c r="DL62" s="396"/>
      <c r="DM62" s="394"/>
      <c r="DN62" s="395"/>
      <c r="DO62" s="397"/>
      <c r="DP62" s="405"/>
      <c r="DQ62" s="398"/>
      <c r="DR62" s="398"/>
      <c r="DS62" s="393"/>
      <c r="DT62" s="394"/>
      <c r="DU62" s="395">
        <f t="shared" si="76"/>
        <v>0</v>
      </c>
      <c r="DV62" s="396"/>
      <c r="DW62" s="394"/>
      <c r="DX62" s="395">
        <f t="shared" si="77"/>
        <v>0</v>
      </c>
      <c r="DY62" s="397">
        <f t="shared" si="78"/>
        <v>0</v>
      </c>
      <c r="DZ62" s="405">
        <f t="shared" si="79"/>
        <v>0</v>
      </c>
      <c r="EA62" s="398">
        <f t="shared" si="80"/>
        <v>0</v>
      </c>
      <c r="EB62" s="398"/>
      <c r="EC62" s="393"/>
      <c r="ED62" s="394"/>
      <c r="EE62" s="395"/>
      <c r="EF62" s="396"/>
      <c r="EG62" s="394"/>
      <c r="EH62" s="395"/>
      <c r="EI62" s="397"/>
      <c r="EJ62" s="405"/>
      <c r="EK62" s="398"/>
      <c r="EL62" s="398"/>
      <c r="EM62" s="393">
        <v>59</v>
      </c>
      <c r="EN62" s="394">
        <v>16</v>
      </c>
      <c r="EO62" s="395">
        <f>SUM(EM62:EN62)</f>
        <v>75</v>
      </c>
      <c r="EP62" s="396">
        <v>0</v>
      </c>
      <c r="EQ62" s="394">
        <v>0</v>
      </c>
      <c r="ER62" s="395">
        <f>SUM(EP62:EQ62)</f>
        <v>0</v>
      </c>
      <c r="ES62" s="397">
        <f>SUM(EM62+EP62)</f>
        <v>59</v>
      </c>
      <c r="ET62" s="405">
        <f>SUM(EN62+EQ62)</f>
        <v>16</v>
      </c>
      <c r="EU62" s="398">
        <f>SUM(ES62:ET62)</f>
        <v>75</v>
      </c>
      <c r="EV62" s="398"/>
      <c r="EW62" s="492">
        <f t="shared" si="26"/>
        <v>59</v>
      </c>
      <c r="EX62" s="487">
        <f t="shared" si="27"/>
        <v>16</v>
      </c>
      <c r="EY62" s="487">
        <f t="shared" si="28"/>
        <v>75</v>
      </c>
      <c r="EZ62" s="487">
        <f t="shared" si="29"/>
        <v>0</v>
      </c>
      <c r="FA62" s="474"/>
      <c r="FB62" s="474">
        <f t="shared" si="30"/>
        <v>75</v>
      </c>
      <c r="FC62" s="475"/>
      <c r="FD62" s="547">
        <f t="shared" si="31"/>
        <v>105</v>
      </c>
      <c r="FE62" s="547">
        <f t="shared" si="32"/>
        <v>38</v>
      </c>
      <c r="FF62" s="547">
        <f t="shared" si="33"/>
        <v>0</v>
      </c>
      <c r="FG62" s="547">
        <f t="shared" si="34"/>
        <v>0</v>
      </c>
      <c r="FH62" s="577">
        <f t="shared" si="35"/>
        <v>105</v>
      </c>
      <c r="FI62" s="577">
        <f t="shared" si="36"/>
        <v>38</v>
      </c>
      <c r="FJ62" s="577">
        <f t="shared" si="37"/>
        <v>143</v>
      </c>
      <c r="FK62" s="577">
        <f t="shared" si="38"/>
        <v>315</v>
      </c>
      <c r="FL62" s="577">
        <f t="shared" si="39"/>
        <v>118</v>
      </c>
      <c r="FM62" s="577">
        <f t="shared" si="40"/>
        <v>433</v>
      </c>
      <c r="FN62" s="393">
        <v>168</v>
      </c>
      <c r="FO62" s="394">
        <v>43</v>
      </c>
      <c r="FP62" s="395">
        <f>FN62+FO62</f>
        <v>211</v>
      </c>
      <c r="FQ62" s="396">
        <v>0</v>
      </c>
      <c r="FR62" s="394">
        <v>0</v>
      </c>
      <c r="FS62" s="395">
        <f>FQ62+FR62</f>
        <v>0</v>
      </c>
      <c r="FT62" s="397">
        <f>FN62+FQ62</f>
        <v>168</v>
      </c>
      <c r="FU62" s="405">
        <f>FO62+FR62</f>
        <v>43</v>
      </c>
      <c r="FV62" s="398">
        <f>SUM(FT62:FU62)</f>
        <v>211</v>
      </c>
      <c r="FW62" s="398"/>
      <c r="FX62" s="393"/>
      <c r="FY62" s="394"/>
      <c r="FZ62" s="395"/>
      <c r="GA62" s="396"/>
      <c r="GB62" s="394"/>
      <c r="GC62" s="395"/>
      <c r="GD62" s="397">
        <f t="shared" si="41"/>
        <v>0</v>
      </c>
      <c r="GE62" s="405">
        <f t="shared" si="42"/>
        <v>0</v>
      </c>
      <c r="GF62" s="398">
        <f t="shared" si="43"/>
        <v>0</v>
      </c>
      <c r="GG62" s="398"/>
      <c r="GH62" s="393">
        <v>126</v>
      </c>
      <c r="GI62" s="394">
        <v>15</v>
      </c>
      <c r="GJ62" s="395">
        <f>GH62+GI62</f>
        <v>141</v>
      </c>
      <c r="GK62" s="396">
        <v>67</v>
      </c>
      <c r="GL62" s="394">
        <v>14</v>
      </c>
      <c r="GM62" s="395">
        <f>GK62+GL62</f>
        <v>81</v>
      </c>
      <c r="GN62" s="397">
        <f>GH62+GK62</f>
        <v>193</v>
      </c>
      <c r="GO62" s="405">
        <f>GI62+GL62</f>
        <v>29</v>
      </c>
      <c r="GP62" s="398">
        <f>GN62+GO62</f>
        <v>222</v>
      </c>
      <c r="GQ62" s="398"/>
      <c r="GR62" s="650">
        <f t="shared" si="47"/>
        <v>466</v>
      </c>
      <c r="GS62" s="650">
        <f t="shared" si="48"/>
        <v>110</v>
      </c>
      <c r="GT62" s="650">
        <f t="shared" si="49"/>
        <v>399</v>
      </c>
      <c r="GU62" s="650">
        <f t="shared" si="50"/>
        <v>96</v>
      </c>
      <c r="GV62" s="650">
        <f t="shared" si="51"/>
        <v>67</v>
      </c>
      <c r="GW62" s="650">
        <f t="shared" si="52"/>
        <v>14</v>
      </c>
      <c r="GX62" s="393"/>
      <c r="GY62" s="394"/>
      <c r="GZ62" s="395">
        <f t="shared" si="53"/>
        <v>0</v>
      </c>
      <c r="HA62" s="396"/>
      <c r="HB62" s="394"/>
      <c r="HC62" s="395">
        <f t="shared" si="54"/>
        <v>0</v>
      </c>
      <c r="HD62" s="397">
        <f t="shared" si="55"/>
        <v>0</v>
      </c>
      <c r="HE62" s="405">
        <f t="shared" si="56"/>
        <v>0</v>
      </c>
      <c r="HF62" s="398">
        <f t="shared" si="57"/>
        <v>0</v>
      </c>
      <c r="HG62" s="398"/>
      <c r="HH62" s="492">
        <f t="shared" si="58"/>
        <v>361</v>
      </c>
      <c r="HI62" s="487">
        <f t="shared" si="59"/>
        <v>72</v>
      </c>
      <c r="HJ62" s="487">
        <f t="shared" si="60"/>
        <v>294</v>
      </c>
      <c r="HK62" s="487">
        <f t="shared" si="61"/>
        <v>58</v>
      </c>
      <c r="HL62" s="487">
        <f t="shared" si="62"/>
        <v>67</v>
      </c>
      <c r="HM62" s="487">
        <f t="shared" si="63"/>
        <v>14</v>
      </c>
      <c r="HN62" s="474"/>
      <c r="HO62" s="474">
        <f t="shared" si="64"/>
        <v>433</v>
      </c>
      <c r="HP62" s="475"/>
      <c r="HQ62" s="547">
        <f t="shared" ref="HQ62:HQ66" si="578">FN62+FX62+GH62+GX62</f>
        <v>294</v>
      </c>
      <c r="HR62" s="547">
        <f t="shared" ref="HR62:HR66" si="579">FO62+FY62+GI62+GY62</f>
        <v>58</v>
      </c>
      <c r="HS62" s="547">
        <f t="shared" ref="HS62:HS66" si="580">FQ62+GA62+GK62+HA62</f>
        <v>67</v>
      </c>
      <c r="HT62" s="547">
        <f t="shared" ref="HT62:HT66" si="581">FR62+GB62+GL62+HB62</f>
        <v>14</v>
      </c>
      <c r="HU62" s="393">
        <v>0</v>
      </c>
      <c r="HV62" s="394">
        <v>0</v>
      </c>
      <c r="HW62" s="395">
        <f t="shared" si="69"/>
        <v>0</v>
      </c>
      <c r="HX62" s="396"/>
      <c r="HY62" s="394"/>
      <c r="HZ62" s="395">
        <f t="shared" si="70"/>
        <v>0</v>
      </c>
      <c r="IA62" s="397">
        <f t="shared" si="71"/>
        <v>0</v>
      </c>
      <c r="IB62" s="405">
        <f t="shared" si="72"/>
        <v>0</v>
      </c>
      <c r="IC62" s="398">
        <f t="shared" si="73"/>
        <v>0</v>
      </c>
      <c r="ID62" s="398"/>
      <c r="IE62" s="393"/>
      <c r="IF62" s="394"/>
      <c r="IG62" s="395"/>
      <c r="IH62" s="396"/>
      <c r="II62" s="394"/>
      <c r="IJ62" s="395"/>
      <c r="IK62" s="397"/>
      <c r="IL62" s="405"/>
      <c r="IM62" s="398"/>
      <c r="IN62" s="398"/>
      <c r="IO62" s="393"/>
      <c r="IP62" s="394"/>
      <c r="IQ62" s="395"/>
      <c r="IR62" s="396"/>
      <c r="IS62" s="394"/>
      <c r="IT62" s="395"/>
      <c r="IU62" s="397"/>
      <c r="IV62" s="405"/>
      <c r="IW62" s="398"/>
      <c r="IX62" s="398"/>
      <c r="IY62" s="393"/>
      <c r="IZ62" s="394"/>
      <c r="JA62" s="395"/>
      <c r="JB62" s="396"/>
      <c r="JC62" s="394"/>
      <c r="JD62" s="395"/>
      <c r="JE62" s="397"/>
      <c r="JF62" s="405"/>
      <c r="JG62" s="398"/>
      <c r="JH62" s="398"/>
      <c r="JI62" s="494"/>
      <c r="JJ62" s="479"/>
      <c r="JK62" s="479"/>
      <c r="JL62" s="479"/>
      <c r="JM62" s="474"/>
      <c r="JN62" s="474">
        <f t="shared" si="74"/>
        <v>0</v>
      </c>
      <c r="JO62" s="475"/>
      <c r="JP62" s="393"/>
      <c r="JQ62" s="394"/>
      <c r="JR62" s="395"/>
      <c r="JS62" s="396"/>
      <c r="JT62" s="394"/>
      <c r="JU62" s="395"/>
      <c r="JV62" s="397"/>
      <c r="JW62" s="405"/>
      <c r="JX62" s="398"/>
      <c r="JY62" s="398"/>
      <c r="JZ62" s="577">
        <f>JX62+JN62+HO62+FB62</f>
        <v>508</v>
      </c>
      <c r="KA62" s="412">
        <f>SUM(JV62+JE62+IU62+IK62+IA62+HD62+GN62+GD62+FT62+ES62+EI62+DY62+DO62+CS62+CI62+BT62+BJ62+AO62+AE62+U62+K62)</f>
        <v>676</v>
      </c>
      <c r="KB62" s="412">
        <f>SUM(JW62+JF62+IV62+IL62+IB62+HE62+GO62+GE62+FU62+ET62+EJ62+DZ62+DP62+CT62+CJ62+BU62+BK62+AP62+AF62+V62+L62)</f>
        <v>190</v>
      </c>
      <c r="KC62" s="412">
        <f>SUM(JP62+IY62+IO62+IE62+HU62+GX62+GH62+FX62+FN62+EM62+EC62+DS62+DI62+CM62+CC62+BN62+BD62+AI62+Y62+O62+E62)</f>
        <v>607</v>
      </c>
      <c r="KD62" s="412">
        <f>SUM(JQ62+IZ62+IP62+IF62+HV62+GY62+GI62+FY62+FO62+EN62+ED62+DT62+DJ62+CN62+CD62+BO62+BE62+AJ62+Z62+P62+F62)</f>
        <v>176</v>
      </c>
      <c r="KE62" s="412">
        <f>SUM(JS62+JB62+IR62+IH62+HX62+HA62+GK62+GA62+FQ62+EP62+EF62+DV62+DL62+CP62+CF62+BQ62+BG62+AL62+AB62+R62+H62)</f>
        <v>69</v>
      </c>
      <c r="KF62" s="693">
        <f>SUM(JT62+JC62+IS62+II62+HY62+HB62+GL62+GB62+FR62+EQ62+EG62+DW62+DM62+CQ62+CG62+BR62+BH62+AM62+AC62+S62+I62)</f>
        <v>14</v>
      </c>
      <c r="KG62" s="687">
        <f t="shared" si="75"/>
        <v>866</v>
      </c>
      <c r="KH62" s="680">
        <v>350</v>
      </c>
      <c r="KI62" s="680">
        <f>KH62-KG62</f>
        <v>-516</v>
      </c>
      <c r="KJ62" s="681">
        <f>KG62/KH62</f>
        <v>2.4742857142857142</v>
      </c>
      <c r="KK62" s="359">
        <f>KA62+KA63</f>
        <v>1222</v>
      </c>
      <c r="KL62" s="764" t="s">
        <v>160</v>
      </c>
      <c r="KM62" s="764"/>
      <c r="KN62" s="764"/>
      <c r="KO62" s="441" t="s">
        <v>128</v>
      </c>
      <c r="KP62" s="441">
        <f>(KH63+KH62)-(KG63+KG62)</f>
        <v>-436</v>
      </c>
      <c r="KQ62" s="442" t="s">
        <v>161</v>
      </c>
    </row>
    <row r="63" spans="1:303" ht="44.25" customHeight="1" x14ac:dyDescent="0.3">
      <c r="A63" s="719"/>
      <c r="B63" s="439" t="s">
        <v>50</v>
      </c>
      <c r="C63" s="391" t="s">
        <v>133</v>
      </c>
      <c r="D63" s="392">
        <v>1000</v>
      </c>
      <c r="E63" s="393"/>
      <c r="F63" s="394"/>
      <c r="G63" s="395"/>
      <c r="H63" s="396"/>
      <c r="I63" s="394"/>
      <c r="J63" s="395"/>
      <c r="K63" s="397"/>
      <c r="L63" s="398"/>
      <c r="M63" s="398"/>
      <c r="N63" s="399"/>
      <c r="O63" s="393">
        <v>63</v>
      </c>
      <c r="P63" s="394">
        <v>53</v>
      </c>
      <c r="Q63" s="400">
        <f>SUM(O63:P63)</f>
        <v>116</v>
      </c>
      <c r="R63" s="396">
        <v>26</v>
      </c>
      <c r="S63" s="394">
        <v>17</v>
      </c>
      <c r="T63" s="400">
        <f>SUM(R63:S63)</f>
        <v>43</v>
      </c>
      <c r="U63" s="397">
        <f>SUM(O63+R63)</f>
        <v>89</v>
      </c>
      <c r="V63" s="398">
        <f>SUM(P63+S63)</f>
        <v>70</v>
      </c>
      <c r="W63" s="398">
        <f>SUM(U63:V63)</f>
        <v>159</v>
      </c>
      <c r="X63" s="399"/>
      <c r="Y63" s="393"/>
      <c r="Z63" s="394"/>
      <c r="AA63" s="400">
        <f>SUM(Y63:Z63)</f>
        <v>0</v>
      </c>
      <c r="AB63" s="396">
        <v>0</v>
      </c>
      <c r="AC63" s="394">
        <v>0</v>
      </c>
      <c r="AD63" s="400">
        <f>SUM(AB63:AC63)</f>
        <v>0</v>
      </c>
      <c r="AE63" s="397">
        <f>SUM(Y63+AB63)</f>
        <v>0</v>
      </c>
      <c r="AF63" s="405">
        <f>SUM(Z63+AC63)</f>
        <v>0</v>
      </c>
      <c r="AG63" s="398">
        <f>SUM(AE63:AF63)</f>
        <v>0</v>
      </c>
      <c r="AH63" s="403"/>
      <c r="AI63" s="393"/>
      <c r="AJ63" s="394"/>
      <c r="AK63" s="395"/>
      <c r="AL63" s="396"/>
      <c r="AM63" s="394"/>
      <c r="AN63" s="395"/>
      <c r="AO63" s="397"/>
      <c r="AP63" s="398"/>
      <c r="AQ63" s="398"/>
      <c r="AR63" s="404"/>
      <c r="AS63" s="486">
        <f t="shared" si="7"/>
        <v>89</v>
      </c>
      <c r="AT63" s="487">
        <f t="shared" si="8"/>
        <v>70</v>
      </c>
      <c r="AU63" s="487">
        <f t="shared" si="9"/>
        <v>116</v>
      </c>
      <c r="AV63" s="487">
        <f t="shared" si="10"/>
        <v>0</v>
      </c>
      <c r="AW63" s="478">
        <v>1000</v>
      </c>
      <c r="AX63" s="479">
        <f t="shared" si="11"/>
        <v>159</v>
      </c>
      <c r="AY63" s="537">
        <f>AX63/AW63</f>
        <v>0.159</v>
      </c>
      <c r="AZ63" s="547">
        <f t="shared" si="489"/>
        <v>63</v>
      </c>
      <c r="BA63" s="547">
        <f t="shared" si="490"/>
        <v>53</v>
      </c>
      <c r="BB63" s="547">
        <f t="shared" si="491"/>
        <v>26</v>
      </c>
      <c r="BC63" s="547">
        <f t="shared" si="492"/>
        <v>17</v>
      </c>
      <c r="BD63" s="393">
        <v>457</v>
      </c>
      <c r="BE63" s="394">
        <v>304</v>
      </c>
      <c r="BF63" s="395">
        <f>SUM(BD63:BE63)</f>
        <v>761</v>
      </c>
      <c r="BG63" s="396">
        <v>0</v>
      </c>
      <c r="BH63" s="394">
        <v>0</v>
      </c>
      <c r="BI63" s="395">
        <f>SUM(BG63:BH63)</f>
        <v>0</v>
      </c>
      <c r="BJ63" s="397">
        <f>SUM(BD63+BG63)</f>
        <v>457</v>
      </c>
      <c r="BK63" s="398">
        <f>SUM(BE63+BH63)</f>
        <v>304</v>
      </c>
      <c r="BL63" s="405">
        <f>SUM(BJ63:BK63)</f>
        <v>761</v>
      </c>
      <c r="BM63" s="398"/>
      <c r="BN63" s="393"/>
      <c r="BO63" s="394"/>
      <c r="BP63" s="395"/>
      <c r="BQ63" s="396"/>
      <c r="BR63" s="394"/>
      <c r="BS63" s="395"/>
      <c r="BT63" s="397"/>
      <c r="BU63" s="405"/>
      <c r="BV63" s="398"/>
      <c r="BW63" s="398"/>
      <c r="BX63" s="626">
        <f t="shared" si="16"/>
        <v>520</v>
      </c>
      <c r="BY63" s="626">
        <f t="shared" si="17"/>
        <v>357</v>
      </c>
      <c r="BZ63" s="626">
        <f t="shared" si="18"/>
        <v>26</v>
      </c>
      <c r="CA63" s="626">
        <f t="shared" si="19"/>
        <v>17</v>
      </c>
      <c r="CB63" s="625">
        <f t="shared" si="20"/>
        <v>920</v>
      </c>
      <c r="CC63" s="393"/>
      <c r="CD63" s="394"/>
      <c r="CE63" s="395"/>
      <c r="CF63" s="396"/>
      <c r="CG63" s="394"/>
      <c r="CH63" s="395"/>
      <c r="CI63" s="397"/>
      <c r="CJ63" s="398"/>
      <c r="CK63" s="398"/>
      <c r="CL63" s="414"/>
      <c r="CM63" s="393"/>
      <c r="CN63" s="394"/>
      <c r="CO63" s="395"/>
      <c r="CP63" s="396"/>
      <c r="CQ63" s="394"/>
      <c r="CR63" s="395"/>
      <c r="CS63" s="397"/>
      <c r="CT63" s="398"/>
      <c r="CU63" s="405"/>
      <c r="CV63" s="405"/>
      <c r="CW63" s="492">
        <f t="shared" si="577"/>
        <v>457</v>
      </c>
      <c r="CX63" s="487">
        <f t="shared" si="577"/>
        <v>304</v>
      </c>
      <c r="CY63" s="487">
        <f t="shared" si="577"/>
        <v>761</v>
      </c>
      <c r="CZ63" s="487">
        <f>SUM(CR63+CH63+BS63+BI63)</f>
        <v>0</v>
      </c>
      <c r="DA63" s="474"/>
      <c r="DB63" s="474">
        <f>SUM(CW63:CX63)</f>
        <v>761</v>
      </c>
      <c r="DC63" s="475"/>
      <c r="DD63" s="547">
        <f t="shared" si="21"/>
        <v>457</v>
      </c>
      <c r="DE63" s="547">
        <f t="shared" si="22"/>
        <v>304</v>
      </c>
      <c r="DF63" s="547">
        <f t="shared" si="23"/>
        <v>0</v>
      </c>
      <c r="DG63" s="547">
        <f t="shared" si="24"/>
        <v>0</v>
      </c>
      <c r="DH63" s="576">
        <f t="shared" si="25"/>
        <v>920</v>
      </c>
      <c r="DI63" s="393"/>
      <c r="DJ63" s="394"/>
      <c r="DK63" s="395"/>
      <c r="DL63" s="396"/>
      <c r="DM63" s="394"/>
      <c r="DN63" s="395"/>
      <c r="DO63" s="397"/>
      <c r="DP63" s="405"/>
      <c r="DQ63" s="398"/>
      <c r="DR63" s="398"/>
      <c r="DS63" s="393"/>
      <c r="DT63" s="394"/>
      <c r="DU63" s="395">
        <f t="shared" si="76"/>
        <v>0</v>
      </c>
      <c r="DV63" s="396"/>
      <c r="DW63" s="394"/>
      <c r="DX63" s="395">
        <f t="shared" si="77"/>
        <v>0</v>
      </c>
      <c r="DY63" s="397">
        <f t="shared" si="78"/>
        <v>0</v>
      </c>
      <c r="DZ63" s="405">
        <f t="shared" si="79"/>
        <v>0</v>
      </c>
      <c r="EA63" s="398">
        <f t="shared" si="80"/>
        <v>0</v>
      </c>
      <c r="EB63" s="398"/>
      <c r="EC63" s="393"/>
      <c r="ED63" s="394"/>
      <c r="EE63" s="395"/>
      <c r="EF63" s="396"/>
      <c r="EG63" s="394"/>
      <c r="EH63" s="395"/>
      <c r="EI63" s="397"/>
      <c r="EJ63" s="405"/>
      <c r="EK63" s="398"/>
      <c r="EL63" s="398"/>
      <c r="EM63" s="393"/>
      <c r="EN63" s="394"/>
      <c r="EO63" s="395"/>
      <c r="EP63" s="396"/>
      <c r="EQ63" s="394"/>
      <c r="ER63" s="395"/>
      <c r="ES63" s="397"/>
      <c r="ET63" s="405"/>
      <c r="EU63" s="398"/>
      <c r="EV63" s="398"/>
      <c r="EW63" s="492">
        <f t="shared" si="26"/>
        <v>0</v>
      </c>
      <c r="EX63" s="487">
        <f t="shared" si="27"/>
        <v>0</v>
      </c>
      <c r="EY63" s="487">
        <f t="shared" si="28"/>
        <v>0</v>
      </c>
      <c r="EZ63" s="487">
        <f t="shared" si="29"/>
        <v>0</v>
      </c>
      <c r="FA63" s="474"/>
      <c r="FB63" s="474">
        <f t="shared" si="30"/>
        <v>0</v>
      </c>
      <c r="FC63" s="475"/>
      <c r="FD63" s="547">
        <f t="shared" si="31"/>
        <v>0</v>
      </c>
      <c r="FE63" s="547">
        <f t="shared" si="32"/>
        <v>0</v>
      </c>
      <c r="FF63" s="547">
        <f t="shared" si="33"/>
        <v>0</v>
      </c>
      <c r="FG63" s="547">
        <f t="shared" si="34"/>
        <v>0</v>
      </c>
      <c r="FH63" s="577">
        <f t="shared" si="35"/>
        <v>0</v>
      </c>
      <c r="FI63" s="577">
        <f t="shared" si="36"/>
        <v>0</v>
      </c>
      <c r="FJ63" s="577">
        <f t="shared" si="37"/>
        <v>0</v>
      </c>
      <c r="FK63" s="577">
        <f t="shared" si="38"/>
        <v>546</v>
      </c>
      <c r="FL63" s="577">
        <f t="shared" si="39"/>
        <v>374</v>
      </c>
      <c r="FM63" s="577">
        <f t="shared" si="40"/>
        <v>920</v>
      </c>
      <c r="FN63" s="393"/>
      <c r="FO63" s="394"/>
      <c r="FP63" s="395"/>
      <c r="FQ63" s="396"/>
      <c r="FR63" s="394"/>
      <c r="FS63" s="395"/>
      <c r="FT63" s="397"/>
      <c r="FU63" s="405"/>
      <c r="FV63" s="398"/>
      <c r="FW63" s="398"/>
      <c r="FX63" s="393"/>
      <c r="FY63" s="394"/>
      <c r="FZ63" s="395"/>
      <c r="GA63" s="396"/>
      <c r="GB63" s="394"/>
      <c r="GC63" s="395"/>
      <c r="GD63" s="397">
        <f t="shared" si="41"/>
        <v>0</v>
      </c>
      <c r="GE63" s="405">
        <f t="shared" si="42"/>
        <v>0</v>
      </c>
      <c r="GF63" s="398">
        <f t="shared" si="43"/>
        <v>0</v>
      </c>
      <c r="GG63" s="398"/>
      <c r="GH63" s="393"/>
      <c r="GI63" s="394"/>
      <c r="GJ63" s="395"/>
      <c r="GK63" s="396"/>
      <c r="GL63" s="394"/>
      <c r="GM63" s="395"/>
      <c r="GN63" s="397">
        <f t="shared" ref="GN63:GN76" si="582">GH63+GK63</f>
        <v>0</v>
      </c>
      <c r="GO63" s="405">
        <f t="shared" ref="GO63:GO76" si="583">GI63+GL63</f>
        <v>0</v>
      </c>
      <c r="GP63" s="398">
        <f t="shared" ref="GP63:GP76" si="584">GN63+GO63</f>
        <v>0</v>
      </c>
      <c r="GQ63" s="398"/>
      <c r="GR63" s="650">
        <f t="shared" si="47"/>
        <v>457</v>
      </c>
      <c r="GS63" s="650">
        <f t="shared" si="48"/>
        <v>304</v>
      </c>
      <c r="GT63" s="650">
        <f t="shared" si="49"/>
        <v>457</v>
      </c>
      <c r="GU63" s="650">
        <f t="shared" si="50"/>
        <v>304</v>
      </c>
      <c r="GV63" s="650">
        <f t="shared" si="51"/>
        <v>0</v>
      </c>
      <c r="GW63" s="650">
        <f t="shared" si="52"/>
        <v>0</v>
      </c>
      <c r="GX63" s="393"/>
      <c r="GY63" s="394"/>
      <c r="GZ63" s="395">
        <f t="shared" si="53"/>
        <v>0</v>
      </c>
      <c r="HA63" s="396"/>
      <c r="HB63" s="394"/>
      <c r="HC63" s="395">
        <f t="shared" si="54"/>
        <v>0</v>
      </c>
      <c r="HD63" s="397">
        <f t="shared" si="55"/>
        <v>0</v>
      </c>
      <c r="HE63" s="405">
        <f t="shared" si="56"/>
        <v>0</v>
      </c>
      <c r="HF63" s="398">
        <f t="shared" si="57"/>
        <v>0</v>
      </c>
      <c r="HG63" s="398"/>
      <c r="HH63" s="492">
        <f t="shared" si="58"/>
        <v>0</v>
      </c>
      <c r="HI63" s="487">
        <f t="shared" si="59"/>
        <v>0</v>
      </c>
      <c r="HJ63" s="487">
        <f t="shared" si="60"/>
        <v>0</v>
      </c>
      <c r="HK63" s="487">
        <f t="shared" si="61"/>
        <v>0</v>
      </c>
      <c r="HL63" s="487">
        <f t="shared" si="62"/>
        <v>0</v>
      </c>
      <c r="HM63" s="487">
        <f t="shared" si="63"/>
        <v>0</v>
      </c>
      <c r="HN63" s="474"/>
      <c r="HO63" s="474">
        <f t="shared" si="64"/>
        <v>0</v>
      </c>
      <c r="HP63" s="475"/>
      <c r="HQ63" s="547">
        <f t="shared" si="578"/>
        <v>0</v>
      </c>
      <c r="HR63" s="547">
        <f t="shared" si="579"/>
        <v>0</v>
      </c>
      <c r="HS63" s="547">
        <f t="shared" si="580"/>
        <v>0</v>
      </c>
      <c r="HT63" s="547">
        <f t="shared" si="581"/>
        <v>0</v>
      </c>
      <c r="HU63" s="393"/>
      <c r="HV63" s="394"/>
      <c r="HW63" s="395">
        <f t="shared" si="69"/>
        <v>0</v>
      </c>
      <c r="HX63" s="396"/>
      <c r="HY63" s="394"/>
      <c r="HZ63" s="395">
        <f t="shared" si="70"/>
        <v>0</v>
      </c>
      <c r="IA63" s="397">
        <f t="shared" si="71"/>
        <v>0</v>
      </c>
      <c r="IB63" s="405">
        <f t="shared" si="72"/>
        <v>0</v>
      </c>
      <c r="IC63" s="398">
        <f t="shared" si="73"/>
        <v>0</v>
      </c>
      <c r="ID63" s="398"/>
      <c r="IE63" s="393"/>
      <c r="IF63" s="394"/>
      <c r="IG63" s="395"/>
      <c r="IH63" s="396"/>
      <c r="II63" s="394"/>
      <c r="IJ63" s="395"/>
      <c r="IK63" s="397"/>
      <c r="IL63" s="405"/>
      <c r="IM63" s="398"/>
      <c r="IN63" s="398"/>
      <c r="IO63" s="393"/>
      <c r="IP63" s="394"/>
      <c r="IQ63" s="395"/>
      <c r="IR63" s="396"/>
      <c r="IS63" s="394"/>
      <c r="IT63" s="395"/>
      <c r="IU63" s="397"/>
      <c r="IV63" s="405"/>
      <c r="IW63" s="398"/>
      <c r="IX63" s="398"/>
      <c r="IY63" s="393"/>
      <c r="IZ63" s="394"/>
      <c r="JA63" s="395"/>
      <c r="JB63" s="396"/>
      <c r="JC63" s="394"/>
      <c r="JD63" s="395"/>
      <c r="JE63" s="397"/>
      <c r="JF63" s="405"/>
      <c r="JG63" s="398"/>
      <c r="JH63" s="398"/>
      <c r="JI63" s="494"/>
      <c r="JJ63" s="479"/>
      <c r="JK63" s="479"/>
      <c r="JL63" s="479"/>
      <c r="JM63" s="474"/>
      <c r="JN63" s="474">
        <f t="shared" si="74"/>
        <v>0</v>
      </c>
      <c r="JO63" s="475"/>
      <c r="JP63" s="393"/>
      <c r="JQ63" s="394"/>
      <c r="JR63" s="395"/>
      <c r="JS63" s="396"/>
      <c r="JT63" s="394"/>
      <c r="JU63" s="395"/>
      <c r="JV63" s="397"/>
      <c r="JW63" s="405"/>
      <c r="JX63" s="398"/>
      <c r="JY63" s="398"/>
      <c r="JZ63" s="577">
        <f>JX63+JN63+HO63+FB63</f>
        <v>0</v>
      </c>
      <c r="KA63" s="412">
        <f>SUM(JV63+JE63+IU63+IK63+IA63+HD63+GN63+GD63+FT63+ES63+EI63+DY63+DO63+CS63+CI63+BT63+BJ63+AO63+AE63+U63+K63)</f>
        <v>546</v>
      </c>
      <c r="KB63" s="412">
        <f>SUM(JW63+JF63+IV63+IL63+IB63+HE63+GO63+GE63+FU63+ET63+EJ63+DZ63+DP63+CT63+CJ63+BU63+BK63+AP63+AF63+V63+L63)</f>
        <v>374</v>
      </c>
      <c r="KC63" s="412">
        <f>SUM(JP63+IY63+IO63+IE63+HU63+GX63+GH63+FX63+FN63+EM63+EC63+DS63+DI63+CM63+CC63+BN63+BD63+AI63+Y63+O63+E63)</f>
        <v>520</v>
      </c>
      <c r="KD63" s="412">
        <f>SUM(JQ63+IZ63+IP63+IF63+HV63+GY63+GI63+FY63+FO63+EN63+ED63+DT63+DJ63+CN63+CD63+BO63+BE63+AJ63+Z63+P63+F63)</f>
        <v>357</v>
      </c>
      <c r="KE63" s="412">
        <f>SUM(JS63+JB63+IR63+IH63+HX63+HA63+GK63+GA63+FQ63+EP63+EF63+DV63+DL63+CP63+CF63+BQ63+BG63+AL63+AB63+R63+H63)</f>
        <v>26</v>
      </c>
      <c r="KF63" s="693">
        <f>SUM(JT63+JC63+IS63+II63+HY63+HB63+GL63+GB63+FR63+EQ63+EG63+DW63+DM63+CQ63+CG63+BR63+BH63+AM63+AC63+S63+I63)</f>
        <v>17</v>
      </c>
      <c r="KG63" s="687">
        <f t="shared" si="75"/>
        <v>920</v>
      </c>
      <c r="KH63" s="680">
        <v>1000</v>
      </c>
      <c r="KI63" s="680">
        <f>KH63-KG63</f>
        <v>80</v>
      </c>
      <c r="KJ63" s="681">
        <f>KG63/KH63</f>
        <v>0.92</v>
      </c>
      <c r="KK63" s="359">
        <f>KG62+KG63</f>
        <v>1786</v>
      </c>
      <c r="KL63" s="764"/>
      <c r="KM63" s="764"/>
      <c r="KN63" s="764"/>
      <c r="KO63" s="443"/>
      <c r="KP63" s="443"/>
      <c r="KQ63" s="359"/>
    </row>
    <row r="64" spans="1:303" ht="44.25" customHeight="1" x14ac:dyDescent="0.3">
      <c r="A64" s="638"/>
      <c r="B64" s="657" t="s">
        <v>162</v>
      </c>
      <c r="C64" s="391"/>
      <c r="D64" s="392"/>
      <c r="E64" s="393"/>
      <c r="F64" s="394"/>
      <c r="G64" s="395"/>
      <c r="H64" s="396"/>
      <c r="I64" s="394"/>
      <c r="J64" s="395"/>
      <c r="K64" s="397"/>
      <c r="L64" s="398"/>
      <c r="M64" s="398"/>
      <c r="N64" s="399"/>
      <c r="O64" s="393"/>
      <c r="P64" s="655"/>
      <c r="Q64" s="656"/>
      <c r="R64" s="393"/>
      <c r="S64" s="655"/>
      <c r="T64" s="656"/>
      <c r="U64" s="414"/>
      <c r="V64" s="414"/>
      <c r="W64" s="414"/>
      <c r="X64" s="399"/>
      <c r="Y64" s="393"/>
      <c r="Z64" s="394"/>
      <c r="AA64" s="400"/>
      <c r="AB64" s="396"/>
      <c r="AC64" s="394"/>
      <c r="AD64" s="400"/>
      <c r="AE64" s="397"/>
      <c r="AF64" s="405"/>
      <c r="AG64" s="398"/>
      <c r="AH64" s="403"/>
      <c r="AI64" s="393"/>
      <c r="AJ64" s="394"/>
      <c r="AK64" s="395"/>
      <c r="AL64" s="396"/>
      <c r="AM64" s="394"/>
      <c r="AN64" s="395"/>
      <c r="AO64" s="397"/>
      <c r="AP64" s="398"/>
      <c r="AQ64" s="398"/>
      <c r="AR64" s="404"/>
      <c r="AS64" s="486"/>
      <c r="AT64" s="487"/>
      <c r="AU64" s="487"/>
      <c r="AV64" s="487"/>
      <c r="AW64" s="478"/>
      <c r="AX64" s="479"/>
      <c r="AY64" s="537"/>
      <c r="AZ64" s="658">
        <f>AZ62+AZ63</f>
        <v>271</v>
      </c>
      <c r="BA64" s="658">
        <f>BA62+BA63</f>
        <v>133</v>
      </c>
      <c r="BB64" s="658">
        <f>BB62+BB63</f>
        <v>28</v>
      </c>
      <c r="BC64" s="658">
        <f>BC62+BC63</f>
        <v>17</v>
      </c>
      <c r="BD64" s="393"/>
      <c r="BE64" s="394"/>
      <c r="BF64" s="395"/>
      <c r="BG64" s="396"/>
      <c r="BH64" s="394"/>
      <c r="BI64" s="395"/>
      <c r="BJ64" s="397"/>
      <c r="BK64" s="398"/>
      <c r="BL64" s="405"/>
      <c r="BM64" s="398"/>
      <c r="BN64" s="393"/>
      <c r="BO64" s="394"/>
      <c r="BP64" s="395"/>
      <c r="BQ64" s="396"/>
      <c r="BR64" s="394"/>
      <c r="BS64" s="395"/>
      <c r="BT64" s="397"/>
      <c r="BU64" s="405"/>
      <c r="BV64" s="398"/>
      <c r="BW64" s="398"/>
      <c r="BX64" s="626"/>
      <c r="BY64" s="626"/>
      <c r="BZ64" s="626"/>
      <c r="CA64" s="626"/>
      <c r="CB64" s="625"/>
      <c r="CC64" s="393"/>
      <c r="CD64" s="394"/>
      <c r="CE64" s="395"/>
      <c r="CF64" s="396"/>
      <c r="CG64" s="394"/>
      <c r="CH64" s="395"/>
      <c r="CI64" s="397"/>
      <c r="CJ64" s="398"/>
      <c r="CK64" s="398"/>
      <c r="CL64" s="414"/>
      <c r="CM64" s="393"/>
      <c r="CN64" s="394"/>
      <c r="CO64" s="395"/>
      <c r="CP64" s="396"/>
      <c r="CQ64" s="394"/>
      <c r="CR64" s="395"/>
      <c r="CS64" s="397"/>
      <c r="CT64" s="398"/>
      <c r="CU64" s="405"/>
      <c r="CV64" s="405"/>
      <c r="CW64" s="492"/>
      <c r="CX64" s="487"/>
      <c r="CY64" s="487"/>
      <c r="CZ64" s="487"/>
      <c r="DA64" s="474"/>
      <c r="DB64" s="474"/>
      <c r="DC64" s="475"/>
      <c r="DD64" s="547"/>
      <c r="DE64" s="547"/>
      <c r="DF64" s="547"/>
      <c r="DG64" s="547"/>
      <c r="DH64" s="576"/>
      <c r="DI64" s="530"/>
      <c r="DJ64" s="531"/>
      <c r="DK64" s="395"/>
      <c r="DL64" s="396"/>
      <c r="DM64" s="394"/>
      <c r="DN64" s="395"/>
      <c r="DO64" s="397"/>
      <c r="DP64" s="405"/>
      <c r="DQ64" s="398"/>
      <c r="DR64" s="398"/>
      <c r="DS64" s="393"/>
      <c r="DT64" s="394"/>
      <c r="DU64" s="395"/>
      <c r="DV64" s="396"/>
      <c r="DW64" s="394"/>
      <c r="DX64" s="395"/>
      <c r="DY64" s="397"/>
      <c r="DZ64" s="405"/>
      <c r="EA64" s="398"/>
      <c r="EB64" s="398"/>
      <c r="EC64" s="393"/>
      <c r="ED64" s="394"/>
      <c r="EE64" s="395"/>
      <c r="EF64" s="396"/>
      <c r="EG64" s="394"/>
      <c r="EH64" s="395"/>
      <c r="EI64" s="397"/>
      <c r="EJ64" s="405"/>
      <c r="EK64" s="398"/>
      <c r="EL64" s="398"/>
      <c r="EM64" s="393"/>
      <c r="EN64" s="394"/>
      <c r="EO64" s="395"/>
      <c r="EP64" s="396"/>
      <c r="EQ64" s="394"/>
      <c r="ER64" s="395"/>
      <c r="ES64" s="397"/>
      <c r="ET64" s="405"/>
      <c r="EU64" s="398"/>
      <c r="EV64" s="398"/>
      <c r="EW64" s="492"/>
      <c r="EX64" s="487"/>
      <c r="EY64" s="487"/>
      <c r="EZ64" s="487"/>
      <c r="FA64" s="474"/>
      <c r="FB64" s="474"/>
      <c r="FC64" s="475"/>
      <c r="FD64" s="547"/>
      <c r="FE64" s="547"/>
      <c r="FF64" s="547"/>
      <c r="FG64" s="547"/>
      <c r="FH64" s="577"/>
      <c r="FI64" s="577"/>
      <c r="FJ64" s="577"/>
      <c r="FK64" s="577"/>
      <c r="FL64" s="577"/>
      <c r="FM64" s="577"/>
      <c r="FN64" s="393"/>
      <c r="FO64" s="394"/>
      <c r="FP64" s="395"/>
      <c r="FQ64" s="396"/>
      <c r="FR64" s="394"/>
      <c r="FS64" s="395"/>
      <c r="FT64" s="397"/>
      <c r="FU64" s="405"/>
      <c r="FV64" s="398"/>
      <c r="FW64" s="398"/>
      <c r="FX64" s="393"/>
      <c r="FY64" s="394"/>
      <c r="FZ64" s="395"/>
      <c r="GA64" s="396"/>
      <c r="GB64" s="394"/>
      <c r="GC64" s="395"/>
      <c r="GD64" s="397"/>
      <c r="GE64" s="405"/>
      <c r="GF64" s="398"/>
      <c r="GG64" s="398"/>
      <c r="GH64" s="393"/>
      <c r="GI64" s="394"/>
      <c r="GJ64" s="395"/>
      <c r="GK64" s="396"/>
      <c r="GL64" s="394"/>
      <c r="GM64" s="395"/>
      <c r="GN64" s="397"/>
      <c r="GO64" s="405"/>
      <c r="GP64" s="398"/>
      <c r="GQ64" s="398"/>
      <c r="GR64" s="577">
        <f>GR62+GR63</f>
        <v>923</v>
      </c>
      <c r="GS64" s="577">
        <f>GS62+GS63</f>
        <v>414</v>
      </c>
      <c r="GT64" s="577">
        <f>GT62+GT63</f>
        <v>856</v>
      </c>
      <c r="GU64" s="577">
        <f>GU62+GU63</f>
        <v>400</v>
      </c>
      <c r="GV64" s="577">
        <f>GV63+GV62</f>
        <v>67</v>
      </c>
      <c r="GW64" s="577">
        <f>GW63+GW62</f>
        <v>14</v>
      </c>
      <c r="GX64" s="393"/>
      <c r="GY64" s="394"/>
      <c r="GZ64" s="395">
        <f t="shared" si="53"/>
        <v>0</v>
      </c>
      <c r="HA64" s="396"/>
      <c r="HB64" s="394"/>
      <c r="HC64" s="395">
        <f t="shared" si="54"/>
        <v>0</v>
      </c>
      <c r="HD64" s="397">
        <f t="shared" si="55"/>
        <v>0</v>
      </c>
      <c r="HE64" s="405">
        <f t="shared" si="56"/>
        <v>0</v>
      </c>
      <c r="HF64" s="398">
        <f t="shared" si="57"/>
        <v>0</v>
      </c>
      <c r="HG64" s="398"/>
      <c r="HH64" s="492">
        <f t="shared" si="58"/>
        <v>0</v>
      </c>
      <c r="HI64" s="487">
        <f t="shared" si="59"/>
        <v>0</v>
      </c>
      <c r="HJ64" s="487">
        <f t="shared" si="60"/>
        <v>0</v>
      </c>
      <c r="HK64" s="487">
        <f t="shared" si="61"/>
        <v>0</v>
      </c>
      <c r="HL64" s="487">
        <f t="shared" si="62"/>
        <v>0</v>
      </c>
      <c r="HM64" s="487">
        <f t="shared" si="63"/>
        <v>0</v>
      </c>
      <c r="HN64" s="474"/>
      <c r="HO64" s="474"/>
      <c r="HP64" s="475"/>
      <c r="HQ64" s="547"/>
      <c r="HR64" s="547"/>
      <c r="HS64" s="547"/>
      <c r="HT64" s="547"/>
      <c r="HU64" s="393"/>
      <c r="HV64" s="394"/>
      <c r="HW64" s="395">
        <f t="shared" si="69"/>
        <v>0</v>
      </c>
      <c r="HX64" s="396"/>
      <c r="HY64" s="394"/>
      <c r="HZ64" s="395">
        <f t="shared" si="70"/>
        <v>0</v>
      </c>
      <c r="IA64" s="397">
        <f t="shared" si="71"/>
        <v>0</v>
      </c>
      <c r="IB64" s="405">
        <f t="shared" si="72"/>
        <v>0</v>
      </c>
      <c r="IC64" s="398">
        <f t="shared" si="73"/>
        <v>0</v>
      </c>
      <c r="ID64" s="398"/>
      <c r="IE64" s="393"/>
      <c r="IF64" s="394"/>
      <c r="IG64" s="395"/>
      <c r="IH64" s="396"/>
      <c r="II64" s="394"/>
      <c r="IJ64" s="395"/>
      <c r="IK64" s="397"/>
      <c r="IL64" s="405"/>
      <c r="IM64" s="398"/>
      <c r="IN64" s="398"/>
      <c r="IO64" s="393"/>
      <c r="IP64" s="394"/>
      <c r="IQ64" s="395"/>
      <c r="IR64" s="396"/>
      <c r="IS64" s="394"/>
      <c r="IT64" s="395"/>
      <c r="IU64" s="397"/>
      <c r="IV64" s="405"/>
      <c r="IW64" s="398"/>
      <c r="IX64" s="398"/>
      <c r="IY64" s="393"/>
      <c r="IZ64" s="394"/>
      <c r="JA64" s="395"/>
      <c r="JB64" s="396"/>
      <c r="JC64" s="394"/>
      <c r="JD64" s="395"/>
      <c r="JE64" s="397"/>
      <c r="JF64" s="405"/>
      <c r="JG64" s="398"/>
      <c r="JH64" s="398"/>
      <c r="JI64" s="494"/>
      <c r="JJ64" s="479"/>
      <c r="JK64" s="479"/>
      <c r="JL64" s="479"/>
      <c r="JM64" s="474"/>
      <c r="JN64" s="474"/>
      <c r="JO64" s="475"/>
      <c r="JP64" s="393"/>
      <c r="JQ64" s="394"/>
      <c r="JR64" s="395"/>
      <c r="JS64" s="396"/>
      <c r="JT64" s="394"/>
      <c r="JU64" s="395"/>
      <c r="JV64" s="397"/>
      <c r="JW64" s="405"/>
      <c r="JX64" s="398"/>
      <c r="JY64" s="398"/>
      <c r="JZ64" s="577"/>
      <c r="KA64" s="412"/>
      <c r="KB64" s="412"/>
      <c r="KC64" s="412"/>
      <c r="KD64" s="412"/>
      <c r="KE64" s="412"/>
      <c r="KF64" s="693"/>
      <c r="KG64" s="687"/>
      <c r="KH64" s="680"/>
      <c r="KI64" s="680"/>
      <c r="KJ64" s="681"/>
      <c r="KK64" s="359">
        <f>KB62+KB63</f>
        <v>564</v>
      </c>
      <c r="KL64" s="639"/>
      <c r="KM64" s="639"/>
      <c r="KN64" s="639"/>
      <c r="KO64" s="443"/>
      <c r="KP64" s="443"/>
      <c r="KQ64" s="359"/>
    </row>
    <row r="65" spans="1:303" ht="63.75" customHeight="1" x14ac:dyDescent="0.3">
      <c r="A65" s="390"/>
      <c r="B65" s="464" t="s">
        <v>163</v>
      </c>
      <c r="C65" s="391" t="s">
        <v>130</v>
      </c>
      <c r="D65" s="392"/>
      <c r="E65" s="393"/>
      <c r="F65" s="394"/>
      <c r="G65" s="395"/>
      <c r="H65" s="396"/>
      <c r="I65" s="394"/>
      <c r="J65" s="395"/>
      <c r="K65" s="397"/>
      <c r="L65" s="398"/>
      <c r="M65" s="398"/>
      <c r="N65" s="399"/>
      <c r="O65" s="393">
        <v>0</v>
      </c>
      <c r="P65" s="393">
        <v>0</v>
      </c>
      <c r="Q65" s="532">
        <v>0</v>
      </c>
      <c r="R65" s="393">
        <v>0</v>
      </c>
      <c r="S65" s="393">
        <v>0</v>
      </c>
      <c r="T65" s="532">
        <v>0</v>
      </c>
      <c r="U65" s="533">
        <v>0</v>
      </c>
      <c r="V65" s="533">
        <v>0</v>
      </c>
      <c r="W65" s="533">
        <v>0</v>
      </c>
      <c r="X65" s="399"/>
      <c r="Y65" s="393"/>
      <c r="Z65" s="394"/>
      <c r="AA65" s="400"/>
      <c r="AB65" s="396"/>
      <c r="AC65" s="394"/>
      <c r="AD65" s="400"/>
      <c r="AE65" s="397"/>
      <c r="AF65" s="405"/>
      <c r="AG65" s="398"/>
      <c r="AH65" s="403"/>
      <c r="AI65" s="393"/>
      <c r="AJ65" s="394"/>
      <c r="AK65" s="395"/>
      <c r="AL65" s="396"/>
      <c r="AM65" s="394"/>
      <c r="AN65" s="395"/>
      <c r="AO65" s="397"/>
      <c r="AP65" s="398"/>
      <c r="AQ65" s="398"/>
      <c r="AR65" s="404"/>
      <c r="AS65" s="486">
        <f t="shared" si="7"/>
        <v>0</v>
      </c>
      <c r="AT65" s="487">
        <f t="shared" si="8"/>
        <v>0</v>
      </c>
      <c r="AU65" s="487">
        <f t="shared" si="9"/>
        <v>0</v>
      </c>
      <c r="AV65" s="487">
        <f t="shared" si="10"/>
        <v>0</v>
      </c>
      <c r="AW65" s="478"/>
      <c r="AX65" s="479">
        <f t="shared" si="11"/>
        <v>0</v>
      </c>
      <c r="AY65" s="537"/>
      <c r="AZ65" s="547">
        <f t="shared" si="489"/>
        <v>0</v>
      </c>
      <c r="BA65" s="547">
        <f t="shared" si="490"/>
        <v>0</v>
      </c>
      <c r="BB65" s="547">
        <f t="shared" si="491"/>
        <v>0</v>
      </c>
      <c r="BC65" s="547">
        <f t="shared" si="492"/>
        <v>0</v>
      </c>
      <c r="BD65" s="393"/>
      <c r="BE65" s="394"/>
      <c r="BF65" s="395"/>
      <c r="BG65" s="396"/>
      <c r="BH65" s="394"/>
      <c r="BI65" s="395"/>
      <c r="BJ65" s="397"/>
      <c r="BK65" s="398"/>
      <c r="BL65" s="405"/>
      <c r="BM65" s="398"/>
      <c r="BN65" s="393"/>
      <c r="BO65" s="394"/>
      <c r="BP65" s="395"/>
      <c r="BQ65" s="396"/>
      <c r="BR65" s="394"/>
      <c r="BS65" s="395"/>
      <c r="BT65" s="397"/>
      <c r="BU65" s="405"/>
      <c r="BV65" s="398"/>
      <c r="BW65" s="398"/>
      <c r="BX65" s="626">
        <f t="shared" si="16"/>
        <v>0</v>
      </c>
      <c r="BY65" s="626">
        <f t="shared" si="17"/>
        <v>0</v>
      </c>
      <c r="BZ65" s="626">
        <f t="shared" si="18"/>
        <v>0</v>
      </c>
      <c r="CA65" s="626">
        <f t="shared" si="19"/>
        <v>0</v>
      </c>
      <c r="CB65" s="625">
        <f t="shared" si="20"/>
        <v>0</v>
      </c>
      <c r="CC65" s="393"/>
      <c r="CD65" s="394"/>
      <c r="CE65" s="395"/>
      <c r="CF65" s="396"/>
      <c r="CG65" s="394"/>
      <c r="CH65" s="395"/>
      <c r="CI65" s="397"/>
      <c r="CJ65" s="398"/>
      <c r="CK65" s="398"/>
      <c r="CL65" s="414"/>
      <c r="CM65" s="393"/>
      <c r="CN65" s="394"/>
      <c r="CO65" s="395"/>
      <c r="CP65" s="396"/>
      <c r="CQ65" s="394"/>
      <c r="CR65" s="395"/>
      <c r="CS65" s="397"/>
      <c r="CT65" s="398"/>
      <c r="CU65" s="405"/>
      <c r="CV65" s="405"/>
      <c r="CW65" s="492">
        <f>SUM(CS65+CI65+BT65+BJ65)</f>
        <v>0</v>
      </c>
      <c r="CX65" s="487">
        <f>SUM(CT65+CJ65+BU65+BK65)</f>
        <v>0</v>
      </c>
      <c r="CY65" s="487">
        <f>SUM(CU65+CK65+BV65+BL65)</f>
        <v>0</v>
      </c>
      <c r="CZ65" s="487">
        <f>SUM(CR65+CH65+BS65+BI65)</f>
        <v>0</v>
      </c>
      <c r="DA65" s="474"/>
      <c r="DB65" s="474">
        <f>SUM(CW65:CX65)</f>
        <v>0</v>
      </c>
      <c r="DC65" s="475"/>
      <c r="DD65" s="547">
        <f t="shared" si="21"/>
        <v>0</v>
      </c>
      <c r="DE65" s="547">
        <f t="shared" si="22"/>
        <v>0</v>
      </c>
      <c r="DF65" s="547">
        <f t="shared" si="23"/>
        <v>0</v>
      </c>
      <c r="DG65" s="547">
        <f t="shared" si="24"/>
        <v>0</v>
      </c>
      <c r="DH65" s="576">
        <f t="shared" si="25"/>
        <v>0</v>
      </c>
      <c r="DI65" s="530"/>
      <c r="DJ65" s="531"/>
      <c r="DK65" s="395"/>
      <c r="DL65" s="396"/>
      <c r="DM65" s="394"/>
      <c r="DN65" s="395"/>
      <c r="DO65" s="397"/>
      <c r="DP65" s="405"/>
      <c r="DQ65" s="398"/>
      <c r="DR65" s="398"/>
      <c r="DS65" s="393"/>
      <c r="DT65" s="394"/>
      <c r="DU65" s="395">
        <f t="shared" si="76"/>
        <v>0</v>
      </c>
      <c r="DV65" s="396"/>
      <c r="DW65" s="394"/>
      <c r="DX65" s="395">
        <f t="shared" si="77"/>
        <v>0</v>
      </c>
      <c r="DY65" s="397">
        <f t="shared" si="78"/>
        <v>0</v>
      </c>
      <c r="DZ65" s="405">
        <f t="shared" si="79"/>
        <v>0</v>
      </c>
      <c r="EA65" s="398">
        <f t="shared" si="80"/>
        <v>0</v>
      </c>
      <c r="EB65" s="398"/>
      <c r="EC65" s="393">
        <v>4</v>
      </c>
      <c r="ED65" s="394">
        <v>11</v>
      </c>
      <c r="EE65" s="395">
        <f>SUM(EC65:ED65)</f>
        <v>15</v>
      </c>
      <c r="EF65" s="396">
        <v>0</v>
      </c>
      <c r="EG65" s="394">
        <v>0</v>
      </c>
      <c r="EH65" s="395">
        <f>SUM(EF65:EG65)</f>
        <v>0</v>
      </c>
      <c r="EI65" s="397">
        <f>SUM(EC65+EF65)</f>
        <v>4</v>
      </c>
      <c r="EJ65" s="405">
        <f>SUM(ED65+EG65)</f>
        <v>11</v>
      </c>
      <c r="EK65" s="398">
        <f>SUM(EI65:EJ65)</f>
        <v>15</v>
      </c>
      <c r="EL65" s="398"/>
      <c r="EM65" s="393"/>
      <c r="EN65" s="394"/>
      <c r="EO65" s="395"/>
      <c r="EP65" s="396"/>
      <c r="EQ65" s="394"/>
      <c r="ER65" s="395"/>
      <c r="ES65" s="397"/>
      <c r="ET65" s="405"/>
      <c r="EU65" s="398"/>
      <c r="EV65" s="398"/>
      <c r="EW65" s="492">
        <f t="shared" si="26"/>
        <v>4</v>
      </c>
      <c r="EX65" s="487">
        <f t="shared" si="27"/>
        <v>11</v>
      </c>
      <c r="EY65" s="487">
        <f t="shared" si="28"/>
        <v>15</v>
      </c>
      <c r="EZ65" s="487">
        <f t="shared" si="29"/>
        <v>0</v>
      </c>
      <c r="FA65" s="474"/>
      <c r="FB65" s="474">
        <f t="shared" si="30"/>
        <v>15</v>
      </c>
      <c r="FC65" s="475"/>
      <c r="FD65" s="547">
        <f t="shared" si="31"/>
        <v>4</v>
      </c>
      <c r="FE65" s="547">
        <f t="shared" si="32"/>
        <v>11</v>
      </c>
      <c r="FF65" s="547">
        <f t="shared" si="33"/>
        <v>0</v>
      </c>
      <c r="FG65" s="547">
        <f t="shared" si="34"/>
        <v>0</v>
      </c>
      <c r="FH65" s="577">
        <f t="shared" si="35"/>
        <v>4</v>
      </c>
      <c r="FI65" s="577">
        <f t="shared" si="36"/>
        <v>11</v>
      </c>
      <c r="FJ65" s="577">
        <f t="shared" si="37"/>
        <v>15</v>
      </c>
      <c r="FK65" s="577">
        <f t="shared" si="38"/>
        <v>4</v>
      </c>
      <c r="FL65" s="577">
        <f t="shared" si="39"/>
        <v>11</v>
      </c>
      <c r="FM65" s="577">
        <f t="shared" si="40"/>
        <v>15</v>
      </c>
      <c r="FN65" s="393">
        <f>FL62+FL63</f>
        <v>492</v>
      </c>
      <c r="FO65" s="394"/>
      <c r="FP65" s="395"/>
      <c r="FQ65" s="396"/>
      <c r="FR65" s="394"/>
      <c r="FS65" s="395"/>
      <c r="FT65" s="397"/>
      <c r="FU65" s="405"/>
      <c r="FV65" s="398"/>
      <c r="FW65" s="398"/>
      <c r="FX65" s="393"/>
      <c r="FY65" s="394"/>
      <c r="FZ65" s="395"/>
      <c r="GA65" s="396"/>
      <c r="GB65" s="394"/>
      <c r="GC65" s="395"/>
      <c r="GD65" s="397">
        <f t="shared" si="41"/>
        <v>0</v>
      </c>
      <c r="GE65" s="405">
        <f t="shared" si="42"/>
        <v>0</v>
      </c>
      <c r="GF65" s="398">
        <f t="shared" si="43"/>
        <v>0</v>
      </c>
      <c r="GG65" s="398"/>
      <c r="GH65" s="393"/>
      <c r="GI65" s="394"/>
      <c r="GJ65" s="395"/>
      <c r="GK65" s="396"/>
      <c r="GL65" s="394"/>
      <c r="GM65" s="395"/>
      <c r="GN65" s="397">
        <f t="shared" si="582"/>
        <v>0</v>
      </c>
      <c r="GO65" s="405">
        <f t="shared" si="583"/>
        <v>0</v>
      </c>
      <c r="GP65" s="398">
        <f t="shared" si="584"/>
        <v>0</v>
      </c>
      <c r="GQ65" s="398"/>
      <c r="GR65" s="650">
        <f t="shared" si="47"/>
        <v>4</v>
      </c>
      <c r="GS65" s="650">
        <f t="shared" si="48"/>
        <v>11</v>
      </c>
      <c r="GT65" s="650">
        <f t="shared" si="49"/>
        <v>496</v>
      </c>
      <c r="GU65" s="650">
        <f t="shared" si="50"/>
        <v>11</v>
      </c>
      <c r="GV65" s="650">
        <f t="shared" si="51"/>
        <v>0</v>
      </c>
      <c r="GW65" s="650">
        <f t="shared" si="52"/>
        <v>0</v>
      </c>
      <c r="GX65" s="393"/>
      <c r="GY65" s="394"/>
      <c r="GZ65" s="395">
        <f t="shared" si="53"/>
        <v>0</v>
      </c>
      <c r="HA65" s="396"/>
      <c r="HB65" s="394"/>
      <c r="HC65" s="395">
        <f t="shared" si="54"/>
        <v>0</v>
      </c>
      <c r="HD65" s="397">
        <f t="shared" si="55"/>
        <v>0</v>
      </c>
      <c r="HE65" s="405">
        <f t="shared" si="56"/>
        <v>0</v>
      </c>
      <c r="HF65" s="398">
        <f t="shared" si="57"/>
        <v>0</v>
      </c>
      <c r="HG65" s="398"/>
      <c r="HH65" s="492">
        <f t="shared" si="58"/>
        <v>0</v>
      </c>
      <c r="HI65" s="487">
        <f t="shared" si="59"/>
        <v>0</v>
      </c>
      <c r="HJ65" s="487">
        <f t="shared" si="60"/>
        <v>492</v>
      </c>
      <c r="HK65" s="487">
        <f t="shared" si="61"/>
        <v>0</v>
      </c>
      <c r="HL65" s="487">
        <f t="shared" si="62"/>
        <v>0</v>
      </c>
      <c r="HM65" s="487">
        <f t="shared" si="63"/>
        <v>0</v>
      </c>
      <c r="HN65" s="474"/>
      <c r="HO65" s="474">
        <f t="shared" si="64"/>
        <v>0</v>
      </c>
      <c r="HP65" s="475"/>
      <c r="HQ65" s="547">
        <f t="shared" si="578"/>
        <v>492</v>
      </c>
      <c r="HR65" s="547">
        <f t="shared" si="579"/>
        <v>0</v>
      </c>
      <c r="HS65" s="547">
        <f t="shared" si="580"/>
        <v>0</v>
      </c>
      <c r="HT65" s="547">
        <f t="shared" si="581"/>
        <v>0</v>
      </c>
      <c r="HU65" s="393"/>
      <c r="HV65" s="394"/>
      <c r="HW65" s="395">
        <f t="shared" si="69"/>
        <v>0</v>
      </c>
      <c r="HX65" s="396"/>
      <c r="HY65" s="394"/>
      <c r="HZ65" s="395">
        <f t="shared" si="70"/>
        <v>0</v>
      </c>
      <c r="IA65" s="397">
        <f t="shared" si="71"/>
        <v>0</v>
      </c>
      <c r="IB65" s="405">
        <f t="shared" si="72"/>
        <v>0</v>
      </c>
      <c r="IC65" s="398">
        <f t="shared" si="73"/>
        <v>0</v>
      </c>
      <c r="ID65" s="398"/>
      <c r="IE65" s="393"/>
      <c r="IF65" s="394"/>
      <c r="IG65" s="395"/>
      <c r="IH65" s="396"/>
      <c r="II65" s="394"/>
      <c r="IJ65" s="395"/>
      <c r="IK65" s="397"/>
      <c r="IL65" s="405"/>
      <c r="IM65" s="398"/>
      <c r="IN65" s="398"/>
      <c r="IO65" s="393"/>
      <c r="IP65" s="394"/>
      <c r="IQ65" s="395"/>
      <c r="IR65" s="396"/>
      <c r="IS65" s="394"/>
      <c r="IT65" s="395"/>
      <c r="IU65" s="397"/>
      <c r="IV65" s="405"/>
      <c r="IW65" s="398"/>
      <c r="IX65" s="398"/>
      <c r="IY65" s="393"/>
      <c r="IZ65" s="394"/>
      <c r="JA65" s="395"/>
      <c r="JB65" s="396"/>
      <c r="JC65" s="394"/>
      <c r="JD65" s="395"/>
      <c r="JE65" s="397"/>
      <c r="JF65" s="405"/>
      <c r="JG65" s="398"/>
      <c r="JH65" s="398"/>
      <c r="JI65" s="494"/>
      <c r="JJ65" s="479"/>
      <c r="JK65" s="479"/>
      <c r="JL65" s="479"/>
      <c r="JM65" s="474"/>
      <c r="JN65" s="474">
        <f t="shared" si="74"/>
        <v>0</v>
      </c>
      <c r="JO65" s="475"/>
      <c r="JP65" s="393"/>
      <c r="JQ65" s="394"/>
      <c r="JR65" s="395"/>
      <c r="JS65" s="396"/>
      <c r="JT65" s="394"/>
      <c r="JU65" s="395"/>
      <c r="JV65" s="397"/>
      <c r="JW65" s="405"/>
      <c r="JX65" s="398"/>
      <c r="JY65" s="398"/>
      <c r="JZ65" s="577">
        <f t="shared" ref="JZ65:JZ79" si="585">JX65+JN65+HO65+FB65</f>
        <v>15</v>
      </c>
      <c r="KA65" s="412">
        <f>SUM(JV65+JE65+IU65+IK65+IA65+HD65+GN65+GD65+FT65+ES65+EI65+DY65+DO65+CS65+CI65+BT65+BJ65+AO65+AE65+U65+K65)</f>
        <v>4</v>
      </c>
      <c r="KB65" s="412">
        <f>SUM(JW65+JF65+IV65+IL65+IB65+HE65+GO65+GE65+FU65+ET65+EJ65+DZ65+DP65+CT65+CJ65+BU65+BK65+AP65+AF65+V65+L65)</f>
        <v>11</v>
      </c>
      <c r="KC65" s="412">
        <f>SUM(JP65+IY65+IO65+IE65+HU65+GX65+GH65+FX65+FN65+EM65+EC65+DS65+DI65+CM65+CC65+BN65+BD65+AI65+Y65+O65+E65)</f>
        <v>496</v>
      </c>
      <c r="KD65" s="412">
        <f>SUM(JQ65+IZ65+IP65+IF65+HV65+GY65+GI65+FY65+FO65+EN65+ED65+DT65+DJ65+CN65+CD65+BO65+BE65+AJ65+Z65+P65+F65)</f>
        <v>11</v>
      </c>
      <c r="KE65" s="412">
        <f>SUM(JS65+JB65+IR65+IH65+HX65+HA65+GK65+GA65+FQ65+EP65+EF65+DV65+DL65+CP65+CF65+BQ65+BG65+AL65+AB65+R65+H65)</f>
        <v>0</v>
      </c>
      <c r="KF65" s="693">
        <f>SUM(JT65+JC65+IS65+II65+HY65+HB65+GL65+GB65+FR65+EQ65+EG65+DW65+DM65+CQ65+CG65+BR65+BH65+AM65+AC65+S65+I65)</f>
        <v>0</v>
      </c>
      <c r="KG65" s="687">
        <f t="shared" si="75"/>
        <v>15</v>
      </c>
      <c r="KH65" s="680">
        <v>0</v>
      </c>
      <c r="KI65" s="680">
        <f>KH65-KG65</f>
        <v>-15</v>
      </c>
      <c r="KJ65" s="681" t="e">
        <f>KG65/KH65</f>
        <v>#DIV/0!</v>
      </c>
      <c r="KK65" s="359">
        <f t="shared" si="464"/>
        <v>-1.5</v>
      </c>
      <c r="KL65" s="359">
        <f>KE62+KE63</f>
        <v>95</v>
      </c>
      <c r="KM65" s="359">
        <f>KF62+KF63</f>
        <v>31</v>
      </c>
      <c r="KN65" s="359"/>
      <c r="KO65" s="359"/>
      <c r="KP65" s="359"/>
      <c r="KQ65" s="359"/>
    </row>
    <row r="66" spans="1:303" ht="44.25" customHeight="1" x14ac:dyDescent="0.3">
      <c r="A66" s="390"/>
      <c r="B66" s="464" t="s">
        <v>157</v>
      </c>
      <c r="C66" s="391"/>
      <c r="D66" s="392"/>
      <c r="E66" s="393"/>
      <c r="F66" s="394"/>
      <c r="G66" s="395"/>
      <c r="H66" s="396"/>
      <c r="I66" s="394"/>
      <c r="J66" s="395"/>
      <c r="K66" s="397"/>
      <c r="L66" s="398"/>
      <c r="M66" s="398"/>
      <c r="N66" s="399"/>
      <c r="O66" s="393"/>
      <c r="P66" s="394"/>
      <c r="Q66" s="400"/>
      <c r="R66" s="396"/>
      <c r="S66" s="394"/>
      <c r="T66" s="400"/>
      <c r="U66" s="397"/>
      <c r="V66" s="398"/>
      <c r="W66" s="398"/>
      <c r="X66" s="399"/>
      <c r="Y66" s="393"/>
      <c r="Z66" s="394"/>
      <c r="AA66" s="400"/>
      <c r="AB66" s="396"/>
      <c r="AC66" s="394"/>
      <c r="AD66" s="400"/>
      <c r="AE66" s="397"/>
      <c r="AF66" s="405"/>
      <c r="AG66" s="398"/>
      <c r="AH66" s="403"/>
      <c r="AI66" s="393"/>
      <c r="AJ66" s="394"/>
      <c r="AK66" s="395"/>
      <c r="AL66" s="396"/>
      <c r="AM66" s="394"/>
      <c r="AN66" s="395"/>
      <c r="AO66" s="397"/>
      <c r="AP66" s="398"/>
      <c r="AQ66" s="398"/>
      <c r="AR66" s="404"/>
      <c r="AS66" s="486"/>
      <c r="AT66" s="487"/>
      <c r="AU66" s="487"/>
      <c r="AV66" s="487"/>
      <c r="AW66" s="478"/>
      <c r="AX66" s="479"/>
      <c r="AY66" s="537"/>
      <c r="AZ66" s="547">
        <f t="shared" si="489"/>
        <v>0</v>
      </c>
      <c r="BA66" s="547">
        <f t="shared" si="490"/>
        <v>0</v>
      </c>
      <c r="BB66" s="547">
        <f t="shared" si="491"/>
        <v>0</v>
      </c>
      <c r="BC66" s="547">
        <f t="shared" si="492"/>
        <v>0</v>
      </c>
      <c r="BD66" s="393"/>
      <c r="BE66" s="394"/>
      <c r="BF66" s="395"/>
      <c r="BG66" s="396"/>
      <c r="BH66" s="394"/>
      <c r="BI66" s="395"/>
      <c r="BJ66" s="397"/>
      <c r="BK66" s="398"/>
      <c r="BL66" s="405"/>
      <c r="BM66" s="398"/>
      <c r="BN66" s="393"/>
      <c r="BO66" s="394"/>
      <c r="BP66" s="395"/>
      <c r="BQ66" s="396"/>
      <c r="BR66" s="394"/>
      <c r="BS66" s="395"/>
      <c r="BT66" s="397"/>
      <c r="BU66" s="405"/>
      <c r="BV66" s="398"/>
      <c r="BW66" s="398"/>
      <c r="BX66" s="626">
        <f t="shared" si="16"/>
        <v>0</v>
      </c>
      <c r="BY66" s="626">
        <f t="shared" si="17"/>
        <v>0</v>
      </c>
      <c r="BZ66" s="626">
        <f t="shared" si="18"/>
        <v>0</v>
      </c>
      <c r="CA66" s="626">
        <f t="shared" si="19"/>
        <v>0</v>
      </c>
      <c r="CB66" s="625">
        <f t="shared" si="20"/>
        <v>0</v>
      </c>
      <c r="CC66" s="393"/>
      <c r="CD66" s="394"/>
      <c r="CE66" s="395"/>
      <c r="CF66" s="396"/>
      <c r="CG66" s="394"/>
      <c r="CH66" s="395"/>
      <c r="CI66" s="397"/>
      <c r="CJ66" s="398"/>
      <c r="CK66" s="398"/>
      <c r="CL66" s="414"/>
      <c r="CM66" s="393"/>
      <c r="CN66" s="394"/>
      <c r="CO66" s="395"/>
      <c r="CP66" s="396"/>
      <c r="CQ66" s="394"/>
      <c r="CR66" s="395"/>
      <c r="CS66" s="397"/>
      <c r="CT66" s="398"/>
      <c r="CU66" s="405"/>
      <c r="CV66" s="405"/>
      <c r="CW66" s="492"/>
      <c r="CX66" s="487"/>
      <c r="CY66" s="487"/>
      <c r="CZ66" s="487"/>
      <c r="DA66" s="474"/>
      <c r="DB66" s="474"/>
      <c r="DC66" s="475"/>
      <c r="DD66" s="547">
        <f t="shared" si="21"/>
        <v>0</v>
      </c>
      <c r="DE66" s="547">
        <f t="shared" si="22"/>
        <v>0</v>
      </c>
      <c r="DF66" s="547">
        <f t="shared" si="23"/>
        <v>0</v>
      </c>
      <c r="DG66" s="547">
        <f t="shared" si="24"/>
        <v>0</v>
      </c>
      <c r="DH66" s="576">
        <f t="shared" si="25"/>
        <v>0</v>
      </c>
      <c r="DI66" s="408"/>
      <c r="DJ66" s="409"/>
      <c r="DK66" s="395"/>
      <c r="DL66" s="396"/>
      <c r="DM66" s="394"/>
      <c r="DN66" s="395"/>
      <c r="DO66" s="397"/>
      <c r="DP66" s="405"/>
      <c r="DQ66" s="398"/>
      <c r="DR66" s="398"/>
      <c r="DS66" s="393"/>
      <c r="DT66" s="394"/>
      <c r="DU66" s="395"/>
      <c r="DV66" s="396"/>
      <c r="DW66" s="394"/>
      <c r="DX66" s="395"/>
      <c r="DY66" s="397"/>
      <c r="DZ66" s="405"/>
      <c r="EA66" s="398"/>
      <c r="EB66" s="398"/>
      <c r="EC66" s="393"/>
      <c r="ED66" s="394"/>
      <c r="EE66" s="395"/>
      <c r="EF66" s="396"/>
      <c r="EG66" s="394"/>
      <c r="EH66" s="395"/>
      <c r="EI66" s="397"/>
      <c r="EJ66" s="405"/>
      <c r="EK66" s="398"/>
      <c r="EL66" s="398"/>
      <c r="EM66" s="393">
        <v>19</v>
      </c>
      <c r="EN66" s="394">
        <v>13</v>
      </c>
      <c r="EO66" s="395">
        <f>SUM(EM66:EN66)</f>
        <v>32</v>
      </c>
      <c r="EP66" s="396">
        <v>0</v>
      </c>
      <c r="EQ66" s="394">
        <v>0</v>
      </c>
      <c r="ER66" s="395">
        <f>SUM(EP66:EQ66)</f>
        <v>0</v>
      </c>
      <c r="ES66" s="397">
        <f>SUM(EM66+EP66)</f>
        <v>19</v>
      </c>
      <c r="ET66" s="405">
        <f>SUM(EN66+EQ66)</f>
        <v>13</v>
      </c>
      <c r="EU66" s="398">
        <f>SUM(ES66:ET66)</f>
        <v>32</v>
      </c>
      <c r="EV66" s="398"/>
      <c r="EW66" s="492"/>
      <c r="EX66" s="487"/>
      <c r="EY66" s="487"/>
      <c r="EZ66" s="487"/>
      <c r="FA66" s="474"/>
      <c r="FB66" s="474"/>
      <c r="FC66" s="475"/>
      <c r="FD66" s="547">
        <f t="shared" si="31"/>
        <v>19</v>
      </c>
      <c r="FE66" s="547">
        <f t="shared" si="32"/>
        <v>13</v>
      </c>
      <c r="FF66" s="547">
        <f t="shared" si="33"/>
        <v>0</v>
      </c>
      <c r="FG66" s="547">
        <f t="shared" si="34"/>
        <v>0</v>
      </c>
      <c r="FH66" s="577">
        <f t="shared" si="35"/>
        <v>19</v>
      </c>
      <c r="FI66" s="577">
        <f t="shared" si="36"/>
        <v>13</v>
      </c>
      <c r="FJ66" s="577">
        <f t="shared" si="37"/>
        <v>32</v>
      </c>
      <c r="FK66" s="577">
        <f t="shared" si="38"/>
        <v>0</v>
      </c>
      <c r="FL66" s="577">
        <f t="shared" si="39"/>
        <v>0</v>
      </c>
      <c r="FM66" s="577">
        <f t="shared" si="40"/>
        <v>0</v>
      </c>
      <c r="FN66" s="393"/>
      <c r="FO66" s="394"/>
      <c r="FP66" s="395"/>
      <c r="FQ66" s="396"/>
      <c r="FR66" s="394"/>
      <c r="FS66" s="395"/>
      <c r="FT66" s="397"/>
      <c r="FU66" s="405"/>
      <c r="FV66" s="398"/>
      <c r="FW66" s="398"/>
      <c r="FX66" s="393"/>
      <c r="FY66" s="394"/>
      <c r="FZ66" s="395"/>
      <c r="GA66" s="396"/>
      <c r="GB66" s="394"/>
      <c r="GC66" s="395"/>
      <c r="GD66" s="397">
        <f t="shared" si="41"/>
        <v>0</v>
      </c>
      <c r="GE66" s="405">
        <f t="shared" si="42"/>
        <v>0</v>
      </c>
      <c r="GF66" s="398">
        <f t="shared" si="43"/>
        <v>0</v>
      </c>
      <c r="GG66" s="398"/>
      <c r="GH66" s="393"/>
      <c r="GI66" s="394"/>
      <c r="GJ66" s="395"/>
      <c r="GK66" s="396"/>
      <c r="GL66" s="394"/>
      <c r="GM66" s="395"/>
      <c r="GN66" s="397">
        <f t="shared" si="582"/>
        <v>0</v>
      </c>
      <c r="GO66" s="405">
        <f t="shared" si="583"/>
        <v>0</v>
      </c>
      <c r="GP66" s="398">
        <f t="shared" si="584"/>
        <v>0</v>
      </c>
      <c r="GQ66" s="398"/>
      <c r="GR66" s="650">
        <f t="shared" si="47"/>
        <v>19</v>
      </c>
      <c r="GS66" s="650">
        <f t="shared" si="48"/>
        <v>13</v>
      </c>
      <c r="GT66" s="650">
        <f t="shared" si="49"/>
        <v>19</v>
      </c>
      <c r="GU66" s="650">
        <f t="shared" si="50"/>
        <v>13</v>
      </c>
      <c r="GV66" s="650">
        <f t="shared" si="51"/>
        <v>0</v>
      </c>
      <c r="GW66" s="650">
        <f t="shared" si="52"/>
        <v>0</v>
      </c>
      <c r="GX66" s="393"/>
      <c r="GY66" s="394"/>
      <c r="GZ66" s="395">
        <f t="shared" si="53"/>
        <v>0</v>
      </c>
      <c r="HA66" s="396"/>
      <c r="HB66" s="394"/>
      <c r="HC66" s="395">
        <f t="shared" si="54"/>
        <v>0</v>
      </c>
      <c r="HD66" s="397">
        <f t="shared" si="55"/>
        <v>0</v>
      </c>
      <c r="HE66" s="405">
        <f t="shared" si="56"/>
        <v>0</v>
      </c>
      <c r="HF66" s="398">
        <f t="shared" si="57"/>
        <v>0</v>
      </c>
      <c r="HG66" s="398"/>
      <c r="HH66" s="492">
        <f t="shared" si="58"/>
        <v>0</v>
      </c>
      <c r="HI66" s="487">
        <f t="shared" si="59"/>
        <v>0</v>
      </c>
      <c r="HJ66" s="487">
        <f t="shared" si="60"/>
        <v>0</v>
      </c>
      <c r="HK66" s="487">
        <f t="shared" si="61"/>
        <v>0</v>
      </c>
      <c r="HL66" s="487">
        <f t="shared" si="62"/>
        <v>0</v>
      </c>
      <c r="HM66" s="487">
        <f t="shared" si="63"/>
        <v>0</v>
      </c>
      <c r="HN66" s="474"/>
      <c r="HO66" s="474">
        <f t="shared" si="64"/>
        <v>0</v>
      </c>
      <c r="HP66" s="475"/>
      <c r="HQ66" s="547">
        <f t="shared" si="578"/>
        <v>0</v>
      </c>
      <c r="HR66" s="547">
        <f t="shared" si="579"/>
        <v>0</v>
      </c>
      <c r="HS66" s="547">
        <f t="shared" si="580"/>
        <v>0</v>
      </c>
      <c r="HT66" s="547">
        <f t="shared" si="581"/>
        <v>0</v>
      </c>
      <c r="HU66" s="393"/>
      <c r="HV66" s="394"/>
      <c r="HW66" s="395">
        <f t="shared" si="69"/>
        <v>0</v>
      </c>
      <c r="HX66" s="396"/>
      <c r="HY66" s="394"/>
      <c r="HZ66" s="395">
        <f t="shared" si="70"/>
        <v>0</v>
      </c>
      <c r="IA66" s="397">
        <f t="shared" si="71"/>
        <v>0</v>
      </c>
      <c r="IB66" s="405">
        <f t="shared" si="72"/>
        <v>0</v>
      </c>
      <c r="IC66" s="398">
        <f t="shared" si="73"/>
        <v>0</v>
      </c>
      <c r="ID66" s="398"/>
      <c r="IE66" s="393"/>
      <c r="IF66" s="394"/>
      <c r="IG66" s="395"/>
      <c r="IH66" s="396"/>
      <c r="II66" s="394"/>
      <c r="IJ66" s="395"/>
      <c r="IK66" s="397"/>
      <c r="IL66" s="405"/>
      <c r="IM66" s="398"/>
      <c r="IN66" s="398"/>
      <c r="IO66" s="393"/>
      <c r="IP66" s="394"/>
      <c r="IQ66" s="395"/>
      <c r="IR66" s="396"/>
      <c r="IS66" s="394"/>
      <c r="IT66" s="395"/>
      <c r="IU66" s="397"/>
      <c r="IV66" s="405"/>
      <c r="IW66" s="398"/>
      <c r="IX66" s="398"/>
      <c r="IY66" s="393"/>
      <c r="IZ66" s="394"/>
      <c r="JA66" s="395"/>
      <c r="JB66" s="396"/>
      <c r="JC66" s="394"/>
      <c r="JD66" s="395"/>
      <c r="JE66" s="397"/>
      <c r="JF66" s="405"/>
      <c r="JG66" s="398"/>
      <c r="JH66" s="398"/>
      <c r="JI66" s="494"/>
      <c r="JJ66" s="479"/>
      <c r="JK66" s="479"/>
      <c r="JL66" s="479"/>
      <c r="JM66" s="474"/>
      <c r="JN66" s="474">
        <f t="shared" si="74"/>
        <v>0</v>
      </c>
      <c r="JO66" s="475"/>
      <c r="JP66" s="393"/>
      <c r="JQ66" s="394"/>
      <c r="JR66" s="395"/>
      <c r="JS66" s="396"/>
      <c r="JT66" s="394"/>
      <c r="JU66" s="395"/>
      <c r="JV66" s="397"/>
      <c r="JW66" s="405"/>
      <c r="JX66" s="398"/>
      <c r="JY66" s="398"/>
      <c r="JZ66" s="577">
        <f t="shared" si="585"/>
        <v>0</v>
      </c>
      <c r="KA66" s="412"/>
      <c r="KB66" s="412"/>
      <c r="KC66" s="412"/>
      <c r="KD66" s="412"/>
      <c r="KE66" s="412"/>
      <c r="KF66" s="693"/>
      <c r="KG66" s="687"/>
      <c r="KH66" s="680"/>
      <c r="KI66" s="680"/>
      <c r="KJ66" s="681"/>
      <c r="KK66" s="359"/>
      <c r="KL66" s="359"/>
      <c r="KM66" s="359"/>
      <c r="KN66" s="359"/>
      <c r="KO66" s="359"/>
      <c r="KP66" s="359"/>
      <c r="KQ66" s="359"/>
    </row>
    <row r="67" spans="1:303" ht="44.25" customHeight="1" x14ac:dyDescent="0.3">
      <c r="A67" s="390"/>
      <c r="B67" s="464"/>
      <c r="C67" s="391"/>
      <c r="D67" s="392"/>
      <c r="E67" s="393"/>
      <c r="F67" s="394"/>
      <c r="G67" s="395"/>
      <c r="H67" s="396"/>
      <c r="I67" s="394"/>
      <c r="J67" s="395"/>
      <c r="K67" s="397"/>
      <c r="L67" s="398"/>
      <c r="M67" s="398"/>
      <c r="N67" s="399"/>
      <c r="O67" s="393"/>
      <c r="P67" s="394"/>
      <c r="Q67" s="400"/>
      <c r="R67" s="396"/>
      <c r="S67" s="394"/>
      <c r="T67" s="400"/>
      <c r="U67" s="397"/>
      <c r="V67" s="398"/>
      <c r="W67" s="398"/>
      <c r="X67" s="399"/>
      <c r="Y67" s="393"/>
      <c r="Z67" s="394"/>
      <c r="AA67" s="400"/>
      <c r="AB67" s="396"/>
      <c r="AC67" s="394"/>
      <c r="AD67" s="400"/>
      <c r="AE67" s="397"/>
      <c r="AF67" s="405"/>
      <c r="AG67" s="398"/>
      <c r="AH67" s="403"/>
      <c r="AI67" s="393"/>
      <c r="AJ67" s="394"/>
      <c r="AK67" s="395"/>
      <c r="AL67" s="396"/>
      <c r="AM67" s="394"/>
      <c r="AN67" s="395"/>
      <c r="AO67" s="397"/>
      <c r="AP67" s="398"/>
      <c r="AQ67" s="398"/>
      <c r="AR67" s="404"/>
      <c r="AS67" s="486"/>
      <c r="AT67" s="487"/>
      <c r="AU67" s="487"/>
      <c r="AV67" s="487"/>
      <c r="AW67" s="478"/>
      <c r="AX67" s="479"/>
      <c r="AY67" s="537"/>
      <c r="AZ67" s="548">
        <f>AZ62+AZ63</f>
        <v>271</v>
      </c>
      <c r="BA67" s="548">
        <f>BA62+BA63</f>
        <v>133</v>
      </c>
      <c r="BB67" s="548">
        <f>BB62+BB63</f>
        <v>28</v>
      </c>
      <c r="BC67" s="548">
        <f>BC62+BC63</f>
        <v>17</v>
      </c>
      <c r="BD67" s="393"/>
      <c r="BE67" s="394"/>
      <c r="BF67" s="395"/>
      <c r="BG67" s="396"/>
      <c r="BH67" s="394"/>
      <c r="BI67" s="395"/>
      <c r="BJ67" s="397"/>
      <c r="BK67" s="398"/>
      <c r="BL67" s="405"/>
      <c r="BM67" s="398"/>
      <c r="BN67" s="393"/>
      <c r="BO67" s="394"/>
      <c r="BP67" s="395"/>
      <c r="BQ67" s="396"/>
      <c r="BR67" s="394"/>
      <c r="BS67" s="395"/>
      <c r="BT67" s="397"/>
      <c r="BU67" s="405"/>
      <c r="BV67" s="398"/>
      <c r="BW67" s="398"/>
      <c r="BX67" s="626">
        <f t="shared" si="16"/>
        <v>0</v>
      </c>
      <c r="BY67" s="626">
        <f t="shared" si="17"/>
        <v>0</v>
      </c>
      <c r="BZ67" s="626">
        <f t="shared" si="18"/>
        <v>0</v>
      </c>
      <c r="CA67" s="626">
        <f t="shared" si="19"/>
        <v>0</v>
      </c>
      <c r="CB67" s="625">
        <f t="shared" si="20"/>
        <v>0</v>
      </c>
      <c r="CC67" s="393"/>
      <c r="CD67" s="394"/>
      <c r="CE67" s="395"/>
      <c r="CF67" s="396"/>
      <c r="CG67" s="394"/>
      <c r="CH67" s="395"/>
      <c r="CI67" s="397"/>
      <c r="CJ67" s="398"/>
      <c r="CK67" s="398"/>
      <c r="CL67" s="414"/>
      <c r="CM67" s="393"/>
      <c r="CN67" s="394"/>
      <c r="CO67" s="395"/>
      <c r="CP67" s="396"/>
      <c r="CQ67" s="394"/>
      <c r="CR67" s="395"/>
      <c r="CS67" s="397"/>
      <c r="CT67" s="398"/>
      <c r="CU67" s="405"/>
      <c r="CV67" s="405"/>
      <c r="CW67" s="492"/>
      <c r="CX67" s="487"/>
      <c r="CY67" s="487"/>
      <c r="CZ67" s="487"/>
      <c r="DA67" s="474"/>
      <c r="DB67" s="474"/>
      <c r="DC67" s="475"/>
      <c r="DD67" s="548">
        <f>DD62+DD63</f>
        <v>503</v>
      </c>
      <c r="DE67" s="548">
        <f t="shared" ref="DE67:DG67" si="586">DE62+DE63</f>
        <v>326</v>
      </c>
      <c r="DF67" s="548">
        <f t="shared" si="586"/>
        <v>0</v>
      </c>
      <c r="DG67" s="548">
        <f t="shared" si="586"/>
        <v>0</v>
      </c>
      <c r="DH67" s="576">
        <f t="shared" si="25"/>
        <v>0</v>
      </c>
      <c r="DI67" s="408"/>
      <c r="DJ67" s="409"/>
      <c r="DK67" s="395"/>
      <c r="DL67" s="396"/>
      <c r="DM67" s="394"/>
      <c r="DN67" s="395"/>
      <c r="DO67" s="397"/>
      <c r="DP67" s="405"/>
      <c r="DQ67" s="398"/>
      <c r="DR67" s="398"/>
      <c r="DS67" s="393"/>
      <c r="DT67" s="394"/>
      <c r="DU67" s="395"/>
      <c r="DV67" s="396"/>
      <c r="DW67" s="394"/>
      <c r="DX67" s="395"/>
      <c r="DY67" s="397"/>
      <c r="DZ67" s="405"/>
      <c r="EA67" s="398"/>
      <c r="EB67" s="398"/>
      <c r="EC67" s="393"/>
      <c r="ED67" s="394"/>
      <c r="EE67" s="395"/>
      <c r="EF67" s="396"/>
      <c r="EG67" s="394"/>
      <c r="EH67" s="395"/>
      <c r="EI67" s="397"/>
      <c r="EJ67" s="405"/>
      <c r="EK67" s="398"/>
      <c r="EL67" s="398"/>
      <c r="EM67" s="393"/>
      <c r="EN67" s="394"/>
      <c r="EO67" s="395"/>
      <c r="EP67" s="396"/>
      <c r="EQ67" s="394"/>
      <c r="ER67" s="395"/>
      <c r="ES67" s="397"/>
      <c r="ET67" s="405"/>
      <c r="EU67" s="398"/>
      <c r="EV67" s="398"/>
      <c r="EW67" s="492"/>
      <c r="EX67" s="487"/>
      <c r="EY67" s="487"/>
      <c r="EZ67" s="487"/>
      <c r="FA67" s="474"/>
      <c r="FB67" s="474"/>
      <c r="FC67" s="475"/>
      <c r="FD67" s="547">
        <f t="shared" si="31"/>
        <v>0</v>
      </c>
      <c r="FE67" s="547">
        <f t="shared" si="32"/>
        <v>0</v>
      </c>
      <c r="FF67" s="547">
        <f t="shared" si="33"/>
        <v>0</v>
      </c>
      <c r="FG67" s="547">
        <f t="shared" si="34"/>
        <v>0</v>
      </c>
      <c r="FH67" s="577">
        <f t="shared" si="35"/>
        <v>0</v>
      </c>
      <c r="FI67" s="577">
        <f t="shared" si="36"/>
        <v>0</v>
      </c>
      <c r="FJ67" s="577">
        <f t="shared" si="37"/>
        <v>0</v>
      </c>
      <c r="FK67" s="577">
        <f t="shared" si="38"/>
        <v>0</v>
      </c>
      <c r="FL67" s="577">
        <f t="shared" si="39"/>
        <v>0</v>
      </c>
      <c r="FM67" s="577">
        <f t="shared" si="40"/>
        <v>0</v>
      </c>
      <c r="FN67" s="393"/>
      <c r="FO67" s="394"/>
      <c r="FP67" s="395"/>
      <c r="FQ67" s="396"/>
      <c r="FR67" s="394"/>
      <c r="FS67" s="395"/>
      <c r="FT67" s="397"/>
      <c r="FU67" s="405"/>
      <c r="FV67" s="398"/>
      <c r="FW67" s="398"/>
      <c r="FX67" s="393"/>
      <c r="FY67" s="394"/>
      <c r="FZ67" s="395"/>
      <c r="GA67" s="396"/>
      <c r="GB67" s="394"/>
      <c r="GC67" s="395"/>
      <c r="GD67" s="397">
        <f t="shared" si="41"/>
        <v>0</v>
      </c>
      <c r="GE67" s="405">
        <f t="shared" si="42"/>
        <v>0</v>
      </c>
      <c r="GF67" s="398">
        <f t="shared" si="43"/>
        <v>0</v>
      </c>
      <c r="GG67" s="398"/>
      <c r="GH67" s="393"/>
      <c r="GI67" s="394"/>
      <c r="GJ67" s="395"/>
      <c r="GK67" s="396"/>
      <c r="GL67" s="394"/>
      <c r="GM67" s="395"/>
      <c r="GN67" s="397">
        <f t="shared" si="582"/>
        <v>0</v>
      </c>
      <c r="GO67" s="405">
        <f t="shared" si="583"/>
        <v>0</v>
      </c>
      <c r="GP67" s="398">
        <f t="shared" si="584"/>
        <v>0</v>
      </c>
      <c r="GQ67" s="398"/>
      <c r="GR67" s="650">
        <f t="shared" si="47"/>
        <v>0</v>
      </c>
      <c r="GS67" s="650">
        <f t="shared" si="48"/>
        <v>0</v>
      </c>
      <c r="GT67" s="650">
        <f t="shared" si="49"/>
        <v>0</v>
      </c>
      <c r="GU67" s="650">
        <f t="shared" si="50"/>
        <v>0</v>
      </c>
      <c r="GV67" s="650">
        <f t="shared" si="51"/>
        <v>0</v>
      </c>
      <c r="GW67" s="650">
        <f t="shared" si="52"/>
        <v>0</v>
      </c>
      <c r="GX67" s="393"/>
      <c r="GY67" s="394"/>
      <c r="GZ67" s="395">
        <f t="shared" si="53"/>
        <v>0</v>
      </c>
      <c r="HA67" s="396"/>
      <c r="HB67" s="394"/>
      <c r="HC67" s="395">
        <f t="shared" si="54"/>
        <v>0</v>
      </c>
      <c r="HD67" s="397">
        <f t="shared" si="55"/>
        <v>0</v>
      </c>
      <c r="HE67" s="405">
        <f t="shared" si="56"/>
        <v>0</v>
      </c>
      <c r="HF67" s="398">
        <f t="shared" si="57"/>
        <v>0</v>
      </c>
      <c r="HG67" s="398"/>
      <c r="HH67" s="492">
        <f t="shared" si="58"/>
        <v>0</v>
      </c>
      <c r="HI67" s="487">
        <f t="shared" si="59"/>
        <v>0</v>
      </c>
      <c r="HJ67" s="487">
        <f t="shared" si="60"/>
        <v>0</v>
      </c>
      <c r="HK67" s="487">
        <f t="shared" si="61"/>
        <v>0</v>
      </c>
      <c r="HL67" s="487">
        <f t="shared" si="62"/>
        <v>0</v>
      </c>
      <c r="HM67" s="487">
        <f t="shared" si="63"/>
        <v>0</v>
      </c>
      <c r="HN67" s="474"/>
      <c r="HO67" s="474">
        <f t="shared" si="64"/>
        <v>0</v>
      </c>
      <c r="HP67" s="475"/>
      <c r="HQ67" s="548">
        <f>HQ66+HQ62</f>
        <v>294</v>
      </c>
      <c r="HR67" s="548">
        <f t="shared" ref="HR67:HT67" si="587">HR66+HR62</f>
        <v>58</v>
      </c>
      <c r="HS67" s="548">
        <f t="shared" si="587"/>
        <v>67</v>
      </c>
      <c r="HT67" s="548">
        <f t="shared" si="587"/>
        <v>14</v>
      </c>
      <c r="HU67" s="393"/>
      <c r="HV67" s="394"/>
      <c r="HW67" s="395">
        <f t="shared" si="69"/>
        <v>0</v>
      </c>
      <c r="HX67" s="396"/>
      <c r="HY67" s="394"/>
      <c r="HZ67" s="395">
        <f t="shared" si="70"/>
        <v>0</v>
      </c>
      <c r="IA67" s="397">
        <f t="shared" si="71"/>
        <v>0</v>
      </c>
      <c r="IB67" s="405">
        <f t="shared" si="72"/>
        <v>0</v>
      </c>
      <c r="IC67" s="398">
        <f t="shared" si="73"/>
        <v>0</v>
      </c>
      <c r="ID67" s="398"/>
      <c r="IE67" s="393"/>
      <c r="IF67" s="394"/>
      <c r="IG67" s="395"/>
      <c r="IH67" s="396"/>
      <c r="II67" s="394"/>
      <c r="IJ67" s="395"/>
      <c r="IK67" s="397"/>
      <c r="IL67" s="405"/>
      <c r="IM67" s="398"/>
      <c r="IN67" s="398"/>
      <c r="IO67" s="393"/>
      <c r="IP67" s="394"/>
      <c r="IQ67" s="395"/>
      <c r="IR67" s="396"/>
      <c r="IS67" s="394"/>
      <c r="IT67" s="395"/>
      <c r="IU67" s="397"/>
      <c r="IV67" s="405"/>
      <c r="IW67" s="398"/>
      <c r="IX67" s="398"/>
      <c r="IY67" s="393"/>
      <c r="IZ67" s="394"/>
      <c r="JA67" s="395"/>
      <c r="JB67" s="396"/>
      <c r="JC67" s="394"/>
      <c r="JD67" s="395"/>
      <c r="JE67" s="397"/>
      <c r="JF67" s="405"/>
      <c r="JG67" s="398"/>
      <c r="JH67" s="398"/>
      <c r="JI67" s="494"/>
      <c r="JJ67" s="479"/>
      <c r="JK67" s="479"/>
      <c r="JL67" s="479"/>
      <c r="JM67" s="474"/>
      <c r="JN67" s="474">
        <f t="shared" si="74"/>
        <v>0</v>
      </c>
      <c r="JO67" s="475"/>
      <c r="JP67" s="393"/>
      <c r="JQ67" s="394"/>
      <c r="JR67" s="395"/>
      <c r="JS67" s="396"/>
      <c r="JT67" s="394"/>
      <c r="JU67" s="395"/>
      <c r="JV67" s="397"/>
      <c r="JW67" s="405"/>
      <c r="JX67" s="398"/>
      <c r="JY67" s="398"/>
      <c r="JZ67" s="577">
        <f t="shared" si="585"/>
        <v>0</v>
      </c>
      <c r="KA67" s="412"/>
      <c r="KB67" s="412"/>
      <c r="KC67" s="412"/>
      <c r="KD67" s="412"/>
      <c r="KE67" s="412"/>
      <c r="KF67" s="693"/>
      <c r="KG67" s="687"/>
      <c r="KH67" s="680"/>
      <c r="KI67" s="680"/>
      <c r="KJ67" s="681"/>
      <c r="KK67" s="359"/>
      <c r="KL67" s="359"/>
      <c r="KM67" s="359"/>
      <c r="KN67" s="359"/>
      <c r="KO67" s="359"/>
      <c r="KP67" s="359"/>
      <c r="KQ67" s="359"/>
    </row>
    <row r="68" spans="1:303" ht="36" hidden="1" customHeight="1" x14ac:dyDescent="0.3">
      <c r="A68" s="390"/>
      <c r="B68" s="418" t="s">
        <v>55</v>
      </c>
      <c r="C68" s="391" t="s">
        <v>130</v>
      </c>
      <c r="D68" s="392" t="s">
        <v>164</v>
      </c>
      <c r="E68" s="393"/>
      <c r="F68" s="394"/>
      <c r="G68" s="395"/>
      <c r="H68" s="396"/>
      <c r="I68" s="394"/>
      <c r="J68" s="395"/>
      <c r="K68" s="397"/>
      <c r="L68" s="398"/>
      <c r="M68" s="398"/>
      <c r="N68" s="399"/>
      <c r="O68" s="393"/>
      <c r="P68" s="394"/>
      <c r="Q68" s="400"/>
      <c r="R68" s="396"/>
      <c r="S68" s="394"/>
      <c r="T68" s="400"/>
      <c r="U68" s="397"/>
      <c r="V68" s="398"/>
      <c r="W68" s="398"/>
      <c r="X68" s="399"/>
      <c r="Y68" s="393"/>
      <c r="Z68" s="394"/>
      <c r="AA68" s="400"/>
      <c r="AB68" s="396"/>
      <c r="AC68" s="394"/>
      <c r="AD68" s="400"/>
      <c r="AE68" s="397"/>
      <c r="AF68" s="405"/>
      <c r="AG68" s="398"/>
      <c r="AH68" s="403"/>
      <c r="AI68" s="393"/>
      <c r="AJ68" s="394"/>
      <c r="AK68" s="395"/>
      <c r="AL68" s="396"/>
      <c r="AM68" s="394"/>
      <c r="AN68" s="395"/>
      <c r="AO68" s="397"/>
      <c r="AP68" s="398"/>
      <c r="AQ68" s="398"/>
      <c r="AR68" s="404"/>
      <c r="AS68" s="486">
        <f t="shared" si="7"/>
        <v>0</v>
      </c>
      <c r="AT68" s="487">
        <f t="shared" si="8"/>
        <v>0</v>
      </c>
      <c r="AU68" s="487">
        <f t="shared" si="9"/>
        <v>0</v>
      </c>
      <c r="AV68" s="487">
        <f t="shared" si="10"/>
        <v>0</v>
      </c>
      <c r="AW68" s="478"/>
      <c r="AX68" s="479">
        <f t="shared" si="11"/>
        <v>0</v>
      </c>
      <c r="AY68" s="537"/>
      <c r="AZ68" s="547">
        <f t="shared" si="489"/>
        <v>0</v>
      </c>
      <c r="BA68" s="547">
        <f t="shared" si="490"/>
        <v>0</v>
      </c>
      <c r="BB68" s="547">
        <f t="shared" si="491"/>
        <v>0</v>
      </c>
      <c r="BC68" s="547">
        <f t="shared" si="492"/>
        <v>0</v>
      </c>
      <c r="BD68" s="393"/>
      <c r="BE68" s="394"/>
      <c r="BF68" s="395"/>
      <c r="BG68" s="396"/>
      <c r="BH68" s="394"/>
      <c r="BI68" s="395"/>
      <c r="BJ68" s="397"/>
      <c r="BK68" s="398"/>
      <c r="BL68" s="405"/>
      <c r="BM68" s="398"/>
      <c r="BN68" s="393"/>
      <c r="BO68" s="394"/>
      <c r="BP68" s="395"/>
      <c r="BQ68" s="396"/>
      <c r="BR68" s="394"/>
      <c r="BS68" s="395"/>
      <c r="BT68" s="397"/>
      <c r="BU68" s="405"/>
      <c r="BV68" s="398"/>
      <c r="BW68" s="398"/>
      <c r="BX68" s="626">
        <f t="shared" si="16"/>
        <v>0</v>
      </c>
      <c r="BY68" s="626">
        <f t="shared" si="17"/>
        <v>0</v>
      </c>
      <c r="BZ68" s="626">
        <f t="shared" si="18"/>
        <v>0</v>
      </c>
      <c r="CA68" s="626">
        <f t="shared" si="19"/>
        <v>0</v>
      </c>
      <c r="CB68" s="625">
        <f t="shared" si="20"/>
        <v>0</v>
      </c>
      <c r="CC68" s="393"/>
      <c r="CD68" s="394"/>
      <c r="CE68" s="395"/>
      <c r="CF68" s="396"/>
      <c r="CG68" s="394"/>
      <c r="CH68" s="395"/>
      <c r="CI68" s="397"/>
      <c r="CJ68" s="398"/>
      <c r="CK68" s="398"/>
      <c r="CL68" s="414"/>
      <c r="CM68" s="393"/>
      <c r="CN68" s="394"/>
      <c r="CO68" s="395"/>
      <c r="CP68" s="396"/>
      <c r="CQ68" s="394"/>
      <c r="CR68" s="395"/>
      <c r="CS68" s="397"/>
      <c r="CT68" s="398"/>
      <c r="CU68" s="405"/>
      <c r="CV68" s="405"/>
      <c r="CW68" s="492">
        <f t="shared" ref="CW68:CW79" si="588">SUM(CS68+CI68+BT68+BJ68)</f>
        <v>0</v>
      </c>
      <c r="CX68" s="487">
        <f t="shared" ref="CX68:CX79" si="589">SUM(CT68+CJ68+BU68+BK68)</f>
        <v>0</v>
      </c>
      <c r="CY68" s="487">
        <f t="shared" ref="CY68:CY79" si="590">SUM(CU68+CK68+BV68+BL68)</f>
        <v>0</v>
      </c>
      <c r="CZ68" s="487">
        <f t="shared" ref="CZ68:CZ79" si="591">SUM(CR68+CH68+BS68+BI68)</f>
        <v>0</v>
      </c>
      <c r="DA68" s="474"/>
      <c r="DB68" s="474">
        <f>SUM(CW68:CX68)</f>
        <v>0</v>
      </c>
      <c r="DC68" s="475"/>
      <c r="DD68" s="547">
        <f t="shared" si="21"/>
        <v>0</v>
      </c>
      <c r="DE68" s="547">
        <f t="shared" si="22"/>
        <v>0</v>
      </c>
      <c r="DF68" s="547">
        <f t="shared" si="23"/>
        <v>0</v>
      </c>
      <c r="DG68" s="547">
        <f t="shared" si="24"/>
        <v>0</v>
      </c>
      <c r="DH68" s="576">
        <f t="shared" si="25"/>
        <v>0</v>
      </c>
      <c r="DI68" s="393"/>
      <c r="DJ68" s="394"/>
      <c r="DK68" s="395"/>
      <c r="DL68" s="396"/>
      <c r="DM68" s="394"/>
      <c r="DN68" s="395"/>
      <c r="DO68" s="397"/>
      <c r="DP68" s="405"/>
      <c r="DQ68" s="398"/>
      <c r="DR68" s="398"/>
      <c r="DS68" s="393"/>
      <c r="DT68" s="394"/>
      <c r="DU68" s="395">
        <f t="shared" si="76"/>
        <v>0</v>
      </c>
      <c r="DV68" s="396"/>
      <c r="DW68" s="394"/>
      <c r="DX68" s="395">
        <f t="shared" si="77"/>
        <v>0</v>
      </c>
      <c r="DY68" s="397">
        <f t="shared" si="78"/>
        <v>0</v>
      </c>
      <c r="DZ68" s="405">
        <f t="shared" si="79"/>
        <v>0</v>
      </c>
      <c r="EA68" s="398">
        <f t="shared" si="80"/>
        <v>0</v>
      </c>
      <c r="EB68" s="398"/>
      <c r="EC68" s="393"/>
      <c r="ED68" s="394"/>
      <c r="EE68" s="395"/>
      <c r="EF68" s="396"/>
      <c r="EG68" s="394"/>
      <c r="EH68" s="395"/>
      <c r="EI68" s="397"/>
      <c r="EJ68" s="405"/>
      <c r="EK68" s="398"/>
      <c r="EL68" s="398"/>
      <c r="EM68" s="393"/>
      <c r="EN68" s="394"/>
      <c r="EO68" s="395"/>
      <c r="EP68" s="396"/>
      <c r="EQ68" s="394"/>
      <c r="ER68" s="395"/>
      <c r="ES68" s="397"/>
      <c r="ET68" s="405"/>
      <c r="EU68" s="398"/>
      <c r="EV68" s="398"/>
      <c r="EW68" s="492">
        <f t="shared" si="26"/>
        <v>0</v>
      </c>
      <c r="EX68" s="487">
        <f t="shared" si="27"/>
        <v>0</v>
      </c>
      <c r="EY68" s="487">
        <f t="shared" si="28"/>
        <v>0</v>
      </c>
      <c r="EZ68" s="487">
        <f t="shared" si="29"/>
        <v>0</v>
      </c>
      <c r="FA68" s="474"/>
      <c r="FB68" s="474">
        <f t="shared" si="30"/>
        <v>0</v>
      </c>
      <c r="FC68" s="475"/>
      <c r="FD68" s="547">
        <f t="shared" si="31"/>
        <v>0</v>
      </c>
      <c r="FE68" s="547">
        <f t="shared" si="32"/>
        <v>0</v>
      </c>
      <c r="FF68" s="547">
        <f t="shared" si="33"/>
        <v>0</v>
      </c>
      <c r="FG68" s="547">
        <f t="shared" si="34"/>
        <v>0</v>
      </c>
      <c r="FH68" s="577">
        <f t="shared" si="35"/>
        <v>0</v>
      </c>
      <c r="FI68" s="577">
        <f t="shared" si="36"/>
        <v>0</v>
      </c>
      <c r="FJ68" s="577">
        <f t="shared" si="37"/>
        <v>0</v>
      </c>
      <c r="FK68" s="577">
        <f t="shared" si="38"/>
        <v>0</v>
      </c>
      <c r="FL68" s="577">
        <f t="shared" si="39"/>
        <v>0</v>
      </c>
      <c r="FM68" s="577">
        <f t="shared" si="40"/>
        <v>0</v>
      </c>
      <c r="FN68" s="393"/>
      <c r="FO68" s="394"/>
      <c r="FP68" s="395"/>
      <c r="FQ68" s="396"/>
      <c r="FR68" s="394"/>
      <c r="FS68" s="395"/>
      <c r="FT68" s="397"/>
      <c r="FU68" s="405"/>
      <c r="FV68" s="398"/>
      <c r="FW68" s="398"/>
      <c r="FX68" s="393"/>
      <c r="FY68" s="394"/>
      <c r="FZ68" s="395"/>
      <c r="GA68" s="396"/>
      <c r="GB68" s="394"/>
      <c r="GC68" s="395"/>
      <c r="GD68" s="397">
        <f t="shared" si="41"/>
        <v>0</v>
      </c>
      <c r="GE68" s="405">
        <f t="shared" si="42"/>
        <v>0</v>
      </c>
      <c r="GF68" s="398">
        <f t="shared" si="43"/>
        <v>0</v>
      </c>
      <c r="GG68" s="398"/>
      <c r="GH68" s="393"/>
      <c r="GI68" s="394"/>
      <c r="GJ68" s="395"/>
      <c r="GK68" s="396"/>
      <c r="GL68" s="394"/>
      <c r="GM68" s="395"/>
      <c r="GN68" s="397">
        <f t="shared" si="582"/>
        <v>0</v>
      </c>
      <c r="GO68" s="405">
        <f t="shared" si="583"/>
        <v>0</v>
      </c>
      <c r="GP68" s="398">
        <f t="shared" si="584"/>
        <v>0</v>
      </c>
      <c r="GQ68" s="398"/>
      <c r="GR68" s="650">
        <f t="shared" si="47"/>
        <v>0</v>
      </c>
      <c r="GS68" s="650">
        <f t="shared" si="48"/>
        <v>0</v>
      </c>
      <c r="GT68" s="650">
        <f t="shared" si="49"/>
        <v>0</v>
      </c>
      <c r="GU68" s="650">
        <f t="shared" si="50"/>
        <v>0</v>
      </c>
      <c r="GV68" s="650">
        <f t="shared" si="51"/>
        <v>0</v>
      </c>
      <c r="GW68" s="650">
        <f t="shared" si="52"/>
        <v>0</v>
      </c>
      <c r="GX68" s="393"/>
      <c r="GY68" s="394"/>
      <c r="GZ68" s="395">
        <f t="shared" si="53"/>
        <v>0</v>
      </c>
      <c r="HA68" s="396"/>
      <c r="HB68" s="394"/>
      <c r="HC68" s="395">
        <f t="shared" si="54"/>
        <v>0</v>
      </c>
      <c r="HD68" s="397">
        <f t="shared" si="55"/>
        <v>0</v>
      </c>
      <c r="HE68" s="405">
        <f t="shared" si="56"/>
        <v>0</v>
      </c>
      <c r="HF68" s="398">
        <f t="shared" si="57"/>
        <v>0</v>
      </c>
      <c r="HG68" s="398"/>
      <c r="HH68" s="492">
        <f t="shared" si="58"/>
        <v>0</v>
      </c>
      <c r="HI68" s="487">
        <f t="shared" si="59"/>
        <v>0</v>
      </c>
      <c r="HJ68" s="487">
        <f t="shared" si="60"/>
        <v>0</v>
      </c>
      <c r="HK68" s="487">
        <f t="shared" si="61"/>
        <v>0</v>
      </c>
      <c r="HL68" s="487">
        <f t="shared" si="62"/>
        <v>0</v>
      </c>
      <c r="HM68" s="487">
        <f t="shared" si="63"/>
        <v>0</v>
      </c>
      <c r="HN68" s="474"/>
      <c r="HO68" s="474">
        <f t="shared" si="64"/>
        <v>0</v>
      </c>
      <c r="HP68" s="475"/>
      <c r="HQ68" s="547">
        <f t="shared" ref="HQ68:HQ79" si="592">FN68+FX68+GH68+GX68</f>
        <v>0</v>
      </c>
      <c r="HR68" s="547">
        <f t="shared" ref="HR68:HR79" si="593">FO68+FY68+GI68+GY68</f>
        <v>0</v>
      </c>
      <c r="HS68" s="547">
        <f t="shared" ref="HS68:HS79" si="594">FQ68+GA68+GK68+HA68</f>
        <v>0</v>
      </c>
      <c r="HT68" s="547">
        <f t="shared" ref="HT68:HT79" si="595">FR68+GB68+GL68+HB68</f>
        <v>0</v>
      </c>
      <c r="HU68" s="393"/>
      <c r="HV68" s="394"/>
      <c r="HW68" s="395">
        <f t="shared" si="69"/>
        <v>0</v>
      </c>
      <c r="HX68" s="396"/>
      <c r="HY68" s="394"/>
      <c r="HZ68" s="395">
        <f t="shared" si="70"/>
        <v>0</v>
      </c>
      <c r="IA68" s="397">
        <f t="shared" si="71"/>
        <v>0</v>
      </c>
      <c r="IB68" s="405">
        <f t="shared" si="72"/>
        <v>0</v>
      </c>
      <c r="IC68" s="398">
        <f t="shared" si="73"/>
        <v>0</v>
      </c>
      <c r="ID68" s="398"/>
      <c r="IE68" s="393"/>
      <c r="IF68" s="394"/>
      <c r="IG68" s="395"/>
      <c r="IH68" s="396"/>
      <c r="II68" s="394"/>
      <c r="IJ68" s="395"/>
      <c r="IK68" s="397"/>
      <c r="IL68" s="405"/>
      <c r="IM68" s="398"/>
      <c r="IN68" s="398"/>
      <c r="IO68" s="393"/>
      <c r="IP68" s="394"/>
      <c r="IQ68" s="395"/>
      <c r="IR68" s="396"/>
      <c r="IS68" s="394"/>
      <c r="IT68" s="395"/>
      <c r="IU68" s="397"/>
      <c r="IV68" s="405"/>
      <c r="IW68" s="398"/>
      <c r="IX68" s="398"/>
      <c r="IY68" s="393"/>
      <c r="IZ68" s="394"/>
      <c r="JA68" s="395"/>
      <c r="JB68" s="396"/>
      <c r="JC68" s="394"/>
      <c r="JD68" s="395"/>
      <c r="JE68" s="397"/>
      <c r="JF68" s="405"/>
      <c r="JG68" s="398"/>
      <c r="JH68" s="398"/>
      <c r="JI68" s="494"/>
      <c r="JJ68" s="479"/>
      <c r="JK68" s="479"/>
      <c r="JL68" s="479"/>
      <c r="JM68" s="474"/>
      <c r="JN68" s="474">
        <f t="shared" si="74"/>
        <v>0</v>
      </c>
      <c r="JO68" s="475"/>
      <c r="JP68" s="393"/>
      <c r="JQ68" s="394"/>
      <c r="JR68" s="395"/>
      <c r="JS68" s="396"/>
      <c r="JT68" s="394"/>
      <c r="JU68" s="395"/>
      <c r="JV68" s="397"/>
      <c r="JW68" s="405"/>
      <c r="JX68" s="398"/>
      <c r="JY68" s="398"/>
      <c r="JZ68" s="577">
        <f t="shared" si="585"/>
        <v>0</v>
      </c>
      <c r="KA68" s="412">
        <f t="shared" ref="KA68:KA76" si="596">SUM(JV68+JE68+IU68+IK68+IA68+HD68+GN68+GD68+FT68+ES68+EI68+DY68+DO68+CS68+CI68+BT68+BJ68+AO68+AE68+U68+K68)</f>
        <v>0</v>
      </c>
      <c r="KB68" s="412">
        <f t="shared" ref="KB68:KB76" si="597">SUM(JW68+JF68+IV68+IL68+IB68+HE68+GO68+GE68+FU68+ET68+EJ68+DZ68+DP68+CT68+CJ68+BU68+BK68+AP68+AF68+V68+L68)</f>
        <v>0</v>
      </c>
      <c r="KC68" s="412">
        <f t="shared" ref="KC68:KC76" si="598">SUM(JP68+IY68+IO68+IE68+HU68+GX68+GH68+FX68+FN68+EM68+EC68+DS68+DI68+CM68+CC68+BN68+BD68+AI68+Y68+O68+E68)</f>
        <v>0</v>
      </c>
      <c r="KD68" s="412">
        <f t="shared" ref="KD68:KD76" si="599">SUM(JQ68+IZ68+IP68+IF68+HV68+GY68+GI68+FY68+FO68+EN68+ED68+DT68+DJ68+CN68+CD68+BO68+BE68+AJ68+Z68+P68+F68)</f>
        <v>0</v>
      </c>
      <c r="KE68" s="412">
        <f t="shared" ref="KE68:KE76" si="600">SUM(JS68+JB68+IR68+IH68+HX68+HA68+GK68+GA68+FQ68+EP68+EF68+DV68+DL68+CP68+CF68+BQ68+BG68+AL68+AB68+R68+H68)</f>
        <v>0</v>
      </c>
      <c r="KF68" s="693">
        <f t="shared" ref="KF68:KF76" si="601">SUM(JT68+JC68+IS68+II68+HY68+HB68+GL68+GB68+FR68+EQ68+EG68+DW68+DM68+CQ68+CG68+BR68+BH68+AM68+AC68+S68+I68)</f>
        <v>0</v>
      </c>
      <c r="KG68" s="687">
        <f t="shared" si="75"/>
        <v>0</v>
      </c>
      <c r="KH68" s="680">
        <v>13</v>
      </c>
      <c r="KI68" s="680"/>
      <c r="KJ68" s="681">
        <f t="shared" ref="KJ68:KJ74" si="602">KG68/KH68</f>
        <v>0</v>
      </c>
      <c r="KK68" s="359">
        <f t="shared" si="464"/>
        <v>0</v>
      </c>
      <c r="KL68" s="359"/>
      <c r="KM68" s="359"/>
      <c r="KN68" s="359"/>
      <c r="KO68" s="359"/>
      <c r="KP68" s="359"/>
      <c r="KQ68" s="359"/>
    </row>
    <row r="69" spans="1:303" ht="36" hidden="1" customHeight="1" x14ac:dyDescent="0.3">
      <c r="A69" s="390"/>
      <c r="B69" s="418" t="s">
        <v>56</v>
      </c>
      <c r="C69" s="391" t="s">
        <v>130</v>
      </c>
      <c r="D69" s="392"/>
      <c r="E69" s="393"/>
      <c r="F69" s="394"/>
      <c r="G69" s="395"/>
      <c r="H69" s="396"/>
      <c r="I69" s="394"/>
      <c r="J69" s="395"/>
      <c r="K69" s="397"/>
      <c r="L69" s="398"/>
      <c r="M69" s="398"/>
      <c r="N69" s="399"/>
      <c r="O69" s="393"/>
      <c r="P69" s="394"/>
      <c r="Q69" s="400"/>
      <c r="R69" s="396"/>
      <c r="S69" s="394"/>
      <c r="T69" s="400"/>
      <c r="U69" s="397"/>
      <c r="V69" s="398"/>
      <c r="W69" s="398"/>
      <c r="X69" s="399"/>
      <c r="Y69" s="393"/>
      <c r="Z69" s="394"/>
      <c r="AA69" s="400"/>
      <c r="AB69" s="396"/>
      <c r="AC69" s="394"/>
      <c r="AD69" s="400"/>
      <c r="AE69" s="397"/>
      <c r="AF69" s="405"/>
      <c r="AG69" s="398"/>
      <c r="AH69" s="403"/>
      <c r="AI69" s="393"/>
      <c r="AJ69" s="394"/>
      <c r="AK69" s="395"/>
      <c r="AL69" s="396"/>
      <c r="AM69" s="394"/>
      <c r="AN69" s="395"/>
      <c r="AO69" s="397"/>
      <c r="AP69" s="398"/>
      <c r="AQ69" s="398"/>
      <c r="AR69" s="404"/>
      <c r="AS69" s="486">
        <f t="shared" si="7"/>
        <v>0</v>
      </c>
      <c r="AT69" s="487">
        <f t="shared" si="8"/>
        <v>0</v>
      </c>
      <c r="AU69" s="487">
        <f t="shared" si="9"/>
        <v>0</v>
      </c>
      <c r="AV69" s="487">
        <f t="shared" si="10"/>
        <v>0</v>
      </c>
      <c r="AW69" s="478"/>
      <c r="AX69" s="479">
        <f t="shared" si="11"/>
        <v>0</v>
      </c>
      <c r="AY69" s="537"/>
      <c r="AZ69" s="547">
        <f t="shared" si="489"/>
        <v>0</v>
      </c>
      <c r="BA69" s="547">
        <f t="shared" si="490"/>
        <v>0</v>
      </c>
      <c r="BB69" s="547">
        <f t="shared" si="491"/>
        <v>0</v>
      </c>
      <c r="BC69" s="547">
        <f t="shared" si="492"/>
        <v>0</v>
      </c>
      <c r="BD69" s="393"/>
      <c r="BE69" s="394"/>
      <c r="BF69" s="395"/>
      <c r="BG69" s="396"/>
      <c r="BH69" s="394"/>
      <c r="BI69" s="395"/>
      <c r="BJ69" s="397"/>
      <c r="BK69" s="398"/>
      <c r="BL69" s="405"/>
      <c r="BM69" s="398"/>
      <c r="BN69" s="393"/>
      <c r="BO69" s="394"/>
      <c r="BP69" s="395"/>
      <c r="BQ69" s="396"/>
      <c r="BR69" s="394"/>
      <c r="BS69" s="395"/>
      <c r="BT69" s="397"/>
      <c r="BU69" s="405"/>
      <c r="BV69" s="398"/>
      <c r="BW69" s="398"/>
      <c r="BX69" s="626">
        <f t="shared" si="16"/>
        <v>0</v>
      </c>
      <c r="BY69" s="626">
        <f t="shared" si="17"/>
        <v>0</v>
      </c>
      <c r="BZ69" s="626">
        <f t="shared" si="18"/>
        <v>0</v>
      </c>
      <c r="CA69" s="626">
        <f t="shared" si="19"/>
        <v>0</v>
      </c>
      <c r="CB69" s="625">
        <f t="shared" si="20"/>
        <v>0</v>
      </c>
      <c r="CC69" s="393"/>
      <c r="CD69" s="394"/>
      <c r="CE69" s="395"/>
      <c r="CF69" s="396"/>
      <c r="CG69" s="394"/>
      <c r="CH69" s="395"/>
      <c r="CI69" s="397"/>
      <c r="CJ69" s="398"/>
      <c r="CK69" s="398"/>
      <c r="CL69" s="414"/>
      <c r="CM69" s="393"/>
      <c r="CN69" s="394"/>
      <c r="CO69" s="395"/>
      <c r="CP69" s="396"/>
      <c r="CQ69" s="394"/>
      <c r="CR69" s="395"/>
      <c r="CS69" s="397"/>
      <c r="CT69" s="398"/>
      <c r="CU69" s="405"/>
      <c r="CV69" s="405"/>
      <c r="CW69" s="492">
        <f t="shared" si="588"/>
        <v>0</v>
      </c>
      <c r="CX69" s="487">
        <f t="shared" si="589"/>
        <v>0</v>
      </c>
      <c r="CY69" s="487">
        <f t="shared" si="590"/>
        <v>0</v>
      </c>
      <c r="CZ69" s="487">
        <f t="shared" si="591"/>
        <v>0</v>
      </c>
      <c r="DA69" s="474"/>
      <c r="DB69" s="474">
        <f>SUM(CW69:CX69)</f>
        <v>0</v>
      </c>
      <c r="DC69" s="475"/>
      <c r="DD69" s="547">
        <f t="shared" si="21"/>
        <v>0</v>
      </c>
      <c r="DE69" s="547">
        <f t="shared" si="22"/>
        <v>0</v>
      </c>
      <c r="DF69" s="547">
        <f t="shared" si="23"/>
        <v>0</v>
      </c>
      <c r="DG69" s="547">
        <f t="shared" si="24"/>
        <v>0</v>
      </c>
      <c r="DH69" s="576">
        <f t="shared" si="25"/>
        <v>0</v>
      </c>
      <c r="DI69" s="393"/>
      <c r="DJ69" s="394"/>
      <c r="DK69" s="395"/>
      <c r="DL69" s="396"/>
      <c r="DM69" s="394"/>
      <c r="DN69" s="395"/>
      <c r="DO69" s="397"/>
      <c r="DP69" s="405"/>
      <c r="DQ69" s="398"/>
      <c r="DR69" s="398"/>
      <c r="DS69" s="393"/>
      <c r="DT69" s="394"/>
      <c r="DU69" s="395">
        <f t="shared" si="76"/>
        <v>0</v>
      </c>
      <c r="DV69" s="396"/>
      <c r="DW69" s="394"/>
      <c r="DX69" s="395">
        <f t="shared" si="77"/>
        <v>0</v>
      </c>
      <c r="DY69" s="397">
        <f t="shared" si="78"/>
        <v>0</v>
      </c>
      <c r="DZ69" s="405">
        <f t="shared" si="79"/>
        <v>0</v>
      </c>
      <c r="EA69" s="398">
        <f t="shared" si="80"/>
        <v>0</v>
      </c>
      <c r="EB69" s="398"/>
      <c r="EC69" s="393"/>
      <c r="ED69" s="394"/>
      <c r="EE69" s="395"/>
      <c r="EF69" s="396"/>
      <c r="EG69" s="394"/>
      <c r="EH69" s="395"/>
      <c r="EI69" s="397"/>
      <c r="EJ69" s="405"/>
      <c r="EK69" s="398"/>
      <c r="EL69" s="398"/>
      <c r="EM69" s="393"/>
      <c r="EN69" s="394"/>
      <c r="EO69" s="395"/>
      <c r="EP69" s="396"/>
      <c r="EQ69" s="394"/>
      <c r="ER69" s="395"/>
      <c r="ES69" s="397"/>
      <c r="ET69" s="405"/>
      <c r="EU69" s="398"/>
      <c r="EV69" s="398"/>
      <c r="EW69" s="492">
        <f t="shared" si="26"/>
        <v>0</v>
      </c>
      <c r="EX69" s="487">
        <f t="shared" si="27"/>
        <v>0</v>
      </c>
      <c r="EY69" s="487">
        <f t="shared" si="28"/>
        <v>0</v>
      </c>
      <c r="EZ69" s="487">
        <f t="shared" si="29"/>
        <v>0</v>
      </c>
      <c r="FA69" s="474"/>
      <c r="FB69" s="474">
        <f t="shared" si="30"/>
        <v>0</v>
      </c>
      <c r="FC69" s="475"/>
      <c r="FD69" s="547">
        <f t="shared" si="31"/>
        <v>0</v>
      </c>
      <c r="FE69" s="547">
        <f t="shared" si="32"/>
        <v>0</v>
      </c>
      <c r="FF69" s="547">
        <f t="shared" si="33"/>
        <v>0</v>
      </c>
      <c r="FG69" s="547">
        <f t="shared" si="34"/>
        <v>0</v>
      </c>
      <c r="FH69" s="577">
        <f t="shared" si="35"/>
        <v>0</v>
      </c>
      <c r="FI69" s="577">
        <f t="shared" si="36"/>
        <v>0</v>
      </c>
      <c r="FJ69" s="577">
        <f t="shared" si="37"/>
        <v>0</v>
      </c>
      <c r="FK69" s="577">
        <f t="shared" si="38"/>
        <v>0</v>
      </c>
      <c r="FL69" s="577">
        <f t="shared" si="39"/>
        <v>0</v>
      </c>
      <c r="FM69" s="577">
        <f t="shared" si="40"/>
        <v>0</v>
      </c>
      <c r="FN69" s="393"/>
      <c r="FO69" s="394"/>
      <c r="FP69" s="395"/>
      <c r="FQ69" s="396"/>
      <c r="FR69" s="394"/>
      <c r="FS69" s="395"/>
      <c r="FT69" s="397"/>
      <c r="FU69" s="405"/>
      <c r="FV69" s="398"/>
      <c r="FW69" s="398"/>
      <c r="FX69" s="393"/>
      <c r="FY69" s="394"/>
      <c r="FZ69" s="395"/>
      <c r="GA69" s="396"/>
      <c r="GB69" s="394"/>
      <c r="GC69" s="395"/>
      <c r="GD69" s="397">
        <f t="shared" si="41"/>
        <v>0</v>
      </c>
      <c r="GE69" s="405">
        <f t="shared" si="42"/>
        <v>0</v>
      </c>
      <c r="GF69" s="398">
        <f t="shared" si="43"/>
        <v>0</v>
      </c>
      <c r="GG69" s="398"/>
      <c r="GH69" s="393"/>
      <c r="GI69" s="394"/>
      <c r="GJ69" s="395"/>
      <c r="GK69" s="396"/>
      <c r="GL69" s="394"/>
      <c r="GM69" s="395"/>
      <c r="GN69" s="397">
        <f t="shared" si="582"/>
        <v>0</v>
      </c>
      <c r="GO69" s="405">
        <f t="shared" si="583"/>
        <v>0</v>
      </c>
      <c r="GP69" s="398">
        <f t="shared" si="584"/>
        <v>0</v>
      </c>
      <c r="GQ69" s="398"/>
      <c r="GR69" s="650">
        <f t="shared" si="47"/>
        <v>0</v>
      </c>
      <c r="GS69" s="650">
        <f t="shared" si="48"/>
        <v>0</v>
      </c>
      <c r="GT69" s="650">
        <f t="shared" si="49"/>
        <v>0</v>
      </c>
      <c r="GU69" s="650">
        <f t="shared" si="50"/>
        <v>0</v>
      </c>
      <c r="GV69" s="650">
        <f t="shared" si="51"/>
        <v>0</v>
      </c>
      <c r="GW69" s="650">
        <f t="shared" si="52"/>
        <v>0</v>
      </c>
      <c r="GX69" s="393"/>
      <c r="GY69" s="394"/>
      <c r="GZ69" s="395">
        <f t="shared" si="53"/>
        <v>0</v>
      </c>
      <c r="HA69" s="396"/>
      <c r="HB69" s="394"/>
      <c r="HC69" s="395">
        <f t="shared" si="54"/>
        <v>0</v>
      </c>
      <c r="HD69" s="397">
        <f t="shared" si="55"/>
        <v>0</v>
      </c>
      <c r="HE69" s="405">
        <f t="shared" si="56"/>
        <v>0</v>
      </c>
      <c r="HF69" s="398">
        <f t="shared" si="57"/>
        <v>0</v>
      </c>
      <c r="HG69" s="398"/>
      <c r="HH69" s="492">
        <f t="shared" si="58"/>
        <v>0</v>
      </c>
      <c r="HI69" s="487">
        <f t="shared" si="59"/>
        <v>0</v>
      </c>
      <c r="HJ69" s="487">
        <f t="shared" si="60"/>
        <v>0</v>
      </c>
      <c r="HK69" s="487">
        <f t="shared" si="61"/>
        <v>0</v>
      </c>
      <c r="HL69" s="487">
        <f t="shared" si="62"/>
        <v>0</v>
      </c>
      <c r="HM69" s="487">
        <f t="shared" si="63"/>
        <v>0</v>
      </c>
      <c r="HN69" s="474"/>
      <c r="HO69" s="474">
        <f t="shared" si="64"/>
        <v>0</v>
      </c>
      <c r="HP69" s="475"/>
      <c r="HQ69" s="547">
        <f t="shared" si="592"/>
        <v>0</v>
      </c>
      <c r="HR69" s="547">
        <f t="shared" si="593"/>
        <v>0</v>
      </c>
      <c r="HS69" s="547">
        <f t="shared" si="594"/>
        <v>0</v>
      </c>
      <c r="HT69" s="547">
        <f t="shared" si="595"/>
        <v>0</v>
      </c>
      <c r="HU69" s="393"/>
      <c r="HV69" s="394"/>
      <c r="HW69" s="395">
        <f t="shared" si="69"/>
        <v>0</v>
      </c>
      <c r="HX69" s="396"/>
      <c r="HY69" s="394"/>
      <c r="HZ69" s="395">
        <f t="shared" si="70"/>
        <v>0</v>
      </c>
      <c r="IA69" s="397">
        <f t="shared" si="71"/>
        <v>0</v>
      </c>
      <c r="IB69" s="405">
        <f t="shared" si="72"/>
        <v>0</v>
      </c>
      <c r="IC69" s="398">
        <f t="shared" si="73"/>
        <v>0</v>
      </c>
      <c r="ID69" s="398"/>
      <c r="IE69" s="393"/>
      <c r="IF69" s="394"/>
      <c r="IG69" s="395"/>
      <c r="IH69" s="396"/>
      <c r="II69" s="394"/>
      <c r="IJ69" s="395"/>
      <c r="IK69" s="397"/>
      <c r="IL69" s="405"/>
      <c r="IM69" s="398"/>
      <c r="IN69" s="398"/>
      <c r="IO69" s="393"/>
      <c r="IP69" s="394"/>
      <c r="IQ69" s="395"/>
      <c r="IR69" s="396"/>
      <c r="IS69" s="394"/>
      <c r="IT69" s="395"/>
      <c r="IU69" s="397"/>
      <c r="IV69" s="405"/>
      <c r="IW69" s="398"/>
      <c r="IX69" s="398"/>
      <c r="IY69" s="393"/>
      <c r="IZ69" s="394"/>
      <c r="JA69" s="395"/>
      <c r="JB69" s="396"/>
      <c r="JC69" s="394"/>
      <c r="JD69" s="395"/>
      <c r="JE69" s="397"/>
      <c r="JF69" s="405"/>
      <c r="JG69" s="398"/>
      <c r="JH69" s="398"/>
      <c r="JI69" s="494"/>
      <c r="JJ69" s="479"/>
      <c r="JK69" s="479"/>
      <c r="JL69" s="479"/>
      <c r="JM69" s="474"/>
      <c r="JN69" s="474">
        <f t="shared" si="74"/>
        <v>0</v>
      </c>
      <c r="JO69" s="475"/>
      <c r="JP69" s="393"/>
      <c r="JQ69" s="394"/>
      <c r="JR69" s="395"/>
      <c r="JS69" s="396"/>
      <c r="JT69" s="394"/>
      <c r="JU69" s="395"/>
      <c r="JV69" s="397"/>
      <c r="JW69" s="405"/>
      <c r="JX69" s="398"/>
      <c r="JY69" s="398"/>
      <c r="JZ69" s="577">
        <f t="shared" si="585"/>
        <v>0</v>
      </c>
      <c r="KA69" s="412">
        <f t="shared" si="596"/>
        <v>0</v>
      </c>
      <c r="KB69" s="412">
        <f t="shared" si="597"/>
        <v>0</v>
      </c>
      <c r="KC69" s="412">
        <f t="shared" si="598"/>
        <v>0</v>
      </c>
      <c r="KD69" s="412">
        <f t="shared" si="599"/>
        <v>0</v>
      </c>
      <c r="KE69" s="412">
        <f t="shared" si="600"/>
        <v>0</v>
      </c>
      <c r="KF69" s="693">
        <f t="shared" si="601"/>
        <v>0</v>
      </c>
      <c r="KG69" s="687">
        <f t="shared" si="75"/>
        <v>0</v>
      </c>
      <c r="KH69" s="680">
        <v>0</v>
      </c>
      <c r="KI69" s="680"/>
      <c r="KJ69" s="681" t="e">
        <f t="shared" si="602"/>
        <v>#DIV/0!</v>
      </c>
      <c r="KK69" s="359">
        <f t="shared" si="464"/>
        <v>0</v>
      </c>
      <c r="KL69" s="359"/>
      <c r="KM69" s="359"/>
      <c r="KN69" s="359"/>
      <c r="KO69" s="359"/>
      <c r="KP69" s="359"/>
      <c r="KQ69" s="359"/>
    </row>
    <row r="70" spans="1:303" ht="36" customHeight="1" x14ac:dyDescent="0.3">
      <c r="A70" s="792" t="s">
        <v>165</v>
      </c>
      <c r="B70" s="438" t="s">
        <v>58</v>
      </c>
      <c r="C70" s="391" t="s">
        <v>130</v>
      </c>
      <c r="D70" s="392">
        <v>3</v>
      </c>
      <c r="E70" s="393"/>
      <c r="F70" s="394"/>
      <c r="G70" s="395"/>
      <c r="H70" s="396"/>
      <c r="I70" s="394"/>
      <c r="J70" s="395"/>
      <c r="K70" s="397"/>
      <c r="L70" s="398"/>
      <c r="M70" s="398"/>
      <c r="N70" s="399"/>
      <c r="O70" s="393"/>
      <c r="P70" s="394"/>
      <c r="Q70" s="400"/>
      <c r="R70" s="396"/>
      <c r="S70" s="394"/>
      <c r="T70" s="400"/>
      <c r="U70" s="397"/>
      <c r="V70" s="398"/>
      <c r="W70" s="398"/>
      <c r="X70" s="399"/>
      <c r="Y70" s="393"/>
      <c r="Z70" s="394"/>
      <c r="AA70" s="400"/>
      <c r="AB70" s="396"/>
      <c r="AC70" s="394"/>
      <c r="AD70" s="400"/>
      <c r="AE70" s="397"/>
      <c r="AF70" s="405"/>
      <c r="AG70" s="398"/>
      <c r="AH70" s="403"/>
      <c r="AI70" s="393"/>
      <c r="AJ70" s="394"/>
      <c r="AK70" s="395"/>
      <c r="AL70" s="396"/>
      <c r="AM70" s="394"/>
      <c r="AN70" s="395"/>
      <c r="AO70" s="397"/>
      <c r="AP70" s="398"/>
      <c r="AQ70" s="398"/>
      <c r="AR70" s="404"/>
      <c r="AS70" s="486">
        <f t="shared" si="7"/>
        <v>0</v>
      </c>
      <c r="AT70" s="487">
        <f t="shared" si="8"/>
        <v>0</v>
      </c>
      <c r="AU70" s="487">
        <f t="shared" si="9"/>
        <v>0</v>
      </c>
      <c r="AV70" s="487">
        <f t="shared" si="10"/>
        <v>0</v>
      </c>
      <c r="AW70" s="478"/>
      <c r="AX70" s="479">
        <f t="shared" si="11"/>
        <v>0</v>
      </c>
      <c r="AY70" s="537" t="e">
        <f>AX70/AW70</f>
        <v>#DIV/0!</v>
      </c>
      <c r="AZ70" s="547">
        <f t="shared" si="489"/>
        <v>0</v>
      </c>
      <c r="BA70" s="547">
        <f t="shared" si="490"/>
        <v>0</v>
      </c>
      <c r="BB70" s="547">
        <f t="shared" si="491"/>
        <v>0</v>
      </c>
      <c r="BC70" s="547">
        <f t="shared" si="492"/>
        <v>0</v>
      </c>
      <c r="BD70" s="393"/>
      <c r="BE70" s="394"/>
      <c r="BF70" s="395"/>
      <c r="BG70" s="396"/>
      <c r="BH70" s="394"/>
      <c r="BI70" s="395"/>
      <c r="BJ70" s="397"/>
      <c r="BK70" s="398"/>
      <c r="BL70" s="405"/>
      <c r="BM70" s="398"/>
      <c r="BN70" s="393"/>
      <c r="BO70" s="394"/>
      <c r="BP70" s="395"/>
      <c r="BQ70" s="396"/>
      <c r="BR70" s="394"/>
      <c r="BS70" s="395"/>
      <c r="BT70" s="397"/>
      <c r="BU70" s="405"/>
      <c r="BV70" s="398"/>
      <c r="BW70" s="398"/>
      <c r="BX70" s="626">
        <f t="shared" si="16"/>
        <v>0</v>
      </c>
      <c r="BY70" s="626">
        <f t="shared" si="17"/>
        <v>0</v>
      </c>
      <c r="BZ70" s="626">
        <f t="shared" si="18"/>
        <v>0</v>
      </c>
      <c r="CA70" s="626">
        <f t="shared" si="19"/>
        <v>0</v>
      </c>
      <c r="CB70" s="625">
        <f t="shared" si="20"/>
        <v>0</v>
      </c>
      <c r="CC70" s="393"/>
      <c r="CD70" s="394"/>
      <c r="CE70" s="395"/>
      <c r="CF70" s="396"/>
      <c r="CG70" s="394"/>
      <c r="CH70" s="395"/>
      <c r="CI70" s="397"/>
      <c r="CJ70" s="398"/>
      <c r="CK70" s="398"/>
      <c r="CL70" s="414"/>
      <c r="CM70" s="393"/>
      <c r="CN70" s="394"/>
      <c r="CO70" s="395"/>
      <c r="CP70" s="396"/>
      <c r="CQ70" s="394"/>
      <c r="CR70" s="395"/>
      <c r="CS70" s="397"/>
      <c r="CT70" s="398"/>
      <c r="CU70" s="405"/>
      <c r="CV70" s="405">
        <v>2</v>
      </c>
      <c r="CW70" s="492">
        <f t="shared" si="588"/>
        <v>0</v>
      </c>
      <c r="CX70" s="487">
        <f t="shared" si="589"/>
        <v>0</v>
      </c>
      <c r="CY70" s="487">
        <f t="shared" si="590"/>
        <v>0</v>
      </c>
      <c r="CZ70" s="487">
        <f t="shared" si="591"/>
        <v>0</v>
      </c>
      <c r="DA70" s="474"/>
      <c r="DB70" s="474">
        <v>1</v>
      </c>
      <c r="DC70" s="475"/>
      <c r="DD70" s="547">
        <f t="shared" si="21"/>
        <v>0</v>
      </c>
      <c r="DE70" s="547">
        <v>1</v>
      </c>
      <c r="DF70" s="547">
        <f t="shared" si="23"/>
        <v>0</v>
      </c>
      <c r="DG70" s="547">
        <f t="shared" si="24"/>
        <v>0</v>
      </c>
      <c r="DH70" s="576">
        <f t="shared" si="25"/>
        <v>1</v>
      </c>
      <c r="DI70" s="393"/>
      <c r="DJ70" s="394"/>
      <c r="DK70" s="395"/>
      <c r="DL70" s="396"/>
      <c r="DM70" s="394"/>
      <c r="DN70" s="395"/>
      <c r="DO70" s="397"/>
      <c r="DP70" s="405"/>
      <c r="DQ70" s="398"/>
      <c r="DR70" s="398"/>
      <c r="DS70" s="393"/>
      <c r="DT70" s="394"/>
      <c r="DU70" s="395">
        <f t="shared" si="76"/>
        <v>0</v>
      </c>
      <c r="DV70" s="396"/>
      <c r="DW70" s="394"/>
      <c r="DX70" s="395">
        <f t="shared" si="77"/>
        <v>0</v>
      </c>
      <c r="DY70" s="397">
        <f t="shared" si="78"/>
        <v>0</v>
      </c>
      <c r="DZ70" s="405">
        <f t="shared" si="79"/>
        <v>0</v>
      </c>
      <c r="EA70" s="398">
        <f t="shared" si="80"/>
        <v>0</v>
      </c>
      <c r="EB70" s="398"/>
      <c r="EC70" s="393"/>
      <c r="ED70" s="394"/>
      <c r="EE70" s="395"/>
      <c r="EF70" s="396"/>
      <c r="EG70" s="394"/>
      <c r="EH70" s="395"/>
      <c r="EI70" s="397"/>
      <c r="EJ70" s="405"/>
      <c r="EK70" s="398"/>
      <c r="EL70" s="398"/>
      <c r="EM70" s="393"/>
      <c r="EN70" s="394"/>
      <c r="EO70" s="395"/>
      <c r="EP70" s="396"/>
      <c r="EQ70" s="394"/>
      <c r="ER70" s="395"/>
      <c r="ES70" s="397"/>
      <c r="ET70" s="405"/>
      <c r="EU70" s="398"/>
      <c r="EV70" s="398"/>
      <c r="EW70" s="492">
        <f t="shared" si="26"/>
        <v>0</v>
      </c>
      <c r="EX70" s="487">
        <f t="shared" si="27"/>
        <v>0</v>
      </c>
      <c r="EY70" s="487">
        <f t="shared" si="28"/>
        <v>0</v>
      </c>
      <c r="EZ70" s="487">
        <f t="shared" si="29"/>
        <v>0</v>
      </c>
      <c r="FA70" s="474"/>
      <c r="FB70" s="474">
        <f t="shared" si="30"/>
        <v>0</v>
      </c>
      <c r="FC70" s="475"/>
      <c r="FD70" s="547">
        <f t="shared" si="31"/>
        <v>0</v>
      </c>
      <c r="FE70" s="547">
        <f t="shared" si="32"/>
        <v>0</v>
      </c>
      <c r="FF70" s="547">
        <f t="shared" si="33"/>
        <v>0</v>
      </c>
      <c r="FG70" s="547">
        <f t="shared" si="34"/>
        <v>0</v>
      </c>
      <c r="FH70" s="577">
        <f t="shared" si="35"/>
        <v>0</v>
      </c>
      <c r="FI70" s="577">
        <f t="shared" si="36"/>
        <v>0</v>
      </c>
      <c r="FJ70" s="577">
        <f t="shared" si="37"/>
        <v>0</v>
      </c>
      <c r="FK70" s="577">
        <f t="shared" si="38"/>
        <v>0</v>
      </c>
      <c r="FL70" s="577">
        <f t="shared" si="39"/>
        <v>0</v>
      </c>
      <c r="FM70" s="577">
        <f t="shared" si="40"/>
        <v>0</v>
      </c>
      <c r="FN70" s="393"/>
      <c r="FO70" s="394"/>
      <c r="FP70" s="395"/>
      <c r="FQ70" s="396"/>
      <c r="FR70" s="394"/>
      <c r="FS70" s="395"/>
      <c r="FT70" s="397"/>
      <c r="FU70" s="405"/>
      <c r="FV70" s="398"/>
      <c r="FW70" s="398"/>
      <c r="FX70" s="393"/>
      <c r="FY70" s="394"/>
      <c r="FZ70" s="395"/>
      <c r="GA70" s="396"/>
      <c r="GB70" s="394"/>
      <c r="GC70" s="395"/>
      <c r="GD70" s="397">
        <f t="shared" si="41"/>
        <v>0</v>
      </c>
      <c r="GE70" s="405">
        <f t="shared" si="42"/>
        <v>0</v>
      </c>
      <c r="GF70" s="398">
        <f t="shared" si="43"/>
        <v>0</v>
      </c>
      <c r="GG70" s="398"/>
      <c r="GH70" s="393"/>
      <c r="GI70" s="394"/>
      <c r="GJ70" s="395"/>
      <c r="GK70" s="396"/>
      <c r="GL70" s="394"/>
      <c r="GM70" s="395"/>
      <c r="GN70" s="397">
        <f t="shared" si="582"/>
        <v>0</v>
      </c>
      <c r="GO70" s="405">
        <f t="shared" si="583"/>
        <v>0</v>
      </c>
      <c r="GP70" s="398">
        <f t="shared" si="584"/>
        <v>0</v>
      </c>
      <c r="GQ70" s="398"/>
      <c r="GR70" s="650">
        <f t="shared" si="47"/>
        <v>0</v>
      </c>
      <c r="GS70" s="650">
        <f t="shared" si="48"/>
        <v>0</v>
      </c>
      <c r="GT70" s="650">
        <f t="shared" si="49"/>
        <v>0</v>
      </c>
      <c r="GU70" s="650">
        <f t="shared" si="50"/>
        <v>0</v>
      </c>
      <c r="GV70" s="650">
        <f t="shared" si="51"/>
        <v>0</v>
      </c>
      <c r="GW70" s="650">
        <f t="shared" si="52"/>
        <v>0</v>
      </c>
      <c r="GX70" s="393"/>
      <c r="GY70" s="394"/>
      <c r="GZ70" s="395">
        <f t="shared" ref="GZ70:GZ79" si="603">GX70+GY70</f>
        <v>0</v>
      </c>
      <c r="HA70" s="396"/>
      <c r="HB70" s="394"/>
      <c r="HC70" s="395">
        <f t="shared" ref="HC70:HC79" si="604">HA70+HB70</f>
        <v>0</v>
      </c>
      <c r="HD70" s="397">
        <f t="shared" ref="HD70:HD79" si="605">GX70+HA70</f>
        <v>0</v>
      </c>
      <c r="HE70" s="405">
        <f t="shared" ref="HE70:HE79" si="606">GY70+HB70</f>
        <v>0</v>
      </c>
      <c r="HF70" s="398">
        <f t="shared" ref="HF70:HF79" si="607">HD70+HE70</f>
        <v>0</v>
      </c>
      <c r="HG70" s="398"/>
      <c r="HH70" s="492">
        <f t="shared" si="58"/>
        <v>0</v>
      </c>
      <c r="HI70" s="487">
        <f t="shared" si="59"/>
        <v>0</v>
      </c>
      <c r="HJ70" s="487">
        <f t="shared" si="60"/>
        <v>0</v>
      </c>
      <c r="HK70" s="487">
        <f t="shared" si="61"/>
        <v>0</v>
      </c>
      <c r="HL70" s="487">
        <f t="shared" si="62"/>
        <v>0</v>
      </c>
      <c r="HM70" s="487">
        <f t="shared" si="63"/>
        <v>0</v>
      </c>
      <c r="HN70" s="474"/>
      <c r="HO70" s="474">
        <f t="shared" si="64"/>
        <v>0</v>
      </c>
      <c r="HP70" s="475"/>
      <c r="HQ70" s="547">
        <f t="shared" si="592"/>
        <v>0</v>
      </c>
      <c r="HR70" s="547">
        <f t="shared" si="593"/>
        <v>0</v>
      </c>
      <c r="HS70" s="547">
        <f t="shared" si="594"/>
        <v>0</v>
      </c>
      <c r="HT70" s="547">
        <f t="shared" si="595"/>
        <v>0</v>
      </c>
      <c r="HU70" s="393"/>
      <c r="HV70" s="394"/>
      <c r="HW70" s="395">
        <f t="shared" ref="HW70:HW79" si="608">HU70+HV70</f>
        <v>0</v>
      </c>
      <c r="HX70" s="396"/>
      <c r="HY70" s="394"/>
      <c r="HZ70" s="395">
        <f t="shared" ref="HZ70:HZ79" si="609">HX70+HY70</f>
        <v>0</v>
      </c>
      <c r="IA70" s="397">
        <f t="shared" ref="IA70:IA79" si="610">HU70+HX70</f>
        <v>0</v>
      </c>
      <c r="IB70" s="405">
        <f t="shared" ref="IB70:IB79" si="611">HV70+HY70</f>
        <v>0</v>
      </c>
      <c r="IC70" s="398">
        <f t="shared" ref="IC70:IC79" si="612">IA70+IB70</f>
        <v>0</v>
      </c>
      <c r="ID70" s="398"/>
      <c r="IE70" s="393"/>
      <c r="IF70" s="394"/>
      <c r="IG70" s="395"/>
      <c r="IH70" s="396"/>
      <c r="II70" s="394"/>
      <c r="IJ70" s="395"/>
      <c r="IK70" s="397"/>
      <c r="IL70" s="405"/>
      <c r="IM70" s="398"/>
      <c r="IN70" s="398"/>
      <c r="IO70" s="393"/>
      <c r="IP70" s="394"/>
      <c r="IQ70" s="395"/>
      <c r="IR70" s="396"/>
      <c r="IS70" s="394"/>
      <c r="IT70" s="395"/>
      <c r="IU70" s="397"/>
      <c r="IV70" s="405"/>
      <c r="IW70" s="398"/>
      <c r="IX70" s="398"/>
      <c r="IY70" s="393"/>
      <c r="IZ70" s="394"/>
      <c r="JA70" s="395"/>
      <c r="JB70" s="396"/>
      <c r="JC70" s="394"/>
      <c r="JD70" s="395"/>
      <c r="JE70" s="397"/>
      <c r="JF70" s="405"/>
      <c r="JG70" s="398"/>
      <c r="JH70" s="398"/>
      <c r="JI70" s="494"/>
      <c r="JJ70" s="479"/>
      <c r="JK70" s="479"/>
      <c r="JL70" s="479"/>
      <c r="JM70" s="474"/>
      <c r="JN70" s="474">
        <f t="shared" si="74"/>
        <v>0</v>
      </c>
      <c r="JO70" s="475"/>
      <c r="JP70" s="393"/>
      <c r="JQ70" s="394"/>
      <c r="JR70" s="395"/>
      <c r="JS70" s="396"/>
      <c r="JT70" s="394"/>
      <c r="JU70" s="395"/>
      <c r="JV70" s="397"/>
      <c r="JW70" s="405"/>
      <c r="JX70" s="398"/>
      <c r="JY70" s="398"/>
      <c r="JZ70" s="577">
        <f t="shared" si="585"/>
        <v>0</v>
      </c>
      <c r="KA70" s="412">
        <f t="shared" si="596"/>
        <v>0</v>
      </c>
      <c r="KB70" s="412">
        <f t="shared" si="597"/>
        <v>0</v>
      </c>
      <c r="KC70" s="412">
        <f t="shared" si="598"/>
        <v>0</v>
      </c>
      <c r="KD70" s="412">
        <f t="shared" si="599"/>
        <v>0</v>
      </c>
      <c r="KE70" s="412">
        <f t="shared" si="600"/>
        <v>0</v>
      </c>
      <c r="KF70" s="693">
        <f t="shared" si="601"/>
        <v>0</v>
      </c>
      <c r="KG70" s="687">
        <f t="shared" si="75"/>
        <v>0</v>
      </c>
      <c r="KH70" s="680">
        <v>3</v>
      </c>
      <c r="KI70" s="680">
        <f>KH70-KG70</f>
        <v>3</v>
      </c>
      <c r="KJ70" s="681">
        <f t="shared" si="602"/>
        <v>0</v>
      </c>
      <c r="KK70" s="359">
        <f t="shared" si="464"/>
        <v>0.3</v>
      </c>
      <c r="KL70" s="359"/>
      <c r="KM70" s="359"/>
      <c r="KN70" s="359"/>
      <c r="KO70" s="359"/>
      <c r="KP70" s="359"/>
      <c r="KQ70" s="359"/>
    </row>
    <row r="71" spans="1:303" ht="36" customHeight="1" x14ac:dyDescent="0.3">
      <c r="A71" s="719"/>
      <c r="B71" s="439" t="s">
        <v>59</v>
      </c>
      <c r="C71" s="391" t="s">
        <v>130</v>
      </c>
      <c r="D71" s="392">
        <v>2</v>
      </c>
      <c r="E71" s="393"/>
      <c r="F71" s="394"/>
      <c r="G71" s="395"/>
      <c r="H71" s="396"/>
      <c r="I71" s="394"/>
      <c r="J71" s="395"/>
      <c r="K71" s="397"/>
      <c r="L71" s="398"/>
      <c r="M71" s="398"/>
      <c r="N71" s="399"/>
      <c r="O71" s="393"/>
      <c r="P71" s="394"/>
      <c r="Q71" s="400"/>
      <c r="R71" s="396"/>
      <c r="S71" s="394"/>
      <c r="T71" s="400"/>
      <c r="U71" s="397"/>
      <c r="V71" s="398"/>
      <c r="W71" s="398"/>
      <c r="X71" s="399"/>
      <c r="Y71" s="393"/>
      <c r="Z71" s="394"/>
      <c r="AA71" s="400"/>
      <c r="AB71" s="396"/>
      <c r="AC71" s="394"/>
      <c r="AD71" s="400"/>
      <c r="AE71" s="397"/>
      <c r="AF71" s="405"/>
      <c r="AG71" s="398"/>
      <c r="AH71" s="403"/>
      <c r="AI71" s="393"/>
      <c r="AJ71" s="394"/>
      <c r="AK71" s="395"/>
      <c r="AL71" s="396"/>
      <c r="AM71" s="394"/>
      <c r="AN71" s="395"/>
      <c r="AO71" s="397"/>
      <c r="AP71" s="398"/>
      <c r="AQ71" s="398"/>
      <c r="AR71" s="404"/>
      <c r="AS71" s="486">
        <f t="shared" si="7"/>
        <v>0</v>
      </c>
      <c r="AT71" s="487">
        <f t="shared" si="8"/>
        <v>0</v>
      </c>
      <c r="AU71" s="487">
        <f t="shared" si="9"/>
        <v>0</v>
      </c>
      <c r="AV71" s="487">
        <f t="shared" si="10"/>
        <v>0</v>
      </c>
      <c r="AW71" s="478"/>
      <c r="AX71" s="479">
        <f t="shared" si="11"/>
        <v>0</v>
      </c>
      <c r="AY71" s="537" t="e">
        <f>AX71/AW71</f>
        <v>#DIV/0!</v>
      </c>
      <c r="AZ71" s="547">
        <f t="shared" si="489"/>
        <v>0</v>
      </c>
      <c r="BA71" s="547">
        <f t="shared" si="490"/>
        <v>0</v>
      </c>
      <c r="BB71" s="547">
        <f t="shared" si="491"/>
        <v>0</v>
      </c>
      <c r="BC71" s="547">
        <f t="shared" si="492"/>
        <v>0</v>
      </c>
      <c r="BD71" s="393"/>
      <c r="BE71" s="394"/>
      <c r="BF71" s="395"/>
      <c r="BG71" s="396"/>
      <c r="BH71" s="394"/>
      <c r="BI71" s="395"/>
      <c r="BJ71" s="397"/>
      <c r="BK71" s="398"/>
      <c r="BL71" s="405"/>
      <c r="BM71" s="398"/>
      <c r="BN71" s="393"/>
      <c r="BO71" s="394"/>
      <c r="BP71" s="395"/>
      <c r="BQ71" s="396"/>
      <c r="BR71" s="394"/>
      <c r="BS71" s="395"/>
      <c r="BT71" s="397"/>
      <c r="BU71" s="405"/>
      <c r="BV71" s="398"/>
      <c r="BW71" s="398"/>
      <c r="BX71" s="626">
        <f t="shared" si="16"/>
        <v>0</v>
      </c>
      <c r="BY71" s="626">
        <f t="shared" si="17"/>
        <v>0</v>
      </c>
      <c r="BZ71" s="626">
        <f t="shared" si="18"/>
        <v>0</v>
      </c>
      <c r="CA71" s="626">
        <f t="shared" si="19"/>
        <v>0</v>
      </c>
      <c r="CB71" s="625">
        <f t="shared" si="20"/>
        <v>0</v>
      </c>
      <c r="CC71" s="393"/>
      <c r="CD71" s="394"/>
      <c r="CE71" s="395"/>
      <c r="CF71" s="396"/>
      <c r="CG71" s="394"/>
      <c r="CH71" s="395"/>
      <c r="CI71" s="397"/>
      <c r="CJ71" s="398"/>
      <c r="CK71" s="398"/>
      <c r="CL71" s="414"/>
      <c r="CM71" s="393"/>
      <c r="CN71" s="394"/>
      <c r="CO71" s="395"/>
      <c r="CP71" s="396"/>
      <c r="CQ71" s="394"/>
      <c r="CR71" s="395"/>
      <c r="CS71" s="397"/>
      <c r="CT71" s="398"/>
      <c r="CU71" s="405"/>
      <c r="CV71" s="405"/>
      <c r="CW71" s="492">
        <f t="shared" si="588"/>
        <v>0</v>
      </c>
      <c r="CX71" s="487">
        <f t="shared" si="589"/>
        <v>0</v>
      </c>
      <c r="CY71" s="487">
        <f t="shared" si="590"/>
        <v>0</v>
      </c>
      <c r="CZ71" s="487">
        <f t="shared" si="591"/>
        <v>0</v>
      </c>
      <c r="DA71" s="474"/>
      <c r="DB71" s="474">
        <f>SUM(CW71:CX71)</f>
        <v>0</v>
      </c>
      <c r="DC71" s="475"/>
      <c r="DD71" s="547">
        <f t="shared" si="21"/>
        <v>0</v>
      </c>
      <c r="DE71" s="547">
        <f t="shared" si="22"/>
        <v>0</v>
      </c>
      <c r="DF71" s="547">
        <f t="shared" si="23"/>
        <v>0</v>
      </c>
      <c r="DG71" s="547">
        <f t="shared" si="24"/>
        <v>0</v>
      </c>
      <c r="DH71" s="576">
        <f t="shared" si="25"/>
        <v>0</v>
      </c>
      <c r="DI71" s="393"/>
      <c r="DJ71" s="394"/>
      <c r="DK71" s="395"/>
      <c r="DL71" s="396"/>
      <c r="DM71" s="394"/>
      <c r="DN71" s="395"/>
      <c r="DO71" s="397"/>
      <c r="DP71" s="405"/>
      <c r="DQ71" s="398"/>
      <c r="DR71" s="398"/>
      <c r="DS71" s="393"/>
      <c r="DT71" s="394"/>
      <c r="DU71" s="395">
        <f t="shared" si="76"/>
        <v>0</v>
      </c>
      <c r="DV71" s="396"/>
      <c r="DW71" s="394"/>
      <c r="DX71" s="395">
        <f t="shared" si="77"/>
        <v>0</v>
      </c>
      <c r="DY71" s="397">
        <f t="shared" si="78"/>
        <v>0</v>
      </c>
      <c r="DZ71" s="405">
        <f t="shared" si="79"/>
        <v>0</v>
      </c>
      <c r="EA71" s="398">
        <f t="shared" si="80"/>
        <v>0</v>
      </c>
      <c r="EB71" s="398"/>
      <c r="EC71" s="393"/>
      <c r="ED71" s="394"/>
      <c r="EE71" s="395"/>
      <c r="EF71" s="396"/>
      <c r="EG71" s="394"/>
      <c r="EH71" s="395"/>
      <c r="EI71" s="397"/>
      <c r="EJ71" s="405"/>
      <c r="EK71" s="398"/>
      <c r="EL71" s="398"/>
      <c r="EM71" s="393"/>
      <c r="EN71" s="394"/>
      <c r="EO71" s="395"/>
      <c r="EP71" s="396"/>
      <c r="EQ71" s="394"/>
      <c r="ER71" s="395"/>
      <c r="ES71" s="397"/>
      <c r="ET71" s="405"/>
      <c r="EU71" s="398"/>
      <c r="EV71" s="398"/>
      <c r="EW71" s="492">
        <f t="shared" si="26"/>
        <v>0</v>
      </c>
      <c r="EX71" s="487">
        <f t="shared" si="27"/>
        <v>0</v>
      </c>
      <c r="EY71" s="487">
        <f t="shared" si="28"/>
        <v>0</v>
      </c>
      <c r="EZ71" s="487">
        <f t="shared" si="29"/>
        <v>0</v>
      </c>
      <c r="FA71" s="474"/>
      <c r="FB71" s="474">
        <f t="shared" si="30"/>
        <v>0</v>
      </c>
      <c r="FC71" s="475"/>
      <c r="FD71" s="547">
        <f t="shared" si="31"/>
        <v>0</v>
      </c>
      <c r="FE71" s="547">
        <f t="shared" si="32"/>
        <v>0</v>
      </c>
      <c r="FF71" s="547">
        <f t="shared" si="33"/>
        <v>0</v>
      </c>
      <c r="FG71" s="547">
        <f t="shared" si="34"/>
        <v>0</v>
      </c>
      <c r="FH71" s="577">
        <f t="shared" si="35"/>
        <v>0</v>
      </c>
      <c r="FI71" s="577">
        <f t="shared" si="36"/>
        <v>0</v>
      </c>
      <c r="FJ71" s="577">
        <f t="shared" si="37"/>
        <v>0</v>
      </c>
      <c r="FK71" s="577">
        <f t="shared" si="38"/>
        <v>0</v>
      </c>
      <c r="FL71" s="577">
        <f t="shared" si="39"/>
        <v>0</v>
      </c>
      <c r="FM71" s="577">
        <f t="shared" si="40"/>
        <v>0</v>
      </c>
      <c r="FN71" s="393"/>
      <c r="FO71" s="394"/>
      <c r="FP71" s="395"/>
      <c r="FQ71" s="396"/>
      <c r="FR71" s="394"/>
      <c r="FS71" s="395"/>
      <c r="FT71" s="397"/>
      <c r="FU71" s="405"/>
      <c r="FV71" s="398"/>
      <c r="FW71" s="398"/>
      <c r="FX71" s="393"/>
      <c r="FY71" s="394"/>
      <c r="FZ71" s="395"/>
      <c r="GA71" s="396"/>
      <c r="GB71" s="394"/>
      <c r="GC71" s="395"/>
      <c r="GD71" s="397">
        <f t="shared" si="41"/>
        <v>0</v>
      </c>
      <c r="GE71" s="405">
        <f t="shared" si="42"/>
        <v>0</v>
      </c>
      <c r="GF71" s="398">
        <f t="shared" si="43"/>
        <v>0</v>
      </c>
      <c r="GG71" s="398"/>
      <c r="GH71" s="393"/>
      <c r="GI71" s="394"/>
      <c r="GJ71" s="395"/>
      <c r="GK71" s="396"/>
      <c r="GL71" s="394"/>
      <c r="GM71" s="395"/>
      <c r="GN71" s="397">
        <f t="shared" si="582"/>
        <v>0</v>
      </c>
      <c r="GO71" s="405">
        <f t="shared" si="583"/>
        <v>0</v>
      </c>
      <c r="GP71" s="398">
        <f t="shared" si="584"/>
        <v>0</v>
      </c>
      <c r="GQ71" s="398"/>
      <c r="GR71" s="650">
        <f t="shared" si="47"/>
        <v>0</v>
      </c>
      <c r="GS71" s="650">
        <f t="shared" si="48"/>
        <v>0</v>
      </c>
      <c r="GT71" s="650">
        <f t="shared" si="49"/>
        <v>0</v>
      </c>
      <c r="GU71" s="650">
        <f t="shared" si="50"/>
        <v>0</v>
      </c>
      <c r="GV71" s="650">
        <f t="shared" si="51"/>
        <v>0</v>
      </c>
      <c r="GW71" s="650">
        <f t="shared" si="52"/>
        <v>0</v>
      </c>
      <c r="GX71" s="393"/>
      <c r="GY71" s="394"/>
      <c r="GZ71" s="395">
        <f t="shared" si="603"/>
        <v>0</v>
      </c>
      <c r="HA71" s="396"/>
      <c r="HB71" s="394"/>
      <c r="HC71" s="395">
        <f t="shared" si="604"/>
        <v>0</v>
      </c>
      <c r="HD71" s="397">
        <f t="shared" si="605"/>
        <v>0</v>
      </c>
      <c r="HE71" s="405">
        <f t="shared" si="606"/>
        <v>0</v>
      </c>
      <c r="HF71" s="398">
        <f t="shared" si="607"/>
        <v>0</v>
      </c>
      <c r="HG71" s="398"/>
      <c r="HH71" s="492">
        <f t="shared" si="58"/>
        <v>0</v>
      </c>
      <c r="HI71" s="487">
        <f t="shared" si="59"/>
        <v>0</v>
      </c>
      <c r="HJ71" s="487">
        <f t="shared" si="60"/>
        <v>0</v>
      </c>
      <c r="HK71" s="487">
        <f t="shared" si="61"/>
        <v>0</v>
      </c>
      <c r="HL71" s="487">
        <f t="shared" si="62"/>
        <v>0</v>
      </c>
      <c r="HM71" s="487">
        <f t="shared" si="63"/>
        <v>0</v>
      </c>
      <c r="HN71" s="474"/>
      <c r="HO71" s="474">
        <f t="shared" si="64"/>
        <v>0</v>
      </c>
      <c r="HP71" s="475"/>
      <c r="HQ71" s="547">
        <f t="shared" si="592"/>
        <v>0</v>
      </c>
      <c r="HR71" s="547">
        <f t="shared" si="593"/>
        <v>0</v>
      </c>
      <c r="HS71" s="547">
        <f t="shared" si="594"/>
        <v>0</v>
      </c>
      <c r="HT71" s="547">
        <f t="shared" si="595"/>
        <v>0</v>
      </c>
      <c r="HU71" s="393"/>
      <c r="HV71" s="394"/>
      <c r="HW71" s="395">
        <f t="shared" si="608"/>
        <v>0</v>
      </c>
      <c r="HX71" s="396"/>
      <c r="HY71" s="394"/>
      <c r="HZ71" s="395">
        <f t="shared" si="609"/>
        <v>0</v>
      </c>
      <c r="IA71" s="397">
        <f t="shared" si="610"/>
        <v>0</v>
      </c>
      <c r="IB71" s="405">
        <f t="shared" si="611"/>
        <v>0</v>
      </c>
      <c r="IC71" s="398">
        <f t="shared" si="612"/>
        <v>0</v>
      </c>
      <c r="ID71" s="398"/>
      <c r="IE71" s="393"/>
      <c r="IF71" s="394"/>
      <c r="IG71" s="395"/>
      <c r="IH71" s="396"/>
      <c r="II71" s="394"/>
      <c r="IJ71" s="395"/>
      <c r="IK71" s="397"/>
      <c r="IL71" s="405"/>
      <c r="IM71" s="398"/>
      <c r="IN71" s="398"/>
      <c r="IO71" s="393"/>
      <c r="IP71" s="394"/>
      <c r="IQ71" s="395"/>
      <c r="IR71" s="396"/>
      <c r="IS71" s="394"/>
      <c r="IT71" s="395"/>
      <c r="IU71" s="397"/>
      <c r="IV71" s="405"/>
      <c r="IW71" s="398"/>
      <c r="IX71" s="398"/>
      <c r="IY71" s="393"/>
      <c r="IZ71" s="394"/>
      <c r="JA71" s="395"/>
      <c r="JB71" s="396"/>
      <c r="JC71" s="394"/>
      <c r="JD71" s="395"/>
      <c r="JE71" s="397"/>
      <c r="JF71" s="405"/>
      <c r="JG71" s="398"/>
      <c r="JH71" s="398"/>
      <c r="JI71" s="494"/>
      <c r="JJ71" s="479"/>
      <c r="JK71" s="479"/>
      <c r="JL71" s="479"/>
      <c r="JM71" s="474"/>
      <c r="JN71" s="474">
        <f t="shared" si="74"/>
        <v>0</v>
      </c>
      <c r="JO71" s="475"/>
      <c r="JP71" s="393"/>
      <c r="JQ71" s="394"/>
      <c r="JR71" s="395"/>
      <c r="JS71" s="396"/>
      <c r="JT71" s="394"/>
      <c r="JU71" s="395"/>
      <c r="JV71" s="397"/>
      <c r="JW71" s="405"/>
      <c r="JX71" s="398"/>
      <c r="JY71" s="398"/>
      <c r="JZ71" s="577">
        <f t="shared" si="585"/>
        <v>0</v>
      </c>
      <c r="KA71" s="412">
        <f t="shared" si="596"/>
        <v>0</v>
      </c>
      <c r="KB71" s="412">
        <f t="shared" si="597"/>
        <v>0</v>
      </c>
      <c r="KC71" s="412">
        <f t="shared" si="598"/>
        <v>0</v>
      </c>
      <c r="KD71" s="412">
        <f t="shared" si="599"/>
        <v>0</v>
      </c>
      <c r="KE71" s="412">
        <f t="shared" si="600"/>
        <v>0</v>
      </c>
      <c r="KF71" s="693">
        <f t="shared" si="601"/>
        <v>0</v>
      </c>
      <c r="KG71" s="687">
        <f t="shared" si="75"/>
        <v>0</v>
      </c>
      <c r="KH71" s="680">
        <v>2</v>
      </c>
      <c r="KI71" s="680">
        <f>KH71-KG71</f>
        <v>2</v>
      </c>
      <c r="KJ71" s="681">
        <f t="shared" si="602"/>
        <v>0</v>
      </c>
      <c r="KK71" s="359">
        <f t="shared" si="464"/>
        <v>0.2</v>
      </c>
      <c r="KL71" s="359"/>
      <c r="KM71" s="359"/>
      <c r="KN71" s="359"/>
      <c r="KO71" s="359"/>
      <c r="KP71" s="359"/>
      <c r="KQ71" s="359"/>
    </row>
    <row r="72" spans="1:303" ht="36" customHeight="1" x14ac:dyDescent="0.3">
      <c r="A72" s="793"/>
      <c r="B72" s="439" t="s">
        <v>60</v>
      </c>
      <c r="C72" s="391" t="s">
        <v>130</v>
      </c>
      <c r="D72" s="392">
        <v>1</v>
      </c>
      <c r="E72" s="393"/>
      <c r="F72" s="394"/>
      <c r="G72" s="395"/>
      <c r="H72" s="396"/>
      <c r="I72" s="394"/>
      <c r="J72" s="395"/>
      <c r="K72" s="397"/>
      <c r="L72" s="398"/>
      <c r="M72" s="398"/>
      <c r="N72" s="399"/>
      <c r="O72" s="393"/>
      <c r="P72" s="394"/>
      <c r="Q72" s="400"/>
      <c r="R72" s="396"/>
      <c r="S72" s="394"/>
      <c r="T72" s="400"/>
      <c r="U72" s="397"/>
      <c r="V72" s="398"/>
      <c r="W72" s="398"/>
      <c r="X72" s="399"/>
      <c r="Y72" s="393"/>
      <c r="Z72" s="394"/>
      <c r="AA72" s="400"/>
      <c r="AB72" s="396"/>
      <c r="AC72" s="394"/>
      <c r="AD72" s="400"/>
      <c r="AE72" s="397"/>
      <c r="AF72" s="405"/>
      <c r="AG72" s="398"/>
      <c r="AH72" s="403"/>
      <c r="AI72" s="393"/>
      <c r="AJ72" s="394"/>
      <c r="AK72" s="395"/>
      <c r="AL72" s="396"/>
      <c r="AM72" s="394"/>
      <c r="AN72" s="395"/>
      <c r="AO72" s="397"/>
      <c r="AP72" s="398"/>
      <c r="AQ72" s="398"/>
      <c r="AR72" s="404"/>
      <c r="AS72" s="486">
        <f t="shared" si="7"/>
        <v>0</v>
      </c>
      <c r="AT72" s="487">
        <f t="shared" si="8"/>
        <v>0</v>
      </c>
      <c r="AU72" s="487">
        <f t="shared" si="9"/>
        <v>0</v>
      </c>
      <c r="AV72" s="487">
        <f t="shared" si="10"/>
        <v>0</v>
      </c>
      <c r="AW72" s="478"/>
      <c r="AX72" s="479">
        <f t="shared" si="11"/>
        <v>0</v>
      </c>
      <c r="AY72" s="537" t="e">
        <f>AX72/AW72</f>
        <v>#DIV/0!</v>
      </c>
      <c r="AZ72" s="547">
        <f t="shared" si="489"/>
        <v>0</v>
      </c>
      <c r="BA72" s="547">
        <f t="shared" si="490"/>
        <v>0</v>
      </c>
      <c r="BB72" s="547">
        <f t="shared" si="491"/>
        <v>0</v>
      </c>
      <c r="BC72" s="547">
        <f t="shared" si="492"/>
        <v>0</v>
      </c>
      <c r="BD72" s="393"/>
      <c r="BE72" s="394"/>
      <c r="BF72" s="395"/>
      <c r="BG72" s="396"/>
      <c r="BH72" s="394"/>
      <c r="BI72" s="395"/>
      <c r="BJ72" s="397"/>
      <c r="BK72" s="398"/>
      <c r="BL72" s="405"/>
      <c r="BM72" s="398"/>
      <c r="BN72" s="393"/>
      <c r="BO72" s="394"/>
      <c r="BP72" s="395"/>
      <c r="BQ72" s="396"/>
      <c r="BR72" s="394"/>
      <c r="BS72" s="395"/>
      <c r="BT72" s="397"/>
      <c r="BU72" s="405"/>
      <c r="BV72" s="398"/>
      <c r="BW72" s="398"/>
      <c r="BX72" s="626">
        <f t="shared" si="16"/>
        <v>0</v>
      </c>
      <c r="BY72" s="626">
        <f t="shared" si="17"/>
        <v>0</v>
      </c>
      <c r="BZ72" s="626">
        <f t="shared" si="18"/>
        <v>0</v>
      </c>
      <c r="CA72" s="626">
        <f t="shared" si="19"/>
        <v>0</v>
      </c>
      <c r="CB72" s="625">
        <f t="shared" si="20"/>
        <v>0</v>
      </c>
      <c r="CC72" s="393"/>
      <c r="CD72" s="394"/>
      <c r="CE72" s="395"/>
      <c r="CF72" s="396"/>
      <c r="CG72" s="394"/>
      <c r="CH72" s="395"/>
      <c r="CI72" s="397"/>
      <c r="CJ72" s="398"/>
      <c r="CK72" s="398"/>
      <c r="CL72" s="414"/>
      <c r="CM72" s="393"/>
      <c r="CN72" s="394"/>
      <c r="CO72" s="395"/>
      <c r="CP72" s="396"/>
      <c r="CQ72" s="394"/>
      <c r="CR72" s="395"/>
      <c r="CS72" s="397"/>
      <c r="CT72" s="398"/>
      <c r="CU72" s="405"/>
      <c r="CV72" s="405"/>
      <c r="CW72" s="492">
        <f t="shared" si="588"/>
        <v>0</v>
      </c>
      <c r="CX72" s="487">
        <f t="shared" si="589"/>
        <v>0</v>
      </c>
      <c r="CY72" s="487">
        <f t="shared" si="590"/>
        <v>0</v>
      </c>
      <c r="CZ72" s="487">
        <f t="shared" si="591"/>
        <v>0</v>
      </c>
      <c r="DA72" s="474"/>
      <c r="DB72" s="474">
        <f>SUM(CW72:CX72)</f>
        <v>0</v>
      </c>
      <c r="DC72" s="475"/>
      <c r="DD72" s="547">
        <f t="shared" si="21"/>
        <v>0</v>
      </c>
      <c r="DE72" s="547">
        <f t="shared" si="22"/>
        <v>0</v>
      </c>
      <c r="DF72" s="547">
        <f t="shared" si="23"/>
        <v>0</v>
      </c>
      <c r="DG72" s="547">
        <f t="shared" si="24"/>
        <v>0</v>
      </c>
      <c r="DH72" s="576">
        <f t="shared" si="25"/>
        <v>0</v>
      </c>
      <c r="DI72" s="393"/>
      <c r="DJ72" s="394"/>
      <c r="DK72" s="395"/>
      <c r="DL72" s="396"/>
      <c r="DM72" s="394"/>
      <c r="DN72" s="395"/>
      <c r="DO72" s="397"/>
      <c r="DP72" s="405"/>
      <c r="DQ72" s="398"/>
      <c r="DR72" s="398"/>
      <c r="DS72" s="393"/>
      <c r="DT72" s="394"/>
      <c r="DU72" s="395">
        <f t="shared" si="76"/>
        <v>0</v>
      </c>
      <c r="DV72" s="396"/>
      <c r="DW72" s="394"/>
      <c r="DX72" s="395">
        <f t="shared" si="77"/>
        <v>0</v>
      </c>
      <c r="DY72" s="397">
        <f t="shared" si="78"/>
        <v>0</v>
      </c>
      <c r="DZ72" s="405">
        <f t="shared" si="79"/>
        <v>0</v>
      </c>
      <c r="EA72" s="398">
        <f t="shared" si="80"/>
        <v>0</v>
      </c>
      <c r="EB72" s="398"/>
      <c r="EC72" s="393"/>
      <c r="ED72" s="394"/>
      <c r="EE72" s="395"/>
      <c r="EF72" s="396"/>
      <c r="EG72" s="394"/>
      <c r="EH72" s="395"/>
      <c r="EI72" s="397"/>
      <c r="EJ72" s="405"/>
      <c r="EK72" s="398"/>
      <c r="EL72" s="398"/>
      <c r="EM72" s="393"/>
      <c r="EN72" s="394"/>
      <c r="EO72" s="395"/>
      <c r="EP72" s="396"/>
      <c r="EQ72" s="394"/>
      <c r="ER72" s="395"/>
      <c r="ES72" s="397"/>
      <c r="ET72" s="405"/>
      <c r="EU72" s="398"/>
      <c r="EV72" s="398"/>
      <c r="EW72" s="492">
        <f t="shared" si="26"/>
        <v>0</v>
      </c>
      <c r="EX72" s="487">
        <f t="shared" si="27"/>
        <v>0</v>
      </c>
      <c r="EY72" s="487">
        <f t="shared" si="28"/>
        <v>0</v>
      </c>
      <c r="EZ72" s="487">
        <f t="shared" si="29"/>
        <v>0</v>
      </c>
      <c r="FA72" s="474"/>
      <c r="FB72" s="474">
        <f t="shared" si="30"/>
        <v>0</v>
      </c>
      <c r="FC72" s="475"/>
      <c r="FD72" s="547">
        <f t="shared" si="31"/>
        <v>0</v>
      </c>
      <c r="FE72" s="547">
        <f t="shared" si="32"/>
        <v>0</v>
      </c>
      <c r="FF72" s="547">
        <f t="shared" si="33"/>
        <v>0</v>
      </c>
      <c r="FG72" s="547">
        <f t="shared" si="34"/>
        <v>0</v>
      </c>
      <c r="FH72" s="577">
        <f t="shared" si="35"/>
        <v>0</v>
      </c>
      <c r="FI72" s="577">
        <f t="shared" si="36"/>
        <v>0</v>
      </c>
      <c r="FJ72" s="577">
        <f t="shared" si="37"/>
        <v>0</v>
      </c>
      <c r="FK72" s="577">
        <f t="shared" si="38"/>
        <v>0</v>
      </c>
      <c r="FL72" s="577">
        <f t="shared" si="39"/>
        <v>0</v>
      </c>
      <c r="FM72" s="577">
        <f t="shared" si="40"/>
        <v>0</v>
      </c>
      <c r="FN72" s="393"/>
      <c r="FO72" s="394"/>
      <c r="FP72" s="395"/>
      <c r="FQ72" s="396"/>
      <c r="FR72" s="394"/>
      <c r="FS72" s="395"/>
      <c r="FT72" s="397"/>
      <c r="FU72" s="405"/>
      <c r="FV72" s="398"/>
      <c r="FW72" s="398"/>
      <c r="FX72" s="393"/>
      <c r="FY72" s="394"/>
      <c r="FZ72" s="395"/>
      <c r="GA72" s="396"/>
      <c r="GB72" s="394"/>
      <c r="GC72" s="395"/>
      <c r="GD72" s="397">
        <f t="shared" si="41"/>
        <v>0</v>
      </c>
      <c r="GE72" s="405">
        <f t="shared" si="42"/>
        <v>0</v>
      </c>
      <c r="GF72" s="398">
        <f t="shared" si="43"/>
        <v>0</v>
      </c>
      <c r="GG72" s="398"/>
      <c r="GH72" s="393"/>
      <c r="GI72" s="394"/>
      <c r="GJ72" s="395"/>
      <c r="GK72" s="396"/>
      <c r="GL72" s="394"/>
      <c r="GM72" s="395"/>
      <c r="GN72" s="397">
        <f t="shared" si="582"/>
        <v>0</v>
      </c>
      <c r="GO72" s="405">
        <f t="shared" si="583"/>
        <v>0</v>
      </c>
      <c r="GP72" s="398">
        <f t="shared" si="584"/>
        <v>0</v>
      </c>
      <c r="GQ72" s="398"/>
      <c r="GR72" s="650">
        <f t="shared" si="47"/>
        <v>0</v>
      </c>
      <c r="GS72" s="650">
        <f t="shared" si="48"/>
        <v>0</v>
      </c>
      <c r="GT72" s="650">
        <f t="shared" si="49"/>
        <v>0</v>
      </c>
      <c r="GU72" s="650">
        <f t="shared" si="50"/>
        <v>0</v>
      </c>
      <c r="GV72" s="650">
        <f t="shared" si="51"/>
        <v>0</v>
      </c>
      <c r="GW72" s="650">
        <f t="shared" si="52"/>
        <v>0</v>
      </c>
      <c r="GX72" s="393"/>
      <c r="GY72" s="394"/>
      <c r="GZ72" s="395">
        <f t="shared" si="603"/>
        <v>0</v>
      </c>
      <c r="HA72" s="396"/>
      <c r="HB72" s="394"/>
      <c r="HC72" s="395">
        <f t="shared" si="604"/>
        <v>0</v>
      </c>
      <c r="HD72" s="397">
        <f t="shared" si="605"/>
        <v>0</v>
      </c>
      <c r="HE72" s="405">
        <f t="shared" si="606"/>
        <v>0</v>
      </c>
      <c r="HF72" s="398">
        <f t="shared" si="607"/>
        <v>0</v>
      </c>
      <c r="HG72" s="398"/>
      <c r="HH72" s="492">
        <f t="shared" ref="HH72:HH79" si="613">HD72+GN72+GD72+FT72</f>
        <v>0</v>
      </c>
      <c r="HI72" s="487">
        <f t="shared" ref="HI72:HI79" si="614">GO72+GE72+FU72+HE72</f>
        <v>0</v>
      </c>
      <c r="HJ72" s="487">
        <f t="shared" ref="HJ72:HJ79" si="615">GX72+GH72+FX72+FN72</f>
        <v>0</v>
      </c>
      <c r="HK72" s="487">
        <f t="shared" ref="HK72:HK79" si="616">GI72+FY72+GY72+FO72</f>
        <v>0</v>
      </c>
      <c r="HL72" s="487">
        <f t="shared" ref="HL72:HL79" si="617">GK72+GA72+FQ72+HA72</f>
        <v>0</v>
      </c>
      <c r="HM72" s="487">
        <f t="shared" ref="HM72:HM79" si="618">GL72+HB72+GB72+FR72</f>
        <v>0</v>
      </c>
      <c r="HN72" s="474"/>
      <c r="HO72" s="474">
        <f t="shared" si="64"/>
        <v>0</v>
      </c>
      <c r="HP72" s="475"/>
      <c r="HQ72" s="547">
        <f t="shared" si="592"/>
        <v>0</v>
      </c>
      <c r="HR72" s="547">
        <f t="shared" si="593"/>
        <v>0</v>
      </c>
      <c r="HS72" s="547">
        <f t="shared" si="594"/>
        <v>0</v>
      </c>
      <c r="HT72" s="547">
        <f t="shared" si="595"/>
        <v>0</v>
      </c>
      <c r="HU72" s="393"/>
      <c r="HV72" s="394"/>
      <c r="HW72" s="395">
        <f t="shared" si="608"/>
        <v>0</v>
      </c>
      <c r="HX72" s="396"/>
      <c r="HY72" s="394"/>
      <c r="HZ72" s="395">
        <f t="shared" si="609"/>
        <v>0</v>
      </c>
      <c r="IA72" s="397">
        <f t="shared" si="610"/>
        <v>0</v>
      </c>
      <c r="IB72" s="405">
        <f t="shared" si="611"/>
        <v>0</v>
      </c>
      <c r="IC72" s="398">
        <f t="shared" si="612"/>
        <v>0</v>
      </c>
      <c r="ID72" s="398"/>
      <c r="IE72" s="393"/>
      <c r="IF72" s="394"/>
      <c r="IG72" s="395"/>
      <c r="IH72" s="396"/>
      <c r="II72" s="394"/>
      <c r="IJ72" s="395"/>
      <c r="IK72" s="397"/>
      <c r="IL72" s="405"/>
      <c r="IM72" s="398"/>
      <c r="IN72" s="398"/>
      <c r="IO72" s="393"/>
      <c r="IP72" s="394"/>
      <c r="IQ72" s="395"/>
      <c r="IR72" s="396"/>
      <c r="IS72" s="394"/>
      <c r="IT72" s="395"/>
      <c r="IU72" s="397"/>
      <c r="IV72" s="405"/>
      <c r="IW72" s="398"/>
      <c r="IX72" s="398"/>
      <c r="IY72" s="393"/>
      <c r="IZ72" s="394"/>
      <c r="JA72" s="395"/>
      <c r="JB72" s="396"/>
      <c r="JC72" s="394"/>
      <c r="JD72" s="395"/>
      <c r="JE72" s="397"/>
      <c r="JF72" s="405"/>
      <c r="JG72" s="398"/>
      <c r="JH72" s="398"/>
      <c r="JI72" s="494"/>
      <c r="JJ72" s="479"/>
      <c r="JK72" s="479"/>
      <c r="JL72" s="479"/>
      <c r="JM72" s="474"/>
      <c r="JN72" s="474">
        <f t="shared" si="74"/>
        <v>0</v>
      </c>
      <c r="JO72" s="475"/>
      <c r="JP72" s="393"/>
      <c r="JQ72" s="394"/>
      <c r="JR72" s="395"/>
      <c r="JS72" s="396"/>
      <c r="JT72" s="394"/>
      <c r="JU72" s="395"/>
      <c r="JV72" s="397"/>
      <c r="JW72" s="405"/>
      <c r="JX72" s="398"/>
      <c r="JY72" s="398"/>
      <c r="JZ72" s="577">
        <f t="shared" si="585"/>
        <v>0</v>
      </c>
      <c r="KA72" s="412">
        <f t="shared" si="596"/>
        <v>0</v>
      </c>
      <c r="KB72" s="412">
        <f t="shared" si="597"/>
        <v>0</v>
      </c>
      <c r="KC72" s="412">
        <f t="shared" si="598"/>
        <v>0</v>
      </c>
      <c r="KD72" s="412">
        <f t="shared" si="599"/>
        <v>0</v>
      </c>
      <c r="KE72" s="412">
        <f t="shared" si="600"/>
        <v>0</v>
      </c>
      <c r="KF72" s="693">
        <f t="shared" si="601"/>
        <v>0</v>
      </c>
      <c r="KG72" s="687">
        <f t="shared" si="75"/>
        <v>0</v>
      </c>
      <c r="KH72" s="680">
        <v>1</v>
      </c>
      <c r="KI72" s="680">
        <f>KH72-KG72</f>
        <v>1</v>
      </c>
      <c r="KJ72" s="681">
        <f t="shared" si="602"/>
        <v>0</v>
      </c>
      <c r="KK72" s="359">
        <f t="shared" si="464"/>
        <v>0.1</v>
      </c>
      <c r="KL72" s="359"/>
      <c r="KM72" s="359"/>
      <c r="KN72" s="359"/>
      <c r="KO72" s="359"/>
      <c r="KP72" s="359"/>
      <c r="KQ72" s="359"/>
    </row>
    <row r="73" spans="1:303" ht="46.5" customHeight="1" x14ac:dyDescent="0.3">
      <c r="A73" s="390"/>
      <c r="B73" s="339" t="s">
        <v>166</v>
      </c>
      <c r="C73" s="391" t="s">
        <v>130</v>
      </c>
      <c r="D73" s="392">
        <v>1</v>
      </c>
      <c r="E73" s="393"/>
      <c r="F73" s="394"/>
      <c r="G73" s="395"/>
      <c r="H73" s="396"/>
      <c r="I73" s="394"/>
      <c r="J73" s="395"/>
      <c r="K73" s="397"/>
      <c r="L73" s="398"/>
      <c r="M73" s="398"/>
      <c r="N73" s="399"/>
      <c r="O73" s="393"/>
      <c r="P73" s="394"/>
      <c r="Q73" s="400"/>
      <c r="R73" s="396"/>
      <c r="S73" s="394"/>
      <c r="T73" s="400"/>
      <c r="U73" s="397"/>
      <c r="V73" s="398"/>
      <c r="W73" s="398"/>
      <c r="X73" s="399"/>
      <c r="Y73" s="393"/>
      <c r="Z73" s="394"/>
      <c r="AA73" s="400"/>
      <c r="AB73" s="396"/>
      <c r="AC73" s="394"/>
      <c r="AD73" s="400"/>
      <c r="AE73" s="397"/>
      <c r="AF73" s="405"/>
      <c r="AG73" s="398"/>
      <c r="AH73" s="403"/>
      <c r="AI73" s="393"/>
      <c r="AJ73" s="394"/>
      <c r="AK73" s="395"/>
      <c r="AL73" s="396"/>
      <c r="AM73" s="394"/>
      <c r="AN73" s="395"/>
      <c r="AO73" s="397"/>
      <c r="AP73" s="398"/>
      <c r="AQ73" s="398"/>
      <c r="AR73" s="404"/>
      <c r="AS73" s="486">
        <f t="shared" si="7"/>
        <v>0</v>
      </c>
      <c r="AT73" s="487">
        <f t="shared" si="8"/>
        <v>0</v>
      </c>
      <c r="AU73" s="487">
        <f t="shared" si="9"/>
        <v>0</v>
      </c>
      <c r="AV73" s="487">
        <f t="shared" si="10"/>
        <v>0</v>
      </c>
      <c r="AW73" s="478"/>
      <c r="AX73" s="479">
        <f t="shared" si="11"/>
        <v>0</v>
      </c>
      <c r="AY73" s="537"/>
      <c r="AZ73" s="547">
        <f t="shared" si="489"/>
        <v>0</v>
      </c>
      <c r="BA73" s="547">
        <f t="shared" si="490"/>
        <v>0</v>
      </c>
      <c r="BB73" s="547">
        <f t="shared" si="491"/>
        <v>0</v>
      </c>
      <c r="BC73" s="547">
        <f t="shared" si="492"/>
        <v>0</v>
      </c>
      <c r="BD73" s="393"/>
      <c r="BE73" s="394"/>
      <c r="BF73" s="395"/>
      <c r="BG73" s="396"/>
      <c r="BH73" s="394"/>
      <c r="BI73" s="395"/>
      <c r="BJ73" s="397"/>
      <c r="BK73" s="398"/>
      <c r="BL73" s="405"/>
      <c r="BM73" s="398"/>
      <c r="BN73" s="393"/>
      <c r="BO73" s="394"/>
      <c r="BP73" s="395"/>
      <c r="BQ73" s="396"/>
      <c r="BR73" s="394"/>
      <c r="BS73" s="395"/>
      <c r="BT73" s="397"/>
      <c r="BU73" s="405"/>
      <c r="BV73" s="398"/>
      <c r="BW73" s="398"/>
      <c r="BX73" s="626">
        <f t="shared" ref="BX73:BX79" si="619">BN73+BD73+AI73+Y73+O73+E73</f>
        <v>0</v>
      </c>
      <c r="BY73" s="626">
        <f t="shared" ref="BY73:BY79" si="620">BO73+BE73+AJ73+Z73+P73+F73</f>
        <v>0</v>
      </c>
      <c r="BZ73" s="626">
        <f t="shared" ref="BZ73:BZ79" si="621">BQ73+BG73+AL73+AB73+R73+H73</f>
        <v>0</v>
      </c>
      <c r="CA73" s="626">
        <f t="shared" ref="CA73:CA79" si="622">BR73+BH73+AM73+AC73+S73+I73</f>
        <v>0</v>
      </c>
      <c r="CB73" s="625">
        <f t="shared" ref="CB73:CB79" si="623">BX73+BY73+BZ73+CA73</f>
        <v>0</v>
      </c>
      <c r="CC73" s="393"/>
      <c r="CD73" s="394"/>
      <c r="CE73" s="395"/>
      <c r="CF73" s="396"/>
      <c r="CG73" s="394"/>
      <c r="CH73" s="395"/>
      <c r="CI73" s="397"/>
      <c r="CJ73" s="398"/>
      <c r="CK73" s="398"/>
      <c r="CL73" s="414"/>
      <c r="CM73" s="393"/>
      <c r="CN73" s="394"/>
      <c r="CO73" s="395"/>
      <c r="CP73" s="396"/>
      <c r="CQ73" s="394"/>
      <c r="CR73" s="395"/>
      <c r="CS73" s="397"/>
      <c r="CT73" s="398"/>
      <c r="CU73" s="405"/>
      <c r="CV73" s="405"/>
      <c r="CW73" s="492">
        <f t="shared" si="588"/>
        <v>0</v>
      </c>
      <c r="CX73" s="487">
        <f t="shared" si="589"/>
        <v>0</v>
      </c>
      <c r="CY73" s="487">
        <f t="shared" si="590"/>
        <v>0</v>
      </c>
      <c r="CZ73" s="487">
        <f t="shared" si="591"/>
        <v>0</v>
      </c>
      <c r="DA73" s="474"/>
      <c r="DB73" s="474">
        <f>SUM(CW73:CX73)</f>
        <v>0</v>
      </c>
      <c r="DC73" s="475"/>
      <c r="DD73" s="547">
        <f t="shared" si="21"/>
        <v>0</v>
      </c>
      <c r="DE73" s="547">
        <f t="shared" si="22"/>
        <v>0</v>
      </c>
      <c r="DF73" s="547">
        <f t="shared" si="23"/>
        <v>0</v>
      </c>
      <c r="DG73" s="547">
        <f t="shared" si="24"/>
        <v>0</v>
      </c>
      <c r="DH73" s="576">
        <f t="shared" si="25"/>
        <v>0</v>
      </c>
      <c r="DI73" s="393"/>
      <c r="DJ73" s="394"/>
      <c r="DK73" s="395"/>
      <c r="DL73" s="396"/>
      <c r="DM73" s="394"/>
      <c r="DN73" s="395"/>
      <c r="DO73" s="397"/>
      <c r="DP73" s="405"/>
      <c r="DQ73" s="398"/>
      <c r="DR73" s="398"/>
      <c r="DS73" s="393"/>
      <c r="DT73" s="394"/>
      <c r="DU73" s="395">
        <f t="shared" si="76"/>
        <v>0</v>
      </c>
      <c r="DV73" s="396"/>
      <c r="DW73" s="394"/>
      <c r="DX73" s="395">
        <f t="shared" si="77"/>
        <v>0</v>
      </c>
      <c r="DY73" s="397">
        <f t="shared" si="78"/>
        <v>0</v>
      </c>
      <c r="DZ73" s="405">
        <f t="shared" si="79"/>
        <v>0</v>
      </c>
      <c r="EA73" s="398">
        <f t="shared" si="80"/>
        <v>0</v>
      </c>
      <c r="EB73" s="398"/>
      <c r="EC73" s="393"/>
      <c r="ED73" s="394"/>
      <c r="EE73" s="395"/>
      <c r="EF73" s="396"/>
      <c r="EG73" s="394"/>
      <c r="EH73" s="395"/>
      <c r="EI73" s="397"/>
      <c r="EJ73" s="405"/>
      <c r="EK73" s="398"/>
      <c r="EL73" s="398"/>
      <c r="EM73" s="393"/>
      <c r="EN73" s="394"/>
      <c r="EO73" s="395"/>
      <c r="EP73" s="396"/>
      <c r="EQ73" s="394"/>
      <c r="ER73" s="395"/>
      <c r="ES73" s="397"/>
      <c r="ET73" s="405"/>
      <c r="EU73" s="398"/>
      <c r="EV73" s="398"/>
      <c r="EW73" s="492">
        <f t="shared" si="26"/>
        <v>0</v>
      </c>
      <c r="EX73" s="487">
        <f t="shared" si="27"/>
        <v>0</v>
      </c>
      <c r="EY73" s="487">
        <f t="shared" si="28"/>
        <v>0</v>
      </c>
      <c r="EZ73" s="487">
        <f t="shared" si="29"/>
        <v>0</v>
      </c>
      <c r="FA73" s="474"/>
      <c r="FB73" s="474">
        <f t="shared" si="30"/>
        <v>0</v>
      </c>
      <c r="FC73" s="475"/>
      <c r="FD73" s="547">
        <f t="shared" ref="FD73:FD79" si="624">DI73+DS73+EC73+EM73+CM73+CC73</f>
        <v>0</v>
      </c>
      <c r="FE73" s="547">
        <f t="shared" ref="FE73:FE79" si="625">DJ73+DT73+ED73+EN73+CD73+CN73</f>
        <v>0</v>
      </c>
      <c r="FF73" s="547">
        <f t="shared" ref="FF73:FF79" si="626">DL73+DV73+EF73+EP73+CP73+CF73</f>
        <v>0</v>
      </c>
      <c r="FG73" s="547">
        <f t="shared" ref="FG73:FG79" si="627">DM73+DW73+EG73+EQ73+CG73+CQ73</f>
        <v>0</v>
      </c>
      <c r="FH73" s="577">
        <f t="shared" ref="FH73:FH79" si="628">FD73+FF73</f>
        <v>0</v>
      </c>
      <c r="FI73" s="577">
        <f t="shared" ref="FI73:FI79" si="629">FE73+FG73</f>
        <v>0</v>
      </c>
      <c r="FJ73" s="577">
        <f t="shared" si="37"/>
        <v>0</v>
      </c>
      <c r="FK73" s="577">
        <f t="shared" ref="FK73:FK79" si="630">EW73+CW73+AS73</f>
        <v>0</v>
      </c>
      <c r="FL73" s="577">
        <f t="shared" ref="FL73:FL79" si="631">EX73+CX73+AT73</f>
        <v>0</v>
      </c>
      <c r="FM73" s="577">
        <f t="shared" ref="FM73:FM79" si="632">FK73+FL73</f>
        <v>0</v>
      </c>
      <c r="FN73" s="393"/>
      <c r="FO73" s="394"/>
      <c r="FP73" s="395"/>
      <c r="FQ73" s="396"/>
      <c r="FR73" s="394"/>
      <c r="FS73" s="395"/>
      <c r="FT73" s="397"/>
      <c r="FU73" s="405"/>
      <c r="FV73" s="398"/>
      <c r="FW73" s="398"/>
      <c r="FX73" s="393"/>
      <c r="FY73" s="394"/>
      <c r="FZ73" s="395"/>
      <c r="GA73" s="396"/>
      <c r="GB73" s="394"/>
      <c r="GC73" s="395"/>
      <c r="GD73" s="397">
        <f t="shared" ref="GD73:GD79" si="633">FX73+GA73</f>
        <v>0</v>
      </c>
      <c r="GE73" s="405">
        <f t="shared" ref="GE73:GE79" si="634">FY73+GB73</f>
        <v>0</v>
      </c>
      <c r="GF73" s="398">
        <f t="shared" ref="GF73:GF79" si="635">GD73+GE73</f>
        <v>0</v>
      </c>
      <c r="GG73" s="398"/>
      <c r="GH73" s="393"/>
      <c r="GI73" s="394"/>
      <c r="GJ73" s="395"/>
      <c r="GK73" s="396"/>
      <c r="GL73" s="394"/>
      <c r="GM73" s="395"/>
      <c r="GN73" s="397">
        <f t="shared" si="582"/>
        <v>0</v>
      </c>
      <c r="GO73" s="405">
        <f t="shared" si="583"/>
        <v>0</v>
      </c>
      <c r="GP73" s="398">
        <f t="shared" si="584"/>
        <v>0</v>
      </c>
      <c r="GQ73" s="398"/>
      <c r="GR73" s="650">
        <f t="shared" ref="GR73:GR79" si="636">GN73+GD73+FT73+ES73+EI73+DY73+DO73+CS73+CI73+BT73+BJ73</f>
        <v>0</v>
      </c>
      <c r="GS73" s="650">
        <f t="shared" ref="GS73:GS79" si="637">GO73+GE73+FU73+ET73+EJ73+DZ73+DP73+CT73+CJ73+BU73+BK73</f>
        <v>0</v>
      </c>
      <c r="GT73" s="650">
        <f t="shared" ref="GT73:GT79" si="638">GH73+FX73+FN73+EM73+EC73+DS73+DI73+CM73+CC73+BN73+BD73</f>
        <v>0</v>
      </c>
      <c r="GU73" s="650">
        <f t="shared" ref="GU73:GU79" si="639">GI73+FY73+FO73+EN73+ED73+DT73+DJ73+CN73+CD73+BO73+BE73</f>
        <v>0</v>
      </c>
      <c r="GV73" s="650">
        <f t="shared" ref="GV73:GV79" si="640">GK73+GA73+FQ73+EP73+EF73+DV73+DL73+CP73+CF73+BQ73+BG73</f>
        <v>0</v>
      </c>
      <c r="GW73" s="650">
        <f t="shared" ref="GW73:GW79" si="641">GL73+GB73+FR73+EQ73+EG73+DW73+DM73+CQ73+CG73+BR73+BH73</f>
        <v>0</v>
      </c>
      <c r="GX73" s="393"/>
      <c r="GY73" s="394"/>
      <c r="GZ73" s="395">
        <f t="shared" si="603"/>
        <v>0</v>
      </c>
      <c r="HA73" s="396"/>
      <c r="HB73" s="394"/>
      <c r="HC73" s="395">
        <f t="shared" si="604"/>
        <v>0</v>
      </c>
      <c r="HD73" s="397">
        <f t="shared" si="605"/>
        <v>0</v>
      </c>
      <c r="HE73" s="405">
        <f t="shared" si="606"/>
        <v>0</v>
      </c>
      <c r="HF73" s="398">
        <f t="shared" si="607"/>
        <v>0</v>
      </c>
      <c r="HG73" s="398"/>
      <c r="HH73" s="492">
        <f t="shared" si="613"/>
        <v>0</v>
      </c>
      <c r="HI73" s="487">
        <f t="shared" si="614"/>
        <v>0</v>
      </c>
      <c r="HJ73" s="487">
        <f t="shared" si="615"/>
        <v>0</v>
      </c>
      <c r="HK73" s="487">
        <f t="shared" si="616"/>
        <v>0</v>
      </c>
      <c r="HL73" s="487">
        <f t="shared" si="617"/>
        <v>0</v>
      </c>
      <c r="HM73" s="487">
        <f t="shared" si="618"/>
        <v>0</v>
      </c>
      <c r="HN73" s="474"/>
      <c r="HO73" s="474">
        <f t="shared" si="64"/>
        <v>0</v>
      </c>
      <c r="HP73" s="475"/>
      <c r="HQ73" s="547">
        <f t="shared" si="592"/>
        <v>0</v>
      </c>
      <c r="HR73" s="547">
        <f t="shared" si="593"/>
        <v>0</v>
      </c>
      <c r="HS73" s="547">
        <f t="shared" si="594"/>
        <v>0</v>
      </c>
      <c r="HT73" s="547">
        <f t="shared" si="595"/>
        <v>0</v>
      </c>
      <c r="HU73" s="393"/>
      <c r="HV73" s="394"/>
      <c r="HW73" s="395">
        <f t="shared" si="608"/>
        <v>0</v>
      </c>
      <c r="HX73" s="396"/>
      <c r="HY73" s="394"/>
      <c r="HZ73" s="395">
        <f t="shared" si="609"/>
        <v>0</v>
      </c>
      <c r="IA73" s="397">
        <f t="shared" si="610"/>
        <v>0</v>
      </c>
      <c r="IB73" s="405">
        <f t="shared" si="611"/>
        <v>0</v>
      </c>
      <c r="IC73" s="398">
        <f t="shared" si="612"/>
        <v>0</v>
      </c>
      <c r="ID73" s="398"/>
      <c r="IE73" s="393"/>
      <c r="IF73" s="394"/>
      <c r="IG73" s="395"/>
      <c r="IH73" s="396"/>
      <c r="II73" s="394"/>
      <c r="IJ73" s="395"/>
      <c r="IK73" s="397"/>
      <c r="IL73" s="405"/>
      <c r="IM73" s="398"/>
      <c r="IN73" s="398"/>
      <c r="IO73" s="393"/>
      <c r="IP73" s="394"/>
      <c r="IQ73" s="395"/>
      <c r="IR73" s="396"/>
      <c r="IS73" s="394"/>
      <c r="IT73" s="395"/>
      <c r="IU73" s="397"/>
      <c r="IV73" s="405"/>
      <c r="IW73" s="398"/>
      <c r="IX73" s="398"/>
      <c r="IY73" s="393"/>
      <c r="IZ73" s="394"/>
      <c r="JA73" s="395"/>
      <c r="JB73" s="396"/>
      <c r="JC73" s="394"/>
      <c r="JD73" s="395"/>
      <c r="JE73" s="397"/>
      <c r="JF73" s="405"/>
      <c r="JG73" s="398"/>
      <c r="JH73" s="398"/>
      <c r="JI73" s="494"/>
      <c r="JJ73" s="479"/>
      <c r="JK73" s="479"/>
      <c r="JL73" s="479"/>
      <c r="JM73" s="474"/>
      <c r="JN73" s="474">
        <f t="shared" si="74"/>
        <v>0</v>
      </c>
      <c r="JO73" s="475"/>
      <c r="JP73" s="393"/>
      <c r="JQ73" s="394"/>
      <c r="JR73" s="395"/>
      <c r="JS73" s="396"/>
      <c r="JT73" s="394"/>
      <c r="JU73" s="395"/>
      <c r="JV73" s="397"/>
      <c r="JW73" s="405"/>
      <c r="JX73" s="398"/>
      <c r="JY73" s="398"/>
      <c r="JZ73" s="577">
        <f t="shared" si="585"/>
        <v>0</v>
      </c>
      <c r="KA73" s="412">
        <f t="shared" si="596"/>
        <v>0</v>
      </c>
      <c r="KB73" s="412">
        <f t="shared" si="597"/>
        <v>0</v>
      </c>
      <c r="KC73" s="412">
        <f t="shared" si="598"/>
        <v>0</v>
      </c>
      <c r="KD73" s="412">
        <f t="shared" si="599"/>
        <v>0</v>
      </c>
      <c r="KE73" s="412">
        <f t="shared" si="600"/>
        <v>0</v>
      </c>
      <c r="KF73" s="693">
        <f t="shared" si="601"/>
        <v>0</v>
      </c>
      <c r="KG73" s="687">
        <f t="shared" si="75"/>
        <v>0</v>
      </c>
      <c r="KH73" s="680">
        <v>1</v>
      </c>
      <c r="KI73" s="680">
        <f>KH73-KG73</f>
        <v>1</v>
      </c>
      <c r="KJ73" s="681">
        <f t="shared" si="602"/>
        <v>0</v>
      </c>
      <c r="KK73" s="359">
        <f t="shared" si="464"/>
        <v>0.1</v>
      </c>
      <c r="KL73" s="359"/>
      <c r="KM73" s="359"/>
      <c r="KN73" s="359"/>
      <c r="KO73" s="359"/>
      <c r="KP73" s="359"/>
      <c r="KQ73" s="359"/>
    </row>
    <row r="74" spans="1:303" ht="36" customHeight="1" x14ac:dyDescent="0.3">
      <c r="A74" s="792" t="s">
        <v>167</v>
      </c>
      <c r="B74" s="339" t="s">
        <v>64</v>
      </c>
      <c r="C74" s="391" t="s">
        <v>130</v>
      </c>
      <c r="D74" s="392">
        <v>2800</v>
      </c>
      <c r="E74" s="393"/>
      <c r="F74" s="394"/>
      <c r="G74" s="395">
        <f>SUM(E74:F74)</f>
        <v>0</v>
      </c>
      <c r="H74" s="396"/>
      <c r="I74" s="394">
        <v>0</v>
      </c>
      <c r="J74" s="395">
        <f>SUM(H74:I74)</f>
        <v>0</v>
      </c>
      <c r="K74" s="397">
        <f>SUM(E74+H74)</f>
        <v>0</v>
      </c>
      <c r="L74" s="398">
        <f>SUM(F74+I74)</f>
        <v>0</v>
      </c>
      <c r="M74" s="398">
        <f>SUM(K74:L74)</f>
        <v>0</v>
      </c>
      <c r="N74" s="399"/>
      <c r="O74" s="393"/>
      <c r="P74" s="394"/>
      <c r="Q74" s="400">
        <f>SUM(O74:P74)</f>
        <v>0</v>
      </c>
      <c r="R74" s="396">
        <v>0</v>
      </c>
      <c r="S74" s="394">
        <v>0</v>
      </c>
      <c r="T74" s="400">
        <f>SUM(R74:S74)</f>
        <v>0</v>
      </c>
      <c r="U74" s="397">
        <f>SUM(O74+R74)</f>
        <v>0</v>
      </c>
      <c r="V74" s="398">
        <f>SUM(P74+S74)</f>
        <v>0</v>
      </c>
      <c r="W74" s="398">
        <f>SUM(U74:V74)</f>
        <v>0</v>
      </c>
      <c r="X74" s="399"/>
      <c r="Y74" s="393"/>
      <c r="Z74" s="394"/>
      <c r="AA74" s="400"/>
      <c r="AB74" s="396"/>
      <c r="AC74" s="394"/>
      <c r="AD74" s="400"/>
      <c r="AE74" s="397"/>
      <c r="AF74" s="405"/>
      <c r="AG74" s="398"/>
      <c r="AH74" s="403"/>
      <c r="AI74" s="393">
        <v>226</v>
      </c>
      <c r="AJ74" s="394">
        <v>254</v>
      </c>
      <c r="AK74" s="395">
        <f>SUM(AI74:AJ74)</f>
        <v>480</v>
      </c>
      <c r="AL74" s="396"/>
      <c r="AM74" s="394"/>
      <c r="AN74" s="395">
        <f>SUM(AL74:AM74)</f>
        <v>0</v>
      </c>
      <c r="AO74" s="397">
        <f>SUM(AI74+AL74)</f>
        <v>226</v>
      </c>
      <c r="AP74" s="398">
        <f>SUM(AJ74+AM74)</f>
        <v>254</v>
      </c>
      <c r="AQ74" s="398">
        <f>SUM(AO74:AP74)</f>
        <v>480</v>
      </c>
      <c r="AR74" s="404"/>
      <c r="AS74" s="486">
        <f t="shared" si="7"/>
        <v>226</v>
      </c>
      <c r="AT74" s="487">
        <f t="shared" si="8"/>
        <v>254</v>
      </c>
      <c r="AU74" s="487">
        <f t="shared" si="9"/>
        <v>480</v>
      </c>
      <c r="AV74" s="487">
        <f t="shared" si="10"/>
        <v>0</v>
      </c>
      <c r="AW74" s="478">
        <v>500</v>
      </c>
      <c r="AX74" s="479">
        <f t="shared" si="11"/>
        <v>480</v>
      </c>
      <c r="AY74" s="537">
        <f>AX74/AW74</f>
        <v>0.96</v>
      </c>
      <c r="AZ74" s="547">
        <f t="shared" si="489"/>
        <v>226</v>
      </c>
      <c r="BA74" s="547">
        <f t="shared" si="490"/>
        <v>254</v>
      </c>
      <c r="BB74" s="547">
        <f t="shared" si="491"/>
        <v>0</v>
      </c>
      <c r="BC74" s="547">
        <f t="shared" si="492"/>
        <v>0</v>
      </c>
      <c r="BD74" s="393"/>
      <c r="BE74" s="394"/>
      <c r="BF74" s="395"/>
      <c r="BG74" s="396"/>
      <c r="BH74" s="394"/>
      <c r="BI74" s="395"/>
      <c r="BJ74" s="397"/>
      <c r="BK74" s="398"/>
      <c r="BL74" s="405"/>
      <c r="BM74" s="398"/>
      <c r="BN74" s="393"/>
      <c r="BO74" s="394"/>
      <c r="BP74" s="395"/>
      <c r="BQ74" s="396"/>
      <c r="BR74" s="394"/>
      <c r="BS74" s="395"/>
      <c r="BT74" s="397"/>
      <c r="BU74" s="405"/>
      <c r="BV74" s="398"/>
      <c r="BW74" s="398"/>
      <c r="BX74" s="626">
        <f t="shared" si="619"/>
        <v>226</v>
      </c>
      <c r="BY74" s="626">
        <f t="shared" si="620"/>
        <v>254</v>
      </c>
      <c r="BZ74" s="626">
        <f t="shared" si="621"/>
        <v>0</v>
      </c>
      <c r="CA74" s="626">
        <f t="shared" si="622"/>
        <v>0</v>
      </c>
      <c r="CB74" s="625">
        <f t="shared" si="623"/>
        <v>480</v>
      </c>
      <c r="CC74" s="393">
        <v>0</v>
      </c>
      <c r="CD74" s="394">
        <v>0</v>
      </c>
      <c r="CE74" s="395">
        <f>SUM(CC74:CD74)</f>
        <v>0</v>
      </c>
      <c r="CF74" s="396">
        <v>0</v>
      </c>
      <c r="CG74" s="394">
        <v>0</v>
      </c>
      <c r="CH74" s="395">
        <f>SUM(CF74:CG74)</f>
        <v>0</v>
      </c>
      <c r="CI74" s="397"/>
      <c r="CJ74" s="398"/>
      <c r="CK74" s="398"/>
      <c r="CL74" s="414"/>
      <c r="CM74" s="393"/>
      <c r="CN74" s="394"/>
      <c r="CO74" s="395"/>
      <c r="CP74" s="396"/>
      <c r="CQ74" s="394"/>
      <c r="CR74" s="395"/>
      <c r="CS74" s="397"/>
      <c r="CT74" s="398"/>
      <c r="CU74" s="405"/>
      <c r="CV74" s="405"/>
      <c r="CW74" s="492">
        <f t="shared" si="588"/>
        <v>0</v>
      </c>
      <c r="CX74" s="487">
        <f t="shared" si="589"/>
        <v>0</v>
      </c>
      <c r="CY74" s="487">
        <f t="shared" si="590"/>
        <v>0</v>
      </c>
      <c r="CZ74" s="487">
        <f t="shared" si="591"/>
        <v>0</v>
      </c>
      <c r="DA74" s="474"/>
      <c r="DB74" s="474">
        <f>SUM(CW74:CX74)</f>
        <v>0</v>
      </c>
      <c r="DC74" s="475"/>
      <c r="DD74" s="547">
        <f t="shared" si="21"/>
        <v>0</v>
      </c>
      <c r="DE74" s="547">
        <f t="shared" si="22"/>
        <v>0</v>
      </c>
      <c r="DF74" s="547">
        <f t="shared" si="23"/>
        <v>0</v>
      </c>
      <c r="DG74" s="547">
        <f t="shared" si="24"/>
        <v>0</v>
      </c>
      <c r="DH74" s="576">
        <f t="shared" ref="DH74:DH79" si="642">DB74+AX74</f>
        <v>480</v>
      </c>
      <c r="DI74" s="393"/>
      <c r="DJ74" s="394"/>
      <c r="DK74" s="395"/>
      <c r="DL74" s="396"/>
      <c r="DM74" s="394"/>
      <c r="DN74" s="395"/>
      <c r="DO74" s="397"/>
      <c r="DP74" s="405"/>
      <c r="DQ74" s="398"/>
      <c r="DR74" s="398"/>
      <c r="DS74" s="393"/>
      <c r="DT74" s="394"/>
      <c r="DU74" s="395">
        <f t="shared" si="76"/>
        <v>0</v>
      </c>
      <c r="DV74" s="396"/>
      <c r="DW74" s="394"/>
      <c r="DX74" s="395">
        <f t="shared" si="77"/>
        <v>0</v>
      </c>
      <c r="DY74" s="397">
        <f t="shared" si="78"/>
        <v>0</v>
      </c>
      <c r="DZ74" s="405">
        <f t="shared" si="79"/>
        <v>0</v>
      </c>
      <c r="EA74" s="398">
        <f t="shared" si="80"/>
        <v>0</v>
      </c>
      <c r="EB74" s="398"/>
      <c r="EC74" s="393">
        <v>22</v>
      </c>
      <c r="ED74" s="394">
        <v>37</v>
      </c>
      <c r="EE74" s="395">
        <f>SUM(EC74:ED74)</f>
        <v>59</v>
      </c>
      <c r="EF74" s="396">
        <v>0</v>
      </c>
      <c r="EG74" s="394">
        <v>0</v>
      </c>
      <c r="EH74" s="395">
        <f>SUM(EF74:EG74)</f>
        <v>0</v>
      </c>
      <c r="EI74" s="397">
        <f>SUM(EC74+EF74)</f>
        <v>22</v>
      </c>
      <c r="EJ74" s="405">
        <f>SUM(ED74+EG74)</f>
        <v>37</v>
      </c>
      <c r="EK74" s="398">
        <f>SUM(EI74:EJ560)</f>
        <v>59</v>
      </c>
      <c r="EL74" s="398"/>
      <c r="EM74" s="393">
        <v>33</v>
      </c>
      <c r="EN74" s="394">
        <v>33</v>
      </c>
      <c r="EO74" s="395">
        <f>SUM(EM74:EN74)</f>
        <v>66</v>
      </c>
      <c r="EP74" s="396">
        <v>21</v>
      </c>
      <c r="EQ74" s="394">
        <v>25</v>
      </c>
      <c r="ER74" s="395">
        <f>SUM(EP74:EQ74)</f>
        <v>46</v>
      </c>
      <c r="ES74" s="397">
        <f>SUM(EM74+EP74)</f>
        <v>54</v>
      </c>
      <c r="ET74" s="405">
        <f>SUM(EN74+EQ74)</f>
        <v>58</v>
      </c>
      <c r="EU74" s="398">
        <f>SUM(ES74:ET74)</f>
        <v>112</v>
      </c>
      <c r="EV74" s="398"/>
      <c r="EW74" s="492">
        <f t="shared" si="26"/>
        <v>76</v>
      </c>
      <c r="EX74" s="487">
        <f t="shared" si="27"/>
        <v>95</v>
      </c>
      <c r="EY74" s="487">
        <f t="shared" si="28"/>
        <v>125</v>
      </c>
      <c r="EZ74" s="487">
        <f t="shared" si="29"/>
        <v>46</v>
      </c>
      <c r="FA74" s="474"/>
      <c r="FB74" s="474">
        <f t="shared" si="30"/>
        <v>171</v>
      </c>
      <c r="FC74" s="475"/>
      <c r="FD74" s="547">
        <f t="shared" si="624"/>
        <v>55</v>
      </c>
      <c r="FE74" s="547">
        <f t="shared" si="625"/>
        <v>70</v>
      </c>
      <c r="FF74" s="547">
        <f t="shared" si="626"/>
        <v>21</v>
      </c>
      <c r="FG74" s="547">
        <f t="shared" si="627"/>
        <v>25</v>
      </c>
      <c r="FH74" s="577">
        <f t="shared" si="628"/>
        <v>76</v>
      </c>
      <c r="FI74" s="577">
        <f t="shared" si="629"/>
        <v>95</v>
      </c>
      <c r="FJ74" s="577">
        <f t="shared" ref="FJ74:FJ79" si="643">FH74+FI74</f>
        <v>171</v>
      </c>
      <c r="FK74" s="577">
        <f t="shared" si="630"/>
        <v>302</v>
      </c>
      <c r="FL74" s="577">
        <f t="shared" si="631"/>
        <v>349</v>
      </c>
      <c r="FM74" s="577">
        <f t="shared" si="632"/>
        <v>651</v>
      </c>
      <c r="FN74" s="393"/>
      <c r="FO74" s="394"/>
      <c r="FP74" s="395"/>
      <c r="FQ74" s="396"/>
      <c r="FR74" s="394"/>
      <c r="FS74" s="395"/>
      <c r="FT74" s="397"/>
      <c r="FU74" s="405"/>
      <c r="FV74" s="398"/>
      <c r="FW74" s="398"/>
      <c r="FX74" s="393">
        <v>206</v>
      </c>
      <c r="FY74" s="394">
        <v>136</v>
      </c>
      <c r="FZ74" s="395">
        <f>SUM(FX74:FY74)</f>
        <v>342</v>
      </c>
      <c r="GA74" s="396">
        <v>0</v>
      </c>
      <c r="GB74" s="394">
        <v>0</v>
      </c>
      <c r="GC74" s="395">
        <f>SUM(GA74:GB74)</f>
        <v>0</v>
      </c>
      <c r="GD74" s="397">
        <f t="shared" si="633"/>
        <v>206</v>
      </c>
      <c r="GE74" s="405">
        <f t="shared" si="634"/>
        <v>136</v>
      </c>
      <c r="GF74" s="398">
        <f t="shared" si="635"/>
        <v>342</v>
      </c>
      <c r="GG74" s="398"/>
      <c r="GH74" s="393">
        <v>181</v>
      </c>
      <c r="GI74" s="394">
        <v>401</v>
      </c>
      <c r="GJ74" s="395">
        <f>GH74+GI74</f>
        <v>582</v>
      </c>
      <c r="GK74" s="396">
        <v>52</v>
      </c>
      <c r="GL74" s="394">
        <v>53</v>
      </c>
      <c r="GM74" s="395">
        <f>GK74+GL74</f>
        <v>105</v>
      </c>
      <c r="GN74" s="397">
        <f t="shared" ref="GN74" si="644">GH74+GK74</f>
        <v>233</v>
      </c>
      <c r="GO74" s="405">
        <f t="shared" ref="GO74" si="645">GI74+GL74</f>
        <v>454</v>
      </c>
      <c r="GP74" s="398">
        <f t="shared" ref="GP74" si="646">GN74+GO74</f>
        <v>687</v>
      </c>
      <c r="GQ74" s="398"/>
      <c r="GR74" s="650">
        <f t="shared" si="636"/>
        <v>515</v>
      </c>
      <c r="GS74" s="650">
        <f t="shared" si="637"/>
        <v>685</v>
      </c>
      <c r="GT74" s="650">
        <f t="shared" si="638"/>
        <v>442</v>
      </c>
      <c r="GU74" s="650">
        <f t="shared" si="639"/>
        <v>607</v>
      </c>
      <c r="GV74" s="650">
        <f t="shared" si="640"/>
        <v>73</v>
      </c>
      <c r="GW74" s="650">
        <f t="shared" si="641"/>
        <v>78</v>
      </c>
      <c r="GX74" s="393">
        <v>186</v>
      </c>
      <c r="GY74" s="394">
        <v>115</v>
      </c>
      <c r="GZ74" s="395">
        <f t="shared" si="603"/>
        <v>301</v>
      </c>
      <c r="HA74" s="396">
        <v>0</v>
      </c>
      <c r="HB74" s="394">
        <v>0</v>
      </c>
      <c r="HC74" s="395">
        <f t="shared" si="604"/>
        <v>0</v>
      </c>
      <c r="HD74" s="397">
        <f t="shared" si="605"/>
        <v>186</v>
      </c>
      <c r="HE74" s="405">
        <f t="shared" si="606"/>
        <v>115</v>
      </c>
      <c r="HF74" s="398">
        <f t="shared" si="607"/>
        <v>301</v>
      </c>
      <c r="HG74" s="398"/>
      <c r="HH74" s="492">
        <f t="shared" si="613"/>
        <v>625</v>
      </c>
      <c r="HI74" s="487">
        <f t="shared" si="614"/>
        <v>705</v>
      </c>
      <c r="HJ74" s="487">
        <f t="shared" si="615"/>
        <v>573</v>
      </c>
      <c r="HK74" s="487">
        <f t="shared" si="616"/>
        <v>652</v>
      </c>
      <c r="HL74" s="487">
        <f t="shared" si="617"/>
        <v>52</v>
      </c>
      <c r="HM74" s="487">
        <f t="shared" si="618"/>
        <v>53</v>
      </c>
      <c r="HN74" s="474"/>
      <c r="HO74" s="474">
        <f t="shared" ref="HO74:HO79" si="647">HF74+GP74+GF74+FV74</f>
        <v>1330</v>
      </c>
      <c r="HP74" s="475"/>
      <c r="HQ74" s="547">
        <f t="shared" si="592"/>
        <v>573</v>
      </c>
      <c r="HR74" s="547">
        <f t="shared" si="593"/>
        <v>652</v>
      </c>
      <c r="HS74" s="547">
        <f t="shared" si="594"/>
        <v>52</v>
      </c>
      <c r="HT74" s="547">
        <f t="shared" si="595"/>
        <v>53</v>
      </c>
      <c r="HU74" s="393">
        <v>128</v>
      </c>
      <c r="HV74" s="394">
        <v>59</v>
      </c>
      <c r="HW74" s="395">
        <f t="shared" si="608"/>
        <v>187</v>
      </c>
      <c r="HX74" s="396">
        <v>0</v>
      </c>
      <c r="HY74" s="394">
        <v>0</v>
      </c>
      <c r="HZ74" s="395">
        <f t="shared" si="609"/>
        <v>0</v>
      </c>
      <c r="IA74" s="397">
        <f t="shared" si="610"/>
        <v>128</v>
      </c>
      <c r="IB74" s="405">
        <f t="shared" si="611"/>
        <v>59</v>
      </c>
      <c r="IC74" s="398">
        <f t="shared" si="612"/>
        <v>187</v>
      </c>
      <c r="ID74" s="398"/>
      <c r="IE74" s="393">
        <v>0</v>
      </c>
      <c r="IF74" s="394"/>
      <c r="IG74" s="395"/>
      <c r="IH74" s="396"/>
      <c r="II74" s="394"/>
      <c r="IJ74" s="395"/>
      <c r="IK74" s="397"/>
      <c r="IL74" s="405"/>
      <c r="IM74" s="398"/>
      <c r="IN74" s="398"/>
      <c r="IO74" s="393"/>
      <c r="IP74" s="394"/>
      <c r="IQ74" s="395"/>
      <c r="IR74" s="396"/>
      <c r="IS74" s="394"/>
      <c r="IT74" s="395"/>
      <c r="IU74" s="397"/>
      <c r="IV74" s="405"/>
      <c r="IW74" s="398"/>
      <c r="IX74" s="398"/>
      <c r="IY74" s="393"/>
      <c r="IZ74" s="394"/>
      <c r="JA74" s="395"/>
      <c r="JB74" s="396"/>
      <c r="JC74" s="394"/>
      <c r="JD74" s="395"/>
      <c r="JE74" s="397"/>
      <c r="JF74" s="405"/>
      <c r="JG74" s="398"/>
      <c r="JH74" s="398"/>
      <c r="JI74" s="494"/>
      <c r="JJ74" s="479"/>
      <c r="JK74" s="479"/>
      <c r="JL74" s="479"/>
      <c r="JM74" s="474"/>
      <c r="JN74" s="474">
        <f t="shared" ref="JN74:JN79" si="648">JG74+IW74+IM74+IC74</f>
        <v>187</v>
      </c>
      <c r="JO74" s="475"/>
      <c r="JP74" s="393"/>
      <c r="JQ74" s="394"/>
      <c r="JR74" s="395"/>
      <c r="JS74" s="396"/>
      <c r="JT74" s="394"/>
      <c r="JU74" s="395"/>
      <c r="JV74" s="397"/>
      <c r="JW74" s="405"/>
      <c r="JX74" s="398"/>
      <c r="JY74" s="398"/>
      <c r="JZ74" s="577">
        <f t="shared" si="585"/>
        <v>1688</v>
      </c>
      <c r="KA74" s="412">
        <f t="shared" si="596"/>
        <v>1055</v>
      </c>
      <c r="KB74" s="412">
        <f t="shared" si="597"/>
        <v>1113</v>
      </c>
      <c r="KC74" s="412">
        <f t="shared" si="598"/>
        <v>982</v>
      </c>
      <c r="KD74" s="412">
        <f t="shared" si="599"/>
        <v>1035</v>
      </c>
      <c r="KE74" s="412">
        <f t="shared" si="600"/>
        <v>73</v>
      </c>
      <c r="KF74" s="693">
        <f t="shared" si="601"/>
        <v>78</v>
      </c>
      <c r="KG74" s="687">
        <f t="shared" si="75"/>
        <v>2168</v>
      </c>
      <c r="KH74" s="680">
        <v>2800</v>
      </c>
      <c r="KI74" s="680">
        <f>KH74-KG74</f>
        <v>632</v>
      </c>
      <c r="KJ74" s="681">
        <f t="shared" si="602"/>
        <v>0.77428571428571424</v>
      </c>
      <c r="KK74" s="359">
        <f t="shared" si="464"/>
        <v>63.2</v>
      </c>
      <c r="KL74" s="359"/>
      <c r="KM74" s="359"/>
      <c r="KN74" s="359"/>
      <c r="KO74" s="359"/>
      <c r="KP74" s="359"/>
      <c r="KQ74" s="359"/>
    </row>
    <row r="75" spans="1:303" ht="36" customHeight="1" x14ac:dyDescent="0.3">
      <c r="A75" s="719"/>
      <c r="B75" s="339" t="s">
        <v>168</v>
      </c>
      <c r="C75" s="391"/>
      <c r="D75" s="392"/>
      <c r="E75" s="393"/>
      <c r="F75" s="394"/>
      <c r="G75" s="395"/>
      <c r="H75" s="396"/>
      <c r="I75" s="394"/>
      <c r="J75" s="395"/>
      <c r="K75" s="397"/>
      <c r="L75" s="398"/>
      <c r="M75" s="398"/>
      <c r="N75" s="399"/>
      <c r="O75" s="393"/>
      <c r="P75" s="394"/>
      <c r="Q75" s="400"/>
      <c r="R75" s="396"/>
      <c r="S75" s="394"/>
      <c r="T75" s="400"/>
      <c r="U75" s="397"/>
      <c r="V75" s="398"/>
      <c r="W75" s="398"/>
      <c r="X75" s="399"/>
      <c r="Y75" s="393"/>
      <c r="Z75" s="394"/>
      <c r="AA75" s="400"/>
      <c r="AB75" s="396"/>
      <c r="AC75" s="394"/>
      <c r="AD75" s="400"/>
      <c r="AE75" s="397"/>
      <c r="AF75" s="405"/>
      <c r="AG75" s="398"/>
      <c r="AH75" s="403"/>
      <c r="AI75" s="393">
        <v>100</v>
      </c>
      <c r="AJ75" s="394">
        <v>60</v>
      </c>
      <c r="AK75" s="395">
        <f>SUM(AI75:AJ75)</f>
        <v>160</v>
      </c>
      <c r="AL75" s="396"/>
      <c r="AM75" s="394"/>
      <c r="AN75" s="395"/>
      <c r="AO75" s="397"/>
      <c r="AP75" s="398"/>
      <c r="AQ75" s="398"/>
      <c r="AR75" s="404"/>
      <c r="AS75" s="486">
        <f t="shared" si="7"/>
        <v>0</v>
      </c>
      <c r="AT75" s="487">
        <f t="shared" si="8"/>
        <v>0</v>
      </c>
      <c r="AU75" s="487">
        <f t="shared" si="9"/>
        <v>160</v>
      </c>
      <c r="AV75" s="487">
        <f t="shared" si="10"/>
        <v>0</v>
      </c>
      <c r="AW75" s="478"/>
      <c r="AX75" s="479">
        <f t="shared" si="11"/>
        <v>0</v>
      </c>
      <c r="AY75" s="537"/>
      <c r="AZ75" s="547">
        <f t="shared" si="489"/>
        <v>100</v>
      </c>
      <c r="BA75" s="547">
        <f t="shared" si="490"/>
        <v>60</v>
      </c>
      <c r="BB75" s="547">
        <f t="shared" si="491"/>
        <v>0</v>
      </c>
      <c r="BC75" s="547">
        <f t="shared" si="492"/>
        <v>0</v>
      </c>
      <c r="BD75" s="393"/>
      <c r="BE75" s="394"/>
      <c r="BF75" s="395"/>
      <c r="BG75" s="396"/>
      <c r="BH75" s="394"/>
      <c r="BI75" s="395"/>
      <c r="BJ75" s="397"/>
      <c r="BK75" s="398"/>
      <c r="BL75" s="405"/>
      <c r="BM75" s="398"/>
      <c r="BN75" s="393"/>
      <c r="BO75" s="394"/>
      <c r="BP75" s="395"/>
      <c r="BQ75" s="396"/>
      <c r="BR75" s="394"/>
      <c r="BS75" s="395"/>
      <c r="BT75" s="397"/>
      <c r="BU75" s="405"/>
      <c r="BV75" s="398"/>
      <c r="BW75" s="398"/>
      <c r="BX75" s="626">
        <f t="shared" si="619"/>
        <v>100</v>
      </c>
      <c r="BY75" s="626">
        <f t="shared" si="620"/>
        <v>60</v>
      </c>
      <c r="BZ75" s="626">
        <f t="shared" si="621"/>
        <v>0</v>
      </c>
      <c r="CA75" s="626">
        <f t="shared" si="622"/>
        <v>0</v>
      </c>
      <c r="CB75" s="625">
        <f t="shared" si="623"/>
        <v>160</v>
      </c>
      <c r="CC75" s="393">
        <v>50</v>
      </c>
      <c r="CD75" s="394">
        <v>30</v>
      </c>
      <c r="CE75" s="395">
        <f>SUM(CC75:CD75)</f>
        <v>80</v>
      </c>
      <c r="CF75" s="396">
        <v>0</v>
      </c>
      <c r="CG75" s="394">
        <v>0</v>
      </c>
      <c r="CH75" s="395" cm="1">
        <f t="array" ref="CH75:CI75">(CF75:CG75)</f>
        <v>0</v>
      </c>
      <c r="CI75" s="397">
        <v>0</v>
      </c>
      <c r="CJ75" s="398"/>
      <c r="CK75" s="398"/>
      <c r="CL75" s="414"/>
      <c r="CM75" s="393"/>
      <c r="CN75" s="394"/>
      <c r="CO75" s="395"/>
      <c r="CP75" s="396"/>
      <c r="CQ75" s="394"/>
      <c r="CR75" s="395"/>
      <c r="CS75" s="397"/>
      <c r="CT75" s="398"/>
      <c r="CU75" s="405"/>
      <c r="CV75" s="405"/>
      <c r="CW75" s="492">
        <f t="shared" si="588"/>
        <v>0</v>
      </c>
      <c r="CX75" s="487">
        <f t="shared" si="589"/>
        <v>0</v>
      </c>
      <c r="CY75" s="487">
        <f t="shared" si="590"/>
        <v>0</v>
      </c>
      <c r="CZ75" s="487">
        <f t="shared" si="591"/>
        <v>0</v>
      </c>
      <c r="DA75" s="474"/>
      <c r="DB75" s="474"/>
      <c r="DC75" s="475"/>
      <c r="DD75" s="547">
        <f t="shared" si="21"/>
        <v>50</v>
      </c>
      <c r="DE75" s="547">
        <f t="shared" si="22"/>
        <v>30</v>
      </c>
      <c r="DF75" s="547">
        <f t="shared" si="23"/>
        <v>0</v>
      </c>
      <c r="DG75" s="547">
        <f t="shared" si="24"/>
        <v>0</v>
      </c>
      <c r="DH75" s="576">
        <f t="shared" si="642"/>
        <v>0</v>
      </c>
      <c r="DI75" s="393"/>
      <c r="DJ75" s="394"/>
      <c r="DK75" s="395"/>
      <c r="DL75" s="396"/>
      <c r="DM75" s="394"/>
      <c r="DN75" s="395"/>
      <c r="DO75" s="397"/>
      <c r="DP75" s="405"/>
      <c r="DQ75" s="398"/>
      <c r="DR75" s="398"/>
      <c r="DS75" s="393"/>
      <c r="DT75" s="394"/>
      <c r="DU75" s="395">
        <f t="shared" si="76"/>
        <v>0</v>
      </c>
      <c r="DV75" s="396"/>
      <c r="DW75" s="394"/>
      <c r="DX75" s="395">
        <f t="shared" si="77"/>
        <v>0</v>
      </c>
      <c r="DY75" s="397">
        <f t="shared" si="78"/>
        <v>0</v>
      </c>
      <c r="DZ75" s="405">
        <f t="shared" si="79"/>
        <v>0</v>
      </c>
      <c r="EA75" s="398">
        <f t="shared" si="80"/>
        <v>0</v>
      </c>
      <c r="EB75" s="398"/>
      <c r="EC75" s="393">
        <v>240</v>
      </c>
      <c r="ED75" s="394">
        <v>300</v>
      </c>
      <c r="EE75" s="395"/>
      <c r="EF75" s="396"/>
      <c r="EG75" s="394"/>
      <c r="EH75" s="395"/>
      <c r="EI75" s="397"/>
      <c r="EJ75" s="405"/>
      <c r="EK75" s="398"/>
      <c r="EL75" s="398"/>
      <c r="EM75" s="393"/>
      <c r="EN75" s="394"/>
      <c r="EO75" s="395"/>
      <c r="EP75" s="396"/>
      <c r="EQ75" s="394"/>
      <c r="ER75" s="395"/>
      <c r="ES75" s="397"/>
      <c r="ET75" s="405"/>
      <c r="EU75" s="398">
        <v>70</v>
      </c>
      <c r="EV75" s="398"/>
      <c r="EW75" s="492">
        <f t="shared" si="26"/>
        <v>0</v>
      </c>
      <c r="EX75" s="487">
        <f t="shared" si="27"/>
        <v>0</v>
      </c>
      <c r="EY75" s="487">
        <f t="shared" si="28"/>
        <v>0</v>
      </c>
      <c r="EZ75" s="487">
        <f t="shared" si="29"/>
        <v>0</v>
      </c>
      <c r="FA75" s="474"/>
      <c r="FB75" s="474">
        <f t="shared" si="30"/>
        <v>0</v>
      </c>
      <c r="FC75" s="475"/>
      <c r="FD75" s="547">
        <f t="shared" si="624"/>
        <v>290</v>
      </c>
      <c r="FE75" s="547">
        <f t="shared" si="625"/>
        <v>330</v>
      </c>
      <c r="FF75" s="547">
        <f t="shared" si="626"/>
        <v>0</v>
      </c>
      <c r="FG75" s="547">
        <f t="shared" si="627"/>
        <v>0</v>
      </c>
      <c r="FH75" s="577">
        <f t="shared" si="628"/>
        <v>290</v>
      </c>
      <c r="FI75" s="577">
        <f t="shared" si="629"/>
        <v>330</v>
      </c>
      <c r="FJ75" s="577">
        <f t="shared" si="643"/>
        <v>620</v>
      </c>
      <c r="FK75" s="577">
        <f t="shared" si="630"/>
        <v>0</v>
      </c>
      <c r="FL75" s="577">
        <f t="shared" si="631"/>
        <v>0</v>
      </c>
      <c r="FM75" s="577">
        <f t="shared" si="632"/>
        <v>0</v>
      </c>
      <c r="FN75" s="393"/>
      <c r="FO75" s="394"/>
      <c r="FP75" s="395"/>
      <c r="FQ75" s="396"/>
      <c r="FR75" s="394"/>
      <c r="FS75" s="395"/>
      <c r="FT75" s="397"/>
      <c r="FU75" s="405"/>
      <c r="FV75" s="398"/>
      <c r="FW75" s="398"/>
      <c r="FX75" s="393"/>
      <c r="FY75" s="394"/>
      <c r="FZ75" s="395"/>
      <c r="GA75" s="396"/>
      <c r="GB75" s="394"/>
      <c r="GC75" s="395"/>
      <c r="GD75" s="397">
        <f t="shared" si="633"/>
        <v>0</v>
      </c>
      <c r="GE75" s="405">
        <f t="shared" si="634"/>
        <v>0</v>
      </c>
      <c r="GF75" s="398">
        <f t="shared" si="635"/>
        <v>0</v>
      </c>
      <c r="GG75" s="398"/>
      <c r="GH75" s="393">
        <v>0</v>
      </c>
      <c r="GI75" s="394">
        <v>0</v>
      </c>
      <c r="GJ75" s="395">
        <f>GH75+GI75</f>
        <v>0</v>
      </c>
      <c r="GK75" s="396"/>
      <c r="GL75" s="394"/>
      <c r="GM75" s="395">
        <f>GK75+GL75</f>
        <v>0</v>
      </c>
      <c r="GN75" s="397">
        <f t="shared" si="582"/>
        <v>0</v>
      </c>
      <c r="GO75" s="405">
        <f t="shared" si="583"/>
        <v>0</v>
      </c>
      <c r="GP75" s="398">
        <f t="shared" si="584"/>
        <v>0</v>
      </c>
      <c r="GQ75" s="398"/>
      <c r="GR75" s="650">
        <f t="shared" si="636"/>
        <v>0</v>
      </c>
      <c r="GS75" s="650">
        <f t="shared" si="637"/>
        <v>0</v>
      </c>
      <c r="GT75" s="650">
        <f t="shared" si="638"/>
        <v>290</v>
      </c>
      <c r="GU75" s="650">
        <f t="shared" si="639"/>
        <v>330</v>
      </c>
      <c r="GV75" s="650">
        <f t="shared" si="640"/>
        <v>0</v>
      </c>
      <c r="GW75" s="650">
        <f t="shared" si="641"/>
        <v>0</v>
      </c>
      <c r="GX75" s="393"/>
      <c r="GY75" s="394"/>
      <c r="GZ75" s="395">
        <f t="shared" si="603"/>
        <v>0</v>
      </c>
      <c r="HA75" s="396"/>
      <c r="HB75" s="394"/>
      <c r="HC75" s="395">
        <f t="shared" si="604"/>
        <v>0</v>
      </c>
      <c r="HD75" s="397">
        <f t="shared" si="605"/>
        <v>0</v>
      </c>
      <c r="HE75" s="405">
        <f t="shared" si="606"/>
        <v>0</v>
      </c>
      <c r="HF75" s="398">
        <f t="shared" si="607"/>
        <v>0</v>
      </c>
      <c r="HG75" s="398"/>
      <c r="HH75" s="492">
        <f t="shared" si="613"/>
        <v>0</v>
      </c>
      <c r="HI75" s="487">
        <f t="shared" si="614"/>
        <v>0</v>
      </c>
      <c r="HJ75" s="487">
        <f t="shared" si="615"/>
        <v>0</v>
      </c>
      <c r="HK75" s="487">
        <f t="shared" si="616"/>
        <v>0</v>
      </c>
      <c r="HL75" s="487">
        <f t="shared" si="617"/>
        <v>0</v>
      </c>
      <c r="HM75" s="487">
        <f t="shared" si="618"/>
        <v>0</v>
      </c>
      <c r="HN75" s="474"/>
      <c r="HO75" s="474">
        <f t="shared" si="647"/>
        <v>0</v>
      </c>
      <c r="HP75" s="475"/>
      <c r="HQ75" s="547">
        <f t="shared" si="592"/>
        <v>0</v>
      </c>
      <c r="HR75" s="547">
        <f t="shared" si="593"/>
        <v>0</v>
      </c>
      <c r="HS75" s="547">
        <f t="shared" si="594"/>
        <v>0</v>
      </c>
      <c r="HT75" s="547">
        <f t="shared" si="595"/>
        <v>0</v>
      </c>
      <c r="HU75" s="393"/>
      <c r="HV75" s="394"/>
      <c r="HW75" s="395">
        <f t="shared" si="608"/>
        <v>0</v>
      </c>
      <c r="HX75" s="396"/>
      <c r="HY75" s="394"/>
      <c r="HZ75" s="395">
        <f t="shared" si="609"/>
        <v>0</v>
      </c>
      <c r="IA75" s="397">
        <f t="shared" si="610"/>
        <v>0</v>
      </c>
      <c r="IB75" s="405">
        <f t="shared" si="611"/>
        <v>0</v>
      </c>
      <c r="IC75" s="398">
        <f t="shared" si="612"/>
        <v>0</v>
      </c>
      <c r="ID75" s="398"/>
      <c r="IE75" s="393"/>
      <c r="IF75" s="394"/>
      <c r="IG75" s="395"/>
      <c r="IH75" s="396"/>
      <c r="II75" s="394"/>
      <c r="IJ75" s="395"/>
      <c r="IK75" s="397"/>
      <c r="IL75" s="405"/>
      <c r="IM75" s="398"/>
      <c r="IN75" s="398"/>
      <c r="IO75" s="393"/>
      <c r="IP75" s="394"/>
      <c r="IQ75" s="395"/>
      <c r="IR75" s="396"/>
      <c r="IS75" s="394"/>
      <c r="IT75" s="395"/>
      <c r="IU75" s="397"/>
      <c r="IV75" s="405"/>
      <c r="IW75" s="398"/>
      <c r="IX75" s="398"/>
      <c r="IY75" s="393"/>
      <c r="IZ75" s="394"/>
      <c r="JA75" s="395"/>
      <c r="JB75" s="396"/>
      <c r="JC75" s="394"/>
      <c r="JD75" s="395"/>
      <c r="JE75" s="397"/>
      <c r="JF75" s="405"/>
      <c r="JG75" s="398"/>
      <c r="JH75" s="398"/>
      <c r="JI75" s="494"/>
      <c r="JJ75" s="479"/>
      <c r="JK75" s="479"/>
      <c r="JL75" s="479"/>
      <c r="JM75" s="474"/>
      <c r="JN75" s="474">
        <f t="shared" si="648"/>
        <v>0</v>
      </c>
      <c r="JO75" s="475"/>
      <c r="JP75" s="393"/>
      <c r="JQ75" s="394"/>
      <c r="JR75" s="395"/>
      <c r="JS75" s="396"/>
      <c r="JT75" s="394"/>
      <c r="JU75" s="395"/>
      <c r="JV75" s="397"/>
      <c r="JW75" s="405"/>
      <c r="JX75" s="398"/>
      <c r="JY75" s="398"/>
      <c r="JZ75" s="577">
        <f t="shared" si="585"/>
        <v>0</v>
      </c>
      <c r="KA75" s="412">
        <f t="shared" si="596"/>
        <v>0</v>
      </c>
      <c r="KB75" s="412">
        <f t="shared" si="597"/>
        <v>0</v>
      </c>
      <c r="KC75" s="412">
        <f t="shared" si="598"/>
        <v>390</v>
      </c>
      <c r="KD75" s="412">
        <f t="shared" si="599"/>
        <v>390</v>
      </c>
      <c r="KE75" s="412">
        <f t="shared" si="600"/>
        <v>0</v>
      </c>
      <c r="KF75" s="693">
        <f t="shared" si="601"/>
        <v>0</v>
      </c>
      <c r="KG75" s="687">
        <f t="shared" si="75"/>
        <v>0</v>
      </c>
      <c r="KH75" s="680"/>
      <c r="KI75" s="680"/>
      <c r="KJ75" s="681"/>
      <c r="KK75" s="359">
        <f>KA74+KB74</f>
        <v>2168</v>
      </c>
      <c r="KL75" s="359"/>
      <c r="KM75" s="359"/>
      <c r="KN75" s="359"/>
      <c r="KO75" s="359"/>
      <c r="KP75" s="359"/>
      <c r="KQ75" s="359"/>
    </row>
    <row r="76" spans="1:303" ht="36" customHeight="1" x14ac:dyDescent="0.3">
      <c r="A76" s="793"/>
      <c r="B76" s="339" t="s">
        <v>169</v>
      </c>
      <c r="C76" s="391" t="s">
        <v>133</v>
      </c>
      <c r="D76" s="392"/>
      <c r="E76" s="393"/>
      <c r="F76" s="394"/>
      <c r="G76" s="395"/>
      <c r="H76" s="396"/>
      <c r="I76" s="394"/>
      <c r="J76" s="395"/>
      <c r="K76" s="397"/>
      <c r="L76" s="398"/>
      <c r="M76" s="398"/>
      <c r="N76" s="399"/>
      <c r="O76" s="393"/>
      <c r="P76" s="394"/>
      <c r="Q76" s="400"/>
      <c r="R76" s="396"/>
      <c r="S76" s="394"/>
      <c r="T76" s="400"/>
      <c r="U76" s="397"/>
      <c r="V76" s="398"/>
      <c r="W76" s="398"/>
      <c r="X76" s="399"/>
      <c r="Y76" s="393"/>
      <c r="Z76" s="394"/>
      <c r="AA76" s="400"/>
      <c r="AB76" s="396"/>
      <c r="AC76" s="394"/>
      <c r="AD76" s="400"/>
      <c r="AE76" s="397"/>
      <c r="AF76" s="405"/>
      <c r="AG76" s="398"/>
      <c r="AH76" s="403"/>
      <c r="AI76" s="393"/>
      <c r="AJ76" s="394"/>
      <c r="AK76" s="395"/>
      <c r="AL76" s="396"/>
      <c r="AM76" s="394"/>
      <c r="AN76" s="395"/>
      <c r="AO76" s="397"/>
      <c r="AP76" s="398"/>
      <c r="AQ76" s="398"/>
      <c r="AR76" s="404"/>
      <c r="AS76" s="486">
        <f t="shared" si="7"/>
        <v>0</v>
      </c>
      <c r="AT76" s="487">
        <f t="shared" si="8"/>
        <v>0</v>
      </c>
      <c r="AU76" s="487">
        <f t="shared" si="9"/>
        <v>0</v>
      </c>
      <c r="AV76" s="487">
        <f t="shared" si="10"/>
        <v>0</v>
      </c>
      <c r="AW76" s="478"/>
      <c r="AX76" s="479">
        <f t="shared" si="11"/>
        <v>0</v>
      </c>
      <c r="AY76" s="537"/>
      <c r="AZ76" s="547">
        <f t="shared" si="489"/>
        <v>0</v>
      </c>
      <c r="BA76" s="547">
        <f t="shared" si="490"/>
        <v>0</v>
      </c>
      <c r="BB76" s="547">
        <f t="shared" si="491"/>
        <v>0</v>
      </c>
      <c r="BC76" s="547">
        <f t="shared" si="492"/>
        <v>0</v>
      </c>
      <c r="BD76" s="393"/>
      <c r="BE76" s="394"/>
      <c r="BF76" s="395"/>
      <c r="BG76" s="396"/>
      <c r="BH76" s="394"/>
      <c r="BI76" s="395"/>
      <c r="BJ76" s="397"/>
      <c r="BK76" s="398"/>
      <c r="BL76" s="405"/>
      <c r="BM76" s="398"/>
      <c r="BN76" s="393"/>
      <c r="BO76" s="394"/>
      <c r="BP76" s="395"/>
      <c r="BQ76" s="396"/>
      <c r="BR76" s="394"/>
      <c r="BS76" s="395"/>
      <c r="BT76" s="397"/>
      <c r="BU76" s="405"/>
      <c r="BV76" s="398"/>
      <c r="BW76" s="398"/>
      <c r="BX76" s="626">
        <f t="shared" si="619"/>
        <v>0</v>
      </c>
      <c r="BY76" s="626">
        <f t="shared" si="620"/>
        <v>0</v>
      </c>
      <c r="BZ76" s="626">
        <f t="shared" si="621"/>
        <v>0</v>
      </c>
      <c r="CA76" s="626">
        <f t="shared" si="622"/>
        <v>0</v>
      </c>
      <c r="CB76" s="625">
        <f t="shared" si="623"/>
        <v>0</v>
      </c>
      <c r="CC76" s="393"/>
      <c r="CD76" s="394"/>
      <c r="CE76" s="395"/>
      <c r="CF76" s="396"/>
      <c r="CG76" s="394"/>
      <c r="CH76" s="395"/>
      <c r="CI76" s="397"/>
      <c r="CJ76" s="398"/>
      <c r="CK76" s="398"/>
      <c r="CL76" s="414"/>
      <c r="CM76" s="393"/>
      <c r="CN76" s="394"/>
      <c r="CO76" s="395"/>
      <c r="CP76" s="396"/>
      <c r="CQ76" s="394"/>
      <c r="CR76" s="395"/>
      <c r="CS76" s="397"/>
      <c r="CT76" s="398"/>
      <c r="CU76" s="405"/>
      <c r="CV76" s="405"/>
      <c r="CW76" s="492">
        <f t="shared" si="588"/>
        <v>0</v>
      </c>
      <c r="CX76" s="487">
        <f t="shared" si="589"/>
        <v>0</v>
      </c>
      <c r="CY76" s="487">
        <f t="shared" si="590"/>
        <v>0</v>
      </c>
      <c r="CZ76" s="487">
        <f t="shared" si="591"/>
        <v>0</v>
      </c>
      <c r="DA76" s="474"/>
      <c r="DB76" s="474"/>
      <c r="DC76" s="475"/>
      <c r="DD76" s="547">
        <f t="shared" si="21"/>
        <v>0</v>
      </c>
      <c r="DE76" s="547">
        <f t="shared" si="22"/>
        <v>0</v>
      </c>
      <c r="DF76" s="547">
        <f t="shared" si="23"/>
        <v>0</v>
      </c>
      <c r="DG76" s="547">
        <f t="shared" si="24"/>
        <v>0</v>
      </c>
      <c r="DH76" s="576">
        <f t="shared" si="642"/>
        <v>0</v>
      </c>
      <c r="DI76" s="393"/>
      <c r="DJ76" s="394"/>
      <c r="DK76" s="395"/>
      <c r="DL76" s="396"/>
      <c r="DM76" s="394"/>
      <c r="DN76" s="395"/>
      <c r="DO76" s="397"/>
      <c r="DP76" s="405"/>
      <c r="DQ76" s="398"/>
      <c r="DR76" s="398"/>
      <c r="DS76" s="393"/>
      <c r="DT76" s="394"/>
      <c r="DU76" s="395">
        <f t="shared" si="76"/>
        <v>0</v>
      </c>
      <c r="DV76" s="396"/>
      <c r="DW76" s="394"/>
      <c r="DX76" s="395">
        <f t="shared" si="77"/>
        <v>0</v>
      </c>
      <c r="DY76" s="397">
        <f t="shared" si="78"/>
        <v>0</v>
      </c>
      <c r="DZ76" s="405">
        <f t="shared" si="79"/>
        <v>0</v>
      </c>
      <c r="EA76" s="398">
        <f t="shared" si="80"/>
        <v>0</v>
      </c>
      <c r="EB76" s="398"/>
      <c r="EC76" s="393"/>
      <c r="ED76" s="394"/>
      <c r="EE76" s="395"/>
      <c r="EF76" s="396"/>
      <c r="EG76" s="394"/>
      <c r="EH76" s="395"/>
      <c r="EI76" s="397"/>
      <c r="EJ76" s="405"/>
      <c r="EK76" s="398"/>
      <c r="EL76" s="398"/>
      <c r="EM76" s="393"/>
      <c r="EN76" s="394"/>
      <c r="EO76" s="395"/>
      <c r="EP76" s="396"/>
      <c r="EQ76" s="394"/>
      <c r="ER76" s="395"/>
      <c r="ES76" s="397"/>
      <c r="ET76" s="405"/>
      <c r="EU76" s="398"/>
      <c r="EV76" s="398"/>
      <c r="EW76" s="492">
        <f t="shared" si="26"/>
        <v>0</v>
      </c>
      <c r="EX76" s="487">
        <f t="shared" si="27"/>
        <v>0</v>
      </c>
      <c r="EY76" s="487">
        <f t="shared" si="28"/>
        <v>0</v>
      </c>
      <c r="EZ76" s="487">
        <f t="shared" si="29"/>
        <v>0</v>
      </c>
      <c r="FA76" s="474"/>
      <c r="FB76" s="474">
        <f t="shared" si="30"/>
        <v>0</v>
      </c>
      <c r="FC76" s="475"/>
      <c r="FD76" s="547">
        <f t="shared" si="624"/>
        <v>0</v>
      </c>
      <c r="FE76" s="547">
        <f t="shared" si="625"/>
        <v>0</v>
      </c>
      <c r="FF76" s="547">
        <f t="shared" si="626"/>
        <v>0</v>
      </c>
      <c r="FG76" s="547">
        <f t="shared" si="627"/>
        <v>0</v>
      </c>
      <c r="FH76" s="577">
        <f t="shared" si="628"/>
        <v>0</v>
      </c>
      <c r="FI76" s="577">
        <f t="shared" si="629"/>
        <v>0</v>
      </c>
      <c r="FJ76" s="577">
        <f t="shared" si="643"/>
        <v>0</v>
      </c>
      <c r="FK76" s="577">
        <f t="shared" si="630"/>
        <v>0</v>
      </c>
      <c r="FL76" s="577">
        <f t="shared" si="631"/>
        <v>0</v>
      </c>
      <c r="FM76" s="577">
        <f t="shared" si="632"/>
        <v>0</v>
      </c>
      <c r="FN76" s="393"/>
      <c r="FO76" s="394"/>
      <c r="FP76" s="395"/>
      <c r="FQ76" s="396"/>
      <c r="FR76" s="394"/>
      <c r="FS76" s="395"/>
      <c r="FT76" s="397"/>
      <c r="FU76" s="405"/>
      <c r="FV76" s="398"/>
      <c r="FW76" s="398"/>
      <c r="FX76" s="393"/>
      <c r="FY76" s="394"/>
      <c r="FZ76" s="395"/>
      <c r="GA76" s="396"/>
      <c r="GB76" s="394"/>
      <c r="GC76" s="395"/>
      <c r="GD76" s="397">
        <f t="shared" si="633"/>
        <v>0</v>
      </c>
      <c r="GE76" s="405">
        <f t="shared" si="634"/>
        <v>0</v>
      </c>
      <c r="GF76" s="398">
        <f t="shared" si="635"/>
        <v>0</v>
      </c>
      <c r="GG76" s="398"/>
      <c r="GH76" s="393"/>
      <c r="GI76" s="394"/>
      <c r="GJ76" s="395"/>
      <c r="GK76" s="396"/>
      <c r="GL76" s="394"/>
      <c r="GM76" s="395"/>
      <c r="GN76" s="397">
        <f t="shared" si="582"/>
        <v>0</v>
      </c>
      <c r="GO76" s="405">
        <f t="shared" si="583"/>
        <v>0</v>
      </c>
      <c r="GP76" s="398">
        <f t="shared" si="584"/>
        <v>0</v>
      </c>
      <c r="GQ76" s="398"/>
      <c r="GR76" s="650">
        <f t="shared" si="636"/>
        <v>0</v>
      </c>
      <c r="GS76" s="650">
        <f t="shared" si="637"/>
        <v>0</v>
      </c>
      <c r="GT76" s="650">
        <f t="shared" si="638"/>
        <v>0</v>
      </c>
      <c r="GU76" s="650">
        <f t="shared" si="639"/>
        <v>0</v>
      </c>
      <c r="GV76" s="650">
        <f t="shared" si="640"/>
        <v>0</v>
      </c>
      <c r="GW76" s="650">
        <f t="shared" si="641"/>
        <v>0</v>
      </c>
      <c r="GX76" s="393"/>
      <c r="GY76" s="394"/>
      <c r="GZ76" s="395">
        <f t="shared" si="603"/>
        <v>0</v>
      </c>
      <c r="HA76" s="396"/>
      <c r="HB76" s="394"/>
      <c r="HC76" s="395">
        <f t="shared" si="604"/>
        <v>0</v>
      </c>
      <c r="HD76" s="397">
        <f t="shared" si="605"/>
        <v>0</v>
      </c>
      <c r="HE76" s="405">
        <f t="shared" si="606"/>
        <v>0</v>
      </c>
      <c r="HF76" s="398">
        <f t="shared" si="607"/>
        <v>0</v>
      </c>
      <c r="HG76" s="398"/>
      <c r="HH76" s="492">
        <f t="shared" si="613"/>
        <v>0</v>
      </c>
      <c r="HI76" s="487">
        <f t="shared" si="614"/>
        <v>0</v>
      </c>
      <c r="HJ76" s="487">
        <f t="shared" si="615"/>
        <v>0</v>
      </c>
      <c r="HK76" s="487">
        <f t="shared" si="616"/>
        <v>0</v>
      </c>
      <c r="HL76" s="487">
        <f t="shared" si="617"/>
        <v>0</v>
      </c>
      <c r="HM76" s="487">
        <f t="shared" si="618"/>
        <v>0</v>
      </c>
      <c r="HN76" s="474"/>
      <c r="HO76" s="474">
        <f t="shared" si="647"/>
        <v>0</v>
      </c>
      <c r="HP76" s="475"/>
      <c r="HQ76" s="547">
        <f t="shared" si="592"/>
        <v>0</v>
      </c>
      <c r="HR76" s="547">
        <f t="shared" si="593"/>
        <v>0</v>
      </c>
      <c r="HS76" s="547">
        <f t="shared" si="594"/>
        <v>0</v>
      </c>
      <c r="HT76" s="547">
        <f t="shared" si="595"/>
        <v>0</v>
      </c>
      <c r="HU76" s="393"/>
      <c r="HV76" s="394"/>
      <c r="HW76" s="395">
        <f t="shared" si="608"/>
        <v>0</v>
      </c>
      <c r="HX76" s="396"/>
      <c r="HY76" s="394"/>
      <c r="HZ76" s="395">
        <f t="shared" si="609"/>
        <v>0</v>
      </c>
      <c r="IA76" s="397">
        <f t="shared" si="610"/>
        <v>0</v>
      </c>
      <c r="IB76" s="405">
        <f t="shared" si="611"/>
        <v>0</v>
      </c>
      <c r="IC76" s="398">
        <f t="shared" si="612"/>
        <v>0</v>
      </c>
      <c r="ID76" s="398"/>
      <c r="IE76" s="393"/>
      <c r="IF76" s="394"/>
      <c r="IG76" s="395"/>
      <c r="IH76" s="396"/>
      <c r="II76" s="394"/>
      <c r="IJ76" s="395"/>
      <c r="IK76" s="397"/>
      <c r="IL76" s="405"/>
      <c r="IM76" s="398"/>
      <c r="IN76" s="398"/>
      <c r="IO76" s="393"/>
      <c r="IP76" s="394"/>
      <c r="IQ76" s="395"/>
      <c r="IR76" s="396"/>
      <c r="IS76" s="394"/>
      <c r="IT76" s="395"/>
      <c r="IU76" s="397"/>
      <c r="IV76" s="405"/>
      <c r="IW76" s="398"/>
      <c r="IX76" s="398"/>
      <c r="IY76" s="393"/>
      <c r="IZ76" s="394"/>
      <c r="JA76" s="395"/>
      <c r="JB76" s="396"/>
      <c r="JC76" s="394"/>
      <c r="JD76" s="395"/>
      <c r="JE76" s="397"/>
      <c r="JF76" s="405"/>
      <c r="JG76" s="398"/>
      <c r="JH76" s="398"/>
      <c r="JI76" s="494"/>
      <c r="JJ76" s="479"/>
      <c r="JK76" s="479"/>
      <c r="JL76" s="479"/>
      <c r="JM76" s="474"/>
      <c r="JN76" s="474">
        <f t="shared" si="648"/>
        <v>0</v>
      </c>
      <c r="JO76" s="475"/>
      <c r="JP76" s="393"/>
      <c r="JQ76" s="394"/>
      <c r="JR76" s="395"/>
      <c r="JS76" s="396"/>
      <c r="JT76" s="394"/>
      <c r="JU76" s="395"/>
      <c r="JV76" s="397"/>
      <c r="JW76" s="405"/>
      <c r="JX76" s="398"/>
      <c r="JY76" s="398"/>
      <c r="JZ76" s="577">
        <f t="shared" si="585"/>
        <v>0</v>
      </c>
      <c r="KA76" s="412">
        <f t="shared" si="596"/>
        <v>0</v>
      </c>
      <c r="KB76" s="412">
        <f t="shared" si="597"/>
        <v>0</v>
      </c>
      <c r="KC76" s="412">
        <f t="shared" si="598"/>
        <v>0</v>
      </c>
      <c r="KD76" s="412">
        <f t="shared" si="599"/>
        <v>0</v>
      </c>
      <c r="KE76" s="412">
        <f t="shared" si="600"/>
        <v>0</v>
      </c>
      <c r="KF76" s="693">
        <f t="shared" si="601"/>
        <v>0</v>
      </c>
      <c r="KG76" s="687">
        <f t="shared" si="75"/>
        <v>0</v>
      </c>
      <c r="KH76" s="680"/>
      <c r="KI76" s="680"/>
      <c r="KJ76" s="681"/>
      <c r="KK76" s="359">
        <f t="shared" si="464"/>
        <v>0</v>
      </c>
      <c r="KL76" s="359"/>
      <c r="KM76" s="359"/>
      <c r="KN76" s="359"/>
      <c r="KO76" s="359"/>
      <c r="KP76" s="359"/>
      <c r="KQ76" s="359"/>
    </row>
    <row r="77" spans="1:303" s="301" customFormat="1" ht="15" customHeight="1" x14ac:dyDescent="0.3">
      <c r="A77" s="444"/>
      <c r="B77" s="445"/>
      <c r="C77" s="446"/>
      <c r="D77" s="423"/>
      <c r="E77" s="419"/>
      <c r="F77" s="420"/>
      <c r="G77" s="420"/>
      <c r="H77" s="421"/>
      <c r="I77" s="420"/>
      <c r="J77" s="420"/>
      <c r="K77" s="422"/>
      <c r="L77" s="423"/>
      <c r="M77" s="423"/>
      <c r="N77" s="424"/>
      <c r="O77" s="419"/>
      <c r="P77" s="420"/>
      <c r="Q77" s="425"/>
      <c r="R77" s="421"/>
      <c r="S77" s="420"/>
      <c r="T77" s="425"/>
      <c r="U77" s="422"/>
      <c r="V77" s="423"/>
      <c r="W77" s="423"/>
      <c r="X77" s="424"/>
      <c r="Y77" s="419"/>
      <c r="Z77" s="420"/>
      <c r="AA77" s="425"/>
      <c r="AB77" s="421"/>
      <c r="AC77" s="420"/>
      <c r="AD77" s="425"/>
      <c r="AE77" s="422"/>
      <c r="AF77" s="425"/>
      <c r="AG77" s="423"/>
      <c r="AH77" s="426"/>
      <c r="AI77" s="419"/>
      <c r="AJ77" s="420"/>
      <c r="AK77" s="420"/>
      <c r="AL77" s="421"/>
      <c r="AM77" s="420"/>
      <c r="AN77" s="420"/>
      <c r="AO77" s="422"/>
      <c r="AP77" s="423"/>
      <c r="AQ77" s="423"/>
      <c r="AR77" s="427"/>
      <c r="AS77" s="428">
        <f t="shared" si="7"/>
        <v>0</v>
      </c>
      <c r="AT77" s="429">
        <f t="shared" si="8"/>
        <v>0</v>
      </c>
      <c r="AU77" s="429">
        <f t="shared" si="9"/>
        <v>0</v>
      </c>
      <c r="AV77" s="429">
        <f t="shared" si="10"/>
        <v>0</v>
      </c>
      <c r="AW77" s="430"/>
      <c r="AX77" s="425">
        <f t="shared" si="11"/>
        <v>0</v>
      </c>
      <c r="AY77" s="538" t="e">
        <f>AX77/AW77</f>
        <v>#DIV/0!</v>
      </c>
      <c r="AZ77" s="423">
        <f t="shared" si="489"/>
        <v>0</v>
      </c>
      <c r="BA77" s="423">
        <f t="shared" si="490"/>
        <v>0</v>
      </c>
      <c r="BB77" s="423">
        <f t="shared" si="491"/>
        <v>0</v>
      </c>
      <c r="BC77" s="423">
        <f t="shared" si="492"/>
        <v>0</v>
      </c>
      <c r="BD77" s="419"/>
      <c r="BE77" s="420"/>
      <c r="BF77" s="420"/>
      <c r="BG77" s="421"/>
      <c r="BH77" s="420"/>
      <c r="BI77" s="420"/>
      <c r="BJ77" s="422"/>
      <c r="BK77" s="423"/>
      <c r="BL77" s="425"/>
      <c r="BM77" s="423"/>
      <c r="BN77" s="419"/>
      <c r="BO77" s="420"/>
      <c r="BP77" s="420"/>
      <c r="BQ77" s="421"/>
      <c r="BR77" s="420"/>
      <c r="BS77" s="420"/>
      <c r="BT77" s="422"/>
      <c r="BU77" s="425"/>
      <c r="BV77" s="423"/>
      <c r="BW77" s="423"/>
      <c r="BX77" s="626"/>
      <c r="BY77" s="626"/>
      <c r="BZ77" s="626"/>
      <c r="CA77" s="626"/>
      <c r="CB77" s="625"/>
      <c r="CC77" s="419"/>
      <c r="CD77" s="420"/>
      <c r="CE77" s="420"/>
      <c r="CF77" s="421"/>
      <c r="CG77" s="420"/>
      <c r="CH77" s="420"/>
      <c r="CI77" s="422"/>
      <c r="CJ77" s="423"/>
      <c r="CK77" s="423"/>
      <c r="CL77" s="431"/>
      <c r="CM77" s="419"/>
      <c r="CN77" s="420"/>
      <c r="CO77" s="420"/>
      <c r="CP77" s="421"/>
      <c r="CQ77" s="420"/>
      <c r="CR77" s="420"/>
      <c r="CS77" s="422"/>
      <c r="CT77" s="423"/>
      <c r="CU77" s="425"/>
      <c r="CV77" s="425"/>
      <c r="CW77" s="432">
        <f t="shared" si="588"/>
        <v>0</v>
      </c>
      <c r="CX77" s="429">
        <f t="shared" si="589"/>
        <v>0</v>
      </c>
      <c r="CY77" s="429">
        <f t="shared" si="590"/>
        <v>0</v>
      </c>
      <c r="CZ77" s="429">
        <f t="shared" si="591"/>
        <v>0</v>
      </c>
      <c r="DA77" s="423"/>
      <c r="DB77" s="423"/>
      <c r="DC77" s="433"/>
      <c r="DD77" s="423">
        <f t="shared" si="21"/>
        <v>0</v>
      </c>
      <c r="DE77" s="423">
        <f t="shared" si="22"/>
        <v>0</v>
      </c>
      <c r="DF77" s="423">
        <f t="shared" si="23"/>
        <v>0</v>
      </c>
      <c r="DG77" s="423">
        <f t="shared" si="24"/>
        <v>0</v>
      </c>
      <c r="DH77" s="576">
        <f t="shared" si="642"/>
        <v>0</v>
      </c>
      <c r="DI77" s="419"/>
      <c r="DJ77" s="420"/>
      <c r="DK77" s="420"/>
      <c r="DL77" s="421"/>
      <c r="DM77" s="420"/>
      <c r="DN77" s="420"/>
      <c r="DO77" s="422"/>
      <c r="DP77" s="425"/>
      <c r="DQ77" s="423"/>
      <c r="DR77" s="423"/>
      <c r="DS77" s="419"/>
      <c r="DT77" s="420"/>
      <c r="DU77" s="420"/>
      <c r="DV77" s="421"/>
      <c r="DW77" s="420"/>
      <c r="DX77" s="420"/>
      <c r="DY77" s="422"/>
      <c r="DZ77" s="425"/>
      <c r="EA77" s="423"/>
      <c r="EB77" s="423"/>
      <c r="EC77" s="419"/>
      <c r="ED77" s="420"/>
      <c r="EE77" s="420"/>
      <c r="EF77" s="421"/>
      <c r="EG77" s="420"/>
      <c r="EH77" s="420"/>
      <c r="EI77" s="422"/>
      <c r="EJ77" s="425"/>
      <c r="EK77" s="423"/>
      <c r="EL77" s="423"/>
      <c r="EM77" s="419"/>
      <c r="EN77" s="420"/>
      <c r="EO77" s="420"/>
      <c r="EP77" s="421"/>
      <c r="EQ77" s="420"/>
      <c r="ER77" s="420"/>
      <c r="ES77" s="422"/>
      <c r="ET77" s="425"/>
      <c r="EU77" s="423"/>
      <c r="EV77" s="423"/>
      <c r="EW77" s="432">
        <f t="shared" si="26"/>
        <v>0</v>
      </c>
      <c r="EX77" s="429">
        <f t="shared" si="27"/>
        <v>0</v>
      </c>
      <c r="EY77" s="429">
        <f t="shared" si="28"/>
        <v>0</v>
      </c>
      <c r="EZ77" s="429">
        <f t="shared" si="29"/>
        <v>0</v>
      </c>
      <c r="FA77" s="423"/>
      <c r="FB77" s="423">
        <f t="shared" si="30"/>
        <v>0</v>
      </c>
      <c r="FC77" s="433"/>
      <c r="FD77" s="423"/>
      <c r="FE77" s="423"/>
      <c r="FF77" s="423"/>
      <c r="FG77" s="423"/>
      <c r="FH77" s="434"/>
      <c r="FI77" s="434"/>
      <c r="FJ77" s="434"/>
      <c r="FK77" s="634">
        <f t="shared" si="630"/>
        <v>0</v>
      </c>
      <c r="FL77" s="634">
        <f t="shared" si="631"/>
        <v>0</v>
      </c>
      <c r="FM77" s="634">
        <f t="shared" si="632"/>
        <v>0</v>
      </c>
      <c r="FN77" s="419"/>
      <c r="FO77" s="420"/>
      <c r="FP77" s="420"/>
      <c r="FQ77" s="421"/>
      <c r="FR77" s="420"/>
      <c r="FS77" s="420"/>
      <c r="FT77" s="422"/>
      <c r="FU77" s="425"/>
      <c r="FV77" s="423"/>
      <c r="FW77" s="423"/>
      <c r="FX77" s="419"/>
      <c r="FY77" s="420"/>
      <c r="FZ77" s="420"/>
      <c r="GA77" s="421"/>
      <c r="GB77" s="420"/>
      <c r="GC77" s="420"/>
      <c r="GD77" s="640">
        <f t="shared" si="633"/>
        <v>0</v>
      </c>
      <c r="GE77" s="641">
        <f t="shared" si="634"/>
        <v>0</v>
      </c>
      <c r="GF77" s="642">
        <f t="shared" si="635"/>
        <v>0</v>
      </c>
      <c r="GG77" s="423"/>
      <c r="GH77" s="419"/>
      <c r="GI77" s="420"/>
      <c r="GJ77" s="420"/>
      <c r="GK77" s="421"/>
      <c r="GL77" s="420"/>
      <c r="GM77" s="420"/>
      <c r="GN77" s="422"/>
      <c r="GO77" s="425"/>
      <c r="GP77" s="423"/>
      <c r="GQ77" s="423"/>
      <c r="GR77" s="654">
        <f t="shared" si="636"/>
        <v>0</v>
      </c>
      <c r="GS77" s="654">
        <f t="shared" si="637"/>
        <v>0</v>
      </c>
      <c r="GT77" s="654">
        <f t="shared" si="638"/>
        <v>0</v>
      </c>
      <c r="GU77" s="654">
        <f t="shared" si="639"/>
        <v>0</v>
      </c>
      <c r="GV77" s="654">
        <f t="shared" si="640"/>
        <v>0</v>
      </c>
      <c r="GW77" s="654">
        <f t="shared" si="641"/>
        <v>0</v>
      </c>
      <c r="GX77" s="419"/>
      <c r="GY77" s="420"/>
      <c r="GZ77" s="420"/>
      <c r="HA77" s="421"/>
      <c r="HB77" s="420"/>
      <c r="HC77" s="420"/>
      <c r="HD77" s="421"/>
      <c r="HE77" s="420"/>
      <c r="HF77" s="420"/>
      <c r="HG77" s="423"/>
      <c r="HH77" s="432">
        <f t="shared" si="613"/>
        <v>0</v>
      </c>
      <c r="HI77" s="429">
        <f t="shared" si="614"/>
        <v>0</v>
      </c>
      <c r="HJ77" s="429">
        <f t="shared" si="615"/>
        <v>0</v>
      </c>
      <c r="HK77" s="429">
        <f t="shared" si="616"/>
        <v>0</v>
      </c>
      <c r="HL77" s="429">
        <f t="shared" si="617"/>
        <v>0</v>
      </c>
      <c r="HM77" s="429">
        <f t="shared" si="618"/>
        <v>0</v>
      </c>
      <c r="HN77" s="423"/>
      <c r="HO77" s="423">
        <f t="shared" si="647"/>
        <v>0</v>
      </c>
      <c r="HP77" s="433"/>
      <c r="HQ77" s="423">
        <f t="shared" si="592"/>
        <v>0</v>
      </c>
      <c r="HR77" s="423">
        <f t="shared" si="593"/>
        <v>0</v>
      </c>
      <c r="HS77" s="423">
        <f t="shared" si="594"/>
        <v>0</v>
      </c>
      <c r="HT77" s="423">
        <f t="shared" si="595"/>
        <v>0</v>
      </c>
      <c r="HU77" s="419"/>
      <c r="HV77" s="420"/>
      <c r="HW77" s="672">
        <f t="shared" si="608"/>
        <v>0</v>
      </c>
      <c r="HX77" s="421"/>
      <c r="HY77" s="420"/>
      <c r="HZ77" s="420">
        <f t="shared" si="609"/>
        <v>0</v>
      </c>
      <c r="IA77" s="422">
        <f t="shared" si="610"/>
        <v>0</v>
      </c>
      <c r="IB77" s="425">
        <f t="shared" si="611"/>
        <v>0</v>
      </c>
      <c r="IC77" s="423">
        <f t="shared" si="612"/>
        <v>0</v>
      </c>
      <c r="ID77" s="423"/>
      <c r="IE77" s="419"/>
      <c r="IF77" s="420"/>
      <c r="IG77" s="420"/>
      <c r="IH77" s="421"/>
      <c r="II77" s="420"/>
      <c r="IJ77" s="420"/>
      <c r="IK77" s="422"/>
      <c r="IL77" s="425"/>
      <c r="IM77" s="423"/>
      <c r="IN77" s="423"/>
      <c r="IO77" s="419"/>
      <c r="IP77" s="420"/>
      <c r="IQ77" s="420"/>
      <c r="IR77" s="421"/>
      <c r="IS77" s="420"/>
      <c r="IT77" s="420"/>
      <c r="IU77" s="422"/>
      <c r="IV77" s="425"/>
      <c r="IW77" s="423"/>
      <c r="IX77" s="423"/>
      <c r="IY77" s="419"/>
      <c r="IZ77" s="420"/>
      <c r="JA77" s="420"/>
      <c r="JB77" s="421"/>
      <c r="JC77" s="420"/>
      <c r="JD77" s="420"/>
      <c r="JE77" s="422"/>
      <c r="JF77" s="425"/>
      <c r="JG77" s="423"/>
      <c r="JH77" s="423"/>
      <c r="JI77" s="427"/>
      <c r="JJ77" s="425"/>
      <c r="JK77" s="425"/>
      <c r="JL77" s="425"/>
      <c r="JM77" s="423"/>
      <c r="JN77" s="423">
        <f t="shared" si="648"/>
        <v>0</v>
      </c>
      <c r="JO77" s="433"/>
      <c r="JP77" s="419"/>
      <c r="JQ77" s="420"/>
      <c r="JR77" s="420"/>
      <c r="JS77" s="421"/>
      <c r="JT77" s="420"/>
      <c r="JU77" s="420"/>
      <c r="JV77" s="422"/>
      <c r="JW77" s="425"/>
      <c r="JX77" s="423"/>
      <c r="JY77" s="423"/>
      <c r="JZ77" s="434">
        <f t="shared" si="585"/>
        <v>0</v>
      </c>
      <c r="KA77" s="434"/>
      <c r="KB77" s="434"/>
      <c r="KC77" s="434"/>
      <c r="KD77" s="434"/>
      <c r="KE77" s="434"/>
      <c r="KF77" s="432"/>
      <c r="KG77" s="689">
        <f t="shared" si="75"/>
        <v>0</v>
      </c>
      <c r="KH77" s="435"/>
      <c r="KI77" s="435"/>
      <c r="KJ77" s="436"/>
      <c r="KK77" s="359">
        <f t="shared" si="464"/>
        <v>0</v>
      </c>
      <c r="KL77" s="437"/>
      <c r="KM77" s="437"/>
      <c r="KN77" s="437"/>
      <c r="KO77" s="437"/>
      <c r="KP77" s="437"/>
      <c r="KQ77" s="437"/>
    </row>
    <row r="78" spans="1:303" ht="36" customHeight="1" x14ac:dyDescent="0.3">
      <c r="A78" s="390"/>
      <c r="B78" s="418" t="s">
        <v>66</v>
      </c>
      <c r="C78" s="391" t="s">
        <v>130</v>
      </c>
      <c r="D78" s="392">
        <v>1</v>
      </c>
      <c r="E78" s="393"/>
      <c r="F78" s="394"/>
      <c r="G78" s="395"/>
      <c r="H78" s="396"/>
      <c r="I78" s="394"/>
      <c r="J78" s="395"/>
      <c r="K78" s="397"/>
      <c r="L78" s="398"/>
      <c r="M78" s="398"/>
      <c r="N78" s="399"/>
      <c r="O78" s="393"/>
      <c r="P78" s="394"/>
      <c r="Q78" s="400"/>
      <c r="R78" s="396"/>
      <c r="S78" s="394"/>
      <c r="T78" s="400"/>
      <c r="U78" s="397"/>
      <c r="V78" s="398"/>
      <c r="W78" s="398"/>
      <c r="X78" s="399"/>
      <c r="Y78" s="393"/>
      <c r="Z78" s="394"/>
      <c r="AA78" s="400"/>
      <c r="AB78" s="396"/>
      <c r="AC78" s="394"/>
      <c r="AD78" s="400"/>
      <c r="AE78" s="397"/>
      <c r="AF78" s="405"/>
      <c r="AG78" s="398"/>
      <c r="AH78" s="403"/>
      <c r="AI78" s="393"/>
      <c r="AJ78" s="394"/>
      <c r="AK78" s="395"/>
      <c r="AL78" s="396"/>
      <c r="AM78" s="394"/>
      <c r="AN78" s="395"/>
      <c r="AO78" s="397"/>
      <c r="AP78" s="398"/>
      <c r="AQ78" s="398"/>
      <c r="AR78" s="404"/>
      <c r="AS78" s="486">
        <f>AO78+AE78+U78+K78</f>
        <v>0</v>
      </c>
      <c r="AT78" s="487">
        <f t="shared" si="8"/>
        <v>0</v>
      </c>
      <c r="AU78" s="487">
        <f t="shared" si="9"/>
        <v>0</v>
      </c>
      <c r="AV78" s="487">
        <f t="shared" si="10"/>
        <v>0</v>
      </c>
      <c r="AW78" s="478">
        <f>SUM(AO78+AF78+U78+K78)</f>
        <v>0</v>
      </c>
      <c r="AX78" s="479">
        <f t="shared" si="11"/>
        <v>0</v>
      </c>
      <c r="AY78" s="537"/>
      <c r="AZ78" s="651">
        <f t="shared" si="489"/>
        <v>0</v>
      </c>
      <c r="BA78" s="651">
        <f t="shared" si="490"/>
        <v>0</v>
      </c>
      <c r="BB78" s="651">
        <f t="shared" si="491"/>
        <v>0</v>
      </c>
      <c r="BC78" s="651">
        <f t="shared" si="492"/>
        <v>0</v>
      </c>
      <c r="BD78" s="393"/>
      <c r="BE78" s="394"/>
      <c r="BF78" s="395"/>
      <c r="BG78" s="396"/>
      <c r="BH78" s="394"/>
      <c r="BI78" s="395"/>
      <c r="BJ78" s="397"/>
      <c r="BK78" s="398"/>
      <c r="BL78" s="405"/>
      <c r="BM78" s="398"/>
      <c r="BN78" s="393"/>
      <c r="BO78" s="394"/>
      <c r="BP78" s="395"/>
      <c r="BQ78" s="396"/>
      <c r="BR78" s="394"/>
      <c r="BS78" s="395"/>
      <c r="BT78" s="397"/>
      <c r="BU78" s="405"/>
      <c r="BV78" s="398"/>
      <c r="BW78" s="398"/>
      <c r="BX78" s="626">
        <f t="shared" si="619"/>
        <v>0</v>
      </c>
      <c r="BY78" s="626">
        <f t="shared" si="620"/>
        <v>0</v>
      </c>
      <c r="BZ78" s="626">
        <f t="shared" si="621"/>
        <v>0</v>
      </c>
      <c r="CA78" s="626">
        <f t="shared" si="622"/>
        <v>0</v>
      </c>
      <c r="CB78" s="625">
        <f t="shared" si="623"/>
        <v>0</v>
      </c>
      <c r="CC78" s="393"/>
      <c r="CD78" s="394"/>
      <c r="CE78" s="395"/>
      <c r="CF78" s="396"/>
      <c r="CG78" s="394"/>
      <c r="CH78" s="395"/>
      <c r="CI78" s="397"/>
      <c r="CJ78" s="398"/>
      <c r="CK78" s="398"/>
      <c r="CL78" s="414"/>
      <c r="CM78" s="393"/>
      <c r="CN78" s="394"/>
      <c r="CO78" s="395"/>
      <c r="CP78" s="396"/>
      <c r="CQ78" s="394"/>
      <c r="CR78" s="395"/>
      <c r="CS78" s="397"/>
      <c r="CT78" s="398"/>
      <c r="CU78" s="405"/>
      <c r="CV78" s="405"/>
      <c r="CW78" s="492">
        <f t="shared" si="588"/>
        <v>0</v>
      </c>
      <c r="CX78" s="487">
        <f t="shared" si="589"/>
        <v>0</v>
      </c>
      <c r="CY78" s="487">
        <f t="shared" si="590"/>
        <v>0</v>
      </c>
      <c r="CZ78" s="487">
        <f t="shared" si="591"/>
        <v>0</v>
      </c>
      <c r="DA78" s="474"/>
      <c r="DB78" s="474">
        <f>SUM(CW78:CX78)</f>
        <v>0</v>
      </c>
      <c r="DC78" s="475"/>
      <c r="DD78" s="547">
        <f t="shared" si="21"/>
        <v>0</v>
      </c>
      <c r="DE78" s="547">
        <f t="shared" si="22"/>
        <v>0</v>
      </c>
      <c r="DF78" s="547">
        <f t="shared" si="23"/>
        <v>0</v>
      </c>
      <c r="DG78" s="547">
        <f t="shared" si="24"/>
        <v>0</v>
      </c>
      <c r="DH78" s="576">
        <f t="shared" si="642"/>
        <v>0</v>
      </c>
      <c r="DI78" s="393"/>
      <c r="DJ78" s="394"/>
      <c r="DK78" s="395"/>
      <c r="DL78" s="396"/>
      <c r="DM78" s="394"/>
      <c r="DN78" s="395"/>
      <c r="DO78" s="397"/>
      <c r="DP78" s="405"/>
      <c r="DQ78" s="398"/>
      <c r="DR78" s="398"/>
      <c r="DS78" s="393"/>
      <c r="DT78" s="394"/>
      <c r="DU78" s="395">
        <f t="shared" si="76"/>
        <v>0</v>
      </c>
      <c r="DV78" s="396"/>
      <c r="DW78" s="394"/>
      <c r="DX78" s="395">
        <f t="shared" si="77"/>
        <v>0</v>
      </c>
      <c r="DY78" s="397">
        <f t="shared" si="78"/>
        <v>0</v>
      </c>
      <c r="DZ78" s="405">
        <f t="shared" si="79"/>
        <v>0</v>
      </c>
      <c r="EA78" s="398">
        <f t="shared" si="80"/>
        <v>0</v>
      </c>
      <c r="EB78" s="398"/>
      <c r="EC78" s="393"/>
      <c r="ED78" s="394"/>
      <c r="EE78" s="395"/>
      <c r="EF78" s="396"/>
      <c r="EG78" s="394"/>
      <c r="EH78" s="395"/>
      <c r="EI78" s="397"/>
      <c r="EJ78" s="405"/>
      <c r="EK78" s="398"/>
      <c r="EL78" s="398"/>
      <c r="EM78" s="393"/>
      <c r="EN78" s="394"/>
      <c r="EO78" s="395"/>
      <c r="EP78" s="396"/>
      <c r="EQ78" s="394"/>
      <c r="ER78" s="395"/>
      <c r="ES78" s="397"/>
      <c r="ET78" s="405"/>
      <c r="EU78" s="398"/>
      <c r="EV78" s="398"/>
      <c r="EW78" s="492">
        <f t="shared" si="26"/>
        <v>0</v>
      </c>
      <c r="EX78" s="487">
        <f t="shared" si="27"/>
        <v>0</v>
      </c>
      <c r="EY78" s="487">
        <f t="shared" si="28"/>
        <v>0</v>
      </c>
      <c r="EZ78" s="487">
        <f t="shared" si="29"/>
        <v>0</v>
      </c>
      <c r="FA78" s="474"/>
      <c r="FB78" s="474">
        <f t="shared" si="30"/>
        <v>0</v>
      </c>
      <c r="FC78" s="475"/>
      <c r="FD78" s="547">
        <f t="shared" si="624"/>
        <v>0</v>
      </c>
      <c r="FE78" s="547">
        <f t="shared" si="625"/>
        <v>0</v>
      </c>
      <c r="FF78" s="547">
        <f t="shared" si="626"/>
        <v>0</v>
      </c>
      <c r="FG78" s="547">
        <f t="shared" si="627"/>
        <v>0</v>
      </c>
      <c r="FH78" s="577">
        <f t="shared" si="628"/>
        <v>0</v>
      </c>
      <c r="FI78" s="577">
        <f t="shared" si="629"/>
        <v>0</v>
      </c>
      <c r="FJ78" s="577">
        <f t="shared" si="643"/>
        <v>0</v>
      </c>
      <c r="FK78" s="577">
        <f t="shared" si="630"/>
        <v>0</v>
      </c>
      <c r="FL78" s="577">
        <f t="shared" si="631"/>
        <v>0</v>
      </c>
      <c r="FM78" s="577">
        <f t="shared" si="632"/>
        <v>0</v>
      </c>
      <c r="FN78" s="393"/>
      <c r="FO78" s="394"/>
      <c r="FP78" s="395"/>
      <c r="FQ78" s="396"/>
      <c r="FR78" s="394"/>
      <c r="FS78" s="395"/>
      <c r="FT78" s="397"/>
      <c r="FU78" s="405"/>
      <c r="FV78" s="398"/>
      <c r="FW78" s="398"/>
      <c r="FX78" s="393"/>
      <c r="FY78" s="394"/>
      <c r="FZ78" s="395"/>
      <c r="GA78" s="396"/>
      <c r="GB78" s="394"/>
      <c r="GC78" s="395"/>
      <c r="GD78" s="397">
        <f t="shared" si="633"/>
        <v>0</v>
      </c>
      <c r="GE78" s="405">
        <f t="shared" si="634"/>
        <v>0</v>
      </c>
      <c r="GF78" s="398">
        <f t="shared" si="635"/>
        <v>0</v>
      </c>
      <c r="GG78" s="398"/>
      <c r="GH78" s="393"/>
      <c r="GI78" s="394"/>
      <c r="GJ78" s="395"/>
      <c r="GK78" s="396"/>
      <c r="GL78" s="394"/>
      <c r="GM78" s="395"/>
      <c r="GN78" s="397"/>
      <c r="GO78" s="405"/>
      <c r="GP78" s="398"/>
      <c r="GQ78" s="398"/>
      <c r="GR78" s="653">
        <f t="shared" si="636"/>
        <v>0</v>
      </c>
      <c r="GS78" s="653">
        <f t="shared" si="637"/>
        <v>0</v>
      </c>
      <c r="GT78" s="653">
        <f t="shared" si="638"/>
        <v>0</v>
      </c>
      <c r="GU78" s="653">
        <f t="shared" si="639"/>
        <v>0</v>
      </c>
      <c r="GV78" s="653">
        <f t="shared" si="640"/>
        <v>0</v>
      </c>
      <c r="GW78" s="653">
        <f t="shared" si="641"/>
        <v>0</v>
      </c>
      <c r="GX78" s="393"/>
      <c r="GY78" s="394"/>
      <c r="GZ78" s="395">
        <f t="shared" si="603"/>
        <v>0</v>
      </c>
      <c r="HA78" s="396"/>
      <c r="HB78" s="394"/>
      <c r="HC78" s="395">
        <f t="shared" si="604"/>
        <v>0</v>
      </c>
      <c r="HD78" s="397">
        <f t="shared" si="605"/>
        <v>0</v>
      </c>
      <c r="HE78" s="405">
        <f t="shared" si="606"/>
        <v>0</v>
      </c>
      <c r="HF78" s="398">
        <f t="shared" si="607"/>
        <v>0</v>
      </c>
      <c r="HG78" s="398"/>
      <c r="HH78" s="492">
        <f t="shared" si="613"/>
        <v>0</v>
      </c>
      <c r="HI78" s="487">
        <f t="shared" si="614"/>
        <v>0</v>
      </c>
      <c r="HJ78" s="487">
        <f t="shared" si="615"/>
        <v>0</v>
      </c>
      <c r="HK78" s="487">
        <f t="shared" si="616"/>
        <v>0</v>
      </c>
      <c r="HL78" s="487">
        <f t="shared" si="617"/>
        <v>0</v>
      </c>
      <c r="HM78" s="487">
        <f t="shared" si="618"/>
        <v>0</v>
      </c>
      <c r="HN78" s="474"/>
      <c r="HO78" s="474">
        <f t="shared" si="647"/>
        <v>0</v>
      </c>
      <c r="HP78" s="475"/>
      <c r="HQ78" s="547">
        <f t="shared" si="592"/>
        <v>0</v>
      </c>
      <c r="HR78" s="547">
        <f t="shared" si="593"/>
        <v>0</v>
      </c>
      <c r="HS78" s="547">
        <f t="shared" si="594"/>
        <v>0</v>
      </c>
      <c r="HT78" s="547">
        <f t="shared" si="595"/>
        <v>0</v>
      </c>
      <c r="HU78" s="393"/>
      <c r="HV78" s="394"/>
      <c r="HW78" s="395">
        <f t="shared" si="608"/>
        <v>0</v>
      </c>
      <c r="HX78" s="396"/>
      <c r="HY78" s="394"/>
      <c r="HZ78" s="395">
        <f t="shared" si="609"/>
        <v>0</v>
      </c>
      <c r="IA78" s="397">
        <f t="shared" si="610"/>
        <v>0</v>
      </c>
      <c r="IB78" s="405">
        <f t="shared" si="611"/>
        <v>0</v>
      </c>
      <c r="IC78" s="398">
        <f t="shared" si="612"/>
        <v>0</v>
      </c>
      <c r="ID78" s="398"/>
      <c r="IE78" s="393"/>
      <c r="IF78" s="394"/>
      <c r="IG78" s="395"/>
      <c r="IH78" s="396"/>
      <c r="II78" s="394"/>
      <c r="IJ78" s="395"/>
      <c r="IK78" s="397"/>
      <c r="IL78" s="405"/>
      <c r="IM78" s="398"/>
      <c r="IN78" s="398"/>
      <c r="IO78" s="393"/>
      <c r="IP78" s="394"/>
      <c r="IQ78" s="395"/>
      <c r="IR78" s="396"/>
      <c r="IS78" s="394"/>
      <c r="IT78" s="395"/>
      <c r="IU78" s="397"/>
      <c r="IV78" s="405"/>
      <c r="IW78" s="398"/>
      <c r="IX78" s="398"/>
      <c r="IY78" s="393"/>
      <c r="IZ78" s="394"/>
      <c r="JA78" s="395"/>
      <c r="JB78" s="396"/>
      <c r="JC78" s="394"/>
      <c r="JD78" s="395"/>
      <c r="JE78" s="397"/>
      <c r="JF78" s="405"/>
      <c r="JG78" s="398"/>
      <c r="JH78" s="398"/>
      <c r="JI78" s="494"/>
      <c r="JJ78" s="479"/>
      <c r="JK78" s="479"/>
      <c r="JL78" s="479"/>
      <c r="JM78" s="474"/>
      <c r="JN78" s="474">
        <f t="shared" si="648"/>
        <v>0</v>
      </c>
      <c r="JO78" s="475"/>
      <c r="JP78" s="393"/>
      <c r="JQ78" s="394"/>
      <c r="JR78" s="395"/>
      <c r="JS78" s="396"/>
      <c r="JT78" s="394"/>
      <c r="JU78" s="395"/>
      <c r="JV78" s="397"/>
      <c r="JW78" s="405"/>
      <c r="JX78" s="398"/>
      <c r="JY78" s="398"/>
      <c r="JZ78" s="577">
        <f t="shared" si="585"/>
        <v>0</v>
      </c>
      <c r="KA78" s="412">
        <f>SUM(JV78+JE78+IU78+IK78+IA78+HD78+GN78+GD78+FT78+ES78+EI78+DY78+DO78+CS78+CI78+BT78+BJ78+AO78+AE78+U78+K78)</f>
        <v>0</v>
      </c>
      <c r="KB78" s="412">
        <f>SUM(JW78+JF78+IV78+IL78+IB78+HE78+GO78+GE78+FU78+ET78+EJ78+DZ78+DP78+CT78+CJ78+BU78+BK78+AP78+AF78+V78+L78)</f>
        <v>0</v>
      </c>
      <c r="KC78" s="412">
        <f>SUM(JP78+IY78+IO78+IE78+HU78+GX78+GH78+FX78+FN78+EM78+EC78+DS78+DI78+CM78+CC78+BN78+BD78+AI78+Y78+O78+E78)</f>
        <v>0</v>
      </c>
      <c r="KD78" s="412">
        <f>SUM(JQ78+IZ78+IP78+IF78+HV78+GY78+GI78+FY78+FO78+EN78+ED78+DT78+DJ78+CN78+CD78+BO78+BE78+AJ78+Z78+P78+F78)</f>
        <v>0</v>
      </c>
      <c r="KE78" s="412">
        <f>SUM(JS78+JB78+IR78+IH78+HX78+HA78+GK78+GA78+FQ78+EP78+EF78+DV78+DL78+CP78+CF78+BQ78+BG78+AL78+AB78+R78+H78)</f>
        <v>0</v>
      </c>
      <c r="KF78" s="693">
        <f>SUM(JT78+JC78+IS78+II78+HY78+HB78+GL78+GB78+FR78+EQ78+EG78+DW78+DM78+CQ78+CG78+BR78+BH78+AM78+AC78+S78+I78)</f>
        <v>0</v>
      </c>
      <c r="KG78" s="687">
        <f t="shared" si="75"/>
        <v>0</v>
      </c>
      <c r="KH78" s="680">
        <v>1</v>
      </c>
      <c r="KI78" s="680">
        <f>KH78-KG78</f>
        <v>1</v>
      </c>
      <c r="KJ78" s="681">
        <f>KG78/KH78</f>
        <v>0</v>
      </c>
      <c r="KK78" s="359">
        <f t="shared" si="464"/>
        <v>0.1</v>
      </c>
      <c r="KL78" s="359"/>
      <c r="KM78" s="359"/>
      <c r="KN78" s="359"/>
      <c r="KO78" s="359"/>
      <c r="KP78" s="359"/>
      <c r="KQ78" s="359"/>
    </row>
    <row r="79" spans="1:303" ht="34.5" customHeight="1" x14ac:dyDescent="0.3">
      <c r="A79" s="390"/>
      <c r="B79" s="418" t="s">
        <v>67</v>
      </c>
      <c r="C79" s="391" t="s">
        <v>130</v>
      </c>
      <c r="D79" s="392">
        <v>210</v>
      </c>
      <c r="E79" s="393"/>
      <c r="F79" s="394"/>
      <c r="G79" s="395"/>
      <c r="H79" s="396"/>
      <c r="I79" s="394"/>
      <c r="J79" s="395"/>
      <c r="K79" s="447"/>
      <c r="L79" s="448"/>
      <c r="M79" s="448"/>
      <c r="N79" s="449"/>
      <c r="O79" s="393"/>
      <c r="P79" s="394"/>
      <c r="Q79" s="400"/>
      <c r="R79" s="396"/>
      <c r="S79" s="394"/>
      <c r="T79" s="400"/>
      <c r="U79" s="447"/>
      <c r="V79" s="448"/>
      <c r="W79" s="448"/>
      <c r="X79" s="449"/>
      <c r="Y79" s="393"/>
      <c r="Z79" s="394"/>
      <c r="AA79" s="400"/>
      <c r="AB79" s="396"/>
      <c r="AC79" s="394"/>
      <c r="AD79" s="400"/>
      <c r="AE79" s="447"/>
      <c r="AF79" s="450"/>
      <c r="AG79" s="448"/>
      <c r="AH79" s="451"/>
      <c r="AI79" s="393"/>
      <c r="AJ79" s="394"/>
      <c r="AK79" s="395"/>
      <c r="AL79" s="396"/>
      <c r="AM79" s="394"/>
      <c r="AN79" s="395"/>
      <c r="AO79" s="447"/>
      <c r="AP79" s="448"/>
      <c r="AQ79" s="448"/>
      <c r="AR79" s="452"/>
      <c r="AS79" s="488">
        <f t="shared" si="7"/>
        <v>0</v>
      </c>
      <c r="AT79" s="489">
        <f t="shared" si="8"/>
        <v>0</v>
      </c>
      <c r="AU79" s="489">
        <f t="shared" si="9"/>
        <v>0</v>
      </c>
      <c r="AV79" s="489">
        <f t="shared" si="10"/>
        <v>0</v>
      </c>
      <c r="AW79" s="480"/>
      <c r="AX79" s="481">
        <f t="shared" si="11"/>
        <v>0</v>
      </c>
      <c r="AY79" s="540" t="e">
        <f>AX79/AW79</f>
        <v>#DIV/0!</v>
      </c>
      <c r="AZ79" s="651">
        <f t="shared" si="489"/>
        <v>0</v>
      </c>
      <c r="BA79" s="651">
        <f t="shared" si="490"/>
        <v>0</v>
      </c>
      <c r="BB79" s="651">
        <f t="shared" si="491"/>
        <v>0</v>
      </c>
      <c r="BC79" s="651">
        <f t="shared" si="492"/>
        <v>0</v>
      </c>
      <c r="BD79" s="393"/>
      <c r="BE79" s="394"/>
      <c r="BF79" s="395"/>
      <c r="BG79" s="396"/>
      <c r="BH79" s="394"/>
      <c r="BI79" s="395"/>
      <c r="BJ79" s="397"/>
      <c r="BK79" s="398"/>
      <c r="BL79" s="405"/>
      <c r="BM79" s="398"/>
      <c r="BN79" s="393">
        <v>149</v>
      </c>
      <c r="BO79" s="394">
        <v>63</v>
      </c>
      <c r="BP79" s="395">
        <f>SUM(BN79:BO79)</f>
        <v>212</v>
      </c>
      <c r="BQ79" s="396">
        <v>0</v>
      </c>
      <c r="BR79" s="394">
        <v>0</v>
      </c>
      <c r="BS79" s="395">
        <f>SUM(BQ79:BR79)</f>
        <v>0</v>
      </c>
      <c r="BT79" s="397">
        <f>SUM(BN79+BQ79)</f>
        <v>149</v>
      </c>
      <c r="BU79" s="405">
        <f>SUM(BO79+BR79)</f>
        <v>63</v>
      </c>
      <c r="BV79" s="398">
        <f>SUM(BT79:BU79)</f>
        <v>212</v>
      </c>
      <c r="BW79" s="398"/>
      <c r="BX79" s="626">
        <f t="shared" si="619"/>
        <v>149</v>
      </c>
      <c r="BY79" s="626">
        <f t="shared" si="620"/>
        <v>63</v>
      </c>
      <c r="BZ79" s="626">
        <f t="shared" si="621"/>
        <v>0</v>
      </c>
      <c r="CA79" s="626">
        <f t="shared" si="622"/>
        <v>0</v>
      </c>
      <c r="CB79" s="625">
        <f t="shared" si="623"/>
        <v>212</v>
      </c>
      <c r="CC79" s="393"/>
      <c r="CD79" s="394"/>
      <c r="CE79" s="395"/>
      <c r="CF79" s="396"/>
      <c r="CG79" s="394"/>
      <c r="CH79" s="395"/>
      <c r="CI79" s="397"/>
      <c r="CJ79" s="398"/>
      <c r="CK79" s="398"/>
      <c r="CL79" s="414"/>
      <c r="CM79" s="393"/>
      <c r="CN79" s="394"/>
      <c r="CO79" s="395"/>
      <c r="CP79" s="396"/>
      <c r="CQ79" s="394"/>
      <c r="CR79" s="395"/>
      <c r="CS79" s="397"/>
      <c r="CT79" s="398"/>
      <c r="CU79" s="405"/>
      <c r="CV79" s="405"/>
      <c r="CW79" s="492">
        <f t="shared" si="588"/>
        <v>149</v>
      </c>
      <c r="CX79" s="487">
        <f t="shared" si="589"/>
        <v>63</v>
      </c>
      <c r="CY79" s="487">
        <f t="shared" si="590"/>
        <v>212</v>
      </c>
      <c r="CZ79" s="487">
        <f t="shared" si="591"/>
        <v>0</v>
      </c>
      <c r="DA79" s="474"/>
      <c r="DB79" s="474">
        <f>SUM(CW79:CX79)</f>
        <v>212</v>
      </c>
      <c r="DC79" s="475" t="e">
        <f>DB79/DA79</f>
        <v>#DIV/0!</v>
      </c>
      <c r="DD79" s="547">
        <f t="shared" si="21"/>
        <v>149</v>
      </c>
      <c r="DE79" s="547">
        <f t="shared" si="22"/>
        <v>63</v>
      </c>
      <c r="DF79" s="547">
        <f t="shared" si="23"/>
        <v>0</v>
      </c>
      <c r="DG79" s="547">
        <f t="shared" si="24"/>
        <v>0</v>
      </c>
      <c r="DH79" s="576">
        <f t="shared" si="642"/>
        <v>212</v>
      </c>
      <c r="DI79" s="393"/>
      <c r="DJ79" s="394"/>
      <c r="DK79" s="395"/>
      <c r="DL79" s="396"/>
      <c r="DM79" s="394"/>
      <c r="DN79" s="395"/>
      <c r="DO79" s="397"/>
      <c r="DP79" s="405"/>
      <c r="DQ79" s="398"/>
      <c r="DR79" s="398"/>
      <c r="DS79" s="393"/>
      <c r="DT79" s="394"/>
      <c r="DU79" s="395">
        <f t="shared" si="76"/>
        <v>0</v>
      </c>
      <c r="DV79" s="396"/>
      <c r="DW79" s="394"/>
      <c r="DX79" s="395">
        <f t="shared" si="77"/>
        <v>0</v>
      </c>
      <c r="DY79" s="397">
        <f t="shared" si="78"/>
        <v>0</v>
      </c>
      <c r="DZ79" s="405">
        <f t="shared" si="79"/>
        <v>0</v>
      </c>
      <c r="EA79" s="398">
        <f t="shared" si="80"/>
        <v>0</v>
      </c>
      <c r="EB79" s="398"/>
      <c r="EC79" s="393"/>
      <c r="ED79" s="394"/>
      <c r="EE79" s="395"/>
      <c r="EF79" s="396"/>
      <c r="EG79" s="394"/>
      <c r="EH79" s="395"/>
      <c r="EI79" s="397"/>
      <c r="EJ79" s="405"/>
      <c r="EK79" s="398"/>
      <c r="EL79" s="398"/>
      <c r="EM79" s="393">
        <v>115</v>
      </c>
      <c r="EN79" s="394">
        <v>23</v>
      </c>
      <c r="EO79" s="395">
        <f>SUM(EM79:EN79)</f>
        <v>138</v>
      </c>
      <c r="EP79" s="396">
        <v>0</v>
      </c>
      <c r="EQ79" s="394">
        <v>0</v>
      </c>
      <c r="ER79" s="395">
        <f>SUM(EP79:EQ79)</f>
        <v>0</v>
      </c>
      <c r="ES79" s="397">
        <f>SUM(EM79+EP79)</f>
        <v>115</v>
      </c>
      <c r="ET79" s="405">
        <f>SUM(EN79+EQ79)</f>
        <v>23</v>
      </c>
      <c r="EU79" s="398"/>
      <c r="EV79" s="398"/>
      <c r="EW79" s="492">
        <f t="shared" si="26"/>
        <v>115</v>
      </c>
      <c r="EX79" s="487">
        <f t="shared" si="27"/>
        <v>23</v>
      </c>
      <c r="EY79" s="487">
        <f t="shared" si="28"/>
        <v>138</v>
      </c>
      <c r="EZ79" s="487">
        <f t="shared" si="29"/>
        <v>0</v>
      </c>
      <c r="FA79" s="474"/>
      <c r="FB79" s="474">
        <f t="shared" si="30"/>
        <v>138</v>
      </c>
      <c r="FC79" s="475" t="e">
        <f>FB79/FA79</f>
        <v>#DIV/0!</v>
      </c>
      <c r="FD79" s="547">
        <f t="shared" si="624"/>
        <v>115</v>
      </c>
      <c r="FE79" s="547">
        <f t="shared" si="625"/>
        <v>23</v>
      </c>
      <c r="FF79" s="547">
        <f t="shared" si="626"/>
        <v>0</v>
      </c>
      <c r="FG79" s="547">
        <f t="shared" si="627"/>
        <v>0</v>
      </c>
      <c r="FH79" s="577">
        <f t="shared" si="628"/>
        <v>115</v>
      </c>
      <c r="FI79" s="577">
        <f t="shared" si="629"/>
        <v>23</v>
      </c>
      <c r="FJ79" s="577">
        <f t="shared" si="643"/>
        <v>138</v>
      </c>
      <c r="FK79" s="577">
        <f t="shared" si="630"/>
        <v>264</v>
      </c>
      <c r="FL79" s="577">
        <f t="shared" si="631"/>
        <v>86</v>
      </c>
      <c r="FM79" s="577">
        <f t="shared" si="632"/>
        <v>350</v>
      </c>
      <c r="FN79" s="393"/>
      <c r="FO79" s="394"/>
      <c r="FP79" s="395"/>
      <c r="FQ79" s="396"/>
      <c r="FR79" s="394"/>
      <c r="FS79" s="395"/>
      <c r="FT79" s="397"/>
      <c r="FU79" s="405"/>
      <c r="FV79" s="398"/>
      <c r="FW79" s="398"/>
      <c r="FX79" s="393"/>
      <c r="FY79" s="394"/>
      <c r="FZ79" s="395"/>
      <c r="GA79" s="396"/>
      <c r="GB79" s="394"/>
      <c r="GC79" s="395"/>
      <c r="GD79" s="397">
        <f t="shared" si="633"/>
        <v>0</v>
      </c>
      <c r="GE79" s="405">
        <f t="shared" si="634"/>
        <v>0</v>
      </c>
      <c r="GF79" s="398">
        <f t="shared" si="635"/>
        <v>0</v>
      </c>
      <c r="GG79" s="398"/>
      <c r="GH79" s="393"/>
      <c r="GI79" s="394"/>
      <c r="GJ79" s="395"/>
      <c r="GK79" s="396"/>
      <c r="GL79" s="394"/>
      <c r="GM79" s="395"/>
      <c r="GN79" s="397"/>
      <c r="GO79" s="405"/>
      <c r="GP79" s="398"/>
      <c r="GQ79" s="398"/>
      <c r="GR79" s="650">
        <f t="shared" si="636"/>
        <v>264</v>
      </c>
      <c r="GS79" s="650">
        <f t="shared" si="637"/>
        <v>86</v>
      </c>
      <c r="GT79" s="650">
        <f t="shared" si="638"/>
        <v>264</v>
      </c>
      <c r="GU79" s="650">
        <f t="shared" si="639"/>
        <v>86</v>
      </c>
      <c r="GV79" s="650">
        <f t="shared" si="640"/>
        <v>0</v>
      </c>
      <c r="GW79" s="650">
        <f t="shared" si="641"/>
        <v>0</v>
      </c>
      <c r="GX79" s="393"/>
      <c r="GY79" s="394"/>
      <c r="GZ79" s="395">
        <f t="shared" si="603"/>
        <v>0</v>
      </c>
      <c r="HA79" s="396"/>
      <c r="HB79" s="394"/>
      <c r="HC79" s="395">
        <f t="shared" si="604"/>
        <v>0</v>
      </c>
      <c r="HD79" s="397">
        <f t="shared" si="605"/>
        <v>0</v>
      </c>
      <c r="HE79" s="405">
        <f t="shared" si="606"/>
        <v>0</v>
      </c>
      <c r="HF79" s="398">
        <f t="shared" si="607"/>
        <v>0</v>
      </c>
      <c r="HG79" s="398"/>
      <c r="HH79" s="492">
        <f t="shared" si="613"/>
        <v>0</v>
      </c>
      <c r="HI79" s="487">
        <f t="shared" si="614"/>
        <v>0</v>
      </c>
      <c r="HJ79" s="487">
        <f t="shared" si="615"/>
        <v>0</v>
      </c>
      <c r="HK79" s="487">
        <f t="shared" si="616"/>
        <v>0</v>
      </c>
      <c r="HL79" s="487">
        <f t="shared" si="617"/>
        <v>0</v>
      </c>
      <c r="HM79" s="487">
        <f t="shared" si="618"/>
        <v>0</v>
      </c>
      <c r="HN79" s="474"/>
      <c r="HO79" s="474">
        <f t="shared" si="647"/>
        <v>0</v>
      </c>
      <c r="HP79" s="475" t="e">
        <f>HO79/HN79</f>
        <v>#DIV/0!</v>
      </c>
      <c r="HQ79" s="547">
        <f t="shared" si="592"/>
        <v>0</v>
      </c>
      <c r="HR79" s="547">
        <f t="shared" si="593"/>
        <v>0</v>
      </c>
      <c r="HS79" s="547">
        <f t="shared" si="594"/>
        <v>0</v>
      </c>
      <c r="HT79" s="547">
        <f t="shared" si="595"/>
        <v>0</v>
      </c>
      <c r="HU79" s="393"/>
      <c r="HV79" s="394"/>
      <c r="HW79" s="395">
        <f t="shared" si="608"/>
        <v>0</v>
      </c>
      <c r="HX79" s="396"/>
      <c r="HY79" s="394"/>
      <c r="HZ79" s="395">
        <f t="shared" si="609"/>
        <v>0</v>
      </c>
      <c r="IA79" s="397">
        <f t="shared" si="610"/>
        <v>0</v>
      </c>
      <c r="IB79" s="405">
        <f t="shared" si="611"/>
        <v>0</v>
      </c>
      <c r="IC79" s="398">
        <f t="shared" si="612"/>
        <v>0</v>
      </c>
      <c r="ID79" s="398"/>
      <c r="IE79" s="393"/>
      <c r="IF79" s="394"/>
      <c r="IG79" s="395"/>
      <c r="IH79" s="396"/>
      <c r="II79" s="394"/>
      <c r="IJ79" s="395"/>
      <c r="IK79" s="397"/>
      <c r="IL79" s="405"/>
      <c r="IM79" s="398"/>
      <c r="IN79" s="398"/>
      <c r="IO79" s="393"/>
      <c r="IP79" s="394"/>
      <c r="IQ79" s="395"/>
      <c r="IR79" s="396"/>
      <c r="IS79" s="394"/>
      <c r="IT79" s="395"/>
      <c r="IU79" s="397"/>
      <c r="IV79" s="405"/>
      <c r="IW79" s="398"/>
      <c r="IX79" s="398"/>
      <c r="IY79" s="393"/>
      <c r="IZ79" s="394"/>
      <c r="JA79" s="395"/>
      <c r="JB79" s="396"/>
      <c r="JC79" s="394"/>
      <c r="JD79" s="395"/>
      <c r="JE79" s="397"/>
      <c r="JF79" s="405"/>
      <c r="JG79" s="398"/>
      <c r="JH79" s="398"/>
      <c r="JI79" s="494">
        <f>SUM(IA79+IK79+IU79)</f>
        <v>0</v>
      </c>
      <c r="JJ79" s="479">
        <f>SUM(IB79+IL79+IV79)</f>
        <v>0</v>
      </c>
      <c r="JK79" s="479">
        <f>SUM(IG79+IQ79+HW79)</f>
        <v>0</v>
      </c>
      <c r="JL79" s="479"/>
      <c r="JM79" s="474"/>
      <c r="JN79" s="474">
        <f t="shared" si="648"/>
        <v>0</v>
      </c>
      <c r="JO79" s="475" t="e">
        <f>JN79/JM79</f>
        <v>#DIV/0!</v>
      </c>
      <c r="JP79" s="393"/>
      <c r="JQ79" s="394"/>
      <c r="JR79" s="395"/>
      <c r="JS79" s="396"/>
      <c r="JT79" s="394"/>
      <c r="JU79" s="395"/>
      <c r="JV79" s="397"/>
      <c r="JW79" s="405"/>
      <c r="JX79" s="398"/>
      <c r="JY79" s="398"/>
      <c r="JZ79" s="577">
        <f t="shared" si="585"/>
        <v>138</v>
      </c>
      <c r="KA79" s="412">
        <f>SUM(JV79+JE79+IU79+IK79+IA79+HD79+GN79+GD79+FT79+ES79+EI79+DY79+DO79+CS79+CI79+BT79+BJ79+AO79+AE79+U79+K79)</f>
        <v>264</v>
      </c>
      <c r="KB79" s="412">
        <f>SUM(JW79+JF79+IV79+IL79+IB79+HE79+GO79+GE79+FU79+ET79+EJ79+DZ79+DP79+CT79+CJ79+BU79+BK79+AP79+AF79+V79+L79)</f>
        <v>86</v>
      </c>
      <c r="KC79" s="412">
        <f>SUM(JP79+IY79+IO79+IE79+HU79+GX79+GH79+FX79+FN79+EM79+EC79+DS79+DI79+CM79+CC79+BN79+BD79+AI79+Y79+O79+E79)</f>
        <v>264</v>
      </c>
      <c r="KD79" s="412">
        <f>SUM(JQ79+IZ79+IP79+IF79+HV79+GY79+GI79+FY79+FO79+EN79+ED79+DT79+DJ79+CN79+CD79+BO79+BE79+AJ79+Z79+P79+F79)</f>
        <v>86</v>
      </c>
      <c r="KE79" s="412">
        <f>SUM(JS79+JB79+IR79+IH79+HX79+HA79+GK79+GA79+FQ79+EP79+EF79+DV79+DL79+CP79+CF79+BQ79+BG79+AL79+AB79+R79+H79)</f>
        <v>0</v>
      </c>
      <c r="KF79" s="693">
        <f>SUM(JT79+JC79+IS79+II79+HY79+HB79+GL79+GB79+FR79+EQ79+EG79+DW79+DM79+CQ79+CG79+BR79+BH79+AM79+AC79+S79+I79)</f>
        <v>0</v>
      </c>
      <c r="KG79" s="690">
        <f t="shared" si="75"/>
        <v>350</v>
      </c>
      <c r="KH79" s="691">
        <v>210</v>
      </c>
      <c r="KI79" s="691">
        <f>KH79-KG79</f>
        <v>-140</v>
      </c>
      <c r="KJ79" s="692">
        <f>KG79/KH79</f>
        <v>1.6666666666666667</v>
      </c>
      <c r="KK79" s="359" t="e">
        <f>KG74+EU66+KG63+KG62+KG14+KG12+KG10+#REF!+551</f>
        <v>#REF!</v>
      </c>
      <c r="KL79" s="359">
        <f>SUM(CY4:CY79)</f>
        <v>11447</v>
      </c>
      <c r="KM79" s="359"/>
      <c r="KN79" s="359"/>
      <c r="KO79" s="359"/>
      <c r="KP79" s="359"/>
      <c r="KQ79" s="359"/>
    </row>
    <row r="80" spans="1:303" s="299" customFormat="1" ht="25.5" customHeight="1" x14ac:dyDescent="0.3">
      <c r="A80" s="453"/>
      <c r="B80" s="453"/>
      <c r="C80" s="454"/>
      <c r="D80" s="455"/>
      <c r="E80" s="453"/>
      <c r="F80" s="453"/>
      <c r="G80" s="453"/>
      <c r="H80" s="453"/>
      <c r="I80" s="453"/>
      <c r="J80" s="453"/>
      <c r="K80" s="453"/>
      <c r="L80" s="453"/>
      <c r="M80" s="456"/>
      <c r="N80" s="453"/>
      <c r="O80" s="453"/>
      <c r="P80" s="453"/>
      <c r="Q80" s="453"/>
      <c r="R80" s="453"/>
      <c r="S80" s="453"/>
      <c r="T80" s="453"/>
      <c r="U80" s="453"/>
      <c r="V80" s="453"/>
      <c r="W80" s="456"/>
      <c r="X80" s="453"/>
      <c r="Y80" s="453"/>
      <c r="Z80" s="453"/>
      <c r="AA80" s="453"/>
      <c r="AB80" s="453"/>
      <c r="AC80" s="453"/>
      <c r="AD80" s="453"/>
      <c r="AE80" s="453"/>
      <c r="AF80" s="453"/>
      <c r="AG80" s="453"/>
      <c r="AH80" s="453"/>
      <c r="AI80" s="453"/>
      <c r="AJ80" s="453"/>
      <c r="AK80" s="453"/>
      <c r="AL80" s="453"/>
      <c r="AM80" s="453"/>
      <c r="AN80" s="453"/>
      <c r="AO80" s="453"/>
      <c r="AP80" s="453"/>
      <c r="AQ80" s="456"/>
      <c r="AR80" s="453"/>
      <c r="AS80" s="453"/>
      <c r="AT80" s="453"/>
      <c r="AU80" s="453"/>
      <c r="AV80" s="453"/>
      <c r="AW80" s="453"/>
      <c r="AX80" s="453"/>
      <c r="AY80" s="457"/>
      <c r="AZ80" s="544"/>
      <c r="BA80" s="544"/>
      <c r="BB80" s="544"/>
      <c r="BC80" s="544"/>
      <c r="BD80" s="453"/>
      <c r="BE80" s="453"/>
      <c r="BF80" s="453"/>
      <c r="BG80" s="453"/>
      <c r="BH80" s="453"/>
      <c r="BI80" s="453"/>
      <c r="BJ80" s="453"/>
      <c r="BK80" s="453"/>
      <c r="BL80" s="453"/>
      <c r="BM80" s="453"/>
      <c r="BN80" s="453"/>
      <c r="BO80" s="453"/>
      <c r="BP80" s="453"/>
      <c r="BQ80" s="453"/>
      <c r="BR80" s="453"/>
      <c r="BS80" s="453"/>
      <c r="BT80" s="453"/>
      <c r="BU80" s="453"/>
      <c r="BV80" s="453"/>
      <c r="BW80" s="453"/>
      <c r="BX80" s="453"/>
      <c r="BY80" s="453"/>
      <c r="BZ80" s="453"/>
      <c r="CA80" s="453"/>
      <c r="CB80" s="453"/>
      <c r="CC80" s="453"/>
      <c r="CD80" s="453"/>
      <c r="CE80" s="453"/>
      <c r="CF80" s="453"/>
      <c r="CG80" s="453"/>
      <c r="CH80" s="453"/>
      <c r="CI80" s="453"/>
      <c r="CJ80" s="453"/>
      <c r="CK80" s="456"/>
      <c r="CL80" s="453"/>
      <c r="CM80" s="453"/>
      <c r="CN80" s="453"/>
      <c r="CO80" s="453"/>
      <c r="CP80" s="453"/>
      <c r="CQ80" s="453"/>
      <c r="CR80" s="453"/>
      <c r="CS80" s="453"/>
      <c r="CT80" s="453"/>
      <c r="CU80" s="453"/>
      <c r="CV80" s="453"/>
      <c r="CW80" s="453"/>
      <c r="CX80" s="453"/>
      <c r="CY80" s="453"/>
      <c r="CZ80" s="453"/>
      <c r="DA80" s="453"/>
      <c r="DB80" s="453"/>
      <c r="DC80" s="453"/>
      <c r="DD80" s="453"/>
      <c r="DE80" s="453"/>
      <c r="DF80" s="453"/>
      <c r="DG80" s="453"/>
      <c r="DH80" s="453"/>
      <c r="DI80" s="453"/>
      <c r="DJ80" s="453"/>
      <c r="DK80" s="453"/>
      <c r="DL80" s="453"/>
      <c r="DM80" s="453"/>
      <c r="DN80" s="453"/>
      <c r="DO80" s="453"/>
      <c r="DP80" s="453"/>
      <c r="DQ80" s="453"/>
      <c r="DR80" s="453"/>
      <c r="DS80" s="453"/>
      <c r="DT80" s="453"/>
      <c r="DU80" s="453"/>
      <c r="DV80" s="453"/>
      <c r="DW80" s="453"/>
      <c r="DX80" s="453"/>
      <c r="DY80" s="453"/>
      <c r="DZ80" s="453"/>
      <c r="EA80" s="453"/>
      <c r="EB80" s="453"/>
      <c r="EC80" s="453"/>
      <c r="ED80" s="453"/>
      <c r="EE80" s="453"/>
      <c r="EF80" s="453"/>
      <c r="EG80" s="453"/>
      <c r="EH80" s="453"/>
      <c r="EI80" s="453"/>
      <c r="EJ80" s="453"/>
      <c r="EK80" s="453"/>
      <c r="EL80" s="453"/>
      <c r="EM80" s="453"/>
      <c r="EN80" s="453"/>
      <c r="EO80" s="453"/>
      <c r="EP80" s="453"/>
      <c r="EQ80" s="453"/>
      <c r="ER80" s="453"/>
      <c r="ES80" s="453"/>
      <c r="ET80" s="453"/>
      <c r="EU80" s="453"/>
      <c r="EV80" s="453"/>
      <c r="EW80" s="453"/>
      <c r="EX80" s="453"/>
      <c r="EY80" s="453"/>
      <c r="EZ80" s="453"/>
      <c r="FA80" s="453"/>
      <c r="FB80" s="453"/>
      <c r="FC80" s="453"/>
      <c r="FD80" s="453"/>
      <c r="FE80" s="453"/>
      <c r="FF80" s="453"/>
      <c r="FG80" s="453"/>
      <c r="FH80" s="453"/>
      <c r="FI80" s="453"/>
      <c r="FJ80" s="453"/>
      <c r="FK80" s="453"/>
      <c r="FL80" s="453"/>
      <c r="FM80" s="453"/>
      <c r="FN80" s="453"/>
      <c r="FO80" s="453"/>
      <c r="FP80" s="453"/>
      <c r="FQ80" s="453"/>
      <c r="FR80" s="453"/>
      <c r="FS80" s="453"/>
      <c r="FT80" s="453"/>
      <c r="FU80" s="453"/>
      <c r="FV80" s="453"/>
      <c r="FW80" s="453"/>
      <c r="FX80" s="453"/>
      <c r="FY80" s="453"/>
      <c r="FZ80" s="453"/>
      <c r="GA80" s="453"/>
      <c r="GB80" s="453"/>
      <c r="GC80" s="453"/>
      <c r="GD80" s="453"/>
      <c r="GE80" s="453"/>
      <c r="GF80" s="453"/>
      <c r="GG80" s="453"/>
      <c r="GH80" s="453"/>
      <c r="GI80" s="453"/>
      <c r="GJ80" s="453"/>
      <c r="GK80" s="453"/>
      <c r="GL80" s="453"/>
      <c r="GM80" s="453"/>
      <c r="GN80" s="453"/>
      <c r="GO80" s="453"/>
      <c r="GP80" s="453"/>
      <c r="GQ80" s="453"/>
      <c r="GR80" s="453"/>
      <c r="GS80" s="453"/>
      <c r="GT80" s="453"/>
      <c r="GU80" s="453"/>
      <c r="GV80" s="453"/>
      <c r="GW80" s="453"/>
      <c r="GX80" s="453"/>
      <c r="GY80" s="453"/>
      <c r="GZ80" s="453"/>
      <c r="HA80" s="453"/>
      <c r="HB80" s="453"/>
      <c r="HC80" s="453"/>
      <c r="HD80" s="453"/>
      <c r="HE80" s="453"/>
      <c r="HF80" s="453"/>
      <c r="HG80" s="453"/>
      <c r="HH80" s="453"/>
      <c r="HI80" s="453"/>
      <c r="HJ80" s="453"/>
      <c r="HK80" s="453"/>
      <c r="HL80" s="453"/>
      <c r="HM80" s="453"/>
      <c r="HN80" s="453"/>
      <c r="HO80" s="453"/>
      <c r="HP80" s="453"/>
      <c r="HQ80" s="453"/>
      <c r="HR80" s="453"/>
      <c r="HS80" s="453"/>
      <c r="HT80" s="453"/>
      <c r="HU80" s="453"/>
      <c r="HV80" s="453"/>
      <c r="HW80" s="453"/>
      <c r="HX80" s="453"/>
      <c r="HY80" s="453"/>
      <c r="HZ80" s="453"/>
      <c r="IA80" s="453"/>
      <c r="IB80" s="453"/>
      <c r="IC80" s="453"/>
      <c r="ID80" s="453"/>
      <c r="IE80" s="453"/>
      <c r="IF80" s="453"/>
      <c r="IG80" s="453"/>
      <c r="IH80" s="453"/>
      <c r="II80" s="453"/>
      <c r="IJ80" s="453"/>
      <c r="IK80" s="453"/>
      <c r="IL80" s="453"/>
      <c r="IM80" s="453"/>
      <c r="IN80" s="453"/>
      <c r="IO80" s="453"/>
      <c r="IP80" s="453"/>
      <c r="IQ80" s="453"/>
      <c r="IR80" s="453"/>
      <c r="IS80" s="453"/>
      <c r="IT80" s="453"/>
      <c r="IU80" s="453"/>
      <c r="IV80" s="453"/>
      <c r="IW80" s="453"/>
      <c r="IX80" s="453"/>
      <c r="IY80" s="453"/>
      <c r="IZ80" s="453"/>
      <c r="JA80" s="453"/>
      <c r="JB80" s="453"/>
      <c r="JC80" s="453"/>
      <c r="JD80" s="453"/>
      <c r="JE80" s="453"/>
      <c r="JF80" s="453"/>
      <c r="JG80" s="453"/>
      <c r="JH80" s="453"/>
      <c r="JI80" s="453"/>
      <c r="JJ80" s="453"/>
      <c r="JK80" s="453"/>
      <c r="JL80" s="453"/>
      <c r="JM80" s="453"/>
      <c r="JN80" s="453"/>
      <c r="JO80" s="453"/>
      <c r="JP80" s="453"/>
      <c r="JQ80" s="453"/>
      <c r="JR80" s="453"/>
      <c r="JS80" s="453"/>
      <c r="JT80" s="453"/>
      <c r="JU80" s="453"/>
      <c r="JV80" s="453"/>
      <c r="JW80" s="453"/>
      <c r="JX80" s="453"/>
      <c r="JY80" s="453"/>
      <c r="JZ80" s="453"/>
      <c r="KA80" s="453"/>
      <c r="KB80" s="453"/>
      <c r="KC80" s="453"/>
      <c r="KD80" s="453"/>
      <c r="KE80" s="453"/>
      <c r="KF80" s="453"/>
      <c r="KG80" s="453"/>
      <c r="KH80" s="453"/>
      <c r="KI80" s="453"/>
      <c r="KJ80" s="457"/>
      <c r="KK80" s="453"/>
      <c r="KL80" s="453"/>
      <c r="KM80" s="453"/>
      <c r="KN80" s="453"/>
      <c r="KO80" s="453"/>
      <c r="KP80" s="453"/>
      <c r="KQ80" s="453"/>
    </row>
    <row r="81" spans="1:303" ht="15" x14ac:dyDescent="0.3">
      <c r="A81" s="359"/>
      <c r="B81" s="359"/>
      <c r="C81" s="458"/>
      <c r="D81" s="459"/>
      <c r="E81" s="359"/>
      <c r="F81" s="359"/>
      <c r="G81" s="359"/>
      <c r="H81" s="359"/>
      <c r="I81" s="359"/>
      <c r="J81" s="359"/>
      <c r="K81" s="437"/>
      <c r="L81" s="437"/>
      <c r="M81" s="460"/>
      <c r="N81" s="437"/>
      <c r="O81" s="359"/>
      <c r="P81" s="359"/>
      <c r="Q81" s="359"/>
      <c r="R81" s="359"/>
      <c r="S81" s="359"/>
      <c r="T81" s="359"/>
      <c r="U81" s="437"/>
      <c r="V81" s="437"/>
      <c r="W81" s="460"/>
      <c r="X81" s="437"/>
      <c r="Y81" s="359"/>
      <c r="Z81" s="359"/>
      <c r="AA81" s="359"/>
      <c r="AB81" s="359"/>
      <c r="AC81" s="359"/>
      <c r="AD81" s="359"/>
      <c r="AE81" s="437"/>
      <c r="AF81" s="437"/>
      <c r="AG81" s="437"/>
      <c r="AH81" s="437"/>
      <c r="AI81" s="359"/>
      <c r="AJ81" s="359"/>
      <c r="AK81" s="359"/>
      <c r="AL81" s="359"/>
      <c r="AM81" s="359"/>
      <c r="AN81" s="359"/>
      <c r="AO81" s="437"/>
      <c r="AP81" s="437"/>
      <c r="AQ81" s="460"/>
      <c r="AR81" s="437"/>
      <c r="AS81" s="437"/>
      <c r="AT81" s="437"/>
      <c r="AU81" s="437"/>
      <c r="AV81" s="437"/>
      <c r="AW81" s="359"/>
      <c r="AX81" s="359"/>
      <c r="AY81" s="461"/>
      <c r="AZ81" s="545"/>
      <c r="BA81" s="545"/>
      <c r="BB81" s="545"/>
      <c r="BC81" s="545"/>
      <c r="BD81" s="359"/>
      <c r="BE81" s="359"/>
      <c r="BF81" s="359"/>
      <c r="BG81" s="359"/>
      <c r="BH81" s="359"/>
      <c r="BI81" s="359"/>
      <c r="BJ81" s="437"/>
      <c r="BK81" s="437"/>
      <c r="BL81" s="437"/>
      <c r="BM81" s="437"/>
      <c r="BN81" s="359"/>
      <c r="BO81" s="359"/>
      <c r="BP81" s="359"/>
      <c r="BQ81" s="359"/>
      <c r="BR81" s="359"/>
      <c r="BS81" s="359"/>
      <c r="BT81" s="437"/>
      <c r="BU81" s="437"/>
      <c r="BV81" s="437"/>
      <c r="BW81" s="437"/>
      <c r="BX81" s="437"/>
      <c r="BY81" s="437"/>
      <c r="BZ81" s="437"/>
      <c r="CA81" s="437"/>
      <c r="CB81" s="437"/>
      <c r="CC81" s="359"/>
      <c r="CD81" s="359"/>
      <c r="CE81" s="359"/>
      <c r="CF81" s="359"/>
      <c r="CG81" s="359"/>
      <c r="CH81" s="359"/>
      <c r="CI81" s="437"/>
      <c r="CJ81" s="437"/>
      <c r="CK81" s="460"/>
      <c r="CL81" s="437"/>
      <c r="CM81" s="359"/>
      <c r="CN81" s="359"/>
      <c r="CO81" s="359"/>
      <c r="CP81" s="359"/>
      <c r="CQ81" s="359"/>
      <c r="CR81" s="359"/>
      <c r="CS81" s="437"/>
      <c r="CT81" s="437"/>
      <c r="CU81" s="437"/>
      <c r="CV81" s="437"/>
      <c r="CW81" s="437"/>
      <c r="CX81" s="437"/>
      <c r="CY81" s="437">
        <f>SUM(CY4:CY79)</f>
        <v>11447</v>
      </c>
      <c r="CZ81" s="437"/>
      <c r="DA81" s="437"/>
      <c r="DB81" s="437"/>
      <c r="DC81" s="437"/>
      <c r="DD81" s="437"/>
      <c r="DE81" s="437"/>
      <c r="DF81" s="437"/>
      <c r="DG81" s="437"/>
      <c r="DH81" s="437"/>
      <c r="DI81" s="359"/>
      <c r="DJ81" s="359"/>
      <c r="DK81" s="359"/>
      <c r="DL81" s="359"/>
      <c r="DM81" s="359"/>
      <c r="DN81" s="359"/>
      <c r="DO81" s="437"/>
      <c r="DP81" s="437"/>
      <c r="DQ81" s="437"/>
      <c r="DR81" s="437"/>
      <c r="DS81" s="359"/>
      <c r="DT81" s="359"/>
      <c r="DU81" s="359"/>
      <c r="DV81" s="359"/>
      <c r="DW81" s="359"/>
      <c r="DX81" s="359"/>
      <c r="DY81" s="437"/>
      <c r="DZ81" s="437"/>
      <c r="EA81" s="437"/>
      <c r="EB81" s="437"/>
      <c r="EC81" s="359"/>
      <c r="ED81" s="359"/>
      <c r="EE81" s="359"/>
      <c r="EF81" s="359"/>
      <c r="EG81" s="359"/>
      <c r="EH81" s="359"/>
      <c r="EI81" s="437"/>
      <c r="EJ81" s="437"/>
      <c r="EK81" s="437"/>
      <c r="EL81" s="437"/>
      <c r="EM81" s="359"/>
      <c r="EN81" s="359"/>
      <c r="EO81" s="359"/>
      <c r="EP81" s="359"/>
      <c r="EQ81" s="359"/>
      <c r="ER81" s="359"/>
      <c r="ES81" s="437"/>
      <c r="ET81" s="437"/>
      <c r="EU81" s="437"/>
      <c r="EV81" s="437"/>
      <c r="EW81" s="437"/>
      <c r="EX81" s="437"/>
      <c r="EY81" s="437"/>
      <c r="EZ81" s="437"/>
      <c r="FA81" s="437"/>
      <c r="FB81" s="437"/>
      <c r="FC81" s="437"/>
      <c r="FD81" s="437"/>
      <c r="FE81" s="437"/>
      <c r="FF81" s="437"/>
      <c r="FG81" s="437"/>
      <c r="FH81" s="437"/>
      <c r="FI81" s="437"/>
      <c r="FJ81" s="437"/>
      <c r="FK81" s="437"/>
      <c r="FL81" s="437"/>
      <c r="FM81" s="437"/>
      <c r="FN81" s="359"/>
      <c r="FO81" s="359"/>
      <c r="FP81" s="359"/>
      <c r="FQ81" s="359"/>
      <c r="FR81" s="359"/>
      <c r="FS81" s="359"/>
      <c r="FT81" s="437"/>
      <c r="FU81" s="437"/>
      <c r="FV81" s="437"/>
      <c r="FW81" s="437"/>
      <c r="FX81" s="359"/>
      <c r="FY81" s="359"/>
      <c r="FZ81" s="359"/>
      <c r="GA81" s="359"/>
      <c r="GB81" s="359"/>
      <c r="GC81" s="359"/>
      <c r="GD81" s="437"/>
      <c r="GE81" s="437"/>
      <c r="GF81" s="437"/>
      <c r="GG81" s="437"/>
      <c r="GH81" s="359"/>
      <c r="GI81" s="359"/>
      <c r="GJ81" s="359"/>
      <c r="GK81" s="359"/>
      <c r="GL81" s="359"/>
      <c r="GM81" s="359"/>
      <c r="GN81" s="437"/>
      <c r="GO81" s="437"/>
      <c r="GP81" s="437"/>
      <c r="GQ81" s="437"/>
      <c r="GR81" s="437"/>
      <c r="GS81" s="437"/>
      <c r="GT81" s="437"/>
      <c r="GU81" s="437"/>
      <c r="GV81" s="437"/>
      <c r="GW81" s="437"/>
      <c r="GX81" s="359"/>
      <c r="GY81" s="359"/>
      <c r="GZ81" s="359"/>
      <c r="HA81" s="359"/>
      <c r="HB81" s="359"/>
      <c r="HC81" s="359"/>
      <c r="HD81" s="437"/>
      <c r="HE81" s="437"/>
      <c r="HF81" s="437"/>
      <c r="HG81" s="437"/>
      <c r="HH81" s="437"/>
      <c r="HI81" s="437"/>
      <c r="HJ81" s="437"/>
      <c r="HK81" s="437"/>
      <c r="HL81" s="437"/>
      <c r="HM81" s="437"/>
      <c r="HN81" s="437"/>
      <c r="HO81" s="437"/>
      <c r="HP81" s="437"/>
      <c r="HQ81" s="437"/>
      <c r="HR81" s="437"/>
      <c r="HS81" s="437"/>
      <c r="HT81" s="437"/>
      <c r="HU81" s="359"/>
      <c r="HV81" s="359"/>
      <c r="HW81" s="359"/>
      <c r="HX81" s="359"/>
      <c r="HY81" s="359"/>
      <c r="HZ81" s="359"/>
      <c r="IA81" s="437"/>
      <c r="IB81" s="437"/>
      <c r="IC81" s="437"/>
      <c r="ID81" s="437"/>
      <c r="IE81" s="359"/>
      <c r="IF81" s="359"/>
      <c r="IG81" s="359"/>
      <c r="IH81" s="359"/>
      <c r="II81" s="359"/>
      <c r="IJ81" s="359"/>
      <c r="IK81" s="437"/>
      <c r="IL81" s="437"/>
      <c r="IM81" s="437"/>
      <c r="IN81" s="437"/>
      <c r="IO81" s="359"/>
      <c r="IP81" s="359"/>
      <c r="IQ81" s="359"/>
      <c r="IR81" s="359"/>
      <c r="IS81" s="359"/>
      <c r="IT81" s="359"/>
      <c r="IU81" s="437"/>
      <c r="IV81" s="437"/>
      <c r="IW81" s="437"/>
      <c r="IX81" s="437"/>
      <c r="IY81" s="359"/>
      <c r="IZ81" s="359"/>
      <c r="JA81" s="359"/>
      <c r="JB81" s="359"/>
      <c r="JC81" s="359"/>
      <c r="JD81" s="359"/>
      <c r="JE81" s="437"/>
      <c r="JF81" s="437"/>
      <c r="JG81" s="437"/>
      <c r="JH81" s="437"/>
      <c r="JI81" s="437"/>
      <c r="JJ81" s="437"/>
      <c r="JK81" s="437"/>
      <c r="JL81" s="437"/>
      <c r="JM81" s="437"/>
      <c r="JN81" s="437"/>
      <c r="JO81" s="437"/>
      <c r="JP81" s="359"/>
      <c r="JQ81" s="359"/>
      <c r="JR81" s="359"/>
      <c r="JS81" s="359"/>
      <c r="JT81" s="359"/>
      <c r="JU81" s="359"/>
      <c r="JV81" s="437"/>
      <c r="JW81" s="437"/>
      <c r="JX81" s="437"/>
      <c r="JY81" s="437"/>
      <c r="JZ81" s="437"/>
      <c r="KA81" s="462"/>
      <c r="KB81" s="462"/>
      <c r="KC81" s="462"/>
      <c r="KD81" s="462"/>
      <c r="KE81" s="462"/>
      <c r="KF81" s="462"/>
      <c r="KG81" s="359"/>
      <c r="KH81" s="359"/>
      <c r="KI81" s="359"/>
      <c r="KJ81" s="461"/>
      <c r="KK81" s="359"/>
      <c r="KL81" s="359"/>
      <c r="KM81" s="359"/>
      <c r="KN81" s="359"/>
      <c r="KO81" s="359"/>
      <c r="KP81" s="359"/>
      <c r="KQ81" s="359"/>
    </row>
    <row r="82" spans="1:303" ht="15" x14ac:dyDescent="0.3">
      <c r="A82" s="359"/>
      <c r="B82" s="359"/>
      <c r="C82" s="458"/>
      <c r="D82" s="459"/>
      <c r="E82" s="359"/>
      <c r="F82" s="359"/>
      <c r="G82" s="359"/>
      <c r="H82" s="359"/>
      <c r="I82" s="359"/>
      <c r="J82" s="359"/>
      <c r="K82" s="437"/>
      <c r="L82" s="437"/>
      <c r="M82" s="460"/>
      <c r="N82" s="437"/>
      <c r="O82" s="359"/>
      <c r="P82" s="359"/>
      <c r="Q82" s="359"/>
      <c r="R82" s="359"/>
      <c r="S82" s="359"/>
      <c r="T82" s="359"/>
      <c r="U82" s="437"/>
      <c r="V82" s="437"/>
      <c r="W82" s="460"/>
      <c r="X82" s="437"/>
      <c r="Y82" s="359"/>
      <c r="Z82" s="359"/>
      <c r="AA82" s="359"/>
      <c r="AB82" s="359"/>
      <c r="AC82" s="359"/>
      <c r="AD82" s="359"/>
      <c r="AE82" s="437"/>
      <c r="AF82" s="437"/>
      <c r="AG82" s="437"/>
      <c r="AH82" s="437"/>
      <c r="AI82" s="359"/>
      <c r="AJ82" s="359"/>
      <c r="AK82" s="359"/>
      <c r="AL82" s="359"/>
      <c r="AM82" s="359"/>
      <c r="AN82" s="359"/>
      <c r="AO82" s="437"/>
      <c r="AP82" s="437"/>
      <c r="AQ82" s="460"/>
      <c r="AR82" s="437"/>
      <c r="AS82" s="437"/>
      <c r="AT82" s="437"/>
      <c r="AU82" s="437"/>
      <c r="AV82" s="437"/>
      <c r="AW82" s="359"/>
      <c r="AX82" s="359"/>
      <c r="AY82" s="461"/>
      <c r="AZ82" s="545"/>
      <c r="BA82" s="545"/>
      <c r="BB82" s="545"/>
      <c r="BC82" s="545"/>
      <c r="BD82" s="359"/>
      <c r="BE82" s="359"/>
      <c r="BF82" s="359"/>
      <c r="BG82" s="359"/>
      <c r="BH82" s="359"/>
      <c r="BI82" s="359"/>
      <c r="BJ82" s="437"/>
      <c r="BK82" s="437"/>
      <c r="BL82" s="437"/>
      <c r="BM82" s="437"/>
      <c r="BN82" s="359"/>
      <c r="BO82" s="359"/>
      <c r="BP82" s="359"/>
      <c r="BQ82" s="359"/>
      <c r="BR82" s="359"/>
      <c r="BS82" s="359"/>
      <c r="BT82" s="437"/>
      <c r="BU82" s="437"/>
      <c r="BV82" s="437"/>
      <c r="BW82" s="437"/>
      <c r="BX82" s="437"/>
      <c r="BY82" s="437"/>
      <c r="BZ82" s="437"/>
      <c r="CA82" s="437"/>
      <c r="CB82" s="437"/>
      <c r="CC82" s="359"/>
      <c r="CD82" s="359"/>
      <c r="CE82" s="359"/>
      <c r="CF82" s="359"/>
      <c r="CG82" s="359"/>
      <c r="CH82" s="359"/>
      <c r="CI82" s="437"/>
      <c r="CJ82" s="437"/>
      <c r="CK82" s="460"/>
      <c r="CL82" s="437"/>
      <c r="CM82" s="359"/>
      <c r="CN82" s="359"/>
      <c r="CO82" s="359"/>
      <c r="CP82" s="359"/>
      <c r="CQ82" s="359"/>
      <c r="CR82" s="359"/>
      <c r="CS82" s="437"/>
      <c r="CT82" s="437"/>
      <c r="CU82" s="437"/>
      <c r="CV82" s="437"/>
      <c r="CW82" s="437"/>
      <c r="CX82" s="437"/>
      <c r="CY82" s="437"/>
      <c r="CZ82" s="437"/>
      <c r="DA82" s="437"/>
      <c r="DB82" s="437"/>
      <c r="DC82" s="437"/>
      <c r="DD82" s="437"/>
      <c r="DE82" s="437"/>
      <c r="DF82" s="437"/>
      <c r="DG82" s="437"/>
      <c r="DH82" s="437"/>
      <c r="DI82" s="359"/>
      <c r="DJ82" s="359"/>
      <c r="DK82" s="359"/>
      <c r="DL82" s="359"/>
      <c r="DM82" s="359"/>
      <c r="DN82" s="359"/>
      <c r="DO82" s="437"/>
      <c r="DP82" s="437"/>
      <c r="DQ82" s="437"/>
      <c r="DR82" s="437"/>
      <c r="DS82" s="359"/>
      <c r="DT82" s="359"/>
      <c r="DU82" s="359"/>
      <c r="DV82" s="359"/>
      <c r="DW82" s="359"/>
      <c r="DX82" s="359"/>
      <c r="DY82" s="437"/>
      <c r="DZ82" s="437"/>
      <c r="EA82" s="437"/>
      <c r="EB82" s="437"/>
      <c r="EC82" s="359"/>
      <c r="ED82" s="359"/>
      <c r="EE82" s="359"/>
      <c r="EF82" s="359"/>
      <c r="EG82" s="359"/>
      <c r="EH82" s="359"/>
      <c r="EI82" s="437"/>
      <c r="EJ82" s="437"/>
      <c r="EK82" s="437"/>
      <c r="EL82" s="437"/>
      <c r="EM82" s="359"/>
      <c r="EN82" s="359"/>
      <c r="EO82" s="359"/>
      <c r="EP82" s="359"/>
      <c r="EQ82" s="359"/>
      <c r="ER82" s="359"/>
      <c r="ES82" s="437"/>
      <c r="ET82" s="437"/>
      <c r="EU82" s="437"/>
      <c r="EV82" s="437"/>
      <c r="EW82" s="437"/>
      <c r="EX82" s="437"/>
      <c r="EY82" s="437"/>
      <c r="EZ82" s="437"/>
      <c r="FA82" s="437"/>
      <c r="FB82" s="437"/>
      <c r="FC82" s="437"/>
      <c r="FD82" s="437"/>
      <c r="FE82" s="437"/>
      <c r="FF82" s="437"/>
      <c r="FG82" s="437"/>
      <c r="FH82" s="437"/>
      <c r="FI82" s="437"/>
      <c r="FJ82" s="437"/>
      <c r="FK82" s="437"/>
      <c r="FL82" s="437"/>
      <c r="FM82" s="437"/>
      <c r="FN82" s="359"/>
      <c r="FO82" s="359"/>
      <c r="FP82" s="359"/>
      <c r="FQ82" s="359"/>
      <c r="FR82" s="359"/>
      <c r="FS82" s="359"/>
      <c r="FT82" s="437"/>
      <c r="FU82" s="437"/>
      <c r="FV82" s="437"/>
      <c r="FW82" s="437"/>
      <c r="FX82" s="359"/>
      <c r="FY82" s="359"/>
      <c r="FZ82" s="359"/>
      <c r="GA82" s="359"/>
      <c r="GB82" s="359"/>
      <c r="GC82" s="359"/>
      <c r="GD82" s="437"/>
      <c r="GE82" s="437"/>
      <c r="GF82" s="437"/>
      <c r="GG82" s="437"/>
      <c r="GH82" s="359"/>
      <c r="GI82" s="359"/>
      <c r="GJ82" s="359"/>
      <c r="GK82" s="359"/>
      <c r="GL82" s="359"/>
      <c r="GM82" s="359"/>
      <c r="GN82" s="437"/>
      <c r="GO82" s="437"/>
      <c r="GP82" s="437"/>
      <c r="GQ82" s="437"/>
      <c r="GR82" s="437"/>
      <c r="GS82" s="437"/>
      <c r="GT82" s="437"/>
      <c r="GU82" s="437"/>
      <c r="GV82" s="437"/>
      <c r="GW82" s="437"/>
      <c r="GX82" s="359"/>
      <c r="GY82" s="359"/>
      <c r="GZ82" s="359"/>
      <c r="HA82" s="359"/>
      <c r="HB82" s="359"/>
      <c r="HC82" s="359"/>
      <c r="HD82" s="437"/>
      <c r="HE82" s="437"/>
      <c r="HF82" s="437"/>
      <c r="HG82" s="437"/>
      <c r="HH82" s="437"/>
      <c r="HI82" s="437"/>
      <c r="HJ82" s="437"/>
      <c r="HK82" s="437"/>
      <c r="HL82" s="437"/>
      <c r="HM82" s="437"/>
      <c r="HN82" s="437"/>
      <c r="HO82" s="437"/>
      <c r="HP82" s="437"/>
      <c r="HQ82" s="437"/>
      <c r="HR82" s="437"/>
      <c r="HS82" s="437"/>
      <c r="HT82" s="437"/>
      <c r="HU82" s="359"/>
      <c r="HV82" s="359"/>
      <c r="HW82" s="359"/>
      <c r="HX82" s="359"/>
      <c r="HY82" s="359"/>
      <c r="HZ82" s="359"/>
      <c r="IA82" s="437"/>
      <c r="IB82" s="437"/>
      <c r="IC82" s="437"/>
      <c r="ID82" s="437"/>
      <c r="IE82" s="359"/>
      <c r="IF82" s="359"/>
      <c r="IG82" s="359"/>
      <c r="IH82" s="359"/>
      <c r="II82" s="359"/>
      <c r="IJ82" s="359"/>
      <c r="IK82" s="437"/>
      <c r="IL82" s="437"/>
      <c r="IM82" s="437"/>
      <c r="IN82" s="437"/>
      <c r="IO82" s="359"/>
      <c r="IP82" s="359"/>
      <c r="IQ82" s="359"/>
      <c r="IR82" s="359"/>
      <c r="IS82" s="359"/>
      <c r="IT82" s="359"/>
      <c r="IU82" s="437"/>
      <c r="IV82" s="437"/>
      <c r="IW82" s="437"/>
      <c r="IX82" s="437"/>
      <c r="IY82" s="359"/>
      <c r="IZ82" s="359"/>
      <c r="JA82" s="359"/>
      <c r="JB82" s="359"/>
      <c r="JC82" s="359"/>
      <c r="JD82" s="359"/>
      <c r="JE82" s="437"/>
      <c r="JF82" s="437"/>
      <c r="JG82" s="437"/>
      <c r="JH82" s="437"/>
      <c r="JI82" s="437"/>
      <c r="JJ82" s="437"/>
      <c r="JK82" s="437"/>
      <c r="JL82" s="437"/>
      <c r="JM82" s="437"/>
      <c r="JN82" s="437"/>
      <c r="JO82" s="437"/>
      <c r="JP82" s="359"/>
      <c r="JQ82" s="359"/>
      <c r="JR82" s="359"/>
      <c r="JS82" s="359"/>
      <c r="JT82" s="359"/>
      <c r="JU82" s="359"/>
      <c r="JV82" s="437"/>
      <c r="JW82" s="437"/>
      <c r="JX82" s="437"/>
      <c r="JY82" s="437"/>
      <c r="JZ82" s="437"/>
      <c r="KA82" s="462"/>
      <c r="KB82" s="462"/>
      <c r="KC82" s="462"/>
      <c r="KD82" s="462"/>
      <c r="KE82" s="462"/>
      <c r="KF82" s="462"/>
      <c r="KG82" s="359"/>
      <c r="KH82" s="359"/>
      <c r="KI82" s="359"/>
      <c r="KJ82" s="461"/>
      <c r="KK82" s="359"/>
      <c r="KL82" s="359"/>
      <c r="KM82" s="359"/>
      <c r="KN82" s="359"/>
      <c r="KO82" s="359"/>
      <c r="KP82" s="359"/>
      <c r="KQ82" s="359"/>
    </row>
    <row r="83" spans="1:303" ht="15" x14ac:dyDescent="0.3">
      <c r="A83" s="359"/>
      <c r="B83" s="359"/>
      <c r="C83" s="458"/>
      <c r="D83" s="459"/>
      <c r="E83" s="359"/>
      <c r="F83" s="359"/>
      <c r="G83" s="359"/>
      <c r="H83" s="359"/>
      <c r="I83" s="359"/>
      <c r="J83" s="359"/>
      <c r="K83" s="437"/>
      <c r="L83" s="437"/>
      <c r="M83" s="460"/>
      <c r="N83" s="437"/>
      <c r="O83" s="359"/>
      <c r="P83" s="359"/>
      <c r="Q83" s="359"/>
      <c r="R83" s="359"/>
      <c r="S83" s="359"/>
      <c r="T83" s="359"/>
      <c r="U83" s="437"/>
      <c r="V83" s="437"/>
      <c r="W83" s="460"/>
      <c r="X83" s="437"/>
      <c r="Y83" s="359"/>
      <c r="Z83" s="359"/>
      <c r="AA83" s="359"/>
      <c r="AB83" s="359"/>
      <c r="AC83" s="359"/>
      <c r="AD83" s="359"/>
      <c r="AE83" s="437"/>
      <c r="AF83" s="437"/>
      <c r="AG83" s="437"/>
      <c r="AH83" s="437"/>
      <c r="AI83" s="359"/>
      <c r="AJ83" s="359"/>
      <c r="AK83" s="359"/>
      <c r="AL83" s="359"/>
      <c r="AM83" s="359"/>
      <c r="AN83" s="359"/>
      <c r="AO83" s="437"/>
      <c r="AP83" s="437"/>
      <c r="AQ83" s="460"/>
      <c r="AR83" s="437"/>
      <c r="AS83" s="437"/>
      <c r="AT83" s="437"/>
      <c r="AU83" s="437"/>
      <c r="AV83" s="437"/>
      <c r="AW83" s="359"/>
      <c r="AX83" s="359"/>
      <c r="AY83" s="461"/>
      <c r="AZ83" s="545"/>
      <c r="BA83" s="545"/>
      <c r="BB83" s="545"/>
      <c r="BC83" s="545"/>
      <c r="BD83" s="359"/>
      <c r="BE83" s="359"/>
      <c r="BF83" s="359"/>
      <c r="BG83" s="359"/>
      <c r="BH83" s="359"/>
      <c r="BI83" s="359"/>
      <c r="BJ83" s="437"/>
      <c r="BK83" s="437"/>
      <c r="BL83" s="437"/>
      <c r="BM83" s="437"/>
      <c r="BN83" s="359"/>
      <c r="BO83" s="359"/>
      <c r="BP83" s="359"/>
      <c r="BQ83" s="359"/>
      <c r="BR83" s="359"/>
      <c r="BS83" s="359"/>
      <c r="BT83" s="437"/>
      <c r="BU83" s="437"/>
      <c r="BV83" s="437"/>
      <c r="BW83" s="437"/>
      <c r="BX83" s="437"/>
      <c r="BY83" s="437"/>
      <c r="BZ83" s="437"/>
      <c r="CA83" s="437"/>
      <c r="CB83" s="437"/>
      <c r="CC83" s="359"/>
      <c r="CD83" s="359"/>
      <c r="CE83" s="359"/>
      <c r="CF83" s="359"/>
      <c r="CG83" s="359"/>
      <c r="CH83" s="359"/>
      <c r="CI83" s="437"/>
      <c r="CJ83" s="437"/>
      <c r="CK83" s="460"/>
      <c r="CL83" s="437"/>
      <c r="CM83" s="359"/>
      <c r="CN83" s="359"/>
      <c r="CO83" s="359"/>
      <c r="CP83" s="359"/>
      <c r="CQ83" s="359"/>
      <c r="CR83" s="359"/>
      <c r="CS83" s="437"/>
      <c r="CT83" s="437"/>
      <c r="CU83" s="437"/>
      <c r="CV83" s="437"/>
      <c r="CW83" s="437"/>
      <c r="CX83" s="437"/>
      <c r="CY83" s="437"/>
      <c r="CZ83" s="437"/>
      <c r="DA83" s="437"/>
      <c r="DB83" s="437"/>
      <c r="DC83" s="437"/>
      <c r="DD83" s="437"/>
      <c r="DE83" s="437"/>
      <c r="DF83" s="437"/>
      <c r="DG83" s="437"/>
      <c r="DH83" s="437"/>
      <c r="DI83" s="359"/>
      <c r="DJ83" s="359"/>
      <c r="DK83" s="359"/>
      <c r="DL83" s="359"/>
      <c r="DM83" s="359"/>
      <c r="DN83" s="359"/>
      <c r="DO83" s="437"/>
      <c r="DP83" s="437"/>
      <c r="DQ83" s="437"/>
      <c r="DR83" s="437"/>
      <c r="DS83" s="359"/>
      <c r="DT83" s="359"/>
      <c r="DU83" s="359"/>
      <c r="DV83" s="359"/>
      <c r="DW83" s="359"/>
      <c r="DX83" s="359"/>
      <c r="DY83" s="437"/>
      <c r="DZ83" s="437"/>
      <c r="EA83" s="437"/>
      <c r="EB83" s="437"/>
      <c r="EC83" s="359"/>
      <c r="ED83" s="359"/>
      <c r="EE83" s="359"/>
      <c r="EF83" s="359"/>
      <c r="EG83" s="359"/>
      <c r="EH83" s="359"/>
      <c r="EI83" s="437"/>
      <c r="EJ83" s="437"/>
      <c r="EK83" s="437"/>
      <c r="EL83" s="437"/>
      <c r="EM83" s="359"/>
      <c r="EN83" s="359"/>
      <c r="EO83" s="359"/>
      <c r="EP83" s="359"/>
      <c r="EQ83" s="359"/>
      <c r="ER83" s="359"/>
      <c r="ES83" s="437"/>
      <c r="ET83" s="437"/>
      <c r="EU83" s="437"/>
      <c r="EV83" s="437"/>
      <c r="EW83" s="437"/>
      <c r="EX83" s="437"/>
      <c r="EY83" s="437"/>
      <c r="EZ83" s="437"/>
      <c r="FA83" s="437"/>
      <c r="FB83" s="437"/>
      <c r="FC83" s="437"/>
      <c r="FD83" s="437"/>
      <c r="FE83" s="437"/>
      <c r="FF83" s="437"/>
      <c r="FG83" s="437"/>
      <c r="FH83" s="437"/>
      <c r="FI83" s="437"/>
      <c r="FJ83" s="437"/>
      <c r="FK83" s="437"/>
      <c r="FL83" s="437"/>
      <c r="FM83" s="437"/>
      <c r="FN83" s="359"/>
      <c r="FO83" s="359"/>
      <c r="FP83" s="359"/>
      <c r="FQ83" s="359"/>
      <c r="FR83" s="359"/>
      <c r="FS83" s="359"/>
      <c r="FT83" s="437"/>
      <c r="FU83" s="437"/>
      <c r="FV83" s="437"/>
      <c r="FW83" s="437"/>
      <c r="FX83" s="359"/>
      <c r="FY83" s="359"/>
      <c r="FZ83" s="359"/>
      <c r="GA83" s="359"/>
      <c r="GB83" s="359"/>
      <c r="GC83" s="359"/>
      <c r="GD83" s="437"/>
      <c r="GE83" s="437"/>
      <c r="GF83" s="437"/>
      <c r="GG83" s="437"/>
      <c r="GH83" s="359"/>
      <c r="GI83" s="359"/>
      <c r="GJ83" s="359"/>
      <c r="GK83" s="359"/>
      <c r="GL83" s="359"/>
      <c r="GM83" s="359"/>
      <c r="GN83" s="437"/>
      <c r="GO83" s="437"/>
      <c r="GP83" s="437"/>
      <c r="GQ83" s="437"/>
      <c r="GR83" s="437"/>
      <c r="GS83" s="437"/>
      <c r="GT83" s="437"/>
      <c r="GU83" s="437"/>
      <c r="GV83" s="437"/>
      <c r="GW83" s="437"/>
      <c r="GX83" s="359"/>
      <c r="GY83" s="359"/>
      <c r="GZ83" s="359"/>
      <c r="HA83" s="359"/>
      <c r="HB83" s="359"/>
      <c r="HC83" s="359"/>
      <c r="HD83" s="437"/>
      <c r="HE83" s="437"/>
      <c r="HF83" s="437"/>
      <c r="HG83" s="437"/>
      <c r="HH83" s="437"/>
      <c r="HI83" s="437"/>
      <c r="HJ83" s="437"/>
      <c r="HK83" s="437"/>
      <c r="HL83" s="437"/>
      <c r="HM83" s="437"/>
      <c r="HN83" s="437"/>
      <c r="HO83" s="437"/>
      <c r="HP83" s="437"/>
      <c r="HQ83" s="437"/>
      <c r="HR83" s="437"/>
      <c r="HS83" s="437"/>
      <c r="HT83" s="437"/>
      <c r="HU83" s="359"/>
      <c r="HV83" s="359"/>
      <c r="HW83" s="359"/>
      <c r="HX83" s="359"/>
      <c r="HY83" s="359"/>
      <c r="HZ83" s="359"/>
      <c r="IA83" s="437"/>
      <c r="IB83" s="437"/>
      <c r="IC83" s="437"/>
      <c r="ID83" s="437"/>
      <c r="IE83" s="359"/>
      <c r="IF83" s="359"/>
      <c r="IG83" s="359"/>
      <c r="IH83" s="359"/>
      <c r="II83" s="359"/>
      <c r="IJ83" s="359"/>
      <c r="IK83" s="437"/>
      <c r="IL83" s="437"/>
      <c r="IM83" s="437"/>
      <c r="IN83" s="437"/>
      <c r="IO83" s="359"/>
      <c r="IP83" s="359"/>
      <c r="IQ83" s="359"/>
      <c r="IR83" s="359"/>
      <c r="IS83" s="359"/>
      <c r="IT83" s="359"/>
      <c r="IU83" s="437"/>
      <c r="IV83" s="437"/>
      <c r="IW83" s="437"/>
      <c r="IX83" s="437"/>
      <c r="IY83" s="359"/>
      <c r="IZ83" s="359"/>
      <c r="JA83" s="359"/>
      <c r="JB83" s="359"/>
      <c r="JC83" s="359"/>
      <c r="JD83" s="359"/>
      <c r="JE83" s="437"/>
      <c r="JF83" s="437"/>
      <c r="JG83" s="437"/>
      <c r="JH83" s="437"/>
      <c r="JI83" s="437"/>
      <c r="JJ83" s="437"/>
      <c r="JK83" s="437"/>
      <c r="JL83" s="437"/>
      <c r="JM83" s="437"/>
      <c r="JN83" s="437"/>
      <c r="JO83" s="437"/>
      <c r="JP83" s="359"/>
      <c r="JQ83" s="359"/>
      <c r="JR83" s="359"/>
      <c r="JS83" s="359"/>
      <c r="JT83" s="359"/>
      <c r="JU83" s="359"/>
      <c r="JV83" s="437"/>
      <c r="JW83" s="437"/>
      <c r="JX83" s="437"/>
      <c r="JY83" s="437"/>
      <c r="JZ83" s="437"/>
      <c r="KA83" s="462"/>
      <c r="KB83" s="462"/>
      <c r="KC83" s="462"/>
      <c r="KD83" s="462"/>
      <c r="KE83" s="462"/>
      <c r="KF83" s="462"/>
      <c r="KG83" s="359"/>
      <c r="KH83" s="359"/>
      <c r="KI83" s="359"/>
      <c r="KJ83" s="461"/>
      <c r="KK83" s="359"/>
      <c r="KL83" s="359"/>
      <c r="KM83" s="359"/>
      <c r="KN83" s="359"/>
      <c r="KO83" s="359"/>
      <c r="KP83" s="359"/>
      <c r="KQ83" s="359"/>
    </row>
    <row r="84" spans="1:303" ht="15" x14ac:dyDescent="0.3">
      <c r="A84" s="359"/>
      <c r="B84" s="359"/>
      <c r="C84" s="458"/>
      <c r="D84" s="459"/>
      <c r="E84" s="359"/>
      <c r="F84" s="359"/>
      <c r="G84" s="359"/>
      <c r="H84" s="359"/>
      <c r="I84" s="359"/>
      <c r="J84" s="359"/>
      <c r="K84" s="437"/>
      <c r="L84" s="437"/>
      <c r="M84" s="460"/>
      <c r="N84" s="437"/>
      <c r="O84" s="359"/>
      <c r="P84" s="359"/>
      <c r="Q84" s="359"/>
      <c r="R84" s="359"/>
      <c r="S84" s="359"/>
      <c r="T84" s="359"/>
      <c r="U84" s="437"/>
      <c r="V84" s="437"/>
      <c r="W84" s="460"/>
      <c r="X84" s="437"/>
      <c r="Y84" s="359"/>
      <c r="Z84" s="359"/>
      <c r="AA84" s="359"/>
      <c r="AB84" s="359"/>
      <c r="AC84" s="359"/>
      <c r="AD84" s="359"/>
      <c r="AE84" s="437"/>
      <c r="AF84" s="437"/>
      <c r="AG84" s="437"/>
      <c r="AH84" s="437"/>
      <c r="AI84" s="359"/>
      <c r="AJ84" s="359"/>
      <c r="AK84" s="359"/>
      <c r="AL84" s="359"/>
      <c r="AM84" s="359"/>
      <c r="AN84" s="359"/>
      <c r="AO84" s="437"/>
      <c r="AP84" s="437"/>
      <c r="AQ84" s="460"/>
      <c r="AR84" s="437"/>
      <c r="AS84" s="437"/>
      <c r="AT84" s="437"/>
      <c r="AU84" s="437"/>
      <c r="AV84" s="437"/>
      <c r="AW84" s="359"/>
      <c r="AX84" s="359"/>
      <c r="AY84" s="461"/>
      <c r="AZ84" s="545"/>
      <c r="BA84" s="545"/>
      <c r="BB84" s="545"/>
      <c r="BC84" s="545"/>
      <c r="BD84" s="359"/>
      <c r="BE84" s="359"/>
      <c r="BF84" s="359"/>
      <c r="BG84" s="359"/>
      <c r="BH84" s="359"/>
      <c r="BI84" s="359"/>
      <c r="BJ84" s="437"/>
      <c r="BK84" s="437"/>
      <c r="BL84" s="437"/>
      <c r="BM84" s="437"/>
      <c r="BN84" s="359"/>
      <c r="BO84" s="359"/>
      <c r="BP84" s="359"/>
      <c r="BQ84" s="359"/>
      <c r="BR84" s="359"/>
      <c r="BS84" s="359"/>
      <c r="BT84" s="437"/>
      <c r="BU84" s="437"/>
      <c r="BV84" s="437"/>
      <c r="BW84" s="437"/>
      <c r="BX84" s="437"/>
      <c r="BY84" s="437"/>
      <c r="BZ84" s="437"/>
      <c r="CA84" s="437"/>
      <c r="CB84" s="437"/>
      <c r="CC84" s="359"/>
      <c r="CD84" s="359"/>
      <c r="CE84" s="359"/>
      <c r="CF84" s="359"/>
      <c r="CG84" s="359"/>
      <c r="CH84" s="359"/>
      <c r="CI84" s="437"/>
      <c r="CJ84" s="437"/>
      <c r="CK84" s="460"/>
      <c r="CL84" s="437"/>
      <c r="CM84" s="359"/>
      <c r="CN84" s="359"/>
      <c r="CO84" s="359"/>
      <c r="CP84" s="359"/>
      <c r="CQ84" s="359"/>
      <c r="CR84" s="359"/>
      <c r="CS84" s="437"/>
      <c r="CT84" s="437"/>
      <c r="CU84" s="437"/>
      <c r="CV84" s="437"/>
      <c r="CW84" s="437"/>
      <c r="CX84" s="437"/>
      <c r="CY84" s="437"/>
      <c r="CZ84" s="437"/>
      <c r="DA84" s="437"/>
      <c r="DB84" s="437"/>
      <c r="DC84" s="437"/>
      <c r="DD84" s="437"/>
      <c r="DE84" s="437"/>
      <c r="DF84" s="437"/>
      <c r="DG84" s="437"/>
      <c r="DH84" s="437"/>
      <c r="DI84" s="359"/>
      <c r="DJ84" s="359"/>
      <c r="DK84" s="359"/>
      <c r="DL84" s="359"/>
      <c r="DM84" s="359"/>
      <c r="DN84" s="359"/>
      <c r="DO84" s="437"/>
      <c r="DP84" s="437"/>
      <c r="DQ84" s="437"/>
      <c r="DR84" s="437"/>
      <c r="DS84" s="359"/>
      <c r="DT84" s="359"/>
      <c r="DU84" s="359"/>
      <c r="DV84" s="359"/>
      <c r="DW84" s="359"/>
      <c r="DX84" s="359"/>
      <c r="DY84" s="437"/>
      <c r="DZ84" s="437"/>
      <c r="EA84" s="437"/>
      <c r="EB84" s="437"/>
      <c r="EC84" s="359"/>
      <c r="ED84" s="359"/>
      <c r="EE84" s="359"/>
      <c r="EF84" s="359"/>
      <c r="EG84" s="359"/>
      <c r="EH84" s="359"/>
      <c r="EI84" s="437"/>
      <c r="EJ84" s="437"/>
      <c r="EK84" s="437"/>
      <c r="EL84" s="437"/>
      <c r="EM84" s="359"/>
      <c r="EN84" s="359"/>
      <c r="EO84" s="359"/>
      <c r="EP84" s="359"/>
      <c r="EQ84" s="359"/>
      <c r="ER84" s="359"/>
      <c r="ES84" s="437"/>
      <c r="ET84" s="437"/>
      <c r="EU84" s="437"/>
      <c r="EV84" s="437"/>
      <c r="EW84" s="437"/>
      <c r="EX84" s="437"/>
      <c r="EY84" s="437"/>
      <c r="EZ84" s="437"/>
      <c r="FA84" s="437"/>
      <c r="FB84" s="437"/>
      <c r="FC84" s="437"/>
      <c r="FD84" s="437"/>
      <c r="FE84" s="437"/>
      <c r="FF84" s="437"/>
      <c r="FG84" s="437"/>
      <c r="FH84" s="437"/>
      <c r="FI84" s="437"/>
      <c r="FJ84" s="437"/>
      <c r="FK84" s="437"/>
      <c r="FL84" s="437"/>
      <c r="FM84" s="437"/>
      <c r="FN84" s="359"/>
      <c r="FO84" s="359"/>
      <c r="FP84" s="359"/>
      <c r="FQ84" s="359"/>
      <c r="FR84" s="359"/>
      <c r="FS84" s="359"/>
      <c r="FT84" s="437"/>
      <c r="FU84" s="437"/>
      <c r="FV84" s="437"/>
      <c r="FW84" s="437"/>
      <c r="FX84" s="359"/>
      <c r="FY84" s="359"/>
      <c r="FZ84" s="359"/>
      <c r="GA84" s="359"/>
      <c r="GB84" s="359"/>
      <c r="GC84" s="359"/>
      <c r="GD84" s="437"/>
      <c r="GE84" s="437"/>
      <c r="GF84" s="437"/>
      <c r="GG84" s="437"/>
      <c r="GH84" s="359"/>
      <c r="GI84" s="359"/>
      <c r="GJ84" s="359"/>
      <c r="GK84" s="359"/>
      <c r="GL84" s="359"/>
      <c r="GM84" s="359"/>
      <c r="GN84" s="437"/>
      <c r="GO84" s="437"/>
      <c r="GP84" s="437"/>
      <c r="GQ84" s="437"/>
      <c r="GR84" s="437"/>
      <c r="GS84" s="437"/>
      <c r="GT84" s="437"/>
      <c r="GU84" s="437"/>
      <c r="GV84" s="437"/>
      <c r="GW84" s="437"/>
      <c r="GX84" s="359"/>
      <c r="GY84" s="359"/>
      <c r="GZ84" s="359"/>
      <c r="HA84" s="359"/>
      <c r="HB84" s="359"/>
      <c r="HC84" s="359"/>
      <c r="HD84" s="437"/>
      <c r="HE84" s="437"/>
      <c r="HF84" s="437"/>
      <c r="HG84" s="437"/>
      <c r="HH84" s="437"/>
      <c r="HI84" s="437"/>
      <c r="HJ84" s="437"/>
      <c r="HK84" s="437"/>
      <c r="HL84" s="437"/>
      <c r="HM84" s="437"/>
      <c r="HN84" s="437"/>
      <c r="HO84" s="437"/>
      <c r="HP84" s="437"/>
      <c r="HQ84" s="437"/>
      <c r="HR84" s="437"/>
      <c r="HS84" s="437"/>
      <c r="HT84" s="437"/>
      <c r="HU84" s="359"/>
      <c r="HV84" s="359"/>
      <c r="HW84" s="359"/>
      <c r="HX84" s="359"/>
      <c r="HY84" s="359"/>
      <c r="HZ84" s="359"/>
      <c r="IA84" s="437"/>
      <c r="IB84" s="437"/>
      <c r="IC84" s="437"/>
      <c r="ID84" s="437"/>
      <c r="IE84" s="359"/>
      <c r="IF84" s="359"/>
      <c r="IG84" s="359"/>
      <c r="IH84" s="359"/>
      <c r="II84" s="359"/>
      <c r="IJ84" s="359"/>
      <c r="IK84" s="437"/>
      <c r="IL84" s="437"/>
      <c r="IM84" s="437"/>
      <c r="IN84" s="437"/>
      <c r="IO84" s="359"/>
      <c r="IP84" s="359"/>
      <c r="IQ84" s="359"/>
      <c r="IR84" s="359"/>
      <c r="IS84" s="359"/>
      <c r="IT84" s="359"/>
      <c r="IU84" s="437"/>
      <c r="IV84" s="437"/>
      <c r="IW84" s="437"/>
      <c r="IX84" s="437"/>
      <c r="IY84" s="359"/>
      <c r="IZ84" s="359"/>
      <c r="JA84" s="359"/>
      <c r="JB84" s="359"/>
      <c r="JC84" s="359"/>
      <c r="JD84" s="359"/>
      <c r="JE84" s="437"/>
      <c r="JF84" s="437"/>
      <c r="JG84" s="437"/>
      <c r="JH84" s="437"/>
      <c r="JI84" s="437"/>
      <c r="JJ84" s="437"/>
      <c r="JK84" s="437"/>
      <c r="JL84" s="437"/>
      <c r="JM84" s="437"/>
      <c r="JN84" s="437"/>
      <c r="JO84" s="437"/>
      <c r="JP84" s="359"/>
      <c r="JQ84" s="359"/>
      <c r="JR84" s="359"/>
      <c r="JS84" s="359"/>
      <c r="JT84" s="359"/>
      <c r="JU84" s="359"/>
      <c r="JV84" s="437"/>
      <c r="JW84" s="437"/>
      <c r="JX84" s="437"/>
      <c r="JY84" s="437"/>
      <c r="JZ84" s="437"/>
      <c r="KA84" s="462"/>
      <c r="KB84" s="462"/>
      <c r="KC84" s="462"/>
      <c r="KD84" s="462"/>
      <c r="KE84" s="462"/>
      <c r="KF84" s="462"/>
      <c r="KG84" s="359"/>
      <c r="KH84" s="359"/>
      <c r="KI84" s="359"/>
      <c r="KJ84" s="527">
        <f>KG74+KG63+KG62</f>
        <v>3954</v>
      </c>
      <c r="KK84" s="359"/>
      <c r="KL84" s="359"/>
      <c r="KM84" s="359"/>
      <c r="KN84" s="359"/>
      <c r="KO84" s="359"/>
      <c r="KP84" s="359"/>
      <c r="KQ84" s="359"/>
    </row>
    <row r="85" spans="1:303" ht="15" x14ac:dyDescent="0.3">
      <c r="A85" s="359"/>
      <c r="B85" s="359"/>
      <c r="C85" s="458"/>
      <c r="D85" s="459"/>
      <c r="E85" s="359"/>
      <c r="F85" s="359"/>
      <c r="G85" s="359"/>
      <c r="H85" s="359"/>
      <c r="I85" s="359"/>
      <c r="J85" s="359"/>
      <c r="K85" s="437"/>
      <c r="L85" s="437"/>
      <c r="M85" s="460"/>
      <c r="N85" s="437"/>
      <c r="O85" s="359"/>
      <c r="P85" s="359"/>
      <c r="Q85" s="359"/>
      <c r="R85" s="359"/>
      <c r="S85" s="359"/>
      <c r="T85" s="359"/>
      <c r="U85" s="437"/>
      <c r="V85" s="437"/>
      <c r="W85" s="460"/>
      <c r="X85" s="437"/>
      <c r="Y85" s="359"/>
      <c r="Z85" s="359"/>
      <c r="AA85" s="359"/>
      <c r="AB85" s="359"/>
      <c r="AC85" s="359"/>
      <c r="AD85" s="359"/>
      <c r="AE85" s="437"/>
      <c r="AF85" s="437"/>
      <c r="AG85" s="437"/>
      <c r="AH85" s="437"/>
      <c r="AI85" s="359"/>
      <c r="AJ85" s="359"/>
      <c r="AK85" s="359"/>
      <c r="AL85" s="359"/>
      <c r="AM85" s="359"/>
      <c r="AN85" s="359"/>
      <c r="AO85" s="437"/>
      <c r="AP85" s="437"/>
      <c r="AQ85" s="460"/>
      <c r="AR85" s="437"/>
      <c r="AS85" s="437"/>
      <c r="AT85" s="437"/>
      <c r="AU85" s="437"/>
      <c r="AV85" s="437"/>
      <c r="AW85" s="359"/>
      <c r="AX85" s="359"/>
      <c r="AY85" s="461"/>
      <c r="AZ85" s="545"/>
      <c r="BA85" s="545"/>
      <c r="BB85" s="545"/>
      <c r="BC85" s="545"/>
      <c r="BD85" s="359"/>
      <c r="BE85" s="359"/>
      <c r="BF85" s="359"/>
      <c r="BG85" s="359"/>
      <c r="BH85" s="359"/>
      <c r="BI85" s="359"/>
      <c r="BJ85" s="437"/>
      <c r="BK85" s="437"/>
      <c r="BL85" s="437"/>
      <c r="BM85" s="437"/>
      <c r="BN85" s="359"/>
      <c r="BO85" s="359"/>
      <c r="BP85" s="359"/>
      <c r="BQ85" s="359"/>
      <c r="BR85" s="359"/>
      <c r="BS85" s="359"/>
      <c r="BT85" s="437"/>
      <c r="BU85" s="437"/>
      <c r="BV85" s="437"/>
      <c r="BW85" s="437"/>
      <c r="BX85" s="437"/>
      <c r="BY85" s="437"/>
      <c r="BZ85" s="437"/>
      <c r="CA85" s="437"/>
      <c r="CB85" s="437"/>
      <c r="CC85" s="359"/>
      <c r="CD85" s="359"/>
      <c r="CE85" s="359"/>
      <c r="CF85" s="359"/>
      <c r="CG85" s="359"/>
      <c r="CH85" s="359"/>
      <c r="CI85" s="437"/>
      <c r="CJ85" s="437"/>
      <c r="CK85" s="460"/>
      <c r="CL85" s="437"/>
      <c r="CM85" s="359"/>
      <c r="CN85" s="359"/>
      <c r="CO85" s="359"/>
      <c r="CP85" s="359"/>
      <c r="CQ85" s="359"/>
      <c r="CR85" s="359"/>
      <c r="CS85" s="437"/>
      <c r="CT85" s="437"/>
      <c r="CU85" s="437"/>
      <c r="CV85" s="437"/>
      <c r="CW85" s="437"/>
      <c r="CX85" s="437"/>
      <c r="CY85" s="437"/>
      <c r="CZ85" s="437"/>
      <c r="DA85" s="437"/>
      <c r="DB85" s="437"/>
      <c r="DC85" s="437"/>
      <c r="DD85" s="437"/>
      <c r="DE85" s="437"/>
      <c r="DF85" s="437"/>
      <c r="DG85" s="437"/>
      <c r="DH85" s="437"/>
      <c r="DI85" s="359"/>
      <c r="DJ85" s="359"/>
      <c r="DK85" s="359"/>
      <c r="DL85" s="359"/>
      <c r="DM85" s="359"/>
      <c r="DN85" s="359"/>
      <c r="DO85" s="437"/>
      <c r="DP85" s="437"/>
      <c r="DQ85" s="437"/>
      <c r="DR85" s="437"/>
      <c r="DS85" s="359"/>
      <c r="DT85" s="359"/>
      <c r="DU85" s="359"/>
      <c r="DV85" s="359"/>
      <c r="DW85" s="359"/>
      <c r="DX85" s="359"/>
      <c r="DY85" s="437"/>
      <c r="DZ85" s="437"/>
      <c r="EA85" s="437"/>
      <c r="EB85" s="437"/>
      <c r="EC85" s="359"/>
      <c r="ED85" s="359"/>
      <c r="EE85" s="359"/>
      <c r="EF85" s="359"/>
      <c r="EG85" s="359"/>
      <c r="EH85" s="359"/>
      <c r="EI85" s="437"/>
      <c r="EJ85" s="437"/>
      <c r="EK85" s="437"/>
      <c r="EL85" s="437"/>
      <c r="EM85" s="359"/>
      <c r="EN85" s="359"/>
      <c r="EO85" s="359"/>
      <c r="EP85" s="359"/>
      <c r="EQ85" s="359"/>
      <c r="ER85" s="359"/>
      <c r="ES85" s="437"/>
      <c r="ET85" s="437"/>
      <c r="EU85" s="437"/>
      <c r="EV85" s="437"/>
      <c r="EW85" s="437"/>
      <c r="EX85" s="437"/>
      <c r="EY85" s="437"/>
      <c r="EZ85" s="437"/>
      <c r="FA85" s="437"/>
      <c r="FB85" s="437"/>
      <c r="FC85" s="437"/>
      <c r="FD85" s="437"/>
      <c r="FE85" s="437"/>
      <c r="FF85" s="437"/>
      <c r="FG85" s="437"/>
      <c r="FH85" s="437"/>
      <c r="FI85" s="437"/>
      <c r="FJ85" s="437"/>
      <c r="FK85" s="437"/>
      <c r="FL85" s="437"/>
      <c r="FM85" s="437"/>
      <c r="FN85" s="359"/>
      <c r="FO85" s="359"/>
      <c r="FP85" s="359"/>
      <c r="FQ85" s="359"/>
      <c r="FR85" s="359"/>
      <c r="FS85" s="359"/>
      <c r="FT85" s="437"/>
      <c r="FU85" s="437"/>
      <c r="FV85" s="437"/>
      <c r="FW85" s="437"/>
      <c r="FX85" s="359"/>
      <c r="FY85" s="359"/>
      <c r="FZ85" s="359"/>
      <c r="GA85" s="359"/>
      <c r="GB85" s="359"/>
      <c r="GC85" s="359"/>
      <c r="GD85" s="437"/>
      <c r="GE85" s="437"/>
      <c r="GF85" s="437"/>
      <c r="GG85" s="437"/>
      <c r="GH85" s="359"/>
      <c r="GI85" s="359"/>
      <c r="GJ85" s="359"/>
      <c r="GK85" s="359"/>
      <c r="GL85" s="359"/>
      <c r="GM85" s="359"/>
      <c r="GN85" s="437"/>
      <c r="GO85" s="437"/>
      <c r="GP85" s="437"/>
      <c r="GQ85" s="437"/>
      <c r="GR85" s="437"/>
      <c r="GS85" s="437"/>
      <c r="GT85" s="437"/>
      <c r="GU85" s="437"/>
      <c r="GV85" s="437"/>
      <c r="GW85" s="437"/>
      <c r="GX85" s="359"/>
      <c r="GY85" s="359"/>
      <c r="GZ85" s="359"/>
      <c r="HA85" s="359"/>
      <c r="HB85" s="359"/>
      <c r="HC85" s="359"/>
      <c r="HD85" s="437"/>
      <c r="HE85" s="437"/>
      <c r="HF85" s="437"/>
      <c r="HG85" s="437"/>
      <c r="HH85" s="437"/>
      <c r="HI85" s="437"/>
      <c r="HJ85" s="437"/>
      <c r="HK85" s="437"/>
      <c r="HL85" s="437"/>
      <c r="HM85" s="437"/>
      <c r="HN85" s="437"/>
      <c r="HO85" s="437"/>
      <c r="HP85" s="437"/>
      <c r="HQ85" s="437"/>
      <c r="HR85" s="437"/>
      <c r="HS85" s="437"/>
      <c r="HT85" s="437"/>
      <c r="HU85" s="359"/>
      <c r="HV85" s="359"/>
      <c r="HW85" s="359"/>
      <c r="HX85" s="359"/>
      <c r="HY85" s="359"/>
      <c r="HZ85" s="359"/>
      <c r="IA85" s="437"/>
      <c r="IB85" s="437"/>
      <c r="IC85" s="437"/>
      <c r="ID85" s="437"/>
      <c r="IE85" s="359"/>
      <c r="IF85" s="359"/>
      <c r="IG85" s="359"/>
      <c r="IH85" s="359"/>
      <c r="II85" s="359"/>
      <c r="IJ85" s="359"/>
      <c r="IK85" s="437"/>
      <c r="IL85" s="437"/>
      <c r="IM85" s="437"/>
      <c r="IN85" s="437"/>
      <c r="IO85" s="359"/>
      <c r="IP85" s="359"/>
      <c r="IQ85" s="359"/>
      <c r="IR85" s="359"/>
      <c r="IS85" s="359"/>
      <c r="IT85" s="359"/>
      <c r="IU85" s="437"/>
      <c r="IV85" s="437"/>
      <c r="IW85" s="437"/>
      <c r="IX85" s="437"/>
      <c r="IY85" s="359"/>
      <c r="IZ85" s="359"/>
      <c r="JA85" s="359"/>
      <c r="JB85" s="359"/>
      <c r="JC85" s="359"/>
      <c r="JD85" s="359"/>
      <c r="JE85" s="437"/>
      <c r="JF85" s="437"/>
      <c r="JG85" s="437"/>
      <c r="JH85" s="437"/>
      <c r="JI85" s="437"/>
      <c r="JJ85" s="437"/>
      <c r="JK85" s="437"/>
      <c r="JL85" s="437"/>
      <c r="JM85" s="437"/>
      <c r="JN85" s="437"/>
      <c r="JO85" s="437"/>
      <c r="JP85" s="359"/>
      <c r="JQ85" s="359"/>
      <c r="JR85" s="359"/>
      <c r="JS85" s="359"/>
      <c r="JT85" s="359"/>
      <c r="JU85" s="359"/>
      <c r="JV85" s="437"/>
      <c r="JW85" s="437"/>
      <c r="JX85" s="437"/>
      <c r="JY85" s="437"/>
      <c r="JZ85" s="437"/>
      <c r="KA85" s="462"/>
      <c r="KB85" s="462"/>
      <c r="KC85" s="462"/>
      <c r="KD85" s="462"/>
      <c r="KE85" s="462"/>
      <c r="KF85" s="462"/>
      <c r="KG85" s="359"/>
      <c r="KH85" s="359"/>
      <c r="KI85" s="359"/>
      <c r="KJ85" s="527" t="s">
        <v>170</v>
      </c>
      <c r="KK85" s="359"/>
      <c r="KL85" s="359"/>
      <c r="KM85" s="359"/>
      <c r="KN85" s="359"/>
      <c r="KO85" s="359"/>
      <c r="KP85" s="359"/>
      <c r="KQ85" s="359"/>
    </row>
    <row r="86" spans="1:303" ht="15" x14ac:dyDescent="0.3">
      <c r="A86" s="359"/>
      <c r="B86" s="359"/>
      <c r="C86" s="458"/>
      <c r="D86" s="459"/>
      <c r="E86" s="359"/>
      <c r="F86" s="359"/>
      <c r="G86" s="359"/>
      <c r="H86" s="359"/>
      <c r="I86" s="359"/>
      <c r="J86" s="359"/>
      <c r="K86" s="437"/>
      <c r="L86" s="437"/>
      <c r="M86" s="460"/>
      <c r="N86" s="437"/>
      <c r="O86" s="359"/>
      <c r="P86" s="359"/>
      <c r="Q86" s="359"/>
      <c r="R86" s="359"/>
      <c r="S86" s="359"/>
      <c r="T86" s="359"/>
      <c r="U86" s="437"/>
      <c r="V86" s="437"/>
      <c r="W86" s="460"/>
      <c r="X86" s="437"/>
      <c r="Y86" s="359"/>
      <c r="Z86" s="359"/>
      <c r="AA86" s="359"/>
      <c r="AB86" s="359"/>
      <c r="AC86" s="359"/>
      <c r="AD86" s="359"/>
      <c r="AE86" s="437"/>
      <c r="AF86" s="437"/>
      <c r="AG86" s="437"/>
      <c r="AH86" s="437"/>
      <c r="AI86" s="359"/>
      <c r="AJ86" s="359"/>
      <c r="AK86" s="359"/>
      <c r="AL86" s="359"/>
      <c r="AM86" s="359"/>
      <c r="AN86" s="359"/>
      <c r="AO86" s="437"/>
      <c r="AP86" s="437"/>
      <c r="AQ86" s="460"/>
      <c r="AR86" s="437"/>
      <c r="AS86" s="437"/>
      <c r="AT86" s="437"/>
      <c r="AU86" s="437"/>
      <c r="AV86" s="437"/>
      <c r="AW86" s="359"/>
      <c r="AX86" s="359"/>
      <c r="AY86" s="461"/>
      <c r="AZ86" s="545"/>
      <c r="BA86" s="545"/>
      <c r="BB86" s="545"/>
      <c r="BC86" s="545"/>
      <c r="BD86" s="359"/>
      <c r="BE86" s="359"/>
      <c r="BF86" s="359"/>
      <c r="BG86" s="359"/>
      <c r="BH86" s="359"/>
      <c r="BI86" s="359"/>
      <c r="BJ86" s="437"/>
      <c r="BK86" s="437"/>
      <c r="BL86" s="437"/>
      <c r="BM86" s="437"/>
      <c r="BN86" s="359"/>
      <c r="BO86" s="359"/>
      <c r="BP86" s="359"/>
      <c r="BQ86" s="359"/>
      <c r="BR86" s="359"/>
      <c r="BS86" s="359"/>
      <c r="BT86" s="437"/>
      <c r="BU86" s="437"/>
      <c r="BV86" s="437"/>
      <c r="BW86" s="437"/>
      <c r="BX86" s="437"/>
      <c r="BY86" s="437"/>
      <c r="BZ86" s="437"/>
      <c r="CA86" s="437"/>
      <c r="CB86" s="437"/>
      <c r="CC86" s="359"/>
      <c r="CD86" s="359"/>
      <c r="CE86" s="359"/>
      <c r="CF86" s="359"/>
      <c r="CG86" s="359"/>
      <c r="CH86" s="359"/>
      <c r="CI86" s="437"/>
      <c r="CJ86" s="437"/>
      <c r="CK86" s="460"/>
      <c r="CL86" s="437"/>
      <c r="CM86" s="359"/>
      <c r="CN86" s="359"/>
      <c r="CO86" s="359"/>
      <c r="CP86" s="359"/>
      <c r="CQ86" s="359"/>
      <c r="CR86" s="359"/>
      <c r="CS86" s="437"/>
      <c r="CT86" s="437"/>
      <c r="CU86" s="437"/>
      <c r="CV86" s="437"/>
      <c r="CW86" s="437"/>
      <c r="CX86" s="437"/>
      <c r="CY86" s="437"/>
      <c r="CZ86" s="437"/>
      <c r="DA86" s="437"/>
      <c r="DB86" s="437"/>
      <c r="DC86" s="437"/>
      <c r="DD86" s="437"/>
      <c r="DE86" s="437"/>
      <c r="DF86" s="437"/>
      <c r="DG86" s="437"/>
      <c r="DH86" s="437"/>
      <c r="DI86" s="359"/>
      <c r="DJ86" s="359"/>
      <c r="DK86" s="359"/>
      <c r="DL86" s="359"/>
      <c r="DM86" s="359"/>
      <c r="DN86" s="359"/>
      <c r="DO86" s="437"/>
      <c r="DP86" s="437"/>
      <c r="DQ86" s="437"/>
      <c r="DR86" s="437"/>
      <c r="DS86" s="359"/>
      <c r="DT86" s="359"/>
      <c r="DU86" s="359"/>
      <c r="DV86" s="359"/>
      <c r="DW86" s="359"/>
      <c r="DX86" s="359"/>
      <c r="DY86" s="437"/>
      <c r="DZ86" s="437"/>
      <c r="EA86" s="437"/>
      <c r="EB86" s="437"/>
      <c r="EC86" s="359"/>
      <c r="ED86" s="359"/>
      <c r="EE86" s="359"/>
      <c r="EF86" s="359"/>
      <c r="EG86" s="359"/>
      <c r="EH86" s="359"/>
      <c r="EI86" s="437"/>
      <c r="EJ86" s="437"/>
      <c r="EK86" s="437"/>
      <c r="EL86" s="437"/>
      <c r="EM86" s="359"/>
      <c r="EN86" s="359"/>
      <c r="EO86" s="359"/>
      <c r="EP86" s="359"/>
      <c r="EQ86" s="359"/>
      <c r="ER86" s="359"/>
      <c r="ES86" s="437"/>
      <c r="ET86" s="437"/>
      <c r="EU86" s="437"/>
      <c r="EV86" s="437"/>
      <c r="EW86" s="437"/>
      <c r="EX86" s="437"/>
      <c r="EY86" s="437"/>
      <c r="EZ86" s="437"/>
      <c r="FA86" s="437"/>
      <c r="FB86" s="437"/>
      <c r="FC86" s="437"/>
      <c r="FD86" s="437"/>
      <c r="FE86" s="437"/>
      <c r="FF86" s="437"/>
      <c r="FG86" s="437"/>
      <c r="FH86" s="437"/>
      <c r="FI86" s="437"/>
      <c r="FJ86" s="437"/>
      <c r="FK86" s="437"/>
      <c r="FL86" s="437"/>
      <c r="FM86" s="437"/>
      <c r="FN86" s="359"/>
      <c r="FO86" s="359"/>
      <c r="FP86" s="359"/>
      <c r="FQ86" s="359"/>
      <c r="FR86" s="359"/>
      <c r="FS86" s="359"/>
      <c r="FT86" s="437"/>
      <c r="FU86" s="437"/>
      <c r="FV86" s="437"/>
      <c r="FW86" s="437"/>
      <c r="FX86" s="359"/>
      <c r="FY86" s="359"/>
      <c r="FZ86" s="359"/>
      <c r="GA86" s="359"/>
      <c r="GB86" s="359"/>
      <c r="GC86" s="359"/>
      <c r="GD86" s="437"/>
      <c r="GE86" s="437"/>
      <c r="GF86" s="437"/>
      <c r="GG86" s="437"/>
      <c r="GH86" s="359"/>
      <c r="GI86" s="359"/>
      <c r="GJ86" s="359"/>
      <c r="GK86" s="359"/>
      <c r="GL86" s="359"/>
      <c r="GM86" s="359"/>
      <c r="GN86" s="437"/>
      <c r="GO86" s="437"/>
      <c r="GP86" s="437"/>
      <c r="GQ86" s="437"/>
      <c r="GR86" s="437"/>
      <c r="GS86" s="437"/>
      <c r="GT86" s="437"/>
      <c r="GU86" s="437"/>
      <c r="GV86" s="437"/>
      <c r="GW86" s="437"/>
      <c r="GX86" s="359"/>
      <c r="GY86" s="359"/>
      <c r="GZ86" s="359"/>
      <c r="HA86" s="359"/>
      <c r="HB86" s="359"/>
      <c r="HC86" s="359"/>
      <c r="HD86" s="437"/>
      <c r="HE86" s="437"/>
      <c r="HF86" s="437"/>
      <c r="HG86" s="437"/>
      <c r="HH86" s="437"/>
      <c r="HI86" s="437"/>
      <c r="HJ86" s="437"/>
      <c r="HK86" s="437"/>
      <c r="HL86" s="437"/>
      <c r="HM86" s="437"/>
      <c r="HN86" s="437"/>
      <c r="HO86" s="437"/>
      <c r="HP86" s="437"/>
      <c r="HQ86" s="437"/>
      <c r="HR86" s="437"/>
      <c r="HS86" s="437"/>
      <c r="HT86" s="437"/>
      <c r="HU86" s="359"/>
      <c r="HV86" s="359"/>
      <c r="HW86" s="359"/>
      <c r="HX86" s="359"/>
      <c r="HY86" s="359"/>
      <c r="HZ86" s="359"/>
      <c r="IA86" s="437"/>
      <c r="IB86" s="437"/>
      <c r="IC86" s="437"/>
      <c r="ID86" s="437"/>
      <c r="IE86" s="359"/>
      <c r="IF86" s="359"/>
      <c r="IG86" s="359"/>
      <c r="IH86" s="359"/>
      <c r="II86" s="359"/>
      <c r="IJ86" s="359"/>
      <c r="IK86" s="437"/>
      <c r="IL86" s="437"/>
      <c r="IM86" s="437"/>
      <c r="IN86" s="437"/>
      <c r="IO86" s="359"/>
      <c r="IP86" s="359"/>
      <c r="IQ86" s="359"/>
      <c r="IR86" s="359"/>
      <c r="IS86" s="359"/>
      <c r="IT86" s="359"/>
      <c r="IU86" s="437"/>
      <c r="IV86" s="437"/>
      <c r="IW86" s="437"/>
      <c r="IX86" s="437"/>
      <c r="IY86" s="359"/>
      <c r="IZ86" s="359"/>
      <c r="JA86" s="359"/>
      <c r="JB86" s="359"/>
      <c r="JC86" s="359"/>
      <c r="JD86" s="359"/>
      <c r="JE86" s="437"/>
      <c r="JF86" s="437"/>
      <c r="JG86" s="437"/>
      <c r="JH86" s="437"/>
      <c r="JI86" s="437"/>
      <c r="JJ86" s="437"/>
      <c r="JK86" s="437"/>
      <c r="JL86" s="437"/>
      <c r="JM86" s="437"/>
      <c r="JN86" s="437"/>
      <c r="JO86" s="437"/>
      <c r="JP86" s="359"/>
      <c r="JQ86" s="359"/>
      <c r="JR86" s="359"/>
      <c r="JS86" s="359"/>
      <c r="JT86" s="359"/>
      <c r="JU86" s="359"/>
      <c r="JV86" s="437"/>
      <c r="JW86" s="437"/>
      <c r="JX86" s="437"/>
      <c r="JY86" s="437"/>
      <c r="JZ86" s="437"/>
      <c r="KA86" s="462"/>
      <c r="KB86" s="462"/>
      <c r="KC86" s="462"/>
      <c r="KD86" s="462"/>
      <c r="KE86" s="462"/>
      <c r="KF86" s="462"/>
      <c r="KG86" s="359"/>
      <c r="KH86" s="359"/>
      <c r="KI86" s="359"/>
      <c r="KJ86" s="461"/>
      <c r="KK86" s="359"/>
      <c r="KL86" s="359"/>
      <c r="KM86" s="359"/>
      <c r="KN86" s="359"/>
      <c r="KO86" s="359"/>
      <c r="KP86" s="359"/>
      <c r="KQ86" s="359"/>
    </row>
    <row r="87" spans="1:303" ht="15" x14ac:dyDescent="0.3">
      <c r="A87" s="359"/>
      <c r="B87" s="359"/>
      <c r="C87" s="458"/>
      <c r="D87" s="459"/>
      <c r="E87" s="359"/>
      <c r="F87" s="359"/>
      <c r="G87" s="359"/>
      <c r="H87" s="359"/>
      <c r="I87" s="359"/>
      <c r="J87" s="359"/>
      <c r="K87" s="437"/>
      <c r="L87" s="437"/>
      <c r="M87" s="460"/>
      <c r="N87" s="437"/>
      <c r="O87" s="359"/>
      <c r="P87" s="359"/>
      <c r="Q87" s="359"/>
      <c r="R87" s="359"/>
      <c r="S87" s="359"/>
      <c r="T87" s="359"/>
      <c r="U87" s="437"/>
      <c r="V87" s="437"/>
      <c r="W87" s="460"/>
      <c r="X87" s="437"/>
      <c r="Y87" s="359"/>
      <c r="Z87" s="359"/>
      <c r="AA87" s="359"/>
      <c r="AB87" s="359"/>
      <c r="AC87" s="359"/>
      <c r="AD87" s="359"/>
      <c r="AE87" s="437"/>
      <c r="AF87" s="437"/>
      <c r="AG87" s="437"/>
      <c r="AH87" s="437"/>
      <c r="AI87" s="359"/>
      <c r="AJ87" s="359"/>
      <c r="AK87" s="359"/>
      <c r="AL87" s="359"/>
      <c r="AM87" s="359"/>
      <c r="AN87" s="359"/>
      <c r="AO87" s="437"/>
      <c r="AP87" s="437"/>
      <c r="AQ87" s="460"/>
      <c r="AR87" s="437"/>
      <c r="AS87" s="437"/>
      <c r="AT87" s="437"/>
      <c r="AU87" s="437"/>
      <c r="AV87" s="437"/>
      <c r="AW87" s="359"/>
      <c r="AX87" s="359"/>
      <c r="AY87" s="461"/>
      <c r="AZ87" s="545"/>
      <c r="BA87" s="545"/>
      <c r="BB87" s="545"/>
      <c r="BC87" s="545"/>
      <c r="BD87" s="359"/>
      <c r="BE87" s="359"/>
      <c r="BF87" s="359"/>
      <c r="BG87" s="359"/>
      <c r="BH87" s="359"/>
      <c r="BI87" s="359"/>
      <c r="BJ87" s="437"/>
      <c r="BK87" s="437"/>
      <c r="BL87" s="437"/>
      <c r="BM87" s="437"/>
      <c r="BN87" s="359"/>
      <c r="BO87" s="359"/>
      <c r="BP87" s="359"/>
      <c r="BQ87" s="359"/>
      <c r="BR87" s="359"/>
      <c r="BS87" s="359"/>
      <c r="BT87" s="437"/>
      <c r="BU87" s="437"/>
      <c r="BV87" s="437"/>
      <c r="BW87" s="437"/>
      <c r="BX87" s="437"/>
      <c r="BY87" s="437"/>
      <c r="BZ87" s="437"/>
      <c r="CA87" s="437"/>
      <c r="CB87" s="437"/>
      <c r="CC87" s="359"/>
      <c r="CD87" s="359"/>
      <c r="CE87" s="359"/>
      <c r="CF87" s="359"/>
      <c r="CG87" s="359"/>
      <c r="CH87" s="359"/>
      <c r="CI87" s="437"/>
      <c r="CJ87" s="437"/>
      <c r="CK87" s="460"/>
      <c r="CL87" s="437"/>
      <c r="CM87" s="359"/>
      <c r="CN87" s="359"/>
      <c r="CO87" s="359"/>
      <c r="CP87" s="359"/>
      <c r="CQ87" s="359"/>
      <c r="CR87" s="359"/>
      <c r="CS87" s="437"/>
      <c r="CT87" s="437"/>
      <c r="CU87" s="437"/>
      <c r="CV87" s="437"/>
      <c r="CW87" s="437"/>
      <c r="CX87" s="437"/>
      <c r="CY87" s="437"/>
      <c r="CZ87" s="437"/>
      <c r="DA87" s="437"/>
      <c r="DB87" s="437"/>
      <c r="DC87" s="437"/>
      <c r="DD87" s="437"/>
      <c r="DE87" s="437"/>
      <c r="DF87" s="437"/>
      <c r="DG87" s="437"/>
      <c r="DH87" s="437"/>
      <c r="DI87" s="359"/>
      <c r="DJ87" s="359"/>
      <c r="DK87" s="359"/>
      <c r="DL87" s="359"/>
      <c r="DM87" s="359"/>
      <c r="DN87" s="359"/>
      <c r="DO87" s="437"/>
      <c r="DP87" s="437"/>
      <c r="DQ87" s="437"/>
      <c r="DR87" s="437"/>
      <c r="DS87" s="359"/>
      <c r="DT87" s="359"/>
      <c r="DU87" s="359"/>
      <c r="DV87" s="359"/>
      <c r="DW87" s="359"/>
      <c r="DX87" s="359"/>
      <c r="DY87" s="437"/>
      <c r="DZ87" s="437"/>
      <c r="EA87" s="437"/>
      <c r="EB87" s="437"/>
      <c r="EC87" s="359"/>
      <c r="ED87" s="359"/>
      <c r="EE87" s="359"/>
      <c r="EF87" s="359"/>
      <c r="EG87" s="359"/>
      <c r="EH87" s="359"/>
      <c r="EI87" s="437"/>
      <c r="EJ87" s="437"/>
      <c r="EK87" s="437"/>
      <c r="EL87" s="437"/>
      <c r="EM87" s="359"/>
      <c r="EN87" s="359"/>
      <c r="EO87" s="359"/>
      <c r="EP87" s="359"/>
      <c r="EQ87" s="359"/>
      <c r="ER87" s="359"/>
      <c r="ES87" s="437"/>
      <c r="ET87" s="437"/>
      <c r="EU87" s="437"/>
      <c r="EV87" s="437"/>
      <c r="EW87" s="437"/>
      <c r="EX87" s="437"/>
      <c r="EY87" s="437"/>
      <c r="EZ87" s="437"/>
      <c r="FA87" s="437"/>
      <c r="FB87" s="437"/>
      <c r="FC87" s="437"/>
      <c r="FD87" s="437"/>
      <c r="FE87" s="437"/>
      <c r="FF87" s="437"/>
      <c r="FG87" s="437"/>
      <c r="FH87" s="437"/>
      <c r="FI87" s="437"/>
      <c r="FJ87" s="437"/>
      <c r="FK87" s="437"/>
      <c r="FL87" s="437"/>
      <c r="FM87" s="437"/>
      <c r="FN87" s="359"/>
      <c r="FO87" s="359"/>
      <c r="FP87" s="359"/>
      <c r="FQ87" s="359"/>
      <c r="FR87" s="359"/>
      <c r="FS87" s="359"/>
      <c r="FT87" s="437"/>
      <c r="FU87" s="437"/>
      <c r="FV87" s="437"/>
      <c r="FW87" s="437"/>
      <c r="FX87" s="359"/>
      <c r="FY87" s="359"/>
      <c r="FZ87" s="359"/>
      <c r="GA87" s="359"/>
      <c r="GB87" s="359"/>
      <c r="GC87" s="359"/>
      <c r="GD87" s="437"/>
      <c r="GE87" s="437"/>
      <c r="GF87" s="437"/>
      <c r="GG87" s="437"/>
      <c r="GH87" s="359"/>
      <c r="GI87" s="359"/>
      <c r="GJ87" s="359"/>
      <c r="GK87" s="359"/>
      <c r="GL87" s="359"/>
      <c r="GM87" s="359"/>
      <c r="GN87" s="437"/>
      <c r="GO87" s="437"/>
      <c r="GP87" s="437"/>
      <c r="GQ87" s="437"/>
      <c r="GR87" s="437"/>
      <c r="GS87" s="437"/>
      <c r="GT87" s="437"/>
      <c r="GU87" s="437"/>
      <c r="GV87" s="437"/>
      <c r="GW87" s="437"/>
      <c r="GX87" s="359"/>
      <c r="GY87" s="359"/>
      <c r="GZ87" s="359"/>
      <c r="HA87" s="359"/>
      <c r="HB87" s="359"/>
      <c r="HC87" s="359"/>
      <c r="HD87" s="437"/>
      <c r="HE87" s="437"/>
      <c r="HF87" s="437"/>
      <c r="HG87" s="437"/>
      <c r="HH87" s="437"/>
      <c r="HI87" s="437"/>
      <c r="HJ87" s="437"/>
      <c r="HK87" s="437"/>
      <c r="HL87" s="437"/>
      <c r="HM87" s="437"/>
      <c r="HN87" s="437"/>
      <c r="HO87" s="437"/>
      <c r="HP87" s="437"/>
      <c r="HQ87" s="437"/>
      <c r="HR87" s="437"/>
      <c r="HS87" s="437"/>
      <c r="HT87" s="437"/>
      <c r="HU87" s="359"/>
      <c r="HV87" s="359"/>
      <c r="HW87" s="359"/>
      <c r="HX87" s="359"/>
      <c r="HY87" s="359"/>
      <c r="HZ87" s="359"/>
      <c r="IA87" s="437"/>
      <c r="IB87" s="437"/>
      <c r="IC87" s="437"/>
      <c r="ID87" s="437"/>
      <c r="IE87" s="359"/>
      <c r="IF87" s="359"/>
      <c r="IG87" s="359"/>
      <c r="IH87" s="359"/>
      <c r="II87" s="359"/>
      <c r="IJ87" s="359"/>
      <c r="IK87" s="437"/>
      <c r="IL87" s="437"/>
      <c r="IM87" s="437"/>
      <c r="IN87" s="437"/>
      <c r="IO87" s="359"/>
      <c r="IP87" s="359"/>
      <c r="IQ87" s="359"/>
      <c r="IR87" s="359"/>
      <c r="IS87" s="359"/>
      <c r="IT87" s="359"/>
      <c r="IU87" s="437"/>
      <c r="IV87" s="437"/>
      <c r="IW87" s="437"/>
      <c r="IX87" s="437"/>
      <c r="IY87" s="359"/>
      <c r="IZ87" s="359"/>
      <c r="JA87" s="359"/>
      <c r="JB87" s="359"/>
      <c r="JC87" s="359"/>
      <c r="JD87" s="359"/>
      <c r="JE87" s="437"/>
      <c r="JF87" s="437"/>
      <c r="JG87" s="437"/>
      <c r="JH87" s="437"/>
      <c r="JI87" s="437"/>
      <c r="JJ87" s="437"/>
      <c r="JK87" s="437"/>
      <c r="JL87" s="437"/>
      <c r="JM87" s="437"/>
      <c r="JN87" s="437"/>
      <c r="JO87" s="437"/>
      <c r="JP87" s="359"/>
      <c r="JQ87" s="359"/>
      <c r="JR87" s="359"/>
      <c r="JS87" s="359"/>
      <c r="JT87" s="359"/>
      <c r="JU87" s="359"/>
      <c r="JV87" s="437"/>
      <c r="JW87" s="437"/>
      <c r="JX87" s="437"/>
      <c r="JY87" s="437"/>
      <c r="JZ87" s="437"/>
      <c r="KA87" s="462"/>
      <c r="KB87" s="462"/>
      <c r="KC87" s="462"/>
      <c r="KD87" s="462"/>
      <c r="KE87" s="462"/>
      <c r="KF87" s="462"/>
      <c r="KG87" s="359"/>
      <c r="KH87" s="359"/>
      <c r="KI87" s="359"/>
      <c r="KJ87" s="461"/>
      <c r="KK87" s="359"/>
      <c r="KL87" s="359"/>
      <c r="KM87" s="359"/>
      <c r="KN87" s="359"/>
      <c r="KO87" s="359"/>
      <c r="KP87" s="359"/>
      <c r="KQ87" s="359"/>
    </row>
    <row r="88" spans="1:303" ht="15" x14ac:dyDescent="0.3">
      <c r="A88" s="359"/>
      <c r="B88" s="359"/>
      <c r="C88" s="458"/>
      <c r="D88" s="459"/>
      <c r="E88" s="359"/>
      <c r="F88" s="359"/>
      <c r="G88" s="359"/>
      <c r="H88" s="359"/>
      <c r="I88" s="359"/>
      <c r="J88" s="359"/>
      <c r="K88" s="437"/>
      <c r="L88" s="437"/>
      <c r="M88" s="460"/>
      <c r="N88" s="437"/>
      <c r="O88" s="359"/>
      <c r="P88" s="359"/>
      <c r="Q88" s="359"/>
      <c r="R88" s="359"/>
      <c r="S88" s="359"/>
      <c r="T88" s="359"/>
      <c r="U88" s="437"/>
      <c r="V88" s="437"/>
      <c r="W88" s="460"/>
      <c r="X88" s="437"/>
      <c r="Y88" s="359"/>
      <c r="Z88" s="359"/>
      <c r="AA88" s="359"/>
      <c r="AB88" s="359"/>
      <c r="AC88" s="359"/>
      <c r="AD88" s="359"/>
      <c r="AE88" s="437"/>
      <c r="AF88" s="437"/>
      <c r="AG88" s="437"/>
      <c r="AH88" s="437"/>
      <c r="AI88" s="359"/>
      <c r="AJ88" s="359"/>
      <c r="AK88" s="359"/>
      <c r="AL88" s="359"/>
      <c r="AM88" s="359"/>
      <c r="AN88" s="359"/>
      <c r="AO88" s="437"/>
      <c r="AP88" s="437"/>
      <c r="AQ88" s="460"/>
      <c r="AR88" s="437"/>
      <c r="AS88" s="437"/>
      <c r="AT88" s="437"/>
      <c r="AU88" s="437"/>
      <c r="AV88" s="437"/>
      <c r="AW88" s="359"/>
      <c r="AX88" s="359"/>
      <c r="AY88" s="461"/>
      <c r="AZ88" s="545"/>
      <c r="BA88" s="545"/>
      <c r="BB88" s="545"/>
      <c r="BC88" s="545"/>
      <c r="BD88" s="359"/>
      <c r="BE88" s="359"/>
      <c r="BF88" s="359"/>
      <c r="BG88" s="359"/>
      <c r="BH88" s="359"/>
      <c r="BI88" s="359"/>
      <c r="BJ88" s="437"/>
      <c r="BK88" s="437"/>
      <c r="BL88" s="437"/>
      <c r="BM88" s="437"/>
      <c r="BN88" s="359"/>
      <c r="BO88" s="359"/>
      <c r="BP88" s="359"/>
      <c r="BQ88" s="359"/>
      <c r="BR88" s="359"/>
      <c r="BS88" s="359"/>
      <c r="BT88" s="437"/>
      <c r="BU88" s="437"/>
      <c r="BV88" s="437"/>
      <c r="BW88" s="437"/>
      <c r="BX88" s="437"/>
      <c r="BY88" s="437"/>
      <c r="BZ88" s="437"/>
      <c r="CA88" s="437"/>
      <c r="CB88" s="437"/>
      <c r="CC88" s="359"/>
      <c r="CD88" s="359"/>
      <c r="CE88" s="359"/>
      <c r="CF88" s="359"/>
      <c r="CG88" s="359"/>
      <c r="CH88" s="359"/>
      <c r="CI88" s="437"/>
      <c r="CJ88" s="437"/>
      <c r="CK88" s="460"/>
      <c r="CL88" s="437"/>
      <c r="CM88" s="359"/>
      <c r="CN88" s="359"/>
      <c r="CO88" s="359"/>
      <c r="CP88" s="359"/>
      <c r="CQ88" s="359"/>
      <c r="CR88" s="359"/>
      <c r="CS88" s="437"/>
      <c r="CT88" s="437"/>
      <c r="CU88" s="437"/>
      <c r="CV88" s="437"/>
      <c r="CW88" s="437"/>
      <c r="CX88" s="437"/>
      <c r="CY88" s="437"/>
      <c r="CZ88" s="437"/>
      <c r="DA88" s="437"/>
      <c r="DB88" s="437"/>
      <c r="DC88" s="437"/>
      <c r="DD88" s="437"/>
      <c r="DE88" s="437"/>
      <c r="DF88" s="437"/>
      <c r="DG88" s="437"/>
      <c r="DH88" s="437"/>
      <c r="DI88" s="359"/>
      <c r="DJ88" s="359"/>
      <c r="DK88" s="359"/>
      <c r="DL88" s="359"/>
      <c r="DM88" s="359"/>
      <c r="DN88" s="359"/>
      <c r="DO88" s="437"/>
      <c r="DP88" s="437"/>
      <c r="DQ88" s="437"/>
      <c r="DR88" s="437"/>
      <c r="DS88" s="359"/>
      <c r="DT88" s="359"/>
      <c r="DU88" s="359"/>
      <c r="DV88" s="359"/>
      <c r="DW88" s="359"/>
      <c r="DX88" s="359"/>
      <c r="DY88" s="437"/>
      <c r="DZ88" s="437"/>
      <c r="EA88" s="437"/>
      <c r="EB88" s="437"/>
      <c r="EC88" s="359"/>
      <c r="ED88" s="359"/>
      <c r="EE88" s="359"/>
      <c r="EF88" s="359"/>
      <c r="EG88" s="359"/>
      <c r="EH88" s="359"/>
      <c r="EI88" s="437"/>
      <c r="EJ88" s="437"/>
      <c r="EK88" s="437"/>
      <c r="EL88" s="437"/>
      <c r="EM88" s="359"/>
      <c r="EN88" s="359"/>
      <c r="EO88" s="359"/>
      <c r="EP88" s="359"/>
      <c r="EQ88" s="359"/>
      <c r="ER88" s="359"/>
      <c r="ES88" s="437"/>
      <c r="ET88" s="437"/>
      <c r="EU88" s="437"/>
      <c r="EV88" s="437"/>
      <c r="EW88" s="437"/>
      <c r="EX88" s="437"/>
      <c r="EY88" s="437"/>
      <c r="EZ88" s="437"/>
      <c r="FA88" s="437"/>
      <c r="FB88" s="437"/>
      <c r="FC88" s="437"/>
      <c r="FD88" s="437"/>
      <c r="FE88" s="437"/>
      <c r="FF88" s="437"/>
      <c r="FG88" s="437"/>
      <c r="FH88" s="437"/>
      <c r="FI88" s="437"/>
      <c r="FJ88" s="437"/>
      <c r="FK88" s="437"/>
      <c r="FL88" s="437"/>
      <c r="FM88" s="437"/>
      <c r="FN88" s="359"/>
      <c r="FO88" s="359"/>
      <c r="FP88" s="359"/>
      <c r="FQ88" s="359"/>
      <c r="FR88" s="359"/>
      <c r="FS88" s="359"/>
      <c r="FT88" s="437"/>
      <c r="FU88" s="437"/>
      <c r="FV88" s="437"/>
      <c r="FW88" s="437"/>
      <c r="FX88" s="359"/>
      <c r="FY88" s="359"/>
      <c r="FZ88" s="359"/>
      <c r="GA88" s="359"/>
      <c r="GB88" s="359"/>
      <c r="GC88" s="359"/>
      <c r="GD88" s="437"/>
      <c r="GE88" s="437"/>
      <c r="GF88" s="437"/>
      <c r="GG88" s="437"/>
      <c r="GH88" s="359"/>
      <c r="GI88" s="359"/>
      <c r="GJ88" s="359"/>
      <c r="GK88" s="359"/>
      <c r="GL88" s="359"/>
      <c r="GM88" s="359"/>
      <c r="GN88" s="437"/>
      <c r="GO88" s="437"/>
      <c r="GP88" s="437"/>
      <c r="GQ88" s="437"/>
      <c r="GR88" s="437"/>
      <c r="GS88" s="437"/>
      <c r="GT88" s="437"/>
      <c r="GU88" s="437"/>
      <c r="GV88" s="437"/>
      <c r="GW88" s="437"/>
      <c r="GX88" s="359"/>
      <c r="GY88" s="359"/>
      <c r="GZ88" s="359"/>
      <c r="HA88" s="359"/>
      <c r="HB88" s="359"/>
      <c r="HC88" s="359"/>
      <c r="HD88" s="437"/>
      <c r="HE88" s="437"/>
      <c r="HF88" s="437"/>
      <c r="HG88" s="437"/>
      <c r="HH88" s="437"/>
      <c r="HI88" s="437"/>
      <c r="HJ88" s="437"/>
      <c r="HK88" s="437"/>
      <c r="HL88" s="437"/>
      <c r="HM88" s="437"/>
      <c r="HN88" s="437"/>
      <c r="HO88" s="437"/>
      <c r="HP88" s="437"/>
      <c r="HQ88" s="437"/>
      <c r="HR88" s="437"/>
      <c r="HS88" s="437"/>
      <c r="HT88" s="437"/>
      <c r="HU88" s="359"/>
      <c r="HV88" s="359"/>
      <c r="HW88" s="359"/>
      <c r="HX88" s="359"/>
      <c r="HY88" s="359"/>
      <c r="HZ88" s="359"/>
      <c r="IA88" s="437"/>
      <c r="IB88" s="437"/>
      <c r="IC88" s="437"/>
      <c r="ID88" s="437"/>
      <c r="IE88" s="359"/>
      <c r="IF88" s="359"/>
      <c r="IG88" s="359"/>
      <c r="IH88" s="359"/>
      <c r="II88" s="359"/>
      <c r="IJ88" s="359"/>
      <c r="IK88" s="437"/>
      <c r="IL88" s="437"/>
      <c r="IM88" s="437"/>
      <c r="IN88" s="437"/>
      <c r="IO88" s="359"/>
      <c r="IP88" s="359"/>
      <c r="IQ88" s="359"/>
      <c r="IR88" s="359"/>
      <c r="IS88" s="359"/>
      <c r="IT88" s="359"/>
      <c r="IU88" s="437"/>
      <c r="IV88" s="437"/>
      <c r="IW88" s="437"/>
      <c r="IX88" s="437"/>
      <c r="IY88" s="359"/>
      <c r="IZ88" s="359"/>
      <c r="JA88" s="359"/>
      <c r="JB88" s="359"/>
      <c r="JC88" s="359"/>
      <c r="JD88" s="359"/>
      <c r="JE88" s="437"/>
      <c r="JF88" s="437"/>
      <c r="JG88" s="437"/>
      <c r="JH88" s="437"/>
      <c r="JI88" s="437"/>
      <c r="JJ88" s="437"/>
      <c r="JK88" s="437"/>
      <c r="JL88" s="437"/>
      <c r="JM88" s="437"/>
      <c r="JN88" s="437"/>
      <c r="JO88" s="437"/>
      <c r="JP88" s="359"/>
      <c r="JQ88" s="359"/>
      <c r="JR88" s="359"/>
      <c r="JS88" s="359"/>
      <c r="JT88" s="359"/>
      <c r="JU88" s="359"/>
      <c r="JV88" s="437"/>
      <c r="JW88" s="437"/>
      <c r="JX88" s="437"/>
      <c r="JY88" s="437"/>
      <c r="JZ88" s="437"/>
      <c r="KA88" s="462"/>
      <c r="KB88" s="462"/>
      <c r="KC88" s="462"/>
      <c r="KD88" s="462"/>
      <c r="KE88" s="462"/>
      <c r="KF88" s="462"/>
      <c r="KG88" s="359"/>
      <c r="KH88" s="359"/>
      <c r="KI88" s="359"/>
      <c r="KJ88" s="461"/>
      <c r="KK88" s="359"/>
      <c r="KL88" s="359"/>
      <c r="KM88" s="359"/>
      <c r="KN88" s="359"/>
      <c r="KO88" s="359"/>
      <c r="KP88" s="359"/>
      <c r="KQ88" s="359"/>
    </row>
    <row r="89" spans="1:303" ht="15" x14ac:dyDescent="0.3">
      <c r="A89" s="359"/>
      <c r="B89" s="359"/>
      <c r="C89" s="458"/>
      <c r="D89" s="459"/>
      <c r="E89" s="359"/>
      <c r="F89" s="359"/>
      <c r="G89" s="359"/>
      <c r="H89" s="359"/>
      <c r="I89" s="359"/>
      <c r="J89" s="359"/>
      <c r="K89" s="437"/>
      <c r="L89" s="437"/>
      <c r="M89" s="460"/>
      <c r="N89" s="437"/>
      <c r="O89" s="359"/>
      <c r="P89" s="359"/>
      <c r="Q89" s="359"/>
      <c r="R89" s="359"/>
      <c r="S89" s="359"/>
      <c r="T89" s="359"/>
      <c r="U89" s="437"/>
      <c r="V89" s="437"/>
      <c r="W89" s="460"/>
      <c r="X89" s="437"/>
      <c r="Y89" s="359"/>
      <c r="Z89" s="359"/>
      <c r="AA89" s="359"/>
      <c r="AB89" s="359"/>
      <c r="AC89" s="359"/>
      <c r="AD89" s="359"/>
      <c r="AE89" s="437"/>
      <c r="AF89" s="437"/>
      <c r="AG89" s="437"/>
      <c r="AH89" s="437"/>
      <c r="AI89" s="359"/>
      <c r="AJ89" s="359"/>
      <c r="AK89" s="359"/>
      <c r="AL89" s="359"/>
      <c r="AM89" s="359"/>
      <c r="AN89" s="359"/>
      <c r="AO89" s="437"/>
      <c r="AP89" s="437"/>
      <c r="AQ89" s="460"/>
      <c r="AR89" s="437"/>
      <c r="AS89" s="437"/>
      <c r="AT89" s="437"/>
      <c r="AU89" s="437"/>
      <c r="AV89" s="437"/>
      <c r="AW89" s="359"/>
      <c r="AX89" s="359"/>
      <c r="AY89" s="461"/>
      <c r="AZ89" s="545"/>
      <c r="BA89" s="545"/>
      <c r="BB89" s="545"/>
      <c r="BC89" s="545"/>
      <c r="BD89" s="359"/>
      <c r="BE89" s="359"/>
      <c r="BF89" s="359"/>
      <c r="BG89" s="359"/>
      <c r="BH89" s="359"/>
      <c r="BI89" s="359"/>
      <c r="BJ89" s="437"/>
      <c r="BK89" s="437"/>
      <c r="BL89" s="437"/>
      <c r="BM89" s="437"/>
      <c r="BN89" s="359"/>
      <c r="BO89" s="359"/>
      <c r="BP89" s="359"/>
      <c r="BQ89" s="359"/>
      <c r="BR89" s="359"/>
      <c r="BS89" s="359"/>
      <c r="BT89" s="437"/>
      <c r="BU89" s="437"/>
      <c r="BV89" s="437"/>
      <c r="BW89" s="437"/>
      <c r="BX89" s="437"/>
      <c r="BY89" s="437"/>
      <c r="BZ89" s="437"/>
      <c r="CA89" s="437"/>
      <c r="CB89" s="437"/>
      <c r="CC89" s="359"/>
      <c r="CD89" s="359"/>
      <c r="CE89" s="359"/>
      <c r="CF89" s="359"/>
      <c r="CG89" s="359"/>
      <c r="CH89" s="359"/>
      <c r="CI89" s="437"/>
      <c r="CJ89" s="437"/>
      <c r="CK89" s="460"/>
      <c r="CL89" s="437"/>
      <c r="CM89" s="359"/>
      <c r="CN89" s="359"/>
      <c r="CO89" s="359"/>
      <c r="CP89" s="359"/>
      <c r="CQ89" s="359"/>
      <c r="CR89" s="359"/>
      <c r="CS89" s="437"/>
      <c r="CT89" s="437"/>
      <c r="CU89" s="437"/>
      <c r="CV89" s="437"/>
      <c r="CW89" s="437"/>
      <c r="CX89" s="437"/>
      <c r="CY89" s="437"/>
      <c r="CZ89" s="437"/>
      <c r="DA89" s="437"/>
      <c r="DB89" s="437"/>
      <c r="DC89" s="437"/>
      <c r="DD89" s="437"/>
      <c r="DE89" s="437"/>
      <c r="DF89" s="437"/>
      <c r="DG89" s="437"/>
      <c r="DH89" s="437"/>
      <c r="DI89" s="359"/>
      <c r="DJ89" s="359"/>
      <c r="DK89" s="359"/>
      <c r="DL89" s="359"/>
      <c r="DM89" s="359"/>
      <c r="DN89" s="359"/>
      <c r="DO89" s="437"/>
      <c r="DP89" s="437"/>
      <c r="DQ89" s="437"/>
      <c r="DR89" s="437"/>
      <c r="DS89" s="359"/>
      <c r="DT89" s="359"/>
      <c r="DU89" s="359"/>
      <c r="DV89" s="359"/>
      <c r="DW89" s="359"/>
      <c r="DX89" s="359"/>
      <c r="DY89" s="437"/>
      <c r="DZ89" s="437"/>
      <c r="EA89" s="437"/>
      <c r="EB89" s="437"/>
      <c r="EC89" s="359"/>
      <c r="ED89" s="359"/>
      <c r="EE89" s="359"/>
      <c r="EF89" s="359"/>
      <c r="EG89" s="359"/>
      <c r="EH89" s="359"/>
      <c r="EI89" s="437"/>
      <c r="EJ89" s="437"/>
      <c r="EK89" s="437"/>
      <c r="EL89" s="437"/>
      <c r="EM89" s="359"/>
      <c r="EN89" s="359"/>
      <c r="EO89" s="359"/>
      <c r="EP89" s="359"/>
      <c r="EQ89" s="359"/>
      <c r="ER89" s="359"/>
      <c r="ES89" s="437"/>
      <c r="ET89" s="437"/>
      <c r="EU89" s="437"/>
      <c r="EV89" s="437"/>
      <c r="EW89" s="437"/>
      <c r="EX89" s="437"/>
      <c r="EY89" s="437"/>
      <c r="EZ89" s="437"/>
      <c r="FA89" s="437"/>
      <c r="FB89" s="437"/>
      <c r="FC89" s="437"/>
      <c r="FD89" s="437"/>
      <c r="FE89" s="437"/>
      <c r="FF89" s="437"/>
      <c r="FG89" s="437"/>
      <c r="FH89" s="437"/>
      <c r="FI89" s="437"/>
      <c r="FJ89" s="437"/>
      <c r="FK89" s="437"/>
      <c r="FL89" s="437"/>
      <c r="FM89" s="437"/>
      <c r="FN89" s="359"/>
      <c r="FO89" s="359"/>
      <c r="FP89" s="359"/>
      <c r="FQ89" s="359"/>
      <c r="FR89" s="359"/>
      <c r="FS89" s="359"/>
      <c r="FT89" s="437"/>
      <c r="FU89" s="437"/>
      <c r="FV89" s="437"/>
      <c r="FW89" s="437"/>
      <c r="FX89" s="359"/>
      <c r="FY89" s="359"/>
      <c r="FZ89" s="359"/>
      <c r="GA89" s="359"/>
      <c r="GB89" s="359"/>
      <c r="GC89" s="359"/>
      <c r="GD89" s="437"/>
      <c r="GE89" s="437"/>
      <c r="GF89" s="437"/>
      <c r="GG89" s="437"/>
      <c r="GH89" s="359"/>
      <c r="GI89" s="359"/>
      <c r="GJ89" s="359"/>
      <c r="GK89" s="359"/>
      <c r="GL89" s="359"/>
      <c r="GM89" s="359"/>
      <c r="GN89" s="437"/>
      <c r="GO89" s="437"/>
      <c r="GP89" s="437"/>
      <c r="GQ89" s="437"/>
      <c r="GR89" s="437"/>
      <c r="GS89" s="437"/>
      <c r="GT89" s="437"/>
      <c r="GU89" s="437"/>
      <c r="GV89" s="437"/>
      <c r="GW89" s="437"/>
      <c r="GX89" s="359"/>
      <c r="GY89" s="359"/>
      <c r="GZ89" s="359"/>
      <c r="HA89" s="359"/>
      <c r="HB89" s="359"/>
      <c r="HC89" s="359"/>
      <c r="HD89" s="437"/>
      <c r="HE89" s="437"/>
      <c r="HF89" s="437"/>
      <c r="HG89" s="437"/>
      <c r="HH89" s="437"/>
      <c r="HI89" s="437"/>
      <c r="HJ89" s="437"/>
      <c r="HK89" s="437"/>
      <c r="HL89" s="437"/>
      <c r="HM89" s="437"/>
      <c r="HN89" s="437"/>
      <c r="HO89" s="437"/>
      <c r="HP89" s="437"/>
      <c r="HQ89" s="437"/>
      <c r="HR89" s="437"/>
      <c r="HS89" s="437"/>
      <c r="HT89" s="437"/>
      <c r="HU89" s="359"/>
      <c r="HV89" s="359"/>
      <c r="HW89" s="359"/>
      <c r="HX89" s="359"/>
      <c r="HY89" s="359"/>
      <c r="HZ89" s="359"/>
      <c r="IA89" s="437"/>
      <c r="IB89" s="437"/>
      <c r="IC89" s="437"/>
      <c r="ID89" s="437"/>
      <c r="IE89" s="359"/>
      <c r="IF89" s="359"/>
      <c r="IG89" s="359"/>
      <c r="IH89" s="359"/>
      <c r="II89" s="359"/>
      <c r="IJ89" s="359"/>
      <c r="IK89" s="437"/>
      <c r="IL89" s="437"/>
      <c r="IM89" s="437"/>
      <c r="IN89" s="437"/>
      <c r="IO89" s="359"/>
      <c r="IP89" s="359"/>
      <c r="IQ89" s="359"/>
      <c r="IR89" s="359"/>
      <c r="IS89" s="359"/>
      <c r="IT89" s="359"/>
      <c r="IU89" s="437"/>
      <c r="IV89" s="437"/>
      <c r="IW89" s="437"/>
      <c r="IX89" s="437"/>
      <c r="IY89" s="359"/>
      <c r="IZ89" s="359"/>
      <c r="JA89" s="359"/>
      <c r="JB89" s="359"/>
      <c r="JC89" s="359"/>
      <c r="JD89" s="359"/>
      <c r="JE89" s="437"/>
      <c r="JF89" s="437"/>
      <c r="JG89" s="437"/>
      <c r="JH89" s="437"/>
      <c r="JI89" s="437"/>
      <c r="JJ89" s="437"/>
      <c r="JK89" s="437"/>
      <c r="JL89" s="437"/>
      <c r="JM89" s="437"/>
      <c r="JN89" s="437"/>
      <c r="JO89" s="437"/>
      <c r="JP89" s="359"/>
      <c r="JQ89" s="359"/>
      <c r="JR89" s="359"/>
      <c r="JS89" s="359"/>
      <c r="JT89" s="359"/>
      <c r="JU89" s="359"/>
      <c r="JV89" s="437"/>
      <c r="JW89" s="437"/>
      <c r="JX89" s="437"/>
      <c r="JY89" s="437"/>
      <c r="JZ89" s="437"/>
      <c r="KA89" s="462"/>
      <c r="KB89" s="462"/>
      <c r="KC89" s="462"/>
      <c r="KD89" s="462"/>
      <c r="KE89" s="462"/>
      <c r="KF89" s="462"/>
      <c r="KG89" s="359"/>
      <c r="KH89" s="359"/>
      <c r="KI89" s="359"/>
      <c r="KJ89" s="461"/>
      <c r="KK89" s="359"/>
      <c r="KL89" s="359"/>
      <c r="KM89" s="359"/>
      <c r="KN89" s="359"/>
      <c r="KO89" s="359"/>
      <c r="KP89" s="359"/>
      <c r="KQ89" s="359"/>
    </row>
    <row r="90" spans="1:303" ht="15" x14ac:dyDescent="0.3">
      <c r="A90" s="359"/>
      <c r="B90" s="359"/>
      <c r="C90" s="458"/>
      <c r="D90" s="459"/>
      <c r="E90" s="359"/>
      <c r="F90" s="359"/>
      <c r="G90" s="359"/>
      <c r="H90" s="359"/>
      <c r="I90" s="359"/>
      <c r="J90" s="359"/>
      <c r="K90" s="437"/>
      <c r="L90" s="437"/>
      <c r="M90" s="460"/>
      <c r="N90" s="437"/>
      <c r="O90" s="359"/>
      <c r="P90" s="359"/>
      <c r="Q90" s="359"/>
      <c r="R90" s="359"/>
      <c r="S90" s="359"/>
      <c r="T90" s="359"/>
      <c r="U90" s="437"/>
      <c r="V90" s="437"/>
      <c r="W90" s="460"/>
      <c r="X90" s="437"/>
      <c r="Y90" s="359"/>
      <c r="Z90" s="359"/>
      <c r="AA90" s="359"/>
      <c r="AB90" s="359"/>
      <c r="AC90" s="359"/>
      <c r="AD90" s="359"/>
      <c r="AE90" s="437"/>
      <c r="AF90" s="437"/>
      <c r="AG90" s="437"/>
      <c r="AH90" s="437"/>
      <c r="AI90" s="359"/>
      <c r="AJ90" s="359"/>
      <c r="AK90" s="359"/>
      <c r="AL90" s="359"/>
      <c r="AM90" s="359"/>
      <c r="AN90" s="359"/>
      <c r="AO90" s="437"/>
      <c r="AP90" s="437"/>
      <c r="AQ90" s="460"/>
      <c r="AR90" s="437"/>
      <c r="AS90" s="437"/>
      <c r="AT90" s="437"/>
      <c r="AU90" s="437"/>
      <c r="AV90" s="437"/>
      <c r="AW90" s="359"/>
      <c r="AX90" s="359"/>
      <c r="AY90" s="461"/>
      <c r="AZ90" s="545"/>
      <c r="BA90" s="545"/>
      <c r="BB90" s="545"/>
      <c r="BC90" s="545"/>
      <c r="BD90" s="359"/>
      <c r="BE90" s="359"/>
      <c r="BF90" s="359"/>
      <c r="BG90" s="359"/>
      <c r="BH90" s="359"/>
      <c r="BI90" s="359"/>
      <c r="BJ90" s="437"/>
      <c r="BK90" s="437"/>
      <c r="BL90" s="437"/>
      <c r="BM90" s="437"/>
      <c r="BN90" s="359"/>
      <c r="BO90" s="359"/>
      <c r="BP90" s="359"/>
      <c r="BQ90" s="359"/>
      <c r="BR90" s="359"/>
      <c r="BS90" s="359"/>
      <c r="BT90" s="437"/>
      <c r="BU90" s="437"/>
      <c r="BV90" s="437"/>
      <c r="BW90" s="437"/>
      <c r="BX90" s="437"/>
      <c r="BY90" s="437"/>
      <c r="BZ90" s="437"/>
      <c r="CA90" s="437"/>
      <c r="CB90" s="437"/>
      <c r="CC90" s="359"/>
      <c r="CD90" s="359"/>
      <c r="CE90" s="359"/>
      <c r="CF90" s="359"/>
      <c r="CG90" s="359"/>
      <c r="CH90" s="359"/>
      <c r="CI90" s="437"/>
      <c r="CJ90" s="437"/>
      <c r="CK90" s="460"/>
      <c r="CL90" s="437"/>
      <c r="CM90" s="359"/>
      <c r="CN90" s="359"/>
      <c r="CO90" s="359"/>
      <c r="CP90" s="359"/>
      <c r="CQ90" s="359"/>
      <c r="CR90" s="359"/>
      <c r="CS90" s="437"/>
      <c r="CT90" s="437"/>
      <c r="CU90" s="437"/>
      <c r="CV90" s="437"/>
      <c r="CW90" s="437"/>
      <c r="CX90" s="437"/>
      <c r="CY90" s="437"/>
      <c r="CZ90" s="437"/>
      <c r="DA90" s="437"/>
      <c r="DB90" s="437"/>
      <c r="DC90" s="437"/>
      <c r="DD90" s="437"/>
      <c r="DE90" s="437"/>
      <c r="DF90" s="437"/>
      <c r="DG90" s="437"/>
      <c r="DH90" s="437"/>
      <c r="DI90" s="359"/>
      <c r="DJ90" s="359"/>
      <c r="DK90" s="359"/>
      <c r="DL90" s="359"/>
      <c r="DM90" s="359"/>
      <c r="DN90" s="359"/>
      <c r="DO90" s="437"/>
      <c r="DP90" s="437"/>
      <c r="DQ90" s="437"/>
      <c r="DR90" s="437"/>
      <c r="DS90" s="359"/>
      <c r="DT90" s="359"/>
      <c r="DU90" s="359"/>
      <c r="DV90" s="359"/>
      <c r="DW90" s="359"/>
      <c r="DX90" s="359"/>
      <c r="DY90" s="437"/>
      <c r="DZ90" s="437"/>
      <c r="EA90" s="437"/>
      <c r="EB90" s="437"/>
      <c r="EC90" s="359"/>
      <c r="ED90" s="359"/>
      <c r="EE90" s="359"/>
      <c r="EF90" s="359"/>
      <c r="EG90" s="359"/>
      <c r="EH90" s="359"/>
      <c r="EI90" s="437"/>
      <c r="EJ90" s="437"/>
      <c r="EK90" s="437"/>
      <c r="EL90" s="437"/>
      <c r="EM90" s="359"/>
      <c r="EN90" s="359"/>
      <c r="EO90" s="359"/>
      <c r="EP90" s="359"/>
      <c r="EQ90" s="359"/>
      <c r="ER90" s="359"/>
      <c r="ES90" s="437"/>
      <c r="ET90" s="437"/>
      <c r="EU90" s="437"/>
      <c r="EV90" s="437"/>
      <c r="EW90" s="437"/>
      <c r="EX90" s="437"/>
      <c r="EY90" s="437"/>
      <c r="EZ90" s="437"/>
      <c r="FA90" s="437"/>
      <c r="FB90" s="437"/>
      <c r="FC90" s="437"/>
      <c r="FD90" s="437"/>
      <c r="FE90" s="437"/>
      <c r="FF90" s="437"/>
      <c r="FG90" s="437"/>
      <c r="FH90" s="437"/>
      <c r="FI90" s="437"/>
      <c r="FJ90" s="437"/>
      <c r="FK90" s="437"/>
      <c r="FL90" s="437"/>
      <c r="FM90" s="437"/>
      <c r="FN90" s="359"/>
      <c r="FO90" s="359"/>
      <c r="FP90" s="359"/>
      <c r="FQ90" s="359"/>
      <c r="FR90" s="359"/>
      <c r="FS90" s="359"/>
      <c r="FT90" s="437"/>
      <c r="FU90" s="437"/>
      <c r="FV90" s="437"/>
      <c r="FW90" s="437"/>
      <c r="FX90" s="359"/>
      <c r="FY90" s="359"/>
      <c r="FZ90" s="359"/>
      <c r="GA90" s="359"/>
      <c r="GB90" s="359"/>
      <c r="GC90" s="359"/>
      <c r="GD90" s="437"/>
      <c r="GE90" s="437"/>
      <c r="GF90" s="437"/>
      <c r="GG90" s="437"/>
      <c r="GH90" s="359"/>
      <c r="GI90" s="359"/>
      <c r="GJ90" s="359"/>
      <c r="GK90" s="359"/>
      <c r="GL90" s="359"/>
      <c r="GM90" s="359"/>
      <c r="GN90" s="437"/>
      <c r="GO90" s="437"/>
      <c r="GP90" s="437"/>
      <c r="GQ90" s="437"/>
      <c r="GR90" s="437"/>
      <c r="GS90" s="437"/>
      <c r="GT90" s="437"/>
      <c r="GU90" s="437"/>
      <c r="GV90" s="437"/>
      <c r="GW90" s="437"/>
      <c r="GX90" s="359"/>
      <c r="GY90" s="359"/>
      <c r="GZ90" s="359"/>
      <c r="HA90" s="359"/>
      <c r="HB90" s="359"/>
      <c r="HC90" s="359"/>
      <c r="HD90" s="437"/>
      <c r="HE90" s="437"/>
      <c r="HF90" s="437"/>
      <c r="HG90" s="437"/>
      <c r="HH90" s="437"/>
      <c r="HI90" s="437"/>
      <c r="HJ90" s="437"/>
      <c r="HK90" s="437"/>
      <c r="HL90" s="437"/>
      <c r="HM90" s="437"/>
      <c r="HN90" s="437"/>
      <c r="HO90" s="437"/>
      <c r="HP90" s="437"/>
      <c r="HQ90" s="437"/>
      <c r="HR90" s="437"/>
      <c r="HS90" s="437"/>
      <c r="HT90" s="437"/>
      <c r="HU90" s="359"/>
      <c r="HV90" s="359"/>
      <c r="HW90" s="359"/>
      <c r="HX90" s="359"/>
      <c r="HY90" s="359"/>
      <c r="HZ90" s="359"/>
      <c r="IA90" s="437"/>
      <c r="IB90" s="437"/>
      <c r="IC90" s="437"/>
      <c r="ID90" s="437"/>
      <c r="IE90" s="359"/>
      <c r="IF90" s="359"/>
      <c r="IG90" s="359"/>
      <c r="IH90" s="359"/>
      <c r="II90" s="359"/>
      <c r="IJ90" s="359"/>
      <c r="IK90" s="437"/>
      <c r="IL90" s="437"/>
      <c r="IM90" s="437"/>
      <c r="IN90" s="437"/>
      <c r="IO90" s="359"/>
      <c r="IP90" s="359"/>
      <c r="IQ90" s="359"/>
      <c r="IR90" s="359"/>
      <c r="IS90" s="359"/>
      <c r="IT90" s="359"/>
      <c r="IU90" s="437"/>
      <c r="IV90" s="437"/>
      <c r="IW90" s="437"/>
      <c r="IX90" s="437"/>
      <c r="IY90" s="359"/>
      <c r="IZ90" s="359"/>
      <c r="JA90" s="359"/>
      <c r="JB90" s="359"/>
      <c r="JC90" s="359"/>
      <c r="JD90" s="359"/>
      <c r="JE90" s="437"/>
      <c r="JF90" s="437"/>
      <c r="JG90" s="437"/>
      <c r="JH90" s="437"/>
      <c r="JI90" s="437"/>
      <c r="JJ90" s="437"/>
      <c r="JK90" s="437"/>
      <c r="JL90" s="437"/>
      <c r="JM90" s="437"/>
      <c r="JN90" s="437"/>
      <c r="JO90" s="437"/>
      <c r="JP90" s="359"/>
      <c r="JQ90" s="359"/>
      <c r="JR90" s="359"/>
      <c r="JS90" s="359"/>
      <c r="JT90" s="359"/>
      <c r="JU90" s="359"/>
      <c r="JV90" s="437"/>
      <c r="JW90" s="437"/>
      <c r="JX90" s="437"/>
      <c r="JY90" s="437"/>
      <c r="JZ90" s="437"/>
      <c r="KA90" s="462"/>
      <c r="KB90" s="462"/>
      <c r="KC90" s="462"/>
      <c r="KD90" s="462"/>
      <c r="KE90" s="462"/>
      <c r="KF90" s="462"/>
      <c r="KG90" s="359"/>
      <c r="KH90" s="359"/>
      <c r="KI90" s="359"/>
      <c r="KJ90" s="461"/>
      <c r="KK90" s="359"/>
      <c r="KL90" s="359"/>
      <c r="KM90" s="359"/>
      <c r="KN90" s="359"/>
      <c r="KO90" s="359"/>
      <c r="KP90" s="359"/>
      <c r="KQ90" s="359"/>
    </row>
    <row r="91" spans="1:303" ht="15" x14ac:dyDescent="0.3">
      <c r="A91" s="359"/>
      <c r="B91" s="359"/>
      <c r="C91" s="458"/>
      <c r="D91" s="459"/>
      <c r="E91" s="359"/>
      <c r="F91" s="359"/>
      <c r="G91" s="359"/>
      <c r="H91" s="359"/>
      <c r="I91" s="359"/>
      <c r="J91" s="359"/>
      <c r="K91" s="437"/>
      <c r="L91" s="437"/>
      <c r="M91" s="460"/>
      <c r="N91" s="437"/>
      <c r="O91" s="359"/>
      <c r="P91" s="359"/>
      <c r="Q91" s="359"/>
      <c r="R91" s="359"/>
      <c r="S91" s="359"/>
      <c r="T91" s="359"/>
      <c r="U91" s="437"/>
      <c r="V91" s="437"/>
      <c r="W91" s="460"/>
      <c r="X91" s="437"/>
      <c r="Y91" s="359"/>
      <c r="Z91" s="359"/>
      <c r="AA91" s="359"/>
      <c r="AB91" s="359"/>
      <c r="AC91" s="359"/>
      <c r="AD91" s="359"/>
      <c r="AE91" s="437"/>
      <c r="AF91" s="437"/>
      <c r="AG91" s="437"/>
      <c r="AH91" s="437"/>
      <c r="AI91" s="359"/>
      <c r="AJ91" s="359"/>
      <c r="AK91" s="359"/>
      <c r="AL91" s="359"/>
      <c r="AM91" s="359"/>
      <c r="AN91" s="359"/>
      <c r="AO91" s="437"/>
      <c r="AP91" s="437"/>
      <c r="AQ91" s="460"/>
      <c r="AR91" s="437"/>
      <c r="AS91" s="437"/>
      <c r="AT91" s="437"/>
      <c r="AU91" s="437"/>
      <c r="AV91" s="437"/>
      <c r="AW91" s="359"/>
      <c r="AX91" s="359"/>
      <c r="AY91" s="461"/>
      <c r="AZ91" s="545"/>
      <c r="BA91" s="545"/>
      <c r="BB91" s="545"/>
      <c r="BC91" s="545"/>
      <c r="BD91" s="359"/>
      <c r="BE91" s="359"/>
      <c r="BF91" s="359"/>
      <c r="BG91" s="359"/>
      <c r="BH91" s="359"/>
      <c r="BI91" s="359"/>
      <c r="BJ91" s="437"/>
      <c r="BK91" s="437"/>
      <c r="BL91" s="437"/>
      <c r="BM91" s="437"/>
      <c r="BN91" s="359"/>
      <c r="BO91" s="359"/>
      <c r="BP91" s="359"/>
      <c r="BQ91" s="359"/>
      <c r="BR91" s="359"/>
      <c r="BS91" s="359"/>
      <c r="BT91" s="437"/>
      <c r="BU91" s="437"/>
      <c r="BV91" s="437"/>
      <c r="BW91" s="437"/>
      <c r="BX91" s="437"/>
      <c r="BY91" s="437"/>
      <c r="BZ91" s="437"/>
      <c r="CA91" s="437"/>
      <c r="CB91" s="437"/>
      <c r="CC91" s="359"/>
      <c r="CD91" s="359"/>
      <c r="CE91" s="359"/>
      <c r="CF91" s="359"/>
      <c r="CG91" s="359"/>
      <c r="CH91" s="359"/>
      <c r="CI91" s="437"/>
      <c r="CJ91" s="437"/>
      <c r="CK91" s="460"/>
      <c r="CL91" s="437"/>
      <c r="CM91" s="359"/>
      <c r="CN91" s="359"/>
      <c r="CO91" s="359"/>
      <c r="CP91" s="359"/>
      <c r="CQ91" s="359"/>
      <c r="CR91" s="359"/>
      <c r="CS91" s="437"/>
      <c r="CT91" s="437"/>
      <c r="CU91" s="437"/>
      <c r="CV91" s="437"/>
      <c r="CW91" s="437"/>
      <c r="CX91" s="437"/>
      <c r="CY91" s="437"/>
      <c r="CZ91" s="437"/>
      <c r="DA91" s="437"/>
      <c r="DB91" s="437"/>
      <c r="DC91" s="437"/>
      <c r="DD91" s="437"/>
      <c r="DE91" s="437"/>
      <c r="DF91" s="437"/>
      <c r="DG91" s="437"/>
      <c r="DH91" s="437"/>
      <c r="DI91" s="359"/>
      <c r="DJ91" s="359"/>
      <c r="DK91" s="359"/>
      <c r="DL91" s="359"/>
      <c r="DM91" s="359"/>
      <c r="DN91" s="359"/>
      <c r="DO91" s="437"/>
      <c r="DP91" s="437"/>
      <c r="DQ91" s="437"/>
      <c r="DR91" s="437"/>
      <c r="DS91" s="359"/>
      <c r="DT91" s="359"/>
      <c r="DU91" s="359"/>
      <c r="DV91" s="359"/>
      <c r="DW91" s="359"/>
      <c r="DX91" s="359"/>
      <c r="DY91" s="437"/>
      <c r="DZ91" s="437"/>
      <c r="EA91" s="437"/>
      <c r="EB91" s="437"/>
      <c r="EC91" s="359"/>
      <c r="ED91" s="359"/>
      <c r="EE91" s="359"/>
      <c r="EF91" s="359"/>
      <c r="EG91" s="359"/>
      <c r="EH91" s="359"/>
      <c r="EI91" s="437"/>
      <c r="EJ91" s="437"/>
      <c r="EK91" s="437"/>
      <c r="EL91" s="437"/>
      <c r="EM91" s="359"/>
      <c r="EN91" s="359"/>
      <c r="EO91" s="359"/>
      <c r="EP91" s="359"/>
      <c r="EQ91" s="359"/>
      <c r="ER91" s="359"/>
      <c r="ES91" s="437"/>
      <c r="ET91" s="437"/>
      <c r="EU91" s="437"/>
      <c r="EV91" s="437"/>
      <c r="EW91" s="437"/>
      <c r="EX91" s="437"/>
      <c r="EY91" s="437"/>
      <c r="EZ91" s="437"/>
      <c r="FA91" s="437"/>
      <c r="FB91" s="437"/>
      <c r="FC91" s="437"/>
      <c r="FD91" s="437"/>
      <c r="FE91" s="437"/>
      <c r="FF91" s="437"/>
      <c r="FG91" s="437"/>
      <c r="FH91" s="437"/>
      <c r="FI91" s="437"/>
      <c r="FJ91" s="437"/>
      <c r="FK91" s="437"/>
      <c r="FL91" s="437"/>
      <c r="FM91" s="437"/>
      <c r="FN91" s="359"/>
      <c r="FO91" s="359"/>
      <c r="FP91" s="359"/>
      <c r="FQ91" s="359"/>
      <c r="FR91" s="359"/>
      <c r="FS91" s="359"/>
      <c r="FT91" s="437"/>
      <c r="FU91" s="437"/>
      <c r="FV91" s="437"/>
      <c r="FW91" s="437"/>
      <c r="FX91" s="359"/>
      <c r="FY91" s="359"/>
      <c r="FZ91" s="359"/>
      <c r="GA91" s="359"/>
      <c r="GB91" s="359"/>
      <c r="GC91" s="359"/>
      <c r="GD91" s="437"/>
      <c r="GE91" s="437"/>
      <c r="GF91" s="437"/>
      <c r="GG91" s="437"/>
      <c r="GH91" s="359"/>
      <c r="GI91" s="359"/>
      <c r="GJ91" s="359"/>
      <c r="GK91" s="359"/>
      <c r="GL91" s="359"/>
      <c r="GM91" s="359"/>
      <c r="GN91" s="437"/>
      <c r="GO91" s="437"/>
      <c r="GP91" s="437"/>
      <c r="GQ91" s="437"/>
      <c r="GR91" s="437"/>
      <c r="GS91" s="437"/>
      <c r="GT91" s="437"/>
      <c r="GU91" s="437"/>
      <c r="GV91" s="437"/>
      <c r="GW91" s="437"/>
      <c r="GX91" s="359"/>
      <c r="GY91" s="359"/>
      <c r="GZ91" s="359"/>
      <c r="HA91" s="359"/>
      <c r="HB91" s="359"/>
      <c r="HC91" s="359"/>
      <c r="HD91" s="437"/>
      <c r="HE91" s="437"/>
      <c r="HF91" s="437"/>
      <c r="HG91" s="437"/>
      <c r="HH91" s="437"/>
      <c r="HI91" s="437"/>
      <c r="HJ91" s="437"/>
      <c r="HK91" s="437"/>
      <c r="HL91" s="437"/>
      <c r="HM91" s="437"/>
      <c r="HN91" s="437"/>
      <c r="HO91" s="437"/>
      <c r="HP91" s="437"/>
      <c r="HQ91" s="437"/>
      <c r="HR91" s="437"/>
      <c r="HS91" s="437"/>
      <c r="HT91" s="437"/>
      <c r="HU91" s="359"/>
      <c r="HV91" s="359"/>
      <c r="HW91" s="359"/>
      <c r="HX91" s="359"/>
      <c r="HY91" s="359"/>
      <c r="HZ91" s="359"/>
      <c r="IA91" s="437"/>
      <c r="IB91" s="437"/>
      <c r="IC91" s="437"/>
      <c r="ID91" s="437"/>
      <c r="IE91" s="359"/>
      <c r="IF91" s="359"/>
      <c r="IG91" s="359"/>
      <c r="IH91" s="359"/>
      <c r="II91" s="359"/>
      <c r="IJ91" s="359"/>
      <c r="IK91" s="437"/>
      <c r="IL91" s="437"/>
      <c r="IM91" s="437"/>
      <c r="IN91" s="437"/>
      <c r="IO91" s="359"/>
      <c r="IP91" s="359"/>
      <c r="IQ91" s="359"/>
      <c r="IR91" s="359"/>
      <c r="IS91" s="359"/>
      <c r="IT91" s="359"/>
      <c r="IU91" s="437"/>
      <c r="IV91" s="437"/>
      <c r="IW91" s="437"/>
      <c r="IX91" s="437"/>
      <c r="IY91" s="359"/>
      <c r="IZ91" s="359"/>
      <c r="JA91" s="359"/>
      <c r="JB91" s="359"/>
      <c r="JC91" s="359"/>
      <c r="JD91" s="359"/>
      <c r="JE91" s="437"/>
      <c r="JF91" s="437"/>
      <c r="JG91" s="437"/>
      <c r="JH91" s="437"/>
      <c r="JI91" s="437"/>
      <c r="JJ91" s="437"/>
      <c r="JK91" s="437"/>
      <c r="JL91" s="437"/>
      <c r="JM91" s="437"/>
      <c r="JN91" s="437"/>
      <c r="JO91" s="437"/>
      <c r="JP91" s="359"/>
      <c r="JQ91" s="359"/>
      <c r="JR91" s="359"/>
      <c r="JS91" s="359"/>
      <c r="JT91" s="359"/>
      <c r="JU91" s="359"/>
      <c r="JV91" s="437"/>
      <c r="JW91" s="437"/>
      <c r="JX91" s="437"/>
      <c r="JY91" s="437"/>
      <c r="JZ91" s="437"/>
      <c r="KA91" s="462"/>
      <c r="KB91" s="462"/>
      <c r="KC91" s="462"/>
      <c r="KD91" s="462"/>
      <c r="KE91" s="462"/>
      <c r="KF91" s="462"/>
      <c r="KG91" s="359"/>
      <c r="KH91" s="359"/>
      <c r="KI91" s="359"/>
      <c r="KJ91" s="461"/>
      <c r="KK91" s="359"/>
      <c r="KL91" s="359"/>
      <c r="KM91" s="359"/>
      <c r="KN91" s="359"/>
      <c r="KO91" s="359"/>
      <c r="KP91" s="359"/>
      <c r="KQ91" s="359"/>
    </row>
    <row r="92" spans="1:303" ht="15" x14ac:dyDescent="0.3">
      <c r="A92" s="359"/>
      <c r="B92" s="359"/>
      <c r="C92" s="458"/>
      <c r="D92" s="459"/>
      <c r="E92" s="359"/>
      <c r="F92" s="359"/>
      <c r="G92" s="359"/>
      <c r="H92" s="359"/>
      <c r="I92" s="359"/>
      <c r="J92" s="359"/>
      <c r="K92" s="437"/>
      <c r="L92" s="437"/>
      <c r="M92" s="460"/>
      <c r="N92" s="437"/>
      <c r="O92" s="359"/>
      <c r="P92" s="359"/>
      <c r="Q92" s="359"/>
      <c r="R92" s="359"/>
      <c r="S92" s="359"/>
      <c r="T92" s="359"/>
      <c r="U92" s="437"/>
      <c r="V92" s="437"/>
      <c r="W92" s="460"/>
      <c r="X92" s="437"/>
      <c r="Y92" s="359"/>
      <c r="Z92" s="359"/>
      <c r="AA92" s="359"/>
      <c r="AB92" s="359"/>
      <c r="AC92" s="359"/>
      <c r="AD92" s="359"/>
      <c r="AE92" s="437"/>
      <c r="AF92" s="437"/>
      <c r="AG92" s="437"/>
      <c r="AH92" s="437"/>
      <c r="AI92" s="359"/>
      <c r="AJ92" s="359"/>
      <c r="AK92" s="359"/>
      <c r="AL92" s="359"/>
      <c r="AM92" s="359"/>
      <c r="AN92" s="359"/>
      <c r="AO92" s="437"/>
      <c r="AP92" s="437"/>
      <c r="AQ92" s="460"/>
      <c r="AR92" s="437"/>
      <c r="AS92" s="437"/>
      <c r="AT92" s="437"/>
      <c r="AU92" s="437"/>
      <c r="AV92" s="437"/>
      <c r="AW92" s="359"/>
      <c r="AX92" s="359"/>
      <c r="AY92" s="461"/>
      <c r="AZ92" s="545"/>
      <c r="BA92" s="545"/>
      <c r="BB92" s="545"/>
      <c r="BC92" s="545"/>
      <c r="BD92" s="359"/>
      <c r="BE92" s="359"/>
      <c r="BF92" s="359"/>
      <c r="BG92" s="359"/>
      <c r="BH92" s="359"/>
      <c r="BI92" s="359"/>
      <c r="BJ92" s="437"/>
      <c r="BK92" s="437"/>
      <c r="BL92" s="437"/>
      <c r="BM92" s="437"/>
      <c r="BN92" s="359"/>
      <c r="BO92" s="359"/>
      <c r="BP92" s="359"/>
      <c r="BQ92" s="359"/>
      <c r="BR92" s="359"/>
      <c r="BS92" s="359"/>
      <c r="BT92" s="437"/>
      <c r="BU92" s="437"/>
      <c r="BV92" s="437"/>
      <c r="BW92" s="437"/>
      <c r="BX92" s="437"/>
      <c r="BY92" s="437"/>
      <c r="BZ92" s="437"/>
      <c r="CA92" s="437"/>
      <c r="CB92" s="437"/>
      <c r="CC92" s="359"/>
      <c r="CD92" s="359"/>
      <c r="CE92" s="359"/>
      <c r="CF92" s="359"/>
      <c r="CG92" s="359"/>
      <c r="CH92" s="359"/>
      <c r="CI92" s="437"/>
      <c r="CJ92" s="437"/>
      <c r="CK92" s="460"/>
      <c r="CL92" s="437"/>
      <c r="CM92" s="359"/>
      <c r="CN92" s="359"/>
      <c r="CO92" s="359"/>
      <c r="CP92" s="359"/>
      <c r="CQ92" s="359"/>
      <c r="CR92" s="359"/>
      <c r="CS92" s="437"/>
      <c r="CT92" s="437"/>
      <c r="CU92" s="437"/>
      <c r="CV92" s="437"/>
      <c r="CW92" s="437"/>
      <c r="CX92" s="437"/>
      <c r="CY92" s="437"/>
      <c r="CZ92" s="437"/>
      <c r="DA92" s="437"/>
      <c r="DB92" s="437"/>
      <c r="DC92" s="437"/>
      <c r="DD92" s="437"/>
      <c r="DE92" s="437"/>
      <c r="DF92" s="437"/>
      <c r="DG92" s="437"/>
      <c r="DH92" s="437"/>
      <c r="DI92" s="359"/>
      <c r="DJ92" s="359"/>
      <c r="DK92" s="359"/>
      <c r="DL92" s="359"/>
      <c r="DM92" s="359"/>
      <c r="DN92" s="359"/>
      <c r="DO92" s="437"/>
      <c r="DP92" s="437"/>
      <c r="DQ92" s="437"/>
      <c r="DR92" s="437"/>
      <c r="DS92" s="359"/>
      <c r="DT92" s="359"/>
      <c r="DU92" s="359"/>
      <c r="DV92" s="359"/>
      <c r="DW92" s="359"/>
      <c r="DX92" s="359"/>
      <c r="DY92" s="437"/>
      <c r="DZ92" s="437"/>
      <c r="EA92" s="437"/>
      <c r="EB92" s="437"/>
      <c r="EC92" s="359"/>
      <c r="ED92" s="359"/>
      <c r="EE92" s="359"/>
      <c r="EF92" s="359"/>
      <c r="EG92" s="359"/>
      <c r="EH92" s="359"/>
      <c r="EI92" s="437"/>
      <c r="EJ92" s="437"/>
      <c r="EK92" s="437"/>
      <c r="EL92" s="437"/>
      <c r="EM92" s="359"/>
      <c r="EN92" s="359"/>
      <c r="EO92" s="359"/>
      <c r="EP92" s="359"/>
      <c r="EQ92" s="359"/>
      <c r="ER92" s="359"/>
      <c r="ES92" s="437"/>
      <c r="ET92" s="437"/>
      <c r="EU92" s="437"/>
      <c r="EV92" s="437"/>
      <c r="EW92" s="437"/>
      <c r="EX92" s="437"/>
      <c r="EY92" s="437"/>
      <c r="EZ92" s="437"/>
      <c r="FA92" s="437"/>
      <c r="FB92" s="437"/>
      <c r="FC92" s="437"/>
      <c r="FD92" s="437"/>
      <c r="FE92" s="437"/>
      <c r="FF92" s="437"/>
      <c r="FG92" s="437"/>
      <c r="FH92" s="437"/>
      <c r="FI92" s="437"/>
      <c r="FJ92" s="437"/>
      <c r="FK92" s="437"/>
      <c r="FL92" s="437"/>
      <c r="FM92" s="437"/>
      <c r="FN92" s="359"/>
      <c r="FO92" s="359"/>
      <c r="FP92" s="359"/>
      <c r="FQ92" s="359"/>
      <c r="FR92" s="359"/>
      <c r="FS92" s="359"/>
      <c r="FT92" s="437"/>
      <c r="FU92" s="437"/>
      <c r="FV92" s="437"/>
      <c r="FW92" s="437"/>
      <c r="FX92" s="359"/>
      <c r="FY92" s="359"/>
      <c r="FZ92" s="359"/>
      <c r="GA92" s="359"/>
      <c r="GB92" s="359"/>
      <c r="GC92" s="359"/>
      <c r="GD92" s="437"/>
      <c r="GE92" s="437"/>
      <c r="GF92" s="437"/>
      <c r="GG92" s="437"/>
      <c r="GH92" s="359"/>
      <c r="GI92" s="359"/>
      <c r="GJ92" s="359"/>
      <c r="GK92" s="359"/>
      <c r="GL92" s="359"/>
      <c r="GM92" s="359"/>
      <c r="GN92" s="437"/>
      <c r="GO92" s="437"/>
      <c r="GP92" s="437"/>
      <c r="GQ92" s="437"/>
      <c r="GR92" s="437"/>
      <c r="GS92" s="437"/>
      <c r="GT92" s="437"/>
      <c r="GU92" s="437"/>
      <c r="GV92" s="437"/>
      <c r="GW92" s="437"/>
      <c r="GX92" s="359"/>
      <c r="GY92" s="359"/>
      <c r="GZ92" s="359"/>
      <c r="HA92" s="359"/>
      <c r="HB92" s="359"/>
      <c r="HC92" s="359"/>
      <c r="HD92" s="437"/>
      <c r="HE92" s="437"/>
      <c r="HF92" s="437"/>
      <c r="HG92" s="437"/>
      <c r="HH92" s="437"/>
      <c r="HI92" s="437"/>
      <c r="HJ92" s="437"/>
      <c r="HK92" s="437"/>
      <c r="HL92" s="437"/>
      <c r="HM92" s="437"/>
      <c r="HN92" s="437"/>
      <c r="HO92" s="437"/>
      <c r="HP92" s="437"/>
      <c r="HQ92" s="437"/>
      <c r="HR92" s="437"/>
      <c r="HS92" s="437"/>
      <c r="HT92" s="437"/>
      <c r="HU92" s="359"/>
      <c r="HV92" s="359"/>
      <c r="HW92" s="359"/>
      <c r="HX92" s="359"/>
      <c r="HY92" s="359"/>
      <c r="HZ92" s="359"/>
      <c r="IA92" s="437"/>
      <c r="IB92" s="437"/>
      <c r="IC92" s="437"/>
      <c r="ID92" s="437"/>
      <c r="IE92" s="359"/>
      <c r="IF92" s="359"/>
      <c r="IG92" s="359"/>
      <c r="IH92" s="359"/>
      <c r="II92" s="359"/>
      <c r="IJ92" s="359"/>
      <c r="IK92" s="437"/>
      <c r="IL92" s="437"/>
      <c r="IM92" s="437"/>
      <c r="IN92" s="437"/>
      <c r="IO92" s="359"/>
      <c r="IP92" s="359"/>
      <c r="IQ92" s="359"/>
      <c r="IR92" s="359"/>
      <c r="IS92" s="359"/>
      <c r="IT92" s="359"/>
      <c r="IU92" s="437"/>
      <c r="IV92" s="437"/>
      <c r="IW92" s="437"/>
      <c r="IX92" s="437"/>
      <c r="IY92" s="359"/>
      <c r="IZ92" s="359"/>
      <c r="JA92" s="359"/>
      <c r="JB92" s="359"/>
      <c r="JC92" s="359"/>
      <c r="JD92" s="359"/>
      <c r="JE92" s="437"/>
      <c r="JF92" s="437"/>
      <c r="JG92" s="437"/>
      <c r="JH92" s="437"/>
      <c r="JI92" s="437"/>
      <c r="JJ92" s="437"/>
      <c r="JK92" s="437"/>
      <c r="JL92" s="437"/>
      <c r="JM92" s="437"/>
      <c r="JN92" s="437"/>
      <c r="JO92" s="437"/>
      <c r="JP92" s="359"/>
      <c r="JQ92" s="359"/>
      <c r="JR92" s="359"/>
      <c r="JS92" s="359"/>
      <c r="JT92" s="359"/>
      <c r="JU92" s="359"/>
      <c r="JV92" s="437"/>
      <c r="JW92" s="437"/>
      <c r="JX92" s="437"/>
      <c r="JY92" s="437"/>
      <c r="JZ92" s="437"/>
      <c r="KA92" s="462"/>
      <c r="KB92" s="462"/>
      <c r="KC92" s="462"/>
      <c r="KD92" s="462"/>
      <c r="KE92" s="462"/>
      <c r="KF92" s="462"/>
      <c r="KG92" s="359"/>
      <c r="KH92" s="359"/>
      <c r="KI92" s="359"/>
      <c r="KJ92" s="461"/>
      <c r="KK92" s="359"/>
      <c r="KL92" s="359"/>
      <c r="KM92" s="359"/>
      <c r="KN92" s="359"/>
      <c r="KO92" s="359"/>
      <c r="KP92" s="359"/>
      <c r="KQ92" s="359"/>
    </row>
    <row r="93" spans="1:303" ht="15" x14ac:dyDescent="0.3">
      <c r="A93" s="359"/>
      <c r="B93" s="359"/>
      <c r="C93" s="458"/>
      <c r="D93" s="459"/>
      <c r="E93" s="359"/>
      <c r="F93" s="359"/>
      <c r="G93" s="359"/>
      <c r="H93" s="359"/>
      <c r="I93" s="359"/>
      <c r="J93" s="359"/>
      <c r="K93" s="437"/>
      <c r="L93" s="437"/>
      <c r="M93" s="460"/>
      <c r="N93" s="437"/>
      <c r="O93" s="359"/>
      <c r="P93" s="359"/>
      <c r="Q93" s="359"/>
      <c r="R93" s="359"/>
      <c r="S93" s="359"/>
      <c r="T93" s="359"/>
      <c r="U93" s="437"/>
      <c r="V93" s="437"/>
      <c r="W93" s="460"/>
      <c r="X93" s="437"/>
      <c r="Y93" s="359"/>
      <c r="Z93" s="359"/>
      <c r="AA93" s="359"/>
      <c r="AB93" s="359"/>
      <c r="AC93" s="359"/>
      <c r="AD93" s="359"/>
      <c r="AE93" s="437"/>
      <c r="AF93" s="437"/>
      <c r="AG93" s="437"/>
      <c r="AH93" s="437"/>
      <c r="AI93" s="359"/>
      <c r="AJ93" s="359"/>
      <c r="AK93" s="359"/>
      <c r="AL93" s="359"/>
      <c r="AM93" s="359"/>
      <c r="AN93" s="359"/>
      <c r="AO93" s="437"/>
      <c r="AP93" s="437"/>
      <c r="AQ93" s="460"/>
      <c r="AR93" s="437"/>
      <c r="AS93" s="437"/>
      <c r="AT93" s="437"/>
      <c r="AU93" s="437"/>
      <c r="AV93" s="437"/>
      <c r="AW93" s="359"/>
      <c r="AX93" s="359"/>
      <c r="AY93" s="461"/>
      <c r="AZ93" s="545"/>
      <c r="BA93" s="545"/>
      <c r="BB93" s="545"/>
      <c r="BC93" s="545"/>
      <c r="BD93" s="359"/>
      <c r="BE93" s="359"/>
      <c r="BF93" s="359"/>
      <c r="BG93" s="359"/>
      <c r="BH93" s="359"/>
      <c r="BI93" s="359"/>
      <c r="BJ93" s="437"/>
      <c r="BK93" s="437"/>
      <c r="BL93" s="437"/>
      <c r="BM93" s="437"/>
      <c r="BN93" s="359"/>
      <c r="BO93" s="359"/>
      <c r="BP93" s="359"/>
      <c r="BQ93" s="359"/>
      <c r="BR93" s="359"/>
      <c r="BS93" s="359"/>
      <c r="BT93" s="437"/>
      <c r="BU93" s="437"/>
      <c r="BV93" s="437"/>
      <c r="BW93" s="437"/>
      <c r="BX93" s="437"/>
      <c r="BY93" s="437"/>
      <c r="BZ93" s="437"/>
      <c r="CA93" s="437"/>
      <c r="CB93" s="437"/>
      <c r="CC93" s="359"/>
      <c r="CD93" s="359"/>
      <c r="CE93" s="359"/>
      <c r="CF93" s="359"/>
      <c r="CG93" s="359"/>
      <c r="CH93" s="359"/>
      <c r="CI93" s="437"/>
      <c r="CJ93" s="437"/>
      <c r="CK93" s="460"/>
      <c r="CL93" s="437"/>
      <c r="CM93" s="359"/>
      <c r="CN93" s="359"/>
      <c r="CO93" s="359"/>
      <c r="CP93" s="359"/>
      <c r="CQ93" s="359"/>
      <c r="CR93" s="359"/>
      <c r="CS93" s="437"/>
      <c r="CT93" s="437"/>
      <c r="CU93" s="437"/>
      <c r="CV93" s="437"/>
      <c r="CW93" s="437"/>
      <c r="CX93" s="437"/>
      <c r="CY93" s="437"/>
      <c r="CZ93" s="437"/>
      <c r="DA93" s="437"/>
      <c r="DB93" s="437"/>
      <c r="DC93" s="437"/>
      <c r="DD93" s="437"/>
      <c r="DE93" s="437"/>
      <c r="DF93" s="437"/>
      <c r="DG93" s="437"/>
      <c r="DH93" s="437"/>
      <c r="DI93" s="359"/>
      <c r="DJ93" s="359"/>
      <c r="DK93" s="359"/>
      <c r="DL93" s="359"/>
      <c r="DM93" s="359"/>
      <c r="DN93" s="359"/>
      <c r="DO93" s="437"/>
      <c r="DP93" s="437"/>
      <c r="DQ93" s="437"/>
      <c r="DR93" s="437"/>
      <c r="DS93" s="359"/>
      <c r="DT93" s="359"/>
      <c r="DU93" s="359"/>
      <c r="DV93" s="359"/>
      <c r="DW93" s="359"/>
      <c r="DX93" s="359"/>
      <c r="DY93" s="437"/>
      <c r="DZ93" s="437"/>
      <c r="EA93" s="437"/>
      <c r="EB93" s="437"/>
      <c r="EC93" s="359"/>
      <c r="ED93" s="359"/>
      <c r="EE93" s="359"/>
      <c r="EF93" s="359"/>
      <c r="EG93" s="359"/>
      <c r="EH93" s="359"/>
      <c r="EI93" s="437"/>
      <c r="EJ93" s="437"/>
      <c r="EK93" s="437"/>
      <c r="EL93" s="437"/>
      <c r="EM93" s="359"/>
      <c r="EN93" s="359"/>
      <c r="EO93" s="359"/>
      <c r="EP93" s="359"/>
      <c r="EQ93" s="359"/>
      <c r="ER93" s="359"/>
      <c r="ES93" s="437"/>
      <c r="ET93" s="437"/>
      <c r="EU93" s="437"/>
      <c r="EV93" s="437"/>
      <c r="EW93" s="437"/>
      <c r="EX93" s="437"/>
      <c r="EY93" s="437"/>
      <c r="EZ93" s="437"/>
      <c r="FA93" s="437"/>
      <c r="FB93" s="437"/>
      <c r="FC93" s="437"/>
      <c r="FD93" s="437"/>
      <c r="FE93" s="437"/>
      <c r="FF93" s="437"/>
      <c r="FG93" s="437"/>
      <c r="FH93" s="437"/>
      <c r="FI93" s="437"/>
      <c r="FJ93" s="437"/>
      <c r="FK93" s="437"/>
      <c r="FL93" s="437"/>
      <c r="FM93" s="437"/>
      <c r="FN93" s="359"/>
      <c r="FO93" s="359"/>
      <c r="FP93" s="359"/>
      <c r="FQ93" s="359"/>
      <c r="FR93" s="359"/>
      <c r="FS93" s="359"/>
      <c r="FT93" s="437"/>
      <c r="FU93" s="437"/>
      <c r="FV93" s="437"/>
      <c r="FW93" s="437"/>
      <c r="FX93" s="359"/>
      <c r="FY93" s="359"/>
      <c r="FZ93" s="359"/>
      <c r="GA93" s="359"/>
      <c r="GB93" s="359"/>
      <c r="GC93" s="359"/>
      <c r="GD93" s="437"/>
      <c r="GE93" s="437"/>
      <c r="GF93" s="437"/>
      <c r="GG93" s="437"/>
      <c r="GH93" s="359"/>
      <c r="GI93" s="359"/>
      <c r="GJ93" s="359"/>
      <c r="GK93" s="359"/>
      <c r="GL93" s="359"/>
      <c r="GM93" s="359"/>
      <c r="GN93" s="437"/>
      <c r="GO93" s="437"/>
      <c r="GP93" s="437"/>
      <c r="GQ93" s="437"/>
      <c r="GR93" s="437"/>
      <c r="GS93" s="437"/>
      <c r="GT93" s="437"/>
      <c r="GU93" s="437"/>
      <c r="GV93" s="437"/>
      <c r="GW93" s="437"/>
      <c r="GX93" s="359"/>
      <c r="GY93" s="359"/>
      <c r="GZ93" s="359"/>
      <c r="HA93" s="359"/>
      <c r="HB93" s="359"/>
      <c r="HC93" s="359"/>
      <c r="HD93" s="437"/>
      <c r="HE93" s="437"/>
      <c r="HF93" s="437"/>
      <c r="HG93" s="437"/>
      <c r="HH93" s="437"/>
      <c r="HI93" s="437"/>
      <c r="HJ93" s="437"/>
      <c r="HK93" s="437"/>
      <c r="HL93" s="437"/>
      <c r="HM93" s="437"/>
      <c r="HN93" s="437"/>
      <c r="HO93" s="437"/>
      <c r="HP93" s="437"/>
      <c r="HQ93" s="437"/>
      <c r="HR93" s="437"/>
      <c r="HS93" s="437"/>
      <c r="HT93" s="437"/>
      <c r="HU93" s="359"/>
      <c r="HV93" s="359"/>
      <c r="HW93" s="359"/>
      <c r="HX93" s="359"/>
      <c r="HY93" s="359"/>
      <c r="HZ93" s="359"/>
      <c r="IA93" s="437"/>
      <c r="IB93" s="437"/>
      <c r="IC93" s="437"/>
      <c r="ID93" s="437"/>
      <c r="IE93" s="359"/>
      <c r="IF93" s="359"/>
      <c r="IG93" s="359"/>
      <c r="IH93" s="359"/>
      <c r="II93" s="359"/>
      <c r="IJ93" s="359"/>
      <c r="IK93" s="437"/>
      <c r="IL93" s="437"/>
      <c r="IM93" s="437"/>
      <c r="IN93" s="437"/>
      <c r="IO93" s="359"/>
      <c r="IP93" s="359"/>
      <c r="IQ93" s="359"/>
      <c r="IR93" s="359"/>
      <c r="IS93" s="359"/>
      <c r="IT93" s="359"/>
      <c r="IU93" s="437"/>
      <c r="IV93" s="437"/>
      <c r="IW93" s="437"/>
      <c r="IX93" s="437"/>
      <c r="IY93" s="359"/>
      <c r="IZ93" s="359"/>
      <c r="JA93" s="359"/>
      <c r="JB93" s="359"/>
      <c r="JC93" s="359"/>
      <c r="JD93" s="359"/>
      <c r="JE93" s="437"/>
      <c r="JF93" s="437"/>
      <c r="JG93" s="437"/>
      <c r="JH93" s="437"/>
      <c r="JI93" s="437"/>
      <c r="JJ93" s="437"/>
      <c r="JK93" s="437"/>
      <c r="JL93" s="437"/>
      <c r="JM93" s="437"/>
      <c r="JN93" s="437"/>
      <c r="JO93" s="437"/>
      <c r="JP93" s="359"/>
      <c r="JQ93" s="359"/>
      <c r="JR93" s="359"/>
      <c r="JS93" s="359"/>
      <c r="JT93" s="359"/>
      <c r="JU93" s="359"/>
      <c r="JV93" s="437"/>
      <c r="JW93" s="437"/>
      <c r="JX93" s="437"/>
      <c r="JY93" s="437"/>
      <c r="JZ93" s="437"/>
      <c r="KA93" s="462"/>
      <c r="KB93" s="462"/>
      <c r="KC93" s="462"/>
      <c r="KD93" s="462"/>
      <c r="KE93" s="462"/>
      <c r="KF93" s="462"/>
      <c r="KG93" s="359"/>
      <c r="KH93" s="359"/>
      <c r="KI93" s="359"/>
      <c r="KJ93" s="461"/>
      <c r="KK93" s="359"/>
      <c r="KL93" s="359"/>
      <c r="KM93" s="359"/>
      <c r="KN93" s="359"/>
      <c r="KO93" s="359"/>
      <c r="KP93" s="359"/>
      <c r="KQ93" s="359"/>
    </row>
    <row r="94" spans="1:303" ht="15" x14ac:dyDescent="0.3">
      <c r="A94" s="359"/>
      <c r="B94" s="359"/>
      <c r="C94" s="458"/>
      <c r="D94" s="459"/>
      <c r="E94" s="359"/>
      <c r="F94" s="359"/>
      <c r="G94" s="359"/>
      <c r="H94" s="359"/>
      <c r="I94" s="359"/>
      <c r="J94" s="359"/>
      <c r="K94" s="437"/>
      <c r="L94" s="437"/>
      <c r="M94" s="460"/>
      <c r="N94" s="437"/>
      <c r="O94" s="359"/>
      <c r="P94" s="359"/>
      <c r="Q94" s="359"/>
      <c r="R94" s="359"/>
      <c r="S94" s="359"/>
      <c r="T94" s="359"/>
      <c r="U94" s="437"/>
      <c r="V94" s="437"/>
      <c r="W94" s="460"/>
      <c r="X94" s="437"/>
      <c r="Y94" s="359"/>
      <c r="Z94" s="359"/>
      <c r="AA94" s="359"/>
      <c r="AB94" s="359"/>
      <c r="AC94" s="359"/>
      <c r="AD94" s="359"/>
      <c r="AE94" s="437"/>
      <c r="AF94" s="437"/>
      <c r="AG94" s="437"/>
      <c r="AH94" s="437"/>
      <c r="AI94" s="359"/>
      <c r="AJ94" s="359"/>
      <c r="AK94" s="359"/>
      <c r="AL94" s="359"/>
      <c r="AM94" s="359"/>
      <c r="AN94" s="359"/>
      <c r="AO94" s="437"/>
      <c r="AP94" s="437"/>
      <c r="AQ94" s="460"/>
      <c r="AR94" s="437"/>
      <c r="AS94" s="437"/>
      <c r="AT94" s="437"/>
      <c r="AU94" s="437"/>
      <c r="AV94" s="437"/>
      <c r="AW94" s="359"/>
      <c r="AX94" s="359"/>
      <c r="AY94" s="461"/>
      <c r="AZ94" s="545"/>
      <c r="BA94" s="545"/>
      <c r="BB94" s="545"/>
      <c r="BC94" s="545"/>
      <c r="BD94" s="359"/>
      <c r="BE94" s="359"/>
      <c r="BF94" s="359"/>
      <c r="BG94" s="359"/>
      <c r="BH94" s="359"/>
      <c r="BI94" s="359"/>
      <c r="BJ94" s="437"/>
      <c r="BK94" s="437"/>
      <c r="BL94" s="437"/>
      <c r="BM94" s="437"/>
      <c r="BN94" s="359"/>
      <c r="BO94" s="359"/>
      <c r="BP94" s="359"/>
      <c r="BQ94" s="359"/>
      <c r="BR94" s="359"/>
      <c r="BS94" s="359"/>
      <c r="BT94" s="437"/>
      <c r="BU94" s="437"/>
      <c r="BV94" s="437"/>
      <c r="BW94" s="437"/>
      <c r="BX94" s="437"/>
      <c r="BY94" s="437"/>
      <c r="BZ94" s="437"/>
      <c r="CA94" s="437"/>
      <c r="CB94" s="437"/>
      <c r="CC94" s="359"/>
      <c r="CD94" s="359"/>
      <c r="CE94" s="359"/>
      <c r="CF94" s="359"/>
      <c r="CG94" s="359"/>
      <c r="CH94" s="359"/>
      <c r="CI94" s="437"/>
      <c r="CJ94" s="437"/>
      <c r="CK94" s="460"/>
      <c r="CL94" s="437"/>
      <c r="CM94" s="359"/>
      <c r="CN94" s="359"/>
      <c r="CO94" s="359"/>
      <c r="CP94" s="359"/>
      <c r="CQ94" s="359"/>
      <c r="CR94" s="359"/>
      <c r="CS94" s="437"/>
      <c r="CT94" s="437"/>
      <c r="CU94" s="437"/>
      <c r="CV94" s="437"/>
      <c r="CW94" s="437"/>
      <c r="CX94" s="437"/>
      <c r="CY94" s="437"/>
      <c r="CZ94" s="437"/>
      <c r="DA94" s="437"/>
      <c r="DB94" s="437"/>
      <c r="DC94" s="437"/>
      <c r="DD94" s="437"/>
      <c r="DE94" s="437"/>
      <c r="DF94" s="437"/>
      <c r="DG94" s="437"/>
      <c r="DH94" s="437"/>
      <c r="DI94" s="359"/>
      <c r="DJ94" s="359"/>
      <c r="DK94" s="359"/>
      <c r="DL94" s="359"/>
      <c r="DM94" s="359"/>
      <c r="DN94" s="359"/>
      <c r="DO94" s="437"/>
      <c r="DP94" s="437"/>
      <c r="DQ94" s="437"/>
      <c r="DR94" s="437"/>
      <c r="DS94" s="359"/>
      <c r="DT94" s="359"/>
      <c r="DU94" s="359"/>
      <c r="DV94" s="359"/>
      <c r="DW94" s="359"/>
      <c r="DX94" s="359"/>
      <c r="DY94" s="437"/>
      <c r="DZ94" s="437"/>
      <c r="EA94" s="437"/>
      <c r="EB94" s="437"/>
      <c r="EC94" s="359"/>
      <c r="ED94" s="359"/>
      <c r="EE94" s="359"/>
      <c r="EF94" s="359"/>
      <c r="EG94" s="359"/>
      <c r="EH94" s="359"/>
      <c r="EI94" s="437"/>
      <c r="EJ94" s="437"/>
      <c r="EK94" s="437"/>
      <c r="EL94" s="437"/>
      <c r="EM94" s="359"/>
      <c r="EN94" s="359"/>
      <c r="EO94" s="359"/>
      <c r="EP94" s="359"/>
      <c r="EQ94" s="359"/>
      <c r="ER94" s="359"/>
      <c r="ES94" s="437"/>
      <c r="ET94" s="437"/>
      <c r="EU94" s="437"/>
      <c r="EV94" s="437"/>
      <c r="EW94" s="437"/>
      <c r="EX94" s="437"/>
      <c r="EY94" s="437"/>
      <c r="EZ94" s="437"/>
      <c r="FA94" s="437"/>
      <c r="FB94" s="437"/>
      <c r="FC94" s="437"/>
      <c r="FD94" s="437"/>
      <c r="FE94" s="437"/>
      <c r="FF94" s="437"/>
      <c r="FG94" s="437"/>
      <c r="FH94" s="437"/>
      <c r="FI94" s="437"/>
      <c r="FJ94" s="437"/>
      <c r="FK94" s="437"/>
      <c r="FL94" s="437"/>
      <c r="FM94" s="437"/>
      <c r="FN94" s="359"/>
      <c r="FO94" s="359"/>
      <c r="FP94" s="359"/>
      <c r="FQ94" s="359"/>
      <c r="FR94" s="359"/>
      <c r="FS94" s="359"/>
      <c r="FT94" s="437"/>
      <c r="FU94" s="437"/>
      <c r="FV94" s="437"/>
      <c r="FW94" s="437"/>
      <c r="FX94" s="359"/>
      <c r="FY94" s="359"/>
      <c r="FZ94" s="359"/>
      <c r="GA94" s="359"/>
      <c r="GB94" s="359"/>
      <c r="GC94" s="359"/>
      <c r="GD94" s="437"/>
      <c r="GE94" s="437"/>
      <c r="GF94" s="437"/>
      <c r="GG94" s="437"/>
      <c r="GH94" s="359"/>
      <c r="GI94" s="359"/>
      <c r="GJ94" s="359"/>
      <c r="GK94" s="359"/>
      <c r="GL94" s="359"/>
      <c r="GM94" s="359"/>
      <c r="GN94" s="437"/>
      <c r="GO94" s="437"/>
      <c r="GP94" s="437"/>
      <c r="GQ94" s="437"/>
      <c r="GR94" s="437"/>
      <c r="GS94" s="437"/>
      <c r="GT94" s="437"/>
      <c r="GU94" s="437"/>
      <c r="GV94" s="437"/>
      <c r="GW94" s="437"/>
      <c r="GX94" s="359"/>
      <c r="GY94" s="359"/>
      <c r="GZ94" s="359"/>
      <c r="HA94" s="359"/>
      <c r="HB94" s="359"/>
      <c r="HC94" s="359"/>
      <c r="HD94" s="437"/>
      <c r="HE94" s="437"/>
      <c r="HF94" s="437"/>
      <c r="HG94" s="437"/>
      <c r="HH94" s="437"/>
      <c r="HI94" s="437"/>
      <c r="HJ94" s="437"/>
      <c r="HK94" s="437"/>
      <c r="HL94" s="437"/>
      <c r="HM94" s="437"/>
      <c r="HN94" s="437"/>
      <c r="HO94" s="437"/>
      <c r="HP94" s="437"/>
      <c r="HQ94" s="437"/>
      <c r="HR94" s="437"/>
      <c r="HS94" s="437"/>
      <c r="HT94" s="437"/>
      <c r="HU94" s="359"/>
      <c r="HV94" s="359"/>
      <c r="HW94" s="359"/>
      <c r="HX94" s="359"/>
      <c r="HY94" s="359"/>
      <c r="HZ94" s="359"/>
      <c r="IA94" s="437"/>
      <c r="IB94" s="437"/>
      <c r="IC94" s="437"/>
      <c r="ID94" s="437"/>
      <c r="IE94" s="359"/>
      <c r="IF94" s="359"/>
      <c r="IG94" s="359"/>
      <c r="IH94" s="359"/>
      <c r="II94" s="359"/>
      <c r="IJ94" s="359"/>
      <c r="IK94" s="437"/>
      <c r="IL94" s="437"/>
      <c r="IM94" s="437"/>
      <c r="IN94" s="437"/>
      <c r="IO94" s="359"/>
      <c r="IP94" s="359"/>
      <c r="IQ94" s="359"/>
      <c r="IR94" s="359"/>
      <c r="IS94" s="359"/>
      <c r="IT94" s="359"/>
      <c r="IU94" s="437"/>
      <c r="IV94" s="437"/>
      <c r="IW94" s="437"/>
      <c r="IX94" s="437"/>
      <c r="IY94" s="359"/>
      <c r="IZ94" s="359"/>
      <c r="JA94" s="359"/>
      <c r="JB94" s="359"/>
      <c r="JC94" s="359"/>
      <c r="JD94" s="359"/>
      <c r="JE94" s="437"/>
      <c r="JF94" s="437"/>
      <c r="JG94" s="437"/>
      <c r="JH94" s="437"/>
      <c r="JI94" s="437"/>
      <c r="JJ94" s="437"/>
      <c r="JK94" s="437"/>
      <c r="JL94" s="437"/>
      <c r="JM94" s="437"/>
      <c r="JN94" s="437"/>
      <c r="JO94" s="437"/>
      <c r="JP94" s="359"/>
      <c r="JQ94" s="359"/>
      <c r="JR94" s="359"/>
      <c r="JS94" s="359"/>
      <c r="JT94" s="359"/>
      <c r="JU94" s="359"/>
      <c r="JV94" s="437"/>
      <c r="JW94" s="437"/>
      <c r="JX94" s="437"/>
      <c r="JY94" s="437"/>
      <c r="JZ94" s="437"/>
      <c r="KA94" s="462"/>
      <c r="KB94" s="462"/>
      <c r="KC94" s="462"/>
      <c r="KD94" s="462"/>
      <c r="KE94" s="462"/>
      <c r="KF94" s="462"/>
      <c r="KG94" s="359"/>
      <c r="KH94" s="359"/>
      <c r="KI94" s="359"/>
      <c r="KJ94" s="461"/>
      <c r="KK94" s="359"/>
      <c r="KL94" s="359"/>
      <c r="KM94" s="359"/>
      <c r="KN94" s="359"/>
      <c r="KO94" s="359"/>
      <c r="KP94" s="359"/>
      <c r="KQ94" s="359"/>
    </row>
    <row r="95" spans="1:303" ht="15" x14ac:dyDescent="0.3">
      <c r="A95" s="359"/>
      <c r="B95" s="359"/>
      <c r="C95" s="458"/>
      <c r="D95" s="459"/>
      <c r="E95" s="359"/>
      <c r="F95" s="359"/>
      <c r="G95" s="359"/>
      <c r="H95" s="359"/>
      <c r="I95" s="359"/>
      <c r="J95" s="359"/>
      <c r="K95" s="437"/>
      <c r="L95" s="437"/>
      <c r="M95" s="460"/>
      <c r="N95" s="437"/>
      <c r="O95" s="359"/>
      <c r="P95" s="359"/>
      <c r="Q95" s="359"/>
      <c r="R95" s="359"/>
      <c r="S95" s="359"/>
      <c r="T95" s="359"/>
      <c r="U95" s="437"/>
      <c r="V95" s="437"/>
      <c r="W95" s="460"/>
      <c r="X95" s="437"/>
      <c r="Y95" s="359"/>
      <c r="Z95" s="359"/>
      <c r="AA95" s="359"/>
      <c r="AB95" s="359"/>
      <c r="AC95" s="359"/>
      <c r="AD95" s="359"/>
      <c r="AE95" s="437"/>
      <c r="AF95" s="437"/>
      <c r="AG95" s="437"/>
      <c r="AH95" s="437"/>
      <c r="AI95" s="359"/>
      <c r="AJ95" s="359"/>
      <c r="AK95" s="359"/>
      <c r="AL95" s="359"/>
      <c r="AM95" s="359"/>
      <c r="AN95" s="359"/>
      <c r="AO95" s="437"/>
      <c r="AP95" s="437"/>
      <c r="AQ95" s="460"/>
      <c r="AR95" s="437"/>
      <c r="AS95" s="437"/>
      <c r="AT95" s="437"/>
      <c r="AU95" s="437"/>
      <c r="AV95" s="437"/>
      <c r="AW95" s="359"/>
      <c r="AX95" s="359"/>
      <c r="AY95" s="461"/>
      <c r="AZ95" s="545"/>
      <c r="BA95" s="545"/>
      <c r="BB95" s="545"/>
      <c r="BC95" s="545"/>
      <c r="BD95" s="359"/>
      <c r="BE95" s="359"/>
      <c r="BF95" s="359"/>
      <c r="BG95" s="359"/>
      <c r="BH95" s="359"/>
      <c r="BI95" s="359"/>
      <c r="BJ95" s="437"/>
      <c r="BK95" s="437"/>
      <c r="BL95" s="437"/>
      <c r="BM95" s="437"/>
      <c r="BN95" s="359"/>
      <c r="BO95" s="359"/>
      <c r="BP95" s="359"/>
      <c r="BQ95" s="359"/>
      <c r="BR95" s="359"/>
      <c r="BS95" s="359"/>
      <c r="BT95" s="437"/>
      <c r="BU95" s="437"/>
      <c r="BV95" s="437"/>
      <c r="BW95" s="437"/>
      <c r="BX95" s="437"/>
      <c r="BY95" s="437"/>
      <c r="BZ95" s="437"/>
      <c r="CA95" s="437"/>
      <c r="CB95" s="437"/>
      <c r="CC95" s="359"/>
      <c r="CD95" s="359"/>
      <c r="CE95" s="359"/>
      <c r="CF95" s="359"/>
      <c r="CG95" s="359"/>
      <c r="CH95" s="359"/>
      <c r="CI95" s="437"/>
      <c r="CJ95" s="437"/>
      <c r="CK95" s="460"/>
      <c r="CL95" s="437"/>
      <c r="CM95" s="359"/>
      <c r="CN95" s="359"/>
      <c r="CO95" s="359"/>
      <c r="CP95" s="359"/>
      <c r="CQ95" s="359"/>
      <c r="CR95" s="359"/>
      <c r="CS95" s="437"/>
      <c r="CT95" s="437"/>
      <c r="CU95" s="437"/>
      <c r="CV95" s="437"/>
      <c r="CW95" s="437"/>
      <c r="CX95" s="437"/>
      <c r="CY95" s="437"/>
      <c r="CZ95" s="437"/>
      <c r="DA95" s="437"/>
      <c r="DB95" s="437"/>
      <c r="DC95" s="437"/>
      <c r="DD95" s="437"/>
      <c r="DE95" s="437"/>
      <c r="DF95" s="437"/>
      <c r="DG95" s="437"/>
      <c r="DH95" s="437"/>
      <c r="DI95" s="359"/>
      <c r="DJ95" s="359"/>
      <c r="DK95" s="359"/>
      <c r="DL95" s="359"/>
      <c r="DM95" s="359"/>
      <c r="DN95" s="359"/>
      <c r="DO95" s="437"/>
      <c r="DP95" s="437"/>
      <c r="DQ95" s="437"/>
      <c r="DR95" s="437"/>
      <c r="DS95" s="359"/>
      <c r="DT95" s="359"/>
      <c r="DU95" s="359"/>
      <c r="DV95" s="359"/>
      <c r="DW95" s="359"/>
      <c r="DX95" s="359"/>
      <c r="DY95" s="437"/>
      <c r="DZ95" s="437"/>
      <c r="EA95" s="437"/>
      <c r="EB95" s="437"/>
      <c r="EC95" s="359"/>
      <c r="ED95" s="359"/>
      <c r="EE95" s="359"/>
      <c r="EF95" s="359"/>
      <c r="EG95" s="359"/>
      <c r="EH95" s="359"/>
      <c r="EI95" s="437"/>
      <c r="EJ95" s="437"/>
      <c r="EK95" s="437"/>
      <c r="EL95" s="437"/>
      <c r="EM95" s="359"/>
      <c r="EN95" s="359"/>
      <c r="EO95" s="359"/>
      <c r="EP95" s="359"/>
      <c r="EQ95" s="359"/>
      <c r="ER95" s="359"/>
      <c r="ES95" s="437"/>
      <c r="ET95" s="437"/>
      <c r="EU95" s="437"/>
      <c r="EV95" s="437"/>
      <c r="EW95" s="437"/>
      <c r="EX95" s="437"/>
      <c r="EY95" s="437"/>
      <c r="EZ95" s="437"/>
      <c r="FA95" s="437"/>
      <c r="FB95" s="437"/>
      <c r="FC95" s="437"/>
      <c r="FD95" s="437"/>
      <c r="FE95" s="437"/>
      <c r="FF95" s="437"/>
      <c r="FG95" s="437"/>
      <c r="FH95" s="437"/>
      <c r="FI95" s="437"/>
      <c r="FJ95" s="437"/>
      <c r="FK95" s="437"/>
      <c r="FL95" s="437"/>
      <c r="FM95" s="437"/>
      <c r="FN95" s="359"/>
      <c r="FO95" s="359"/>
      <c r="FP95" s="359"/>
      <c r="FQ95" s="359"/>
      <c r="FR95" s="359"/>
      <c r="FS95" s="359"/>
      <c r="FT95" s="437"/>
      <c r="FU95" s="437"/>
      <c r="FV95" s="437"/>
      <c r="FW95" s="437"/>
      <c r="FX95" s="359"/>
      <c r="FY95" s="359"/>
      <c r="FZ95" s="359"/>
      <c r="GA95" s="359"/>
      <c r="GB95" s="359"/>
      <c r="GC95" s="359"/>
      <c r="GD95" s="437"/>
      <c r="GE95" s="437"/>
      <c r="GF95" s="437"/>
      <c r="GG95" s="437"/>
      <c r="GH95" s="359"/>
      <c r="GI95" s="359"/>
      <c r="GJ95" s="359"/>
      <c r="GK95" s="359"/>
      <c r="GL95" s="359"/>
      <c r="GM95" s="359"/>
      <c r="GN95" s="437"/>
      <c r="GO95" s="437"/>
      <c r="GP95" s="437"/>
      <c r="GQ95" s="437"/>
      <c r="GR95" s="437"/>
      <c r="GS95" s="437"/>
      <c r="GT95" s="437"/>
      <c r="GU95" s="437"/>
      <c r="GV95" s="437"/>
      <c r="GW95" s="437"/>
      <c r="GX95" s="359"/>
      <c r="GY95" s="359"/>
      <c r="GZ95" s="359"/>
      <c r="HA95" s="359"/>
      <c r="HB95" s="359"/>
      <c r="HC95" s="359"/>
      <c r="HD95" s="437"/>
      <c r="HE95" s="437"/>
      <c r="HF95" s="437"/>
      <c r="HG95" s="437"/>
      <c r="HH95" s="437"/>
      <c r="HI95" s="437"/>
      <c r="HJ95" s="437"/>
      <c r="HK95" s="437"/>
      <c r="HL95" s="437"/>
      <c r="HM95" s="437"/>
      <c r="HN95" s="437"/>
      <c r="HO95" s="437"/>
      <c r="HP95" s="437"/>
      <c r="HQ95" s="437"/>
      <c r="HR95" s="437"/>
      <c r="HS95" s="437"/>
      <c r="HT95" s="437"/>
      <c r="HU95" s="359"/>
      <c r="HV95" s="359"/>
      <c r="HW95" s="359"/>
      <c r="HX95" s="359"/>
      <c r="HY95" s="359"/>
      <c r="HZ95" s="359"/>
      <c r="IA95" s="437"/>
      <c r="IB95" s="437"/>
      <c r="IC95" s="437"/>
      <c r="ID95" s="437"/>
      <c r="IE95" s="359"/>
      <c r="IF95" s="359"/>
      <c r="IG95" s="359"/>
      <c r="IH95" s="359"/>
      <c r="II95" s="359"/>
      <c r="IJ95" s="359"/>
      <c r="IK95" s="437"/>
      <c r="IL95" s="437"/>
      <c r="IM95" s="437"/>
      <c r="IN95" s="437"/>
      <c r="IO95" s="359"/>
      <c r="IP95" s="359"/>
      <c r="IQ95" s="359"/>
      <c r="IR95" s="359"/>
      <c r="IS95" s="359"/>
      <c r="IT95" s="359"/>
      <c r="IU95" s="437"/>
      <c r="IV95" s="437"/>
      <c r="IW95" s="437"/>
      <c r="IX95" s="437"/>
      <c r="IY95" s="359"/>
      <c r="IZ95" s="359"/>
      <c r="JA95" s="359"/>
      <c r="JB95" s="359"/>
      <c r="JC95" s="359"/>
      <c r="JD95" s="359"/>
      <c r="JE95" s="437"/>
      <c r="JF95" s="437"/>
      <c r="JG95" s="437"/>
      <c r="JH95" s="437"/>
      <c r="JI95" s="437"/>
      <c r="JJ95" s="437"/>
      <c r="JK95" s="437"/>
      <c r="JL95" s="437"/>
      <c r="JM95" s="437"/>
      <c r="JN95" s="437"/>
      <c r="JO95" s="437"/>
      <c r="JP95" s="359"/>
      <c r="JQ95" s="359"/>
      <c r="JR95" s="359"/>
      <c r="JS95" s="359"/>
      <c r="JT95" s="359"/>
      <c r="JU95" s="359"/>
      <c r="JV95" s="437"/>
      <c r="JW95" s="437"/>
      <c r="JX95" s="437"/>
      <c r="JY95" s="437"/>
      <c r="JZ95" s="437"/>
      <c r="KA95" s="462"/>
      <c r="KB95" s="462"/>
      <c r="KC95" s="462"/>
      <c r="KD95" s="462"/>
      <c r="KE95" s="462"/>
      <c r="KF95" s="462"/>
      <c r="KG95" s="359"/>
      <c r="KH95" s="359"/>
      <c r="KI95" s="359"/>
      <c r="KJ95" s="461"/>
      <c r="KK95" s="359"/>
      <c r="KL95" s="359"/>
      <c r="KM95" s="359"/>
      <c r="KN95" s="359"/>
      <c r="KO95" s="359"/>
      <c r="KP95" s="359"/>
      <c r="KQ95" s="359"/>
    </row>
    <row r="96" spans="1:303" ht="15" x14ac:dyDescent="0.3">
      <c r="A96" s="359"/>
      <c r="B96" s="359"/>
      <c r="C96" s="458"/>
      <c r="D96" s="459"/>
      <c r="E96" s="359"/>
      <c r="F96" s="359"/>
      <c r="G96" s="359"/>
      <c r="H96" s="359"/>
      <c r="I96" s="359"/>
      <c r="J96" s="359"/>
      <c r="K96" s="437"/>
      <c r="L96" s="437"/>
      <c r="M96" s="460"/>
      <c r="N96" s="437"/>
      <c r="O96" s="359"/>
      <c r="P96" s="359"/>
      <c r="Q96" s="359"/>
      <c r="R96" s="359"/>
      <c r="S96" s="359"/>
      <c r="T96" s="359"/>
      <c r="U96" s="437"/>
      <c r="V96" s="437"/>
      <c r="W96" s="460"/>
      <c r="X96" s="437"/>
      <c r="Y96" s="359"/>
      <c r="Z96" s="359"/>
      <c r="AA96" s="359"/>
      <c r="AB96" s="359"/>
      <c r="AC96" s="359"/>
      <c r="AD96" s="359"/>
      <c r="AE96" s="437"/>
      <c r="AF96" s="437"/>
      <c r="AG96" s="437"/>
      <c r="AH96" s="437"/>
      <c r="AI96" s="359"/>
      <c r="AJ96" s="359"/>
      <c r="AK96" s="359"/>
      <c r="AL96" s="359"/>
      <c r="AM96" s="359"/>
      <c r="AN96" s="359"/>
      <c r="AO96" s="437"/>
      <c r="AP96" s="437"/>
      <c r="AQ96" s="460"/>
      <c r="AR96" s="437"/>
      <c r="AS96" s="437"/>
      <c r="AT96" s="437"/>
      <c r="AU96" s="437"/>
      <c r="AV96" s="437"/>
      <c r="AW96" s="359"/>
      <c r="AX96" s="359"/>
      <c r="AY96" s="461"/>
      <c r="AZ96" s="545"/>
      <c r="BA96" s="545"/>
      <c r="BB96" s="545"/>
      <c r="BC96" s="545"/>
      <c r="BD96" s="359"/>
      <c r="BE96" s="359"/>
      <c r="BF96" s="359"/>
      <c r="BG96" s="359"/>
      <c r="BH96" s="359"/>
      <c r="BI96" s="359"/>
      <c r="BJ96" s="437"/>
      <c r="BK96" s="437"/>
      <c r="BL96" s="437"/>
      <c r="BM96" s="437"/>
      <c r="BN96" s="359"/>
      <c r="BO96" s="359"/>
      <c r="BP96" s="359"/>
      <c r="BQ96" s="359"/>
      <c r="BR96" s="359"/>
      <c r="BS96" s="359"/>
      <c r="BT96" s="437"/>
      <c r="BU96" s="437"/>
      <c r="BV96" s="437"/>
      <c r="BW96" s="437"/>
      <c r="BX96" s="437"/>
      <c r="BY96" s="437"/>
      <c r="BZ96" s="437"/>
      <c r="CA96" s="437"/>
      <c r="CB96" s="437"/>
      <c r="CC96" s="359"/>
      <c r="CD96" s="359"/>
      <c r="CE96" s="359"/>
      <c r="CF96" s="359"/>
      <c r="CG96" s="359"/>
      <c r="CH96" s="359"/>
      <c r="CI96" s="437"/>
      <c r="CJ96" s="437"/>
      <c r="CK96" s="460"/>
      <c r="CL96" s="437"/>
      <c r="CM96" s="359"/>
      <c r="CN96" s="359"/>
      <c r="CO96" s="359"/>
      <c r="CP96" s="359"/>
      <c r="CQ96" s="359"/>
      <c r="CR96" s="359"/>
      <c r="CS96" s="437"/>
      <c r="CT96" s="437"/>
      <c r="CU96" s="437"/>
      <c r="CV96" s="437"/>
      <c r="CW96" s="437"/>
      <c r="CX96" s="437"/>
      <c r="CY96" s="437"/>
      <c r="CZ96" s="437"/>
      <c r="DA96" s="437"/>
      <c r="DB96" s="437"/>
      <c r="DC96" s="437"/>
      <c r="DD96" s="437"/>
      <c r="DE96" s="437"/>
      <c r="DF96" s="437"/>
      <c r="DG96" s="437"/>
      <c r="DH96" s="437"/>
      <c r="DI96" s="359"/>
      <c r="DJ96" s="359"/>
      <c r="DK96" s="359"/>
      <c r="DL96" s="359"/>
      <c r="DM96" s="359"/>
      <c r="DN96" s="359"/>
      <c r="DO96" s="437"/>
      <c r="DP96" s="437"/>
      <c r="DQ96" s="437"/>
      <c r="DR96" s="437"/>
      <c r="DS96" s="359"/>
      <c r="DT96" s="359"/>
      <c r="DU96" s="359"/>
      <c r="DV96" s="359"/>
      <c r="DW96" s="359"/>
      <c r="DX96" s="359"/>
      <c r="DY96" s="437"/>
      <c r="DZ96" s="437"/>
      <c r="EA96" s="437"/>
      <c r="EB96" s="437"/>
      <c r="EC96" s="359"/>
      <c r="ED96" s="359"/>
      <c r="EE96" s="359"/>
      <c r="EF96" s="359"/>
      <c r="EG96" s="359"/>
      <c r="EH96" s="359"/>
      <c r="EI96" s="437"/>
      <c r="EJ96" s="437"/>
      <c r="EK96" s="437"/>
      <c r="EL96" s="437"/>
      <c r="EM96" s="359"/>
      <c r="EN96" s="359"/>
      <c r="EO96" s="359"/>
      <c r="EP96" s="359"/>
      <c r="EQ96" s="359"/>
      <c r="ER96" s="359"/>
      <c r="ES96" s="437"/>
      <c r="ET96" s="437"/>
      <c r="EU96" s="437"/>
      <c r="EV96" s="437"/>
      <c r="EW96" s="437"/>
      <c r="EX96" s="437"/>
      <c r="EY96" s="437"/>
      <c r="EZ96" s="437"/>
      <c r="FA96" s="437"/>
      <c r="FB96" s="437"/>
      <c r="FC96" s="437"/>
      <c r="FD96" s="437"/>
      <c r="FE96" s="437"/>
      <c r="FF96" s="437"/>
      <c r="FG96" s="437"/>
      <c r="FH96" s="437"/>
      <c r="FI96" s="437"/>
      <c r="FJ96" s="437"/>
      <c r="FK96" s="437"/>
      <c r="FL96" s="437"/>
      <c r="FM96" s="437"/>
      <c r="FN96" s="359"/>
      <c r="FO96" s="359"/>
      <c r="FP96" s="359"/>
      <c r="FQ96" s="359"/>
      <c r="FR96" s="359"/>
      <c r="FS96" s="359"/>
      <c r="FT96" s="437"/>
      <c r="FU96" s="437"/>
      <c r="FV96" s="437"/>
      <c r="FW96" s="437"/>
      <c r="FX96" s="359"/>
      <c r="FY96" s="359"/>
      <c r="FZ96" s="359"/>
      <c r="GA96" s="359"/>
      <c r="GB96" s="359"/>
      <c r="GC96" s="359"/>
      <c r="GD96" s="437"/>
      <c r="GE96" s="437"/>
      <c r="GF96" s="437"/>
      <c r="GG96" s="437"/>
      <c r="GH96" s="359"/>
      <c r="GI96" s="359"/>
      <c r="GJ96" s="359"/>
      <c r="GK96" s="359"/>
      <c r="GL96" s="359"/>
      <c r="GM96" s="359"/>
      <c r="GN96" s="437"/>
      <c r="GO96" s="437"/>
      <c r="GP96" s="437"/>
      <c r="GQ96" s="437"/>
      <c r="GR96" s="437"/>
      <c r="GS96" s="437"/>
      <c r="GT96" s="437"/>
      <c r="GU96" s="437"/>
      <c r="GV96" s="437"/>
      <c r="GW96" s="437"/>
      <c r="GX96" s="359"/>
      <c r="GY96" s="359"/>
      <c r="GZ96" s="359"/>
      <c r="HA96" s="359"/>
      <c r="HB96" s="359"/>
      <c r="HC96" s="359"/>
      <c r="HD96" s="437"/>
      <c r="HE96" s="437"/>
      <c r="HF96" s="437"/>
      <c r="HG96" s="437"/>
      <c r="HH96" s="437"/>
      <c r="HI96" s="437"/>
      <c r="HJ96" s="437"/>
      <c r="HK96" s="437"/>
      <c r="HL96" s="437"/>
      <c r="HM96" s="437"/>
      <c r="HN96" s="437"/>
      <c r="HO96" s="437"/>
      <c r="HP96" s="437"/>
      <c r="HQ96" s="437"/>
      <c r="HR96" s="437"/>
      <c r="HS96" s="437"/>
      <c r="HT96" s="437"/>
      <c r="HU96" s="359"/>
      <c r="HV96" s="359"/>
      <c r="HW96" s="359"/>
      <c r="HX96" s="359"/>
      <c r="HY96" s="359"/>
      <c r="HZ96" s="359"/>
      <c r="IA96" s="437"/>
      <c r="IB96" s="437"/>
      <c r="IC96" s="437"/>
      <c r="ID96" s="437"/>
      <c r="IE96" s="359"/>
      <c r="IF96" s="359"/>
      <c r="IG96" s="359"/>
      <c r="IH96" s="359"/>
      <c r="II96" s="359"/>
      <c r="IJ96" s="359"/>
      <c r="IK96" s="437"/>
      <c r="IL96" s="437"/>
      <c r="IM96" s="437"/>
      <c r="IN96" s="437"/>
      <c r="IO96" s="359"/>
      <c r="IP96" s="359"/>
      <c r="IQ96" s="359"/>
      <c r="IR96" s="359"/>
      <c r="IS96" s="359"/>
      <c r="IT96" s="359"/>
      <c r="IU96" s="437"/>
      <c r="IV96" s="437"/>
      <c r="IW96" s="437"/>
      <c r="IX96" s="437"/>
      <c r="IY96" s="359"/>
      <c r="IZ96" s="359"/>
      <c r="JA96" s="359"/>
      <c r="JB96" s="359"/>
      <c r="JC96" s="359"/>
      <c r="JD96" s="359"/>
      <c r="JE96" s="437"/>
      <c r="JF96" s="437"/>
      <c r="JG96" s="437"/>
      <c r="JH96" s="437"/>
      <c r="JI96" s="437"/>
      <c r="JJ96" s="437"/>
      <c r="JK96" s="437"/>
      <c r="JL96" s="437"/>
      <c r="JM96" s="437"/>
      <c r="JN96" s="437"/>
      <c r="JO96" s="437"/>
      <c r="JP96" s="359"/>
      <c r="JQ96" s="359"/>
      <c r="JR96" s="359"/>
      <c r="JS96" s="359"/>
      <c r="JT96" s="359"/>
      <c r="JU96" s="359"/>
      <c r="JV96" s="437"/>
      <c r="JW96" s="437"/>
      <c r="JX96" s="437"/>
      <c r="JY96" s="437"/>
      <c r="JZ96" s="437"/>
      <c r="KA96" s="462"/>
      <c r="KB96" s="462"/>
      <c r="KC96" s="462"/>
      <c r="KD96" s="462"/>
      <c r="KE96" s="462"/>
      <c r="KF96" s="462"/>
      <c r="KG96" s="359"/>
      <c r="KH96" s="359"/>
      <c r="KI96" s="359"/>
      <c r="KJ96" s="461"/>
      <c r="KK96" s="359"/>
      <c r="KL96" s="359"/>
      <c r="KM96" s="359"/>
      <c r="KN96" s="359"/>
      <c r="KO96" s="359"/>
      <c r="KP96" s="359"/>
      <c r="KQ96" s="359"/>
    </row>
    <row r="97" spans="1:303" ht="15" x14ac:dyDescent="0.3">
      <c r="A97" s="359"/>
      <c r="B97" s="359"/>
      <c r="C97" s="458"/>
      <c r="D97" s="459"/>
      <c r="E97" s="359"/>
      <c r="F97" s="359"/>
      <c r="G97" s="359"/>
      <c r="H97" s="359"/>
      <c r="I97" s="359"/>
      <c r="J97" s="359"/>
      <c r="K97" s="437"/>
      <c r="L97" s="437"/>
      <c r="M97" s="460"/>
      <c r="N97" s="437"/>
      <c r="O97" s="359"/>
      <c r="P97" s="359"/>
      <c r="Q97" s="359"/>
      <c r="R97" s="359"/>
      <c r="S97" s="359"/>
      <c r="T97" s="359"/>
      <c r="U97" s="437"/>
      <c r="V97" s="437"/>
      <c r="W97" s="460"/>
      <c r="X97" s="437"/>
      <c r="Y97" s="359"/>
      <c r="Z97" s="359"/>
      <c r="AA97" s="359"/>
      <c r="AB97" s="359"/>
      <c r="AC97" s="359"/>
      <c r="AD97" s="359"/>
      <c r="AE97" s="437"/>
      <c r="AF97" s="437"/>
      <c r="AG97" s="437"/>
      <c r="AH97" s="437"/>
      <c r="AI97" s="359"/>
      <c r="AJ97" s="359"/>
      <c r="AK97" s="359"/>
      <c r="AL97" s="359"/>
      <c r="AM97" s="359"/>
      <c r="AN97" s="359"/>
      <c r="AO97" s="437"/>
      <c r="AP97" s="437"/>
      <c r="AQ97" s="460"/>
      <c r="AR97" s="437"/>
      <c r="AS97" s="437"/>
      <c r="AT97" s="437"/>
      <c r="AU97" s="437"/>
      <c r="AV97" s="437"/>
      <c r="AW97" s="359"/>
      <c r="AX97" s="359"/>
      <c r="AY97" s="461"/>
      <c r="AZ97" s="545"/>
      <c r="BA97" s="545"/>
      <c r="BB97" s="545"/>
      <c r="BC97" s="545"/>
      <c r="BD97" s="359"/>
      <c r="BE97" s="359"/>
      <c r="BF97" s="359"/>
      <c r="BG97" s="359"/>
      <c r="BH97" s="359"/>
      <c r="BI97" s="359"/>
      <c r="BJ97" s="437"/>
      <c r="BK97" s="437"/>
      <c r="BL97" s="437"/>
      <c r="BM97" s="437"/>
      <c r="BN97" s="359"/>
      <c r="BO97" s="359"/>
      <c r="BP97" s="359"/>
      <c r="BQ97" s="359"/>
      <c r="BR97" s="359"/>
      <c r="BS97" s="359"/>
      <c r="BT97" s="437"/>
      <c r="BU97" s="437"/>
      <c r="BV97" s="437"/>
      <c r="BW97" s="437"/>
      <c r="BX97" s="437"/>
      <c r="BY97" s="437"/>
      <c r="BZ97" s="437"/>
      <c r="CA97" s="437"/>
      <c r="CB97" s="437"/>
      <c r="CC97" s="359"/>
      <c r="CD97" s="359"/>
      <c r="CE97" s="359"/>
      <c r="CF97" s="359"/>
      <c r="CG97" s="359"/>
      <c r="CH97" s="359"/>
      <c r="CI97" s="437"/>
      <c r="CJ97" s="437"/>
      <c r="CK97" s="460"/>
      <c r="CL97" s="437"/>
      <c r="CM97" s="359"/>
      <c r="CN97" s="359"/>
      <c r="CO97" s="359"/>
      <c r="CP97" s="359"/>
      <c r="CQ97" s="359"/>
      <c r="CR97" s="359"/>
      <c r="CS97" s="437"/>
      <c r="CT97" s="437"/>
      <c r="CU97" s="437"/>
      <c r="CV97" s="437"/>
      <c r="CW97" s="437"/>
      <c r="CX97" s="437"/>
      <c r="CY97" s="437"/>
      <c r="CZ97" s="437"/>
      <c r="DA97" s="437"/>
      <c r="DB97" s="437"/>
      <c r="DC97" s="437"/>
      <c r="DD97" s="437"/>
      <c r="DE97" s="437"/>
      <c r="DF97" s="437"/>
      <c r="DG97" s="437"/>
      <c r="DH97" s="437"/>
      <c r="DI97" s="359"/>
      <c r="DJ97" s="359"/>
      <c r="DK97" s="359"/>
      <c r="DL97" s="359"/>
      <c r="DM97" s="359"/>
      <c r="DN97" s="359"/>
      <c r="DO97" s="437"/>
      <c r="DP97" s="437"/>
      <c r="DQ97" s="437"/>
      <c r="DR97" s="437"/>
      <c r="DS97" s="359"/>
      <c r="DT97" s="359"/>
      <c r="DU97" s="359"/>
      <c r="DV97" s="359"/>
      <c r="DW97" s="359"/>
      <c r="DX97" s="359"/>
      <c r="DY97" s="437"/>
      <c r="DZ97" s="437"/>
      <c r="EA97" s="437"/>
      <c r="EB97" s="437"/>
      <c r="EC97" s="359"/>
      <c r="ED97" s="359"/>
      <c r="EE97" s="359"/>
      <c r="EF97" s="359"/>
      <c r="EG97" s="359"/>
      <c r="EH97" s="359"/>
      <c r="EI97" s="437"/>
      <c r="EJ97" s="437"/>
      <c r="EK97" s="437"/>
      <c r="EL97" s="437"/>
      <c r="EM97" s="359"/>
      <c r="EN97" s="359"/>
      <c r="EO97" s="359"/>
      <c r="EP97" s="359"/>
      <c r="EQ97" s="359"/>
      <c r="ER97" s="359"/>
      <c r="ES97" s="437"/>
      <c r="ET97" s="437"/>
      <c r="EU97" s="437"/>
      <c r="EV97" s="437"/>
      <c r="EW97" s="437"/>
      <c r="EX97" s="437"/>
      <c r="EY97" s="437"/>
      <c r="EZ97" s="437"/>
      <c r="FA97" s="437"/>
      <c r="FB97" s="437"/>
      <c r="FC97" s="437"/>
      <c r="FD97" s="437"/>
      <c r="FE97" s="437"/>
      <c r="FF97" s="437"/>
      <c r="FG97" s="437"/>
      <c r="FH97" s="437"/>
      <c r="FI97" s="437"/>
      <c r="FJ97" s="437"/>
      <c r="FK97" s="437"/>
      <c r="FL97" s="437"/>
      <c r="FM97" s="437"/>
      <c r="FN97" s="359"/>
      <c r="FO97" s="359"/>
      <c r="FP97" s="359"/>
      <c r="FQ97" s="359"/>
      <c r="FR97" s="359"/>
      <c r="FS97" s="359"/>
      <c r="FT97" s="437"/>
      <c r="FU97" s="437"/>
      <c r="FV97" s="437"/>
      <c r="FW97" s="437"/>
      <c r="FX97" s="359"/>
      <c r="FY97" s="359"/>
      <c r="FZ97" s="359"/>
      <c r="GA97" s="359"/>
      <c r="GB97" s="359"/>
      <c r="GC97" s="359"/>
      <c r="GD97" s="437"/>
      <c r="GE97" s="437"/>
      <c r="GF97" s="437"/>
      <c r="GG97" s="437"/>
      <c r="GH97" s="359"/>
      <c r="GI97" s="359"/>
      <c r="GJ97" s="359"/>
      <c r="GK97" s="359"/>
      <c r="GL97" s="359"/>
      <c r="GM97" s="359"/>
      <c r="GN97" s="437"/>
      <c r="GO97" s="437"/>
      <c r="GP97" s="437"/>
      <c r="GQ97" s="437"/>
      <c r="GR97" s="437"/>
      <c r="GS97" s="437"/>
      <c r="GT97" s="437"/>
      <c r="GU97" s="437"/>
      <c r="GV97" s="437"/>
      <c r="GW97" s="437"/>
      <c r="GX97" s="359"/>
      <c r="GY97" s="359"/>
      <c r="GZ97" s="359"/>
      <c r="HA97" s="359"/>
      <c r="HB97" s="359"/>
      <c r="HC97" s="359"/>
      <c r="HD97" s="437"/>
      <c r="HE97" s="437"/>
      <c r="HF97" s="437"/>
      <c r="HG97" s="437"/>
      <c r="HH97" s="437"/>
      <c r="HI97" s="437"/>
      <c r="HJ97" s="437"/>
      <c r="HK97" s="437"/>
      <c r="HL97" s="437"/>
      <c r="HM97" s="437"/>
      <c r="HN97" s="437"/>
      <c r="HO97" s="437"/>
      <c r="HP97" s="437"/>
      <c r="HQ97" s="437"/>
      <c r="HR97" s="437"/>
      <c r="HS97" s="437"/>
      <c r="HT97" s="437"/>
      <c r="HU97" s="359"/>
      <c r="HV97" s="359"/>
      <c r="HW97" s="359"/>
      <c r="HX97" s="359"/>
      <c r="HY97" s="359"/>
      <c r="HZ97" s="359"/>
      <c r="IA97" s="437"/>
      <c r="IB97" s="437"/>
      <c r="IC97" s="437"/>
      <c r="ID97" s="437"/>
      <c r="IE97" s="359"/>
      <c r="IF97" s="359"/>
      <c r="IG97" s="359"/>
      <c r="IH97" s="359"/>
      <c r="II97" s="359"/>
      <c r="IJ97" s="359"/>
      <c r="IK97" s="437"/>
      <c r="IL97" s="437"/>
      <c r="IM97" s="437"/>
      <c r="IN97" s="437"/>
      <c r="IO97" s="359"/>
      <c r="IP97" s="359"/>
      <c r="IQ97" s="359"/>
      <c r="IR97" s="359"/>
      <c r="IS97" s="359"/>
      <c r="IT97" s="359"/>
      <c r="IU97" s="437"/>
      <c r="IV97" s="437"/>
      <c r="IW97" s="437"/>
      <c r="IX97" s="437"/>
      <c r="IY97" s="359"/>
      <c r="IZ97" s="359"/>
      <c r="JA97" s="359"/>
      <c r="JB97" s="359"/>
      <c r="JC97" s="359"/>
      <c r="JD97" s="359"/>
      <c r="JE97" s="437"/>
      <c r="JF97" s="437"/>
      <c r="JG97" s="437"/>
      <c r="JH97" s="437"/>
      <c r="JI97" s="437"/>
      <c r="JJ97" s="437"/>
      <c r="JK97" s="437"/>
      <c r="JL97" s="437"/>
      <c r="JM97" s="437"/>
      <c r="JN97" s="437"/>
      <c r="JO97" s="437"/>
      <c r="JP97" s="359"/>
      <c r="JQ97" s="359"/>
      <c r="JR97" s="359"/>
      <c r="JS97" s="359"/>
      <c r="JT97" s="359"/>
      <c r="JU97" s="359"/>
      <c r="JV97" s="437"/>
      <c r="JW97" s="437"/>
      <c r="JX97" s="437"/>
      <c r="JY97" s="437"/>
      <c r="JZ97" s="437"/>
      <c r="KA97" s="462"/>
      <c r="KB97" s="462"/>
      <c r="KC97" s="462"/>
      <c r="KD97" s="462"/>
      <c r="KE97" s="462"/>
      <c r="KF97" s="462"/>
      <c r="KG97" s="359"/>
      <c r="KH97" s="359"/>
      <c r="KI97" s="359"/>
      <c r="KJ97" s="461"/>
      <c r="KK97" s="359"/>
      <c r="KL97" s="359"/>
      <c r="KM97" s="359"/>
      <c r="KN97" s="359"/>
      <c r="KO97" s="359"/>
      <c r="KP97" s="359"/>
      <c r="KQ97" s="359"/>
    </row>
    <row r="98" spans="1:303" ht="15" x14ac:dyDescent="0.3">
      <c r="A98" s="359"/>
      <c r="B98" s="359"/>
      <c r="C98" s="458"/>
      <c r="D98" s="459"/>
      <c r="E98" s="359"/>
      <c r="F98" s="359"/>
      <c r="G98" s="359"/>
      <c r="H98" s="359"/>
      <c r="I98" s="359"/>
      <c r="J98" s="359"/>
      <c r="K98" s="437"/>
      <c r="L98" s="437"/>
      <c r="M98" s="460"/>
      <c r="N98" s="437"/>
      <c r="O98" s="359"/>
      <c r="P98" s="359"/>
      <c r="Q98" s="359"/>
      <c r="R98" s="359"/>
      <c r="S98" s="359"/>
      <c r="T98" s="359"/>
      <c r="U98" s="437"/>
      <c r="V98" s="437"/>
      <c r="W98" s="460"/>
      <c r="X98" s="437"/>
      <c r="Y98" s="359"/>
      <c r="Z98" s="359"/>
      <c r="AA98" s="359"/>
      <c r="AB98" s="359"/>
      <c r="AC98" s="359"/>
      <c r="AD98" s="359"/>
      <c r="AE98" s="437"/>
      <c r="AF98" s="437"/>
      <c r="AG98" s="437"/>
      <c r="AH98" s="437"/>
      <c r="AI98" s="359"/>
      <c r="AJ98" s="359"/>
      <c r="AK98" s="359"/>
      <c r="AL98" s="359"/>
      <c r="AM98" s="359"/>
      <c r="AN98" s="359"/>
      <c r="AO98" s="437"/>
      <c r="AP98" s="437"/>
      <c r="AQ98" s="460"/>
      <c r="AR98" s="437"/>
      <c r="AS98" s="437"/>
      <c r="AT98" s="437"/>
      <c r="AU98" s="437"/>
      <c r="AV98" s="437"/>
      <c r="AW98" s="359"/>
      <c r="AX98" s="359"/>
      <c r="AY98" s="461"/>
      <c r="AZ98" s="545"/>
      <c r="BA98" s="545"/>
      <c r="BB98" s="545"/>
      <c r="BC98" s="545"/>
      <c r="BD98" s="359"/>
      <c r="BE98" s="359"/>
      <c r="BF98" s="359"/>
      <c r="BG98" s="359"/>
      <c r="BH98" s="359"/>
      <c r="BI98" s="359"/>
      <c r="BJ98" s="437"/>
      <c r="BK98" s="437"/>
      <c r="BL98" s="437"/>
      <c r="BM98" s="437"/>
      <c r="BN98" s="359"/>
      <c r="BO98" s="359"/>
      <c r="BP98" s="359"/>
      <c r="BQ98" s="359"/>
      <c r="BR98" s="359"/>
      <c r="BS98" s="359"/>
      <c r="BT98" s="437"/>
      <c r="BU98" s="437"/>
      <c r="BV98" s="437"/>
      <c r="BW98" s="437"/>
      <c r="BX98" s="437"/>
      <c r="BY98" s="437"/>
      <c r="BZ98" s="437"/>
      <c r="CA98" s="437"/>
      <c r="CB98" s="437"/>
      <c r="CC98" s="359"/>
      <c r="CD98" s="359"/>
      <c r="CE98" s="359"/>
      <c r="CF98" s="359"/>
      <c r="CG98" s="359"/>
      <c r="CH98" s="359"/>
      <c r="CI98" s="437"/>
      <c r="CJ98" s="437"/>
      <c r="CK98" s="460"/>
      <c r="CL98" s="437"/>
      <c r="CM98" s="359"/>
      <c r="CN98" s="359"/>
      <c r="CO98" s="359"/>
      <c r="CP98" s="359"/>
      <c r="CQ98" s="359"/>
      <c r="CR98" s="359"/>
      <c r="CS98" s="437"/>
      <c r="CT98" s="437"/>
      <c r="CU98" s="437"/>
      <c r="CV98" s="437"/>
      <c r="CW98" s="437"/>
      <c r="CX98" s="437"/>
      <c r="CY98" s="437"/>
      <c r="CZ98" s="437"/>
      <c r="DA98" s="437"/>
      <c r="DB98" s="437"/>
      <c r="DC98" s="437"/>
      <c r="DD98" s="437"/>
      <c r="DE98" s="437"/>
      <c r="DF98" s="437"/>
      <c r="DG98" s="437"/>
      <c r="DH98" s="437"/>
      <c r="DI98" s="359"/>
      <c r="DJ98" s="359"/>
      <c r="DK98" s="359"/>
      <c r="DL98" s="359"/>
      <c r="DM98" s="359"/>
      <c r="DN98" s="359"/>
      <c r="DO98" s="437"/>
      <c r="DP98" s="437"/>
      <c r="DQ98" s="437"/>
      <c r="DR98" s="437"/>
      <c r="DS98" s="359"/>
      <c r="DT98" s="359"/>
      <c r="DU98" s="359"/>
      <c r="DV98" s="359"/>
      <c r="DW98" s="359"/>
      <c r="DX98" s="359"/>
      <c r="DY98" s="437"/>
      <c r="DZ98" s="437"/>
      <c r="EA98" s="437"/>
      <c r="EB98" s="437"/>
      <c r="EC98" s="359"/>
      <c r="ED98" s="359"/>
      <c r="EE98" s="359"/>
      <c r="EF98" s="359"/>
      <c r="EG98" s="359"/>
      <c r="EH98" s="359"/>
      <c r="EI98" s="437"/>
      <c r="EJ98" s="437"/>
      <c r="EK98" s="437"/>
      <c r="EL98" s="437"/>
      <c r="EM98" s="359"/>
      <c r="EN98" s="359"/>
      <c r="EO98" s="359"/>
      <c r="EP98" s="359"/>
      <c r="EQ98" s="359"/>
      <c r="ER98" s="359"/>
      <c r="ES98" s="437"/>
      <c r="ET98" s="437"/>
      <c r="EU98" s="437"/>
      <c r="EV98" s="437"/>
      <c r="EW98" s="437"/>
      <c r="EX98" s="437"/>
      <c r="EY98" s="437"/>
      <c r="EZ98" s="437"/>
      <c r="FA98" s="437"/>
      <c r="FB98" s="437"/>
      <c r="FC98" s="437"/>
      <c r="FD98" s="437"/>
      <c r="FE98" s="437"/>
      <c r="FF98" s="437"/>
      <c r="FG98" s="437"/>
      <c r="FH98" s="437"/>
      <c r="FI98" s="437"/>
      <c r="FJ98" s="437"/>
      <c r="FK98" s="437"/>
      <c r="FL98" s="437"/>
      <c r="FM98" s="437"/>
      <c r="FN98" s="359"/>
      <c r="FO98" s="359"/>
      <c r="FP98" s="359"/>
      <c r="FQ98" s="359"/>
      <c r="FR98" s="359"/>
      <c r="FS98" s="359"/>
      <c r="FT98" s="437"/>
      <c r="FU98" s="437"/>
      <c r="FV98" s="437"/>
      <c r="FW98" s="437"/>
      <c r="FX98" s="359"/>
      <c r="FY98" s="359"/>
      <c r="FZ98" s="359"/>
      <c r="GA98" s="359"/>
      <c r="GB98" s="359"/>
      <c r="GC98" s="359"/>
      <c r="GD98" s="437"/>
      <c r="GE98" s="437"/>
      <c r="GF98" s="437"/>
      <c r="GG98" s="437"/>
      <c r="GH98" s="359"/>
      <c r="GI98" s="359"/>
      <c r="GJ98" s="359"/>
      <c r="GK98" s="359"/>
      <c r="GL98" s="359"/>
      <c r="GM98" s="359"/>
      <c r="GN98" s="437"/>
      <c r="GO98" s="437"/>
      <c r="GP98" s="437"/>
      <c r="GQ98" s="437"/>
      <c r="GR98" s="437"/>
      <c r="GS98" s="437"/>
      <c r="GT98" s="437"/>
      <c r="GU98" s="437"/>
      <c r="GV98" s="437"/>
      <c r="GW98" s="437"/>
      <c r="GX98" s="359"/>
      <c r="GY98" s="359"/>
      <c r="GZ98" s="359"/>
      <c r="HA98" s="359"/>
      <c r="HB98" s="359"/>
      <c r="HC98" s="359"/>
      <c r="HD98" s="437"/>
      <c r="HE98" s="437"/>
      <c r="HF98" s="437"/>
      <c r="HG98" s="437"/>
      <c r="HH98" s="437"/>
      <c r="HI98" s="437"/>
      <c r="HJ98" s="437"/>
      <c r="HK98" s="437"/>
      <c r="HL98" s="437"/>
      <c r="HM98" s="437"/>
      <c r="HN98" s="437"/>
      <c r="HO98" s="437"/>
      <c r="HP98" s="437"/>
      <c r="HQ98" s="437"/>
      <c r="HR98" s="437"/>
      <c r="HS98" s="437"/>
      <c r="HT98" s="437"/>
      <c r="HU98" s="359"/>
      <c r="HV98" s="359"/>
      <c r="HW98" s="359"/>
      <c r="HX98" s="359"/>
      <c r="HY98" s="359"/>
      <c r="HZ98" s="359"/>
      <c r="IA98" s="437"/>
      <c r="IB98" s="437"/>
      <c r="IC98" s="437"/>
      <c r="ID98" s="437"/>
      <c r="IE98" s="359"/>
      <c r="IF98" s="359"/>
      <c r="IG98" s="359"/>
      <c r="IH98" s="359"/>
      <c r="II98" s="359"/>
      <c r="IJ98" s="359"/>
      <c r="IK98" s="437"/>
      <c r="IL98" s="437"/>
      <c r="IM98" s="437"/>
      <c r="IN98" s="437"/>
      <c r="IO98" s="359"/>
      <c r="IP98" s="359"/>
      <c r="IQ98" s="359"/>
      <c r="IR98" s="359"/>
      <c r="IS98" s="359"/>
      <c r="IT98" s="359"/>
      <c r="IU98" s="437"/>
      <c r="IV98" s="437"/>
      <c r="IW98" s="437"/>
      <c r="IX98" s="437"/>
      <c r="IY98" s="359"/>
      <c r="IZ98" s="359"/>
      <c r="JA98" s="359"/>
      <c r="JB98" s="359"/>
      <c r="JC98" s="359"/>
      <c r="JD98" s="359"/>
      <c r="JE98" s="437"/>
      <c r="JF98" s="437"/>
      <c r="JG98" s="437"/>
      <c r="JH98" s="437"/>
      <c r="JI98" s="437"/>
      <c r="JJ98" s="437"/>
      <c r="JK98" s="437"/>
      <c r="JL98" s="437"/>
      <c r="JM98" s="437"/>
      <c r="JN98" s="437"/>
      <c r="JO98" s="437"/>
      <c r="JP98" s="359"/>
      <c r="JQ98" s="359"/>
      <c r="JR98" s="359"/>
      <c r="JS98" s="359"/>
      <c r="JT98" s="359"/>
      <c r="JU98" s="359"/>
      <c r="JV98" s="437"/>
      <c r="JW98" s="437"/>
      <c r="JX98" s="437"/>
      <c r="JY98" s="437"/>
      <c r="JZ98" s="437"/>
      <c r="KA98" s="462"/>
      <c r="KB98" s="462"/>
      <c r="KC98" s="462"/>
      <c r="KD98" s="462"/>
      <c r="KE98" s="462"/>
      <c r="KF98" s="462"/>
      <c r="KG98" s="359"/>
      <c r="KH98" s="359"/>
      <c r="KI98" s="359"/>
      <c r="KJ98" s="461"/>
      <c r="KK98" s="359"/>
      <c r="KL98" s="359"/>
      <c r="KM98" s="359"/>
      <c r="KN98" s="359"/>
      <c r="KO98" s="359"/>
      <c r="KP98" s="359"/>
      <c r="KQ98" s="359"/>
    </row>
    <row r="99" spans="1:303" ht="15" x14ac:dyDescent="0.3">
      <c r="A99" s="359"/>
      <c r="B99" s="359"/>
      <c r="C99" s="458"/>
      <c r="D99" s="459"/>
      <c r="E99" s="359"/>
      <c r="F99" s="359"/>
      <c r="G99" s="359"/>
      <c r="H99" s="359"/>
      <c r="I99" s="359"/>
      <c r="J99" s="359"/>
      <c r="K99" s="437"/>
      <c r="L99" s="437"/>
      <c r="M99" s="460"/>
      <c r="N99" s="437"/>
      <c r="O99" s="359"/>
      <c r="P99" s="359"/>
      <c r="Q99" s="359"/>
      <c r="R99" s="359"/>
      <c r="S99" s="359"/>
      <c r="T99" s="359"/>
      <c r="U99" s="437"/>
      <c r="V99" s="437"/>
      <c r="W99" s="460"/>
      <c r="X99" s="437"/>
      <c r="Y99" s="359"/>
      <c r="Z99" s="359"/>
      <c r="AA99" s="359"/>
      <c r="AB99" s="359"/>
      <c r="AC99" s="359"/>
      <c r="AD99" s="359"/>
      <c r="AE99" s="437"/>
      <c r="AF99" s="437"/>
      <c r="AG99" s="437"/>
      <c r="AH99" s="437"/>
      <c r="AI99" s="359"/>
      <c r="AJ99" s="359"/>
      <c r="AK99" s="359"/>
      <c r="AL99" s="359"/>
      <c r="AM99" s="359"/>
      <c r="AN99" s="359"/>
      <c r="AO99" s="437"/>
      <c r="AP99" s="437"/>
      <c r="AQ99" s="460"/>
      <c r="AR99" s="437"/>
      <c r="AS99" s="437"/>
      <c r="AT99" s="437"/>
      <c r="AU99" s="437"/>
      <c r="AV99" s="437"/>
      <c r="AW99" s="359"/>
      <c r="AX99" s="359"/>
      <c r="AY99" s="461"/>
      <c r="AZ99" s="545"/>
      <c r="BA99" s="545"/>
      <c r="BB99" s="545"/>
      <c r="BC99" s="545"/>
      <c r="BD99" s="359"/>
      <c r="BE99" s="359"/>
      <c r="BF99" s="359"/>
      <c r="BG99" s="359"/>
      <c r="BH99" s="359"/>
      <c r="BI99" s="359"/>
      <c r="BJ99" s="437"/>
      <c r="BK99" s="437"/>
      <c r="BL99" s="437"/>
      <c r="BM99" s="437"/>
      <c r="BN99" s="359"/>
      <c r="BO99" s="359"/>
      <c r="BP99" s="359"/>
      <c r="BQ99" s="359"/>
      <c r="BR99" s="359"/>
      <c r="BS99" s="359"/>
      <c r="BT99" s="437"/>
      <c r="BU99" s="437"/>
      <c r="BV99" s="437"/>
      <c r="BW99" s="437"/>
      <c r="BX99" s="437"/>
      <c r="BY99" s="437"/>
      <c r="BZ99" s="437"/>
      <c r="CA99" s="437"/>
      <c r="CB99" s="437"/>
      <c r="CC99" s="359"/>
      <c r="CD99" s="359"/>
      <c r="CE99" s="359"/>
      <c r="CF99" s="359"/>
      <c r="CG99" s="359"/>
      <c r="CH99" s="359"/>
      <c r="CI99" s="437"/>
      <c r="CJ99" s="437"/>
      <c r="CK99" s="460"/>
      <c r="CL99" s="437"/>
      <c r="CM99" s="359"/>
      <c r="CN99" s="359"/>
      <c r="CO99" s="359"/>
      <c r="CP99" s="359"/>
      <c r="CQ99" s="359"/>
      <c r="CR99" s="359"/>
      <c r="CS99" s="437"/>
      <c r="CT99" s="437"/>
      <c r="CU99" s="437"/>
      <c r="CV99" s="437"/>
      <c r="CW99" s="437"/>
      <c r="CX99" s="437"/>
      <c r="CY99" s="437"/>
      <c r="CZ99" s="437"/>
      <c r="DA99" s="437"/>
      <c r="DB99" s="437"/>
      <c r="DC99" s="437"/>
      <c r="DD99" s="437"/>
      <c r="DE99" s="437"/>
      <c r="DF99" s="437"/>
      <c r="DG99" s="437"/>
      <c r="DH99" s="437"/>
      <c r="DI99" s="359"/>
      <c r="DJ99" s="359"/>
      <c r="DK99" s="359"/>
      <c r="DL99" s="359"/>
      <c r="DM99" s="359"/>
      <c r="DN99" s="359"/>
      <c r="DO99" s="437"/>
      <c r="DP99" s="437"/>
      <c r="DQ99" s="437"/>
      <c r="DR99" s="437"/>
      <c r="DS99" s="359"/>
      <c r="DT99" s="359"/>
      <c r="DU99" s="359"/>
      <c r="DV99" s="359"/>
      <c r="DW99" s="359"/>
      <c r="DX99" s="359"/>
      <c r="DY99" s="437"/>
      <c r="DZ99" s="437"/>
      <c r="EA99" s="437"/>
      <c r="EB99" s="437"/>
      <c r="EC99" s="359"/>
      <c r="ED99" s="359"/>
      <c r="EE99" s="359"/>
      <c r="EF99" s="359"/>
      <c r="EG99" s="359"/>
      <c r="EH99" s="359"/>
      <c r="EI99" s="437"/>
      <c r="EJ99" s="437"/>
      <c r="EK99" s="437"/>
      <c r="EL99" s="437"/>
      <c r="EM99" s="359"/>
      <c r="EN99" s="359"/>
      <c r="EO99" s="359"/>
      <c r="EP99" s="359"/>
      <c r="EQ99" s="359"/>
      <c r="ER99" s="359"/>
      <c r="ES99" s="437"/>
      <c r="ET99" s="437"/>
      <c r="EU99" s="437"/>
      <c r="EV99" s="437"/>
      <c r="EW99" s="437"/>
      <c r="EX99" s="437"/>
      <c r="EY99" s="437"/>
      <c r="EZ99" s="437"/>
      <c r="FA99" s="437"/>
      <c r="FB99" s="437"/>
      <c r="FC99" s="437"/>
      <c r="FD99" s="437"/>
      <c r="FE99" s="437"/>
      <c r="FF99" s="437"/>
      <c r="FG99" s="437"/>
      <c r="FH99" s="437"/>
      <c r="FI99" s="437"/>
      <c r="FJ99" s="437"/>
      <c r="FK99" s="437"/>
      <c r="FL99" s="437"/>
      <c r="FM99" s="437"/>
      <c r="FN99" s="359"/>
      <c r="FO99" s="359"/>
      <c r="FP99" s="359"/>
      <c r="FQ99" s="359"/>
      <c r="FR99" s="359"/>
      <c r="FS99" s="359"/>
      <c r="FT99" s="437"/>
      <c r="FU99" s="437"/>
      <c r="FV99" s="437"/>
      <c r="FW99" s="437"/>
      <c r="FX99" s="359"/>
      <c r="FY99" s="359"/>
      <c r="FZ99" s="359"/>
      <c r="GA99" s="359"/>
      <c r="GB99" s="359"/>
      <c r="GC99" s="359"/>
      <c r="GD99" s="437"/>
      <c r="GE99" s="437"/>
      <c r="GF99" s="437"/>
      <c r="GG99" s="437"/>
      <c r="GH99" s="359"/>
      <c r="GI99" s="359"/>
      <c r="GJ99" s="359"/>
      <c r="GK99" s="359"/>
      <c r="GL99" s="359"/>
      <c r="GM99" s="359"/>
      <c r="GN99" s="437"/>
      <c r="GO99" s="437"/>
      <c r="GP99" s="437"/>
      <c r="GQ99" s="437"/>
      <c r="GR99" s="437"/>
      <c r="GS99" s="437"/>
      <c r="GT99" s="437"/>
      <c r="GU99" s="437"/>
      <c r="GV99" s="437"/>
      <c r="GW99" s="437"/>
      <c r="GX99" s="359"/>
      <c r="GY99" s="359"/>
      <c r="GZ99" s="359"/>
      <c r="HA99" s="359"/>
      <c r="HB99" s="359"/>
      <c r="HC99" s="359"/>
      <c r="HD99" s="437"/>
      <c r="HE99" s="437"/>
      <c r="HF99" s="437"/>
      <c r="HG99" s="437"/>
      <c r="HH99" s="437"/>
      <c r="HI99" s="437"/>
      <c r="HJ99" s="437"/>
      <c r="HK99" s="437"/>
      <c r="HL99" s="437"/>
      <c r="HM99" s="437"/>
      <c r="HN99" s="437"/>
      <c r="HO99" s="437"/>
      <c r="HP99" s="437"/>
      <c r="HQ99" s="437"/>
      <c r="HR99" s="437"/>
      <c r="HS99" s="437"/>
      <c r="HT99" s="437"/>
      <c r="HU99" s="359"/>
      <c r="HV99" s="359"/>
      <c r="HW99" s="359"/>
      <c r="HX99" s="359"/>
      <c r="HY99" s="359"/>
      <c r="HZ99" s="359"/>
      <c r="IA99" s="437"/>
      <c r="IB99" s="437"/>
      <c r="IC99" s="437"/>
      <c r="ID99" s="437"/>
      <c r="IE99" s="359"/>
      <c r="IF99" s="359"/>
      <c r="IG99" s="359"/>
      <c r="IH99" s="359"/>
      <c r="II99" s="359"/>
      <c r="IJ99" s="359"/>
      <c r="IK99" s="437"/>
      <c r="IL99" s="437"/>
      <c r="IM99" s="437"/>
      <c r="IN99" s="437"/>
      <c r="IO99" s="359"/>
      <c r="IP99" s="359"/>
      <c r="IQ99" s="359"/>
      <c r="IR99" s="359"/>
      <c r="IS99" s="359"/>
      <c r="IT99" s="359"/>
      <c r="IU99" s="437"/>
      <c r="IV99" s="437"/>
      <c r="IW99" s="437"/>
      <c r="IX99" s="437"/>
      <c r="IY99" s="359"/>
      <c r="IZ99" s="359"/>
      <c r="JA99" s="359"/>
      <c r="JB99" s="359"/>
      <c r="JC99" s="359"/>
      <c r="JD99" s="359"/>
      <c r="JE99" s="437"/>
      <c r="JF99" s="437"/>
      <c r="JG99" s="437"/>
      <c r="JH99" s="437"/>
      <c r="JI99" s="437"/>
      <c r="JJ99" s="437"/>
      <c r="JK99" s="437"/>
      <c r="JL99" s="437"/>
      <c r="JM99" s="437"/>
      <c r="JN99" s="437"/>
      <c r="JO99" s="437"/>
      <c r="JP99" s="359"/>
      <c r="JQ99" s="359"/>
      <c r="JR99" s="359"/>
      <c r="JS99" s="359"/>
      <c r="JT99" s="359"/>
      <c r="JU99" s="359"/>
      <c r="JV99" s="437"/>
      <c r="JW99" s="437"/>
      <c r="JX99" s="437"/>
      <c r="JY99" s="437"/>
      <c r="JZ99" s="437"/>
      <c r="KA99" s="462"/>
      <c r="KB99" s="462"/>
      <c r="KC99" s="462"/>
      <c r="KD99" s="462"/>
      <c r="KE99" s="462"/>
      <c r="KF99" s="462"/>
      <c r="KG99" s="359"/>
      <c r="KH99" s="359"/>
      <c r="KI99" s="359"/>
      <c r="KJ99" s="461"/>
      <c r="KK99" s="359"/>
      <c r="KL99" s="359"/>
      <c r="KM99" s="359"/>
      <c r="KN99" s="359"/>
      <c r="KO99" s="359"/>
      <c r="KP99" s="359"/>
      <c r="KQ99" s="359"/>
    </row>
    <row r="100" spans="1:303" ht="15" x14ac:dyDescent="0.3">
      <c r="A100" s="359"/>
      <c r="B100" s="359"/>
      <c r="C100" s="458"/>
      <c r="D100" s="459"/>
      <c r="E100" s="359"/>
      <c r="F100" s="359"/>
      <c r="G100" s="359"/>
      <c r="H100" s="359"/>
      <c r="I100" s="359"/>
      <c r="J100" s="359"/>
      <c r="K100" s="437"/>
      <c r="L100" s="437"/>
      <c r="M100" s="460"/>
      <c r="N100" s="437"/>
      <c r="O100" s="359"/>
      <c r="P100" s="359"/>
      <c r="Q100" s="359"/>
      <c r="R100" s="359"/>
      <c r="S100" s="359"/>
      <c r="T100" s="359"/>
      <c r="U100" s="437"/>
      <c r="V100" s="437"/>
      <c r="W100" s="460"/>
      <c r="X100" s="437"/>
      <c r="Y100" s="359"/>
      <c r="Z100" s="359"/>
      <c r="AA100" s="359"/>
      <c r="AB100" s="359"/>
      <c r="AC100" s="359"/>
      <c r="AD100" s="359"/>
      <c r="AE100" s="437"/>
      <c r="AF100" s="437"/>
      <c r="AG100" s="437"/>
      <c r="AH100" s="437"/>
      <c r="AI100" s="359"/>
      <c r="AJ100" s="359"/>
      <c r="AK100" s="359"/>
      <c r="AL100" s="359"/>
      <c r="AM100" s="359"/>
      <c r="AN100" s="359"/>
      <c r="AO100" s="437"/>
      <c r="AP100" s="437"/>
      <c r="AQ100" s="460"/>
      <c r="AR100" s="437"/>
      <c r="AS100" s="437"/>
      <c r="AT100" s="437"/>
      <c r="AU100" s="437"/>
      <c r="AV100" s="437"/>
      <c r="AW100" s="359"/>
      <c r="AX100" s="359"/>
      <c r="AY100" s="461"/>
      <c r="AZ100" s="545"/>
      <c r="BA100" s="545"/>
      <c r="BB100" s="545"/>
      <c r="BC100" s="545"/>
      <c r="BD100" s="359"/>
      <c r="BE100" s="359"/>
      <c r="BF100" s="359"/>
      <c r="BG100" s="359"/>
      <c r="BH100" s="359"/>
      <c r="BI100" s="359"/>
      <c r="BJ100" s="437"/>
      <c r="BK100" s="437"/>
      <c r="BL100" s="437"/>
      <c r="BM100" s="437"/>
      <c r="BN100" s="359"/>
      <c r="BO100" s="359"/>
      <c r="BP100" s="359"/>
      <c r="BQ100" s="359"/>
      <c r="BR100" s="359"/>
      <c r="BS100" s="359"/>
      <c r="BT100" s="437"/>
      <c r="BU100" s="437"/>
      <c r="BV100" s="437"/>
      <c r="BW100" s="437"/>
      <c r="BX100" s="437"/>
      <c r="BY100" s="437"/>
      <c r="BZ100" s="437"/>
      <c r="CA100" s="437"/>
      <c r="CB100" s="437"/>
      <c r="CC100" s="359"/>
      <c r="CD100" s="359"/>
      <c r="CE100" s="359"/>
      <c r="CF100" s="359"/>
      <c r="CG100" s="359"/>
      <c r="CH100" s="359"/>
      <c r="CI100" s="437"/>
      <c r="CJ100" s="437"/>
      <c r="CK100" s="460"/>
      <c r="CL100" s="437"/>
      <c r="CM100" s="359"/>
      <c r="CN100" s="359"/>
      <c r="CO100" s="359"/>
      <c r="CP100" s="359"/>
      <c r="CQ100" s="359"/>
      <c r="CR100" s="359"/>
      <c r="CS100" s="437"/>
      <c r="CT100" s="437"/>
      <c r="CU100" s="437"/>
      <c r="CV100" s="437"/>
      <c r="CW100" s="437"/>
      <c r="CX100" s="437"/>
      <c r="CY100" s="437"/>
      <c r="CZ100" s="437"/>
      <c r="DA100" s="437"/>
      <c r="DB100" s="437"/>
      <c r="DC100" s="437"/>
      <c r="DD100" s="437"/>
      <c r="DE100" s="437"/>
      <c r="DF100" s="437"/>
      <c r="DG100" s="437"/>
      <c r="DH100" s="437"/>
      <c r="DI100" s="359"/>
      <c r="DJ100" s="359"/>
      <c r="DK100" s="359"/>
      <c r="DL100" s="359"/>
      <c r="DM100" s="359"/>
      <c r="DN100" s="359"/>
      <c r="DO100" s="437"/>
      <c r="DP100" s="437"/>
      <c r="DQ100" s="437"/>
      <c r="DR100" s="437"/>
      <c r="DS100" s="359"/>
      <c r="DT100" s="359"/>
      <c r="DU100" s="359"/>
      <c r="DV100" s="359"/>
      <c r="DW100" s="359"/>
      <c r="DX100" s="359"/>
      <c r="DY100" s="437"/>
      <c r="DZ100" s="437"/>
      <c r="EA100" s="437"/>
      <c r="EB100" s="437"/>
      <c r="EC100" s="359"/>
      <c r="ED100" s="359"/>
      <c r="EE100" s="359"/>
      <c r="EF100" s="359"/>
      <c r="EG100" s="359"/>
      <c r="EH100" s="359"/>
      <c r="EI100" s="437"/>
      <c r="EJ100" s="437"/>
      <c r="EK100" s="437"/>
      <c r="EL100" s="437"/>
      <c r="EM100" s="359"/>
      <c r="EN100" s="359"/>
      <c r="EO100" s="359"/>
      <c r="EP100" s="359"/>
      <c r="EQ100" s="359"/>
      <c r="ER100" s="359"/>
      <c r="ES100" s="437"/>
      <c r="ET100" s="437"/>
      <c r="EU100" s="437"/>
      <c r="EV100" s="437"/>
      <c r="EW100" s="437"/>
      <c r="EX100" s="437"/>
      <c r="EY100" s="437"/>
      <c r="EZ100" s="437"/>
      <c r="FA100" s="437"/>
      <c r="FB100" s="437"/>
      <c r="FC100" s="437"/>
      <c r="FD100" s="437"/>
      <c r="FE100" s="437"/>
      <c r="FF100" s="437"/>
      <c r="FG100" s="437"/>
      <c r="FH100" s="437"/>
      <c r="FI100" s="437"/>
      <c r="FJ100" s="437"/>
      <c r="FK100" s="437"/>
      <c r="FL100" s="437"/>
      <c r="FM100" s="437"/>
      <c r="FN100" s="359"/>
      <c r="FO100" s="359"/>
      <c r="FP100" s="359"/>
      <c r="FQ100" s="359"/>
      <c r="FR100" s="359"/>
      <c r="FS100" s="359"/>
      <c r="FT100" s="437"/>
      <c r="FU100" s="437"/>
      <c r="FV100" s="437"/>
      <c r="FW100" s="437"/>
      <c r="FX100" s="359"/>
      <c r="FY100" s="359"/>
      <c r="FZ100" s="359"/>
      <c r="GA100" s="359"/>
      <c r="GB100" s="359"/>
      <c r="GC100" s="359"/>
      <c r="GD100" s="437"/>
      <c r="GE100" s="437"/>
      <c r="GF100" s="437"/>
      <c r="GG100" s="437"/>
      <c r="GH100" s="359"/>
      <c r="GI100" s="359"/>
      <c r="GJ100" s="359"/>
      <c r="GK100" s="359"/>
      <c r="GL100" s="359"/>
      <c r="GM100" s="359"/>
      <c r="GN100" s="437"/>
      <c r="GO100" s="437"/>
      <c r="GP100" s="437"/>
      <c r="GQ100" s="437"/>
      <c r="GR100" s="437"/>
      <c r="GS100" s="437"/>
      <c r="GT100" s="437"/>
      <c r="GU100" s="437"/>
      <c r="GV100" s="437"/>
      <c r="GW100" s="437"/>
      <c r="GX100" s="359"/>
      <c r="GY100" s="359"/>
      <c r="GZ100" s="359"/>
      <c r="HA100" s="359"/>
      <c r="HB100" s="359"/>
      <c r="HC100" s="359"/>
      <c r="HD100" s="437"/>
      <c r="HE100" s="437"/>
      <c r="HF100" s="437"/>
      <c r="HG100" s="437"/>
      <c r="HH100" s="437"/>
      <c r="HI100" s="437"/>
      <c r="HJ100" s="437"/>
      <c r="HK100" s="437"/>
      <c r="HL100" s="437"/>
      <c r="HM100" s="437"/>
      <c r="HN100" s="437"/>
      <c r="HO100" s="437"/>
      <c r="HP100" s="437"/>
      <c r="HQ100" s="437"/>
      <c r="HR100" s="437"/>
      <c r="HS100" s="437"/>
      <c r="HT100" s="437"/>
      <c r="HU100" s="359"/>
      <c r="HV100" s="359"/>
      <c r="HW100" s="359"/>
      <c r="HX100" s="359"/>
      <c r="HY100" s="359"/>
      <c r="HZ100" s="359"/>
      <c r="IA100" s="437"/>
      <c r="IB100" s="437"/>
      <c r="IC100" s="437"/>
      <c r="ID100" s="437"/>
      <c r="IE100" s="359"/>
      <c r="IF100" s="359"/>
      <c r="IG100" s="359"/>
      <c r="IH100" s="359"/>
      <c r="II100" s="359"/>
      <c r="IJ100" s="359"/>
      <c r="IK100" s="437"/>
      <c r="IL100" s="437"/>
      <c r="IM100" s="437"/>
      <c r="IN100" s="437"/>
      <c r="IO100" s="359"/>
      <c r="IP100" s="359"/>
      <c r="IQ100" s="359"/>
      <c r="IR100" s="359"/>
      <c r="IS100" s="359"/>
      <c r="IT100" s="359"/>
      <c r="IU100" s="437"/>
      <c r="IV100" s="437"/>
      <c r="IW100" s="437"/>
      <c r="IX100" s="437"/>
      <c r="IY100" s="359"/>
      <c r="IZ100" s="359"/>
      <c r="JA100" s="359"/>
      <c r="JB100" s="359"/>
      <c r="JC100" s="359"/>
      <c r="JD100" s="359"/>
      <c r="JE100" s="437"/>
      <c r="JF100" s="437"/>
      <c r="JG100" s="437"/>
      <c r="JH100" s="437"/>
      <c r="JI100" s="437"/>
      <c r="JJ100" s="437"/>
      <c r="JK100" s="437"/>
      <c r="JL100" s="437"/>
      <c r="JM100" s="437"/>
      <c r="JN100" s="437"/>
      <c r="JO100" s="437"/>
      <c r="JP100" s="359"/>
      <c r="JQ100" s="359"/>
      <c r="JR100" s="359"/>
      <c r="JS100" s="359"/>
      <c r="JT100" s="359"/>
      <c r="JU100" s="359"/>
      <c r="JV100" s="437"/>
      <c r="JW100" s="437"/>
      <c r="JX100" s="437"/>
      <c r="JY100" s="437"/>
      <c r="JZ100" s="437"/>
      <c r="KA100" s="462"/>
      <c r="KB100" s="462"/>
      <c r="KC100" s="462"/>
      <c r="KD100" s="462"/>
      <c r="KE100" s="462"/>
      <c r="KF100" s="462"/>
      <c r="KG100" s="359"/>
      <c r="KH100" s="359"/>
      <c r="KI100" s="359"/>
      <c r="KJ100" s="461"/>
      <c r="KK100" s="359"/>
      <c r="KL100" s="359"/>
      <c r="KM100" s="359"/>
      <c r="KN100" s="359"/>
      <c r="KO100" s="359"/>
      <c r="KP100" s="359"/>
      <c r="KQ100" s="359"/>
    </row>
    <row r="101" spans="1:303" ht="15" x14ac:dyDescent="0.3">
      <c r="A101" s="359"/>
      <c r="B101" s="359"/>
      <c r="C101" s="458"/>
      <c r="D101" s="459"/>
      <c r="E101" s="359"/>
      <c r="F101" s="359"/>
      <c r="G101" s="359"/>
      <c r="H101" s="359"/>
      <c r="I101" s="359"/>
      <c r="J101" s="359"/>
      <c r="K101" s="437"/>
      <c r="L101" s="437"/>
      <c r="M101" s="460"/>
      <c r="N101" s="437"/>
      <c r="O101" s="359"/>
      <c r="P101" s="359"/>
      <c r="Q101" s="359"/>
      <c r="R101" s="359"/>
      <c r="S101" s="359"/>
      <c r="T101" s="359"/>
      <c r="U101" s="437"/>
      <c r="V101" s="437"/>
      <c r="W101" s="460"/>
      <c r="X101" s="437"/>
      <c r="Y101" s="359"/>
      <c r="Z101" s="359"/>
      <c r="AA101" s="359"/>
      <c r="AB101" s="359"/>
      <c r="AC101" s="359"/>
      <c r="AD101" s="359"/>
      <c r="AE101" s="437"/>
      <c r="AF101" s="437"/>
      <c r="AG101" s="437"/>
      <c r="AH101" s="437"/>
      <c r="AI101" s="359"/>
      <c r="AJ101" s="359"/>
      <c r="AK101" s="359"/>
      <c r="AL101" s="359"/>
      <c r="AM101" s="359"/>
      <c r="AN101" s="359"/>
      <c r="AO101" s="437"/>
      <c r="AP101" s="437"/>
      <c r="AQ101" s="460"/>
      <c r="AR101" s="437"/>
      <c r="AS101" s="437"/>
      <c r="AT101" s="437"/>
      <c r="AU101" s="437"/>
      <c r="AV101" s="437"/>
      <c r="AW101" s="359"/>
      <c r="AX101" s="359"/>
      <c r="AY101" s="461"/>
      <c r="AZ101" s="545"/>
      <c r="BA101" s="545"/>
      <c r="BB101" s="545"/>
      <c r="BC101" s="545"/>
      <c r="BD101" s="359"/>
      <c r="BE101" s="359"/>
      <c r="BF101" s="359"/>
      <c r="BG101" s="359"/>
      <c r="BH101" s="359"/>
      <c r="BI101" s="359"/>
      <c r="BJ101" s="437"/>
      <c r="BK101" s="437"/>
      <c r="BL101" s="437"/>
      <c r="BM101" s="437"/>
      <c r="BN101" s="359"/>
      <c r="BO101" s="359"/>
      <c r="BP101" s="359"/>
      <c r="BQ101" s="359"/>
      <c r="BR101" s="359"/>
      <c r="BS101" s="359"/>
      <c r="BT101" s="437"/>
      <c r="BU101" s="437"/>
      <c r="BV101" s="437"/>
      <c r="BW101" s="437"/>
      <c r="BX101" s="437"/>
      <c r="BY101" s="437"/>
      <c r="BZ101" s="437"/>
      <c r="CA101" s="437"/>
      <c r="CB101" s="437"/>
      <c r="CC101" s="359"/>
      <c r="CD101" s="359"/>
      <c r="CE101" s="359"/>
      <c r="CF101" s="359"/>
      <c r="CG101" s="359"/>
      <c r="CH101" s="359"/>
      <c r="CI101" s="437"/>
      <c r="CJ101" s="437"/>
      <c r="CK101" s="460"/>
      <c r="CL101" s="437"/>
      <c r="CM101" s="359"/>
      <c r="CN101" s="359"/>
      <c r="CO101" s="359"/>
      <c r="CP101" s="359"/>
      <c r="CQ101" s="359"/>
      <c r="CR101" s="359"/>
      <c r="CS101" s="437"/>
      <c r="CT101" s="437"/>
      <c r="CU101" s="437"/>
      <c r="CV101" s="437"/>
      <c r="CW101" s="437"/>
      <c r="CX101" s="437"/>
      <c r="CY101" s="437"/>
      <c r="CZ101" s="437"/>
      <c r="DA101" s="437"/>
      <c r="DB101" s="437"/>
      <c r="DC101" s="437"/>
      <c r="DD101" s="437"/>
      <c r="DE101" s="437"/>
      <c r="DF101" s="437"/>
      <c r="DG101" s="437"/>
      <c r="DH101" s="437"/>
      <c r="DI101" s="359"/>
      <c r="DJ101" s="359"/>
      <c r="DK101" s="359"/>
      <c r="DL101" s="359"/>
      <c r="DM101" s="359"/>
      <c r="DN101" s="359"/>
      <c r="DO101" s="437"/>
      <c r="DP101" s="437"/>
      <c r="DQ101" s="437"/>
      <c r="DR101" s="437"/>
      <c r="DS101" s="359"/>
      <c r="DT101" s="359"/>
      <c r="DU101" s="359"/>
      <c r="DV101" s="359"/>
      <c r="DW101" s="359"/>
      <c r="DX101" s="359"/>
      <c r="DY101" s="437"/>
      <c r="DZ101" s="437"/>
      <c r="EA101" s="437"/>
      <c r="EB101" s="437"/>
      <c r="EC101" s="359"/>
      <c r="ED101" s="359"/>
      <c r="EE101" s="359"/>
      <c r="EF101" s="359"/>
      <c r="EG101" s="359"/>
      <c r="EH101" s="359"/>
      <c r="EI101" s="437"/>
      <c r="EJ101" s="437"/>
      <c r="EK101" s="437"/>
      <c r="EL101" s="437"/>
      <c r="EM101" s="359"/>
      <c r="EN101" s="359"/>
      <c r="EO101" s="359"/>
      <c r="EP101" s="359"/>
      <c r="EQ101" s="359"/>
      <c r="ER101" s="359"/>
      <c r="ES101" s="437"/>
      <c r="ET101" s="437"/>
      <c r="EU101" s="437"/>
      <c r="EV101" s="437"/>
      <c r="EW101" s="437"/>
      <c r="EX101" s="437"/>
      <c r="EY101" s="437"/>
      <c r="EZ101" s="437"/>
      <c r="FA101" s="437"/>
      <c r="FB101" s="437"/>
      <c r="FC101" s="437"/>
      <c r="FD101" s="437"/>
      <c r="FE101" s="437"/>
      <c r="FF101" s="437"/>
      <c r="FG101" s="437"/>
      <c r="FH101" s="437"/>
      <c r="FI101" s="437"/>
      <c r="FJ101" s="437"/>
      <c r="FK101" s="437"/>
      <c r="FL101" s="437"/>
      <c r="FM101" s="437"/>
      <c r="FN101" s="359"/>
      <c r="FO101" s="359"/>
      <c r="FP101" s="359"/>
      <c r="FQ101" s="359"/>
      <c r="FR101" s="359"/>
      <c r="FS101" s="359"/>
      <c r="FT101" s="437"/>
      <c r="FU101" s="437"/>
      <c r="FV101" s="437"/>
      <c r="FW101" s="437"/>
      <c r="FX101" s="359"/>
      <c r="FY101" s="359"/>
      <c r="FZ101" s="359"/>
      <c r="GA101" s="359"/>
      <c r="GB101" s="359"/>
      <c r="GC101" s="359"/>
      <c r="GD101" s="437"/>
      <c r="GE101" s="437"/>
      <c r="GF101" s="437"/>
      <c r="GG101" s="437"/>
      <c r="GH101" s="359"/>
      <c r="GI101" s="359"/>
      <c r="GJ101" s="359"/>
      <c r="GK101" s="359"/>
      <c r="GL101" s="359"/>
      <c r="GM101" s="359"/>
      <c r="GN101" s="437"/>
      <c r="GO101" s="437"/>
      <c r="GP101" s="437"/>
      <c r="GQ101" s="437"/>
      <c r="GR101" s="437"/>
      <c r="GS101" s="437"/>
      <c r="GT101" s="437"/>
      <c r="GU101" s="437"/>
      <c r="GV101" s="437"/>
      <c r="GW101" s="437"/>
      <c r="GX101" s="359"/>
      <c r="GY101" s="359"/>
      <c r="GZ101" s="359"/>
      <c r="HA101" s="359"/>
      <c r="HB101" s="359"/>
      <c r="HC101" s="359"/>
      <c r="HD101" s="437"/>
      <c r="HE101" s="437"/>
      <c r="HF101" s="437"/>
      <c r="HG101" s="437"/>
      <c r="HH101" s="437"/>
      <c r="HI101" s="437"/>
      <c r="HJ101" s="437"/>
      <c r="HK101" s="437"/>
      <c r="HL101" s="437"/>
      <c r="HM101" s="437"/>
      <c r="HN101" s="437"/>
      <c r="HO101" s="437"/>
      <c r="HP101" s="437"/>
      <c r="HQ101" s="437"/>
      <c r="HR101" s="437"/>
      <c r="HS101" s="437"/>
      <c r="HT101" s="437"/>
      <c r="HU101" s="359"/>
      <c r="HV101" s="359"/>
      <c r="HW101" s="359"/>
      <c r="HX101" s="359"/>
      <c r="HY101" s="359"/>
      <c r="HZ101" s="359"/>
      <c r="IA101" s="437"/>
      <c r="IB101" s="437"/>
      <c r="IC101" s="437"/>
      <c r="ID101" s="437"/>
      <c r="IE101" s="359"/>
      <c r="IF101" s="359"/>
      <c r="IG101" s="359"/>
      <c r="IH101" s="359"/>
      <c r="II101" s="359"/>
      <c r="IJ101" s="359"/>
      <c r="IK101" s="437"/>
      <c r="IL101" s="437"/>
      <c r="IM101" s="437"/>
      <c r="IN101" s="437"/>
      <c r="IO101" s="359"/>
      <c r="IP101" s="359"/>
      <c r="IQ101" s="359"/>
      <c r="IR101" s="359"/>
      <c r="IS101" s="359"/>
      <c r="IT101" s="359"/>
      <c r="IU101" s="437"/>
      <c r="IV101" s="437"/>
      <c r="IW101" s="437"/>
      <c r="IX101" s="437"/>
      <c r="IY101" s="359"/>
      <c r="IZ101" s="359"/>
      <c r="JA101" s="359"/>
      <c r="JB101" s="359"/>
      <c r="JC101" s="359"/>
      <c r="JD101" s="359"/>
      <c r="JE101" s="437"/>
      <c r="JF101" s="437"/>
      <c r="JG101" s="437"/>
      <c r="JH101" s="437"/>
      <c r="JI101" s="437"/>
      <c r="JJ101" s="437"/>
      <c r="JK101" s="437"/>
      <c r="JL101" s="437"/>
      <c r="JM101" s="437"/>
      <c r="JN101" s="437"/>
      <c r="JO101" s="437"/>
      <c r="JP101" s="359"/>
      <c r="JQ101" s="359"/>
      <c r="JR101" s="359"/>
      <c r="JS101" s="359"/>
      <c r="JT101" s="359"/>
      <c r="JU101" s="359"/>
      <c r="JV101" s="437"/>
      <c r="JW101" s="437"/>
      <c r="JX101" s="437"/>
      <c r="JY101" s="437"/>
      <c r="JZ101" s="437"/>
      <c r="KA101" s="462"/>
      <c r="KB101" s="462"/>
      <c r="KC101" s="462"/>
      <c r="KD101" s="462"/>
      <c r="KE101" s="462"/>
      <c r="KF101" s="462"/>
      <c r="KG101" s="359"/>
      <c r="KH101" s="359"/>
      <c r="KI101" s="359"/>
      <c r="KJ101" s="461"/>
      <c r="KK101" s="359"/>
      <c r="KL101" s="359"/>
      <c r="KM101" s="359"/>
      <c r="KN101" s="359"/>
      <c r="KO101" s="359"/>
      <c r="KP101" s="359"/>
      <c r="KQ101" s="359"/>
    </row>
    <row r="102" spans="1:303" ht="15" x14ac:dyDescent="0.3">
      <c r="A102" s="359"/>
      <c r="B102" s="359"/>
      <c r="C102" s="458"/>
      <c r="D102" s="459"/>
      <c r="E102" s="359"/>
      <c r="F102" s="359"/>
      <c r="G102" s="359"/>
      <c r="H102" s="359"/>
      <c r="I102" s="359"/>
      <c r="J102" s="359"/>
      <c r="K102" s="437"/>
      <c r="L102" s="437"/>
      <c r="M102" s="460"/>
      <c r="N102" s="437"/>
      <c r="O102" s="359"/>
      <c r="P102" s="359"/>
      <c r="Q102" s="359"/>
      <c r="R102" s="359"/>
      <c r="S102" s="359"/>
      <c r="T102" s="359"/>
      <c r="U102" s="437"/>
      <c r="V102" s="437"/>
      <c r="W102" s="460"/>
      <c r="X102" s="437"/>
      <c r="Y102" s="359"/>
      <c r="Z102" s="359"/>
      <c r="AA102" s="359"/>
      <c r="AB102" s="359"/>
      <c r="AC102" s="359"/>
      <c r="AD102" s="359"/>
      <c r="AE102" s="437"/>
      <c r="AF102" s="437"/>
      <c r="AG102" s="437"/>
      <c r="AH102" s="437"/>
      <c r="AI102" s="359"/>
      <c r="AJ102" s="359"/>
      <c r="AK102" s="359"/>
      <c r="AL102" s="359"/>
      <c r="AM102" s="359"/>
      <c r="AN102" s="359"/>
      <c r="AO102" s="437"/>
      <c r="AP102" s="437"/>
      <c r="AQ102" s="460"/>
      <c r="AR102" s="437"/>
      <c r="AS102" s="437"/>
      <c r="AT102" s="437"/>
      <c r="AU102" s="437"/>
      <c r="AV102" s="437"/>
      <c r="AW102" s="359"/>
      <c r="AX102" s="359"/>
      <c r="AY102" s="461"/>
      <c r="AZ102" s="545"/>
      <c r="BA102" s="545"/>
      <c r="BB102" s="545"/>
      <c r="BC102" s="545"/>
      <c r="BD102" s="359"/>
      <c r="BE102" s="359"/>
      <c r="BF102" s="359"/>
      <c r="BG102" s="359"/>
      <c r="BH102" s="359"/>
      <c r="BI102" s="359"/>
      <c r="BJ102" s="437"/>
      <c r="BK102" s="437"/>
      <c r="BL102" s="437"/>
      <c r="BM102" s="437"/>
      <c r="BN102" s="359"/>
      <c r="BO102" s="359"/>
      <c r="BP102" s="359"/>
      <c r="BQ102" s="359"/>
      <c r="BR102" s="359"/>
      <c r="BS102" s="359"/>
      <c r="BT102" s="437"/>
      <c r="BU102" s="437"/>
      <c r="BV102" s="437"/>
      <c r="BW102" s="437"/>
      <c r="BX102" s="437"/>
      <c r="BY102" s="437"/>
      <c r="BZ102" s="437"/>
      <c r="CA102" s="437"/>
      <c r="CB102" s="437"/>
      <c r="CC102" s="359"/>
      <c r="CD102" s="359"/>
      <c r="CE102" s="359"/>
      <c r="CF102" s="359"/>
      <c r="CG102" s="359"/>
      <c r="CH102" s="359"/>
      <c r="CI102" s="437"/>
      <c r="CJ102" s="437"/>
      <c r="CK102" s="460"/>
      <c r="CL102" s="437"/>
      <c r="CM102" s="359"/>
      <c r="CN102" s="359"/>
      <c r="CO102" s="359"/>
      <c r="CP102" s="359"/>
      <c r="CQ102" s="359"/>
      <c r="CR102" s="359"/>
      <c r="CS102" s="437"/>
      <c r="CT102" s="437"/>
      <c r="CU102" s="437"/>
      <c r="CV102" s="437"/>
      <c r="CW102" s="437"/>
      <c r="CX102" s="437"/>
      <c r="CY102" s="437"/>
      <c r="CZ102" s="437"/>
      <c r="DA102" s="437"/>
      <c r="DB102" s="437"/>
      <c r="DC102" s="437"/>
      <c r="DD102" s="437"/>
      <c r="DE102" s="437"/>
      <c r="DF102" s="437"/>
      <c r="DG102" s="437"/>
      <c r="DH102" s="437"/>
      <c r="DI102" s="359"/>
      <c r="DJ102" s="359"/>
      <c r="DK102" s="359"/>
      <c r="DL102" s="359"/>
      <c r="DM102" s="359"/>
      <c r="DN102" s="359"/>
      <c r="DO102" s="437"/>
      <c r="DP102" s="437"/>
      <c r="DQ102" s="437"/>
      <c r="DR102" s="437"/>
      <c r="DS102" s="359"/>
      <c r="DT102" s="359"/>
      <c r="DU102" s="359"/>
      <c r="DV102" s="359"/>
      <c r="DW102" s="359"/>
      <c r="DX102" s="359"/>
      <c r="DY102" s="437"/>
      <c r="DZ102" s="437"/>
      <c r="EA102" s="437"/>
      <c r="EB102" s="437"/>
      <c r="EC102" s="359"/>
      <c r="ED102" s="359"/>
      <c r="EE102" s="359"/>
      <c r="EF102" s="359"/>
      <c r="EG102" s="359"/>
      <c r="EH102" s="359"/>
      <c r="EI102" s="437"/>
      <c r="EJ102" s="437"/>
      <c r="EK102" s="437"/>
      <c r="EL102" s="437"/>
      <c r="EM102" s="359"/>
      <c r="EN102" s="359"/>
      <c r="EO102" s="359"/>
      <c r="EP102" s="359"/>
      <c r="EQ102" s="359"/>
      <c r="ER102" s="359"/>
      <c r="ES102" s="437"/>
      <c r="ET102" s="437"/>
      <c r="EU102" s="437"/>
      <c r="EV102" s="437"/>
      <c r="EW102" s="437"/>
      <c r="EX102" s="437"/>
      <c r="EY102" s="437"/>
      <c r="EZ102" s="437"/>
      <c r="FA102" s="437"/>
      <c r="FB102" s="437"/>
      <c r="FC102" s="437"/>
      <c r="FD102" s="437"/>
      <c r="FE102" s="437"/>
      <c r="FF102" s="437"/>
      <c r="FG102" s="437"/>
      <c r="FH102" s="437"/>
      <c r="FI102" s="437"/>
      <c r="FJ102" s="437"/>
      <c r="FK102" s="437"/>
      <c r="FL102" s="437"/>
      <c r="FM102" s="437"/>
      <c r="FN102" s="359"/>
      <c r="FO102" s="359"/>
      <c r="FP102" s="359"/>
      <c r="FQ102" s="359"/>
      <c r="FR102" s="359"/>
      <c r="FS102" s="359"/>
      <c r="FT102" s="437"/>
      <c r="FU102" s="437"/>
      <c r="FV102" s="437"/>
      <c r="FW102" s="437"/>
      <c r="FX102" s="359"/>
      <c r="FY102" s="359"/>
      <c r="FZ102" s="359"/>
      <c r="GA102" s="359"/>
      <c r="GB102" s="359"/>
      <c r="GC102" s="359"/>
      <c r="GD102" s="437"/>
      <c r="GE102" s="437"/>
      <c r="GF102" s="437"/>
      <c r="GG102" s="437"/>
      <c r="GH102" s="359"/>
      <c r="GI102" s="359"/>
      <c r="GJ102" s="359"/>
      <c r="GK102" s="359"/>
      <c r="GL102" s="359"/>
      <c r="GM102" s="359"/>
      <c r="GN102" s="437"/>
      <c r="GO102" s="437"/>
      <c r="GP102" s="437"/>
      <c r="GQ102" s="437"/>
      <c r="GR102" s="437"/>
      <c r="GS102" s="437"/>
      <c r="GT102" s="437"/>
      <c r="GU102" s="437"/>
      <c r="GV102" s="437"/>
      <c r="GW102" s="437"/>
      <c r="GX102" s="359"/>
      <c r="GY102" s="359"/>
      <c r="GZ102" s="359"/>
      <c r="HA102" s="359"/>
      <c r="HB102" s="359"/>
      <c r="HC102" s="359"/>
      <c r="HD102" s="437"/>
      <c r="HE102" s="437"/>
      <c r="HF102" s="437"/>
      <c r="HG102" s="437"/>
      <c r="HH102" s="437"/>
      <c r="HI102" s="437"/>
      <c r="HJ102" s="437"/>
      <c r="HK102" s="437"/>
      <c r="HL102" s="437"/>
      <c r="HM102" s="437"/>
      <c r="HN102" s="437"/>
      <c r="HO102" s="437"/>
      <c r="HP102" s="437"/>
      <c r="HQ102" s="437"/>
      <c r="HR102" s="437"/>
      <c r="HS102" s="437"/>
      <c r="HT102" s="437"/>
      <c r="HU102" s="359"/>
      <c r="HV102" s="359"/>
      <c r="HW102" s="359"/>
      <c r="HX102" s="359"/>
      <c r="HY102" s="359"/>
      <c r="HZ102" s="359"/>
      <c r="IA102" s="437"/>
      <c r="IB102" s="437"/>
      <c r="IC102" s="437"/>
      <c r="ID102" s="437"/>
      <c r="IE102" s="359"/>
      <c r="IF102" s="359"/>
      <c r="IG102" s="359"/>
      <c r="IH102" s="359"/>
      <c r="II102" s="359"/>
      <c r="IJ102" s="359"/>
      <c r="IK102" s="437"/>
      <c r="IL102" s="437"/>
      <c r="IM102" s="437"/>
      <c r="IN102" s="437"/>
      <c r="IO102" s="359"/>
      <c r="IP102" s="359"/>
      <c r="IQ102" s="359"/>
      <c r="IR102" s="359"/>
      <c r="IS102" s="359"/>
      <c r="IT102" s="359"/>
      <c r="IU102" s="437"/>
      <c r="IV102" s="437"/>
      <c r="IW102" s="437"/>
      <c r="IX102" s="437"/>
      <c r="IY102" s="359"/>
      <c r="IZ102" s="359"/>
      <c r="JA102" s="359"/>
      <c r="JB102" s="359"/>
      <c r="JC102" s="359"/>
      <c r="JD102" s="359"/>
      <c r="JE102" s="437"/>
      <c r="JF102" s="437"/>
      <c r="JG102" s="437"/>
      <c r="JH102" s="437"/>
      <c r="JI102" s="437"/>
      <c r="JJ102" s="437"/>
      <c r="JK102" s="437"/>
      <c r="JL102" s="437"/>
      <c r="JM102" s="437"/>
      <c r="JN102" s="437"/>
      <c r="JO102" s="437"/>
      <c r="JP102" s="359"/>
      <c r="JQ102" s="359"/>
      <c r="JR102" s="359"/>
      <c r="JS102" s="359"/>
      <c r="JT102" s="359"/>
      <c r="JU102" s="359"/>
      <c r="JV102" s="437"/>
      <c r="JW102" s="437"/>
      <c r="JX102" s="437"/>
      <c r="JY102" s="437"/>
      <c r="JZ102" s="437"/>
      <c r="KA102" s="462"/>
      <c r="KB102" s="462"/>
      <c r="KC102" s="462"/>
      <c r="KD102" s="462"/>
      <c r="KE102" s="462"/>
      <c r="KF102" s="462"/>
      <c r="KG102" s="359"/>
      <c r="KH102" s="359"/>
      <c r="KI102" s="359"/>
      <c r="KJ102" s="461"/>
      <c r="KK102" s="359"/>
      <c r="KL102" s="359"/>
      <c r="KM102" s="359"/>
      <c r="KN102" s="359"/>
      <c r="KO102" s="359"/>
      <c r="KP102" s="359"/>
      <c r="KQ102" s="359"/>
    </row>
    <row r="103" spans="1:303" ht="15" x14ac:dyDescent="0.3">
      <c r="A103" s="359"/>
      <c r="B103" s="359"/>
      <c r="C103" s="458"/>
      <c r="D103" s="459"/>
      <c r="E103" s="359"/>
      <c r="F103" s="359"/>
      <c r="G103" s="359"/>
      <c r="H103" s="359"/>
      <c r="I103" s="359"/>
      <c r="J103" s="359"/>
      <c r="K103" s="437"/>
      <c r="L103" s="437"/>
      <c r="M103" s="460"/>
      <c r="N103" s="437"/>
      <c r="O103" s="359"/>
      <c r="P103" s="359"/>
      <c r="Q103" s="359"/>
      <c r="R103" s="359"/>
      <c r="S103" s="359"/>
      <c r="T103" s="359"/>
      <c r="U103" s="437"/>
      <c r="V103" s="437"/>
      <c r="W103" s="460"/>
      <c r="X103" s="437"/>
      <c r="Y103" s="359"/>
      <c r="Z103" s="359"/>
      <c r="AA103" s="359"/>
      <c r="AB103" s="359"/>
      <c r="AC103" s="359"/>
      <c r="AD103" s="359"/>
      <c r="AE103" s="437"/>
      <c r="AF103" s="437"/>
      <c r="AG103" s="437"/>
      <c r="AH103" s="437"/>
      <c r="AI103" s="359"/>
      <c r="AJ103" s="359"/>
      <c r="AK103" s="359"/>
      <c r="AL103" s="359"/>
      <c r="AM103" s="359"/>
      <c r="AN103" s="359"/>
      <c r="AO103" s="437"/>
      <c r="AP103" s="437"/>
      <c r="AQ103" s="460"/>
      <c r="AR103" s="437"/>
      <c r="AS103" s="437"/>
      <c r="AT103" s="437"/>
      <c r="AU103" s="437"/>
      <c r="AV103" s="437"/>
      <c r="AW103" s="359"/>
      <c r="AX103" s="359"/>
      <c r="AY103" s="461"/>
      <c r="AZ103" s="545"/>
      <c r="BA103" s="545"/>
      <c r="BB103" s="545"/>
      <c r="BC103" s="545"/>
      <c r="BD103" s="359"/>
      <c r="BE103" s="359"/>
      <c r="BF103" s="359"/>
      <c r="BG103" s="359"/>
      <c r="BH103" s="359"/>
      <c r="BI103" s="359"/>
      <c r="BJ103" s="437"/>
      <c r="BK103" s="437"/>
      <c r="BL103" s="437"/>
      <c r="BM103" s="437"/>
      <c r="BN103" s="359"/>
      <c r="BO103" s="359"/>
      <c r="BP103" s="359"/>
      <c r="BQ103" s="359"/>
      <c r="BR103" s="359"/>
      <c r="BS103" s="359"/>
      <c r="BT103" s="437"/>
      <c r="BU103" s="437"/>
      <c r="BV103" s="437"/>
      <c r="BW103" s="437"/>
      <c r="BX103" s="437"/>
      <c r="BY103" s="437"/>
      <c r="BZ103" s="437"/>
      <c r="CA103" s="437"/>
      <c r="CB103" s="437"/>
      <c r="CC103" s="359"/>
      <c r="CD103" s="359"/>
      <c r="CE103" s="359"/>
      <c r="CF103" s="359"/>
      <c r="CG103" s="359"/>
      <c r="CH103" s="359"/>
      <c r="CI103" s="437"/>
      <c r="CJ103" s="437"/>
      <c r="CK103" s="460"/>
      <c r="CL103" s="437"/>
      <c r="CM103" s="359"/>
      <c r="CN103" s="359"/>
      <c r="CO103" s="359"/>
      <c r="CP103" s="359"/>
      <c r="CQ103" s="359"/>
      <c r="CR103" s="359"/>
      <c r="CS103" s="437"/>
      <c r="CT103" s="437"/>
      <c r="CU103" s="437"/>
      <c r="CV103" s="437"/>
      <c r="CW103" s="437"/>
      <c r="CX103" s="437"/>
      <c r="CY103" s="437"/>
      <c r="CZ103" s="437"/>
      <c r="DA103" s="437"/>
      <c r="DB103" s="437"/>
      <c r="DC103" s="437"/>
      <c r="DD103" s="437"/>
      <c r="DE103" s="437"/>
      <c r="DF103" s="437"/>
      <c r="DG103" s="437"/>
      <c r="DH103" s="437"/>
      <c r="DI103" s="359"/>
      <c r="DJ103" s="359"/>
      <c r="DK103" s="359"/>
      <c r="DL103" s="359"/>
      <c r="DM103" s="359"/>
      <c r="DN103" s="359"/>
      <c r="DO103" s="437"/>
      <c r="DP103" s="437"/>
      <c r="DQ103" s="437"/>
      <c r="DR103" s="437"/>
      <c r="DS103" s="359"/>
      <c r="DT103" s="359"/>
      <c r="DU103" s="359"/>
      <c r="DV103" s="359"/>
      <c r="DW103" s="359"/>
      <c r="DX103" s="359"/>
      <c r="DY103" s="437"/>
      <c r="DZ103" s="437"/>
      <c r="EA103" s="437"/>
      <c r="EB103" s="437"/>
      <c r="EC103" s="359"/>
      <c r="ED103" s="359"/>
      <c r="EE103" s="359"/>
      <c r="EF103" s="359"/>
      <c r="EG103" s="359"/>
      <c r="EH103" s="359"/>
      <c r="EI103" s="437"/>
      <c r="EJ103" s="437"/>
      <c r="EK103" s="437"/>
      <c r="EL103" s="437"/>
      <c r="EM103" s="359"/>
      <c r="EN103" s="359"/>
      <c r="EO103" s="359"/>
      <c r="EP103" s="359"/>
      <c r="EQ103" s="359"/>
      <c r="ER103" s="359"/>
      <c r="ES103" s="437"/>
      <c r="ET103" s="437"/>
      <c r="EU103" s="437"/>
      <c r="EV103" s="437"/>
      <c r="EW103" s="437"/>
      <c r="EX103" s="437"/>
      <c r="EY103" s="437"/>
      <c r="EZ103" s="437"/>
      <c r="FA103" s="437"/>
      <c r="FB103" s="437"/>
      <c r="FC103" s="437"/>
      <c r="FD103" s="437"/>
      <c r="FE103" s="437"/>
      <c r="FF103" s="437"/>
      <c r="FG103" s="437"/>
      <c r="FH103" s="437"/>
      <c r="FI103" s="437"/>
      <c r="FJ103" s="437"/>
      <c r="FK103" s="437"/>
      <c r="FL103" s="437"/>
      <c r="FM103" s="437"/>
      <c r="FN103" s="359"/>
      <c r="FO103" s="359"/>
      <c r="FP103" s="359"/>
      <c r="FQ103" s="359"/>
      <c r="FR103" s="359"/>
      <c r="FS103" s="359"/>
      <c r="FT103" s="437"/>
      <c r="FU103" s="437"/>
      <c r="FV103" s="437"/>
      <c r="FW103" s="437"/>
      <c r="FX103" s="359"/>
      <c r="FY103" s="359"/>
      <c r="FZ103" s="359"/>
      <c r="GA103" s="359"/>
      <c r="GB103" s="359"/>
      <c r="GC103" s="359"/>
      <c r="GD103" s="437"/>
      <c r="GE103" s="437"/>
      <c r="GF103" s="437"/>
      <c r="GG103" s="437"/>
      <c r="GH103" s="359"/>
      <c r="GI103" s="359"/>
      <c r="GJ103" s="359"/>
      <c r="GK103" s="359"/>
      <c r="GL103" s="359"/>
      <c r="GM103" s="359"/>
      <c r="GN103" s="437"/>
      <c r="GO103" s="437"/>
      <c r="GP103" s="437"/>
      <c r="GQ103" s="437"/>
      <c r="GR103" s="437"/>
      <c r="GS103" s="437"/>
      <c r="GT103" s="437"/>
      <c r="GU103" s="437"/>
      <c r="GV103" s="437"/>
      <c r="GW103" s="437"/>
      <c r="GX103" s="359"/>
      <c r="GY103" s="359"/>
      <c r="GZ103" s="359"/>
      <c r="HA103" s="359"/>
      <c r="HB103" s="359"/>
      <c r="HC103" s="359"/>
      <c r="HD103" s="437"/>
      <c r="HE103" s="437"/>
      <c r="HF103" s="437"/>
      <c r="HG103" s="437"/>
      <c r="HH103" s="437"/>
      <c r="HI103" s="437"/>
      <c r="HJ103" s="437"/>
      <c r="HK103" s="437"/>
      <c r="HL103" s="437"/>
      <c r="HM103" s="437"/>
      <c r="HN103" s="437"/>
      <c r="HO103" s="437"/>
      <c r="HP103" s="437"/>
      <c r="HQ103" s="437"/>
      <c r="HR103" s="437"/>
      <c r="HS103" s="437"/>
      <c r="HT103" s="437"/>
      <c r="HU103" s="359"/>
      <c r="HV103" s="359"/>
      <c r="HW103" s="359"/>
      <c r="HX103" s="359"/>
      <c r="HY103" s="359"/>
      <c r="HZ103" s="359"/>
      <c r="IA103" s="437"/>
      <c r="IB103" s="437"/>
      <c r="IC103" s="437"/>
      <c r="ID103" s="437"/>
      <c r="IE103" s="359"/>
      <c r="IF103" s="359"/>
      <c r="IG103" s="359"/>
      <c r="IH103" s="359"/>
      <c r="II103" s="359"/>
      <c r="IJ103" s="359"/>
      <c r="IK103" s="437"/>
      <c r="IL103" s="437"/>
      <c r="IM103" s="437"/>
      <c r="IN103" s="437"/>
      <c r="IO103" s="359"/>
      <c r="IP103" s="359"/>
      <c r="IQ103" s="359"/>
      <c r="IR103" s="359"/>
      <c r="IS103" s="359"/>
      <c r="IT103" s="359"/>
      <c r="IU103" s="437"/>
      <c r="IV103" s="437"/>
      <c r="IW103" s="437"/>
      <c r="IX103" s="437"/>
      <c r="IY103" s="359"/>
      <c r="IZ103" s="359"/>
      <c r="JA103" s="359"/>
      <c r="JB103" s="359"/>
      <c r="JC103" s="359"/>
      <c r="JD103" s="359"/>
      <c r="JE103" s="437"/>
      <c r="JF103" s="437"/>
      <c r="JG103" s="437"/>
      <c r="JH103" s="437"/>
      <c r="JI103" s="437"/>
      <c r="JJ103" s="437"/>
      <c r="JK103" s="437"/>
      <c r="JL103" s="437"/>
      <c r="JM103" s="437"/>
      <c r="JN103" s="437"/>
      <c r="JO103" s="437"/>
      <c r="JP103" s="359"/>
      <c r="JQ103" s="359"/>
      <c r="JR103" s="359"/>
      <c r="JS103" s="359"/>
      <c r="JT103" s="359"/>
      <c r="JU103" s="359"/>
      <c r="JV103" s="437"/>
      <c r="JW103" s="437"/>
      <c r="JX103" s="437"/>
      <c r="JY103" s="437"/>
      <c r="JZ103" s="437"/>
      <c r="KA103" s="462"/>
      <c r="KB103" s="462"/>
      <c r="KC103" s="462"/>
      <c r="KD103" s="462"/>
      <c r="KE103" s="462"/>
      <c r="KF103" s="462"/>
      <c r="KG103" s="359"/>
      <c r="KH103" s="359"/>
      <c r="KI103" s="359"/>
      <c r="KJ103" s="461"/>
      <c r="KK103" s="359"/>
      <c r="KL103" s="359"/>
      <c r="KM103" s="359"/>
      <c r="KN103" s="359"/>
      <c r="KO103" s="359"/>
      <c r="KP103" s="359"/>
      <c r="KQ103" s="359"/>
    </row>
    <row r="104" spans="1:303" ht="15" x14ac:dyDescent="0.3">
      <c r="A104" s="359"/>
      <c r="B104" s="359"/>
      <c r="C104" s="458"/>
      <c r="D104" s="459"/>
      <c r="E104" s="359"/>
      <c r="F104" s="359"/>
      <c r="G104" s="359"/>
      <c r="H104" s="359"/>
      <c r="I104" s="359"/>
      <c r="J104" s="359"/>
      <c r="K104" s="437"/>
      <c r="L104" s="437"/>
      <c r="M104" s="460"/>
      <c r="N104" s="437"/>
      <c r="O104" s="359"/>
      <c r="P104" s="359"/>
      <c r="Q104" s="359"/>
      <c r="R104" s="359"/>
      <c r="S104" s="359"/>
      <c r="T104" s="359"/>
      <c r="U104" s="437"/>
      <c r="V104" s="437"/>
      <c r="W104" s="460"/>
      <c r="X104" s="437"/>
      <c r="Y104" s="359"/>
      <c r="Z104" s="359"/>
      <c r="AA104" s="359"/>
      <c r="AB104" s="359"/>
      <c r="AC104" s="359"/>
      <c r="AD104" s="359"/>
      <c r="AE104" s="437"/>
      <c r="AF104" s="437"/>
      <c r="AG104" s="437"/>
      <c r="AH104" s="437"/>
      <c r="AI104" s="359"/>
      <c r="AJ104" s="359"/>
      <c r="AK104" s="359"/>
      <c r="AL104" s="359"/>
      <c r="AM104" s="359"/>
      <c r="AN104" s="359"/>
      <c r="AO104" s="437"/>
      <c r="AP104" s="437"/>
      <c r="AQ104" s="460"/>
      <c r="AR104" s="437"/>
      <c r="AS104" s="437"/>
      <c r="AT104" s="437"/>
      <c r="AU104" s="437"/>
      <c r="AV104" s="437"/>
      <c r="AW104" s="359"/>
      <c r="AX104" s="359"/>
      <c r="AY104" s="461"/>
      <c r="AZ104" s="545"/>
      <c r="BA104" s="545"/>
      <c r="BB104" s="545"/>
      <c r="BC104" s="545"/>
      <c r="BD104" s="359"/>
      <c r="BE104" s="359"/>
      <c r="BF104" s="359"/>
      <c r="BG104" s="359"/>
      <c r="BH104" s="359"/>
      <c r="BI104" s="359"/>
      <c r="BJ104" s="437"/>
      <c r="BK104" s="437"/>
      <c r="BL104" s="437"/>
      <c r="BM104" s="437"/>
      <c r="BN104" s="359"/>
      <c r="BO104" s="359"/>
      <c r="BP104" s="359"/>
      <c r="BQ104" s="359"/>
      <c r="BR104" s="359"/>
      <c r="BS104" s="359"/>
      <c r="BT104" s="437"/>
      <c r="BU104" s="437"/>
      <c r="BV104" s="437"/>
      <c r="BW104" s="437"/>
      <c r="BX104" s="437"/>
      <c r="BY104" s="437"/>
      <c r="BZ104" s="437"/>
      <c r="CA104" s="437"/>
      <c r="CB104" s="437"/>
      <c r="CC104" s="359"/>
      <c r="CD104" s="359"/>
      <c r="CE104" s="359"/>
      <c r="CF104" s="359"/>
      <c r="CG104" s="359"/>
      <c r="CH104" s="359"/>
      <c r="CI104" s="437"/>
      <c r="CJ104" s="437"/>
      <c r="CK104" s="460"/>
      <c r="CL104" s="437"/>
      <c r="CM104" s="359"/>
      <c r="CN104" s="359"/>
      <c r="CO104" s="359"/>
      <c r="CP104" s="359"/>
      <c r="CQ104" s="359"/>
      <c r="CR104" s="359"/>
      <c r="CS104" s="437"/>
      <c r="CT104" s="437"/>
      <c r="CU104" s="437"/>
      <c r="CV104" s="437"/>
      <c r="CW104" s="437"/>
      <c r="CX104" s="437"/>
      <c r="CY104" s="437"/>
      <c r="CZ104" s="437"/>
      <c r="DA104" s="437"/>
      <c r="DB104" s="437"/>
      <c r="DC104" s="437"/>
      <c r="DD104" s="437"/>
      <c r="DE104" s="437"/>
      <c r="DF104" s="437"/>
      <c r="DG104" s="437"/>
      <c r="DH104" s="437"/>
      <c r="DI104" s="359"/>
      <c r="DJ104" s="359"/>
      <c r="DK104" s="359"/>
      <c r="DL104" s="359"/>
      <c r="DM104" s="359"/>
      <c r="DN104" s="359"/>
      <c r="DO104" s="437"/>
      <c r="DP104" s="437"/>
      <c r="DQ104" s="437"/>
      <c r="DR104" s="437"/>
      <c r="DS104" s="359"/>
      <c r="DT104" s="359"/>
      <c r="DU104" s="359"/>
      <c r="DV104" s="359"/>
      <c r="DW104" s="359"/>
      <c r="DX104" s="359"/>
      <c r="DY104" s="437"/>
      <c r="DZ104" s="437"/>
      <c r="EA104" s="437"/>
      <c r="EB104" s="437"/>
      <c r="EC104" s="359"/>
      <c r="ED104" s="359"/>
      <c r="EE104" s="359"/>
      <c r="EF104" s="359"/>
      <c r="EG104" s="359"/>
      <c r="EH104" s="359"/>
      <c r="EI104" s="437"/>
      <c r="EJ104" s="437"/>
      <c r="EK104" s="437"/>
      <c r="EL104" s="437"/>
      <c r="EM104" s="359"/>
      <c r="EN104" s="359"/>
      <c r="EO104" s="359"/>
      <c r="EP104" s="359"/>
      <c r="EQ104" s="359"/>
      <c r="ER104" s="359"/>
      <c r="ES104" s="437"/>
      <c r="ET104" s="437"/>
      <c r="EU104" s="437"/>
      <c r="EV104" s="437"/>
      <c r="EW104" s="437"/>
      <c r="EX104" s="437"/>
      <c r="EY104" s="437"/>
      <c r="EZ104" s="437"/>
      <c r="FA104" s="437"/>
      <c r="FB104" s="437"/>
      <c r="FC104" s="437"/>
      <c r="FD104" s="437"/>
      <c r="FE104" s="437"/>
      <c r="FF104" s="437"/>
      <c r="FG104" s="437"/>
      <c r="FH104" s="437"/>
      <c r="FI104" s="437"/>
      <c r="FJ104" s="437"/>
      <c r="FK104" s="437"/>
      <c r="FL104" s="437"/>
      <c r="FM104" s="437"/>
      <c r="FN104" s="359"/>
      <c r="FO104" s="359"/>
      <c r="FP104" s="359"/>
      <c r="FQ104" s="359"/>
      <c r="FR104" s="359"/>
      <c r="FS104" s="359"/>
      <c r="FT104" s="437"/>
      <c r="FU104" s="437"/>
      <c r="FV104" s="437"/>
      <c r="FW104" s="437"/>
      <c r="FX104" s="359"/>
      <c r="FY104" s="359"/>
      <c r="FZ104" s="359"/>
      <c r="GA104" s="359"/>
      <c r="GB104" s="359"/>
      <c r="GC104" s="359"/>
      <c r="GD104" s="437"/>
      <c r="GE104" s="437"/>
      <c r="GF104" s="437"/>
      <c r="GG104" s="437"/>
      <c r="GH104" s="359"/>
      <c r="GI104" s="359"/>
      <c r="GJ104" s="359"/>
      <c r="GK104" s="359"/>
      <c r="GL104" s="359"/>
      <c r="GM104" s="359"/>
      <c r="GN104" s="437"/>
      <c r="GO104" s="437"/>
      <c r="GP104" s="437"/>
      <c r="GQ104" s="437"/>
      <c r="GR104" s="437"/>
      <c r="GS104" s="437"/>
      <c r="GT104" s="437"/>
      <c r="GU104" s="437"/>
      <c r="GV104" s="437"/>
      <c r="GW104" s="437"/>
      <c r="GX104" s="359"/>
      <c r="GY104" s="359"/>
      <c r="GZ104" s="359"/>
      <c r="HA104" s="359"/>
      <c r="HB104" s="359"/>
      <c r="HC104" s="359"/>
      <c r="HD104" s="437"/>
      <c r="HE104" s="437"/>
      <c r="HF104" s="437"/>
      <c r="HG104" s="437"/>
      <c r="HH104" s="437"/>
      <c r="HI104" s="437"/>
      <c r="HJ104" s="437"/>
      <c r="HK104" s="437"/>
      <c r="HL104" s="437"/>
      <c r="HM104" s="437"/>
      <c r="HN104" s="437"/>
      <c r="HO104" s="437"/>
      <c r="HP104" s="437"/>
      <c r="HQ104" s="437"/>
      <c r="HR104" s="437"/>
      <c r="HS104" s="437"/>
      <c r="HT104" s="437"/>
      <c r="HU104" s="359"/>
      <c r="HV104" s="359"/>
      <c r="HW104" s="359"/>
      <c r="HX104" s="359"/>
      <c r="HY104" s="359"/>
      <c r="HZ104" s="359"/>
      <c r="IA104" s="437"/>
      <c r="IB104" s="437"/>
      <c r="IC104" s="437"/>
      <c r="ID104" s="437"/>
      <c r="IE104" s="359"/>
      <c r="IF104" s="359"/>
      <c r="IG104" s="359"/>
      <c r="IH104" s="359"/>
      <c r="II104" s="359"/>
      <c r="IJ104" s="359"/>
      <c r="IK104" s="437"/>
      <c r="IL104" s="437"/>
      <c r="IM104" s="437"/>
      <c r="IN104" s="437"/>
      <c r="IO104" s="359"/>
      <c r="IP104" s="359"/>
      <c r="IQ104" s="359"/>
      <c r="IR104" s="359"/>
      <c r="IS104" s="359"/>
      <c r="IT104" s="359"/>
      <c r="IU104" s="437"/>
      <c r="IV104" s="437"/>
      <c r="IW104" s="437"/>
      <c r="IX104" s="437"/>
      <c r="IY104" s="359"/>
      <c r="IZ104" s="359"/>
      <c r="JA104" s="359"/>
      <c r="JB104" s="359"/>
      <c r="JC104" s="359"/>
      <c r="JD104" s="359"/>
      <c r="JE104" s="437"/>
      <c r="JF104" s="437"/>
      <c r="JG104" s="437"/>
      <c r="JH104" s="437"/>
      <c r="JI104" s="437"/>
      <c r="JJ104" s="437"/>
      <c r="JK104" s="437"/>
      <c r="JL104" s="437"/>
      <c r="JM104" s="437"/>
      <c r="JN104" s="437"/>
      <c r="JO104" s="437"/>
      <c r="JP104" s="359"/>
      <c r="JQ104" s="359"/>
      <c r="JR104" s="359"/>
      <c r="JS104" s="359"/>
      <c r="JT104" s="359"/>
      <c r="JU104" s="359"/>
      <c r="JV104" s="437"/>
      <c r="JW104" s="437"/>
      <c r="JX104" s="437"/>
      <c r="JY104" s="437"/>
      <c r="JZ104" s="437"/>
      <c r="KA104" s="462"/>
      <c r="KB104" s="462"/>
      <c r="KC104" s="462"/>
      <c r="KD104" s="462"/>
      <c r="KE104" s="462"/>
      <c r="KF104" s="462"/>
      <c r="KG104" s="359"/>
      <c r="KH104" s="359"/>
      <c r="KI104" s="359"/>
      <c r="KJ104" s="461"/>
      <c r="KK104" s="359"/>
      <c r="KL104" s="359"/>
      <c r="KM104" s="359"/>
      <c r="KN104" s="359"/>
      <c r="KO104" s="359"/>
      <c r="KP104" s="359"/>
      <c r="KQ104" s="359"/>
    </row>
    <row r="105" spans="1:303" ht="15" x14ac:dyDescent="0.3">
      <c r="A105" s="359"/>
      <c r="B105" s="359"/>
      <c r="C105" s="458"/>
      <c r="D105" s="459"/>
      <c r="E105" s="359"/>
      <c r="F105" s="359"/>
      <c r="G105" s="359"/>
      <c r="H105" s="359"/>
      <c r="I105" s="359"/>
      <c r="J105" s="359"/>
      <c r="K105" s="437"/>
      <c r="L105" s="437"/>
      <c r="M105" s="460"/>
      <c r="N105" s="437"/>
      <c r="O105" s="359"/>
      <c r="P105" s="359"/>
      <c r="Q105" s="359"/>
      <c r="R105" s="359"/>
      <c r="S105" s="359"/>
      <c r="T105" s="359"/>
      <c r="U105" s="437"/>
      <c r="V105" s="437"/>
      <c r="W105" s="460"/>
      <c r="X105" s="437"/>
      <c r="Y105" s="359"/>
      <c r="Z105" s="359"/>
      <c r="AA105" s="359"/>
      <c r="AB105" s="359"/>
      <c r="AC105" s="359"/>
      <c r="AD105" s="359"/>
      <c r="AE105" s="437"/>
      <c r="AF105" s="437"/>
      <c r="AG105" s="437"/>
      <c r="AH105" s="437"/>
      <c r="AI105" s="359"/>
      <c r="AJ105" s="359"/>
      <c r="AK105" s="359"/>
      <c r="AL105" s="359"/>
      <c r="AM105" s="359"/>
      <c r="AN105" s="359"/>
      <c r="AO105" s="437"/>
      <c r="AP105" s="437"/>
      <c r="AQ105" s="460"/>
      <c r="AR105" s="437"/>
      <c r="AS105" s="437"/>
      <c r="AT105" s="437"/>
      <c r="AU105" s="437"/>
      <c r="AV105" s="437"/>
      <c r="AW105" s="359"/>
      <c r="AX105" s="359"/>
      <c r="AY105" s="461"/>
      <c r="AZ105" s="545"/>
      <c r="BA105" s="545"/>
      <c r="BB105" s="545"/>
      <c r="BC105" s="545"/>
      <c r="BD105" s="359"/>
      <c r="BE105" s="359"/>
      <c r="BF105" s="359"/>
      <c r="BG105" s="359"/>
      <c r="BH105" s="359"/>
      <c r="BI105" s="359"/>
      <c r="BJ105" s="437"/>
      <c r="BK105" s="437"/>
      <c r="BL105" s="437"/>
      <c r="BM105" s="437"/>
      <c r="BN105" s="359"/>
      <c r="BO105" s="359"/>
      <c r="BP105" s="359"/>
      <c r="BQ105" s="359"/>
      <c r="BR105" s="359"/>
      <c r="BS105" s="359"/>
      <c r="BT105" s="437"/>
      <c r="BU105" s="437"/>
      <c r="BV105" s="437"/>
      <c r="BW105" s="437"/>
      <c r="BX105" s="437"/>
      <c r="BY105" s="437"/>
      <c r="BZ105" s="437"/>
      <c r="CA105" s="437"/>
      <c r="CB105" s="437"/>
      <c r="CC105" s="359"/>
      <c r="CD105" s="359"/>
      <c r="CE105" s="359"/>
      <c r="CF105" s="359"/>
      <c r="CG105" s="359"/>
      <c r="CH105" s="359"/>
      <c r="CI105" s="437"/>
      <c r="CJ105" s="437"/>
      <c r="CK105" s="460"/>
      <c r="CL105" s="437"/>
      <c r="CM105" s="359"/>
      <c r="CN105" s="359"/>
      <c r="CO105" s="359"/>
      <c r="CP105" s="359"/>
      <c r="CQ105" s="359"/>
      <c r="CR105" s="359"/>
      <c r="CS105" s="437"/>
      <c r="CT105" s="437"/>
      <c r="CU105" s="437"/>
      <c r="CV105" s="437"/>
      <c r="CW105" s="437"/>
      <c r="CX105" s="437"/>
      <c r="CY105" s="437"/>
      <c r="CZ105" s="437"/>
      <c r="DA105" s="437"/>
      <c r="DB105" s="437"/>
      <c r="DC105" s="437"/>
      <c r="DD105" s="437"/>
      <c r="DE105" s="437"/>
      <c r="DF105" s="437"/>
      <c r="DG105" s="437"/>
      <c r="DH105" s="437"/>
      <c r="DI105" s="359"/>
      <c r="DJ105" s="359"/>
      <c r="DK105" s="359"/>
      <c r="DL105" s="359"/>
      <c r="DM105" s="359"/>
      <c r="DN105" s="359"/>
      <c r="DO105" s="437"/>
      <c r="DP105" s="437"/>
      <c r="DQ105" s="437"/>
      <c r="DR105" s="437"/>
      <c r="DS105" s="359"/>
      <c r="DT105" s="359"/>
      <c r="DU105" s="359"/>
      <c r="DV105" s="359"/>
      <c r="DW105" s="359"/>
      <c r="DX105" s="359"/>
      <c r="DY105" s="437"/>
      <c r="DZ105" s="437"/>
      <c r="EA105" s="437"/>
      <c r="EB105" s="437"/>
      <c r="EC105" s="359"/>
      <c r="ED105" s="359"/>
      <c r="EE105" s="359"/>
      <c r="EF105" s="359"/>
      <c r="EG105" s="359"/>
      <c r="EH105" s="359"/>
      <c r="EI105" s="437"/>
      <c r="EJ105" s="437"/>
      <c r="EK105" s="437"/>
      <c r="EL105" s="437"/>
      <c r="EM105" s="359"/>
      <c r="EN105" s="359"/>
      <c r="EO105" s="359"/>
      <c r="EP105" s="359"/>
      <c r="EQ105" s="359"/>
      <c r="ER105" s="359"/>
      <c r="ES105" s="437"/>
      <c r="ET105" s="437"/>
      <c r="EU105" s="437"/>
      <c r="EV105" s="437"/>
      <c r="EW105" s="437"/>
      <c r="EX105" s="437"/>
      <c r="EY105" s="437"/>
      <c r="EZ105" s="437"/>
      <c r="FA105" s="437"/>
      <c r="FB105" s="437"/>
      <c r="FC105" s="437"/>
      <c r="FD105" s="437"/>
      <c r="FE105" s="437"/>
      <c r="FF105" s="437"/>
      <c r="FG105" s="437"/>
      <c r="FH105" s="437"/>
      <c r="FI105" s="437"/>
      <c r="FJ105" s="437"/>
      <c r="FK105" s="437"/>
      <c r="FL105" s="437"/>
      <c r="FM105" s="437"/>
      <c r="FN105" s="359"/>
      <c r="FO105" s="359"/>
      <c r="FP105" s="359"/>
      <c r="FQ105" s="359"/>
      <c r="FR105" s="359"/>
      <c r="FS105" s="359"/>
      <c r="FT105" s="437"/>
      <c r="FU105" s="437"/>
      <c r="FV105" s="437"/>
      <c r="FW105" s="437"/>
      <c r="FX105" s="359"/>
      <c r="FY105" s="359"/>
      <c r="FZ105" s="359"/>
      <c r="GA105" s="359"/>
      <c r="GB105" s="359"/>
      <c r="GC105" s="359"/>
      <c r="GD105" s="437"/>
      <c r="GE105" s="437"/>
      <c r="GF105" s="437"/>
      <c r="GG105" s="437"/>
      <c r="GH105" s="359"/>
      <c r="GI105" s="359"/>
      <c r="GJ105" s="359"/>
      <c r="GK105" s="359"/>
      <c r="GL105" s="359"/>
      <c r="GM105" s="359"/>
      <c r="GN105" s="437"/>
      <c r="GO105" s="437"/>
      <c r="GP105" s="437"/>
      <c r="GQ105" s="437"/>
      <c r="GR105" s="437"/>
      <c r="GS105" s="437"/>
      <c r="GT105" s="437"/>
      <c r="GU105" s="437"/>
      <c r="GV105" s="437"/>
      <c r="GW105" s="437"/>
      <c r="GX105" s="359"/>
      <c r="GY105" s="359"/>
      <c r="GZ105" s="359"/>
      <c r="HA105" s="359"/>
      <c r="HB105" s="359"/>
      <c r="HC105" s="359"/>
      <c r="HD105" s="437"/>
      <c r="HE105" s="437"/>
      <c r="HF105" s="437"/>
      <c r="HG105" s="437"/>
      <c r="HH105" s="437"/>
      <c r="HI105" s="437"/>
      <c r="HJ105" s="437"/>
      <c r="HK105" s="437"/>
      <c r="HL105" s="437"/>
      <c r="HM105" s="437"/>
      <c r="HN105" s="437"/>
      <c r="HO105" s="437"/>
      <c r="HP105" s="437"/>
      <c r="HQ105" s="437"/>
      <c r="HR105" s="437"/>
      <c r="HS105" s="437"/>
      <c r="HT105" s="437"/>
      <c r="HU105" s="359"/>
      <c r="HV105" s="359"/>
      <c r="HW105" s="359"/>
      <c r="HX105" s="359"/>
      <c r="HY105" s="359"/>
      <c r="HZ105" s="359"/>
      <c r="IA105" s="437"/>
      <c r="IB105" s="437"/>
      <c r="IC105" s="437"/>
      <c r="ID105" s="437"/>
      <c r="IE105" s="359"/>
      <c r="IF105" s="359"/>
      <c r="IG105" s="359"/>
      <c r="IH105" s="359"/>
      <c r="II105" s="359"/>
      <c r="IJ105" s="359"/>
      <c r="IK105" s="437"/>
      <c r="IL105" s="437"/>
      <c r="IM105" s="437"/>
      <c r="IN105" s="437"/>
      <c r="IO105" s="359"/>
      <c r="IP105" s="359"/>
      <c r="IQ105" s="359"/>
      <c r="IR105" s="359"/>
      <c r="IS105" s="359"/>
      <c r="IT105" s="359"/>
      <c r="IU105" s="437"/>
      <c r="IV105" s="437"/>
      <c r="IW105" s="437"/>
      <c r="IX105" s="437"/>
      <c r="IY105" s="359"/>
      <c r="IZ105" s="359"/>
      <c r="JA105" s="359"/>
      <c r="JB105" s="359"/>
      <c r="JC105" s="359"/>
      <c r="JD105" s="359"/>
      <c r="JE105" s="437"/>
      <c r="JF105" s="437"/>
      <c r="JG105" s="437"/>
      <c r="JH105" s="437"/>
      <c r="JI105" s="437"/>
      <c r="JJ105" s="437"/>
      <c r="JK105" s="437"/>
      <c r="JL105" s="437"/>
      <c r="JM105" s="437"/>
      <c r="JN105" s="437"/>
      <c r="JO105" s="437"/>
      <c r="JP105" s="359"/>
      <c r="JQ105" s="359"/>
      <c r="JR105" s="359"/>
      <c r="JS105" s="359"/>
      <c r="JT105" s="359"/>
      <c r="JU105" s="359"/>
      <c r="JV105" s="437"/>
      <c r="JW105" s="437"/>
      <c r="JX105" s="437"/>
      <c r="JY105" s="437"/>
      <c r="JZ105" s="437"/>
      <c r="KA105" s="462"/>
      <c r="KB105" s="462"/>
      <c r="KC105" s="462"/>
      <c r="KD105" s="462"/>
      <c r="KE105" s="462"/>
      <c r="KF105" s="462"/>
      <c r="KG105" s="359"/>
      <c r="KH105" s="359"/>
      <c r="KI105" s="359"/>
      <c r="KJ105" s="461"/>
      <c r="KK105" s="359"/>
      <c r="KL105" s="359"/>
      <c r="KM105" s="359"/>
      <c r="KN105" s="359"/>
      <c r="KO105" s="359"/>
      <c r="KP105" s="359"/>
      <c r="KQ105" s="359"/>
    </row>
    <row r="106" spans="1:303" ht="15" x14ac:dyDescent="0.3">
      <c r="A106" s="359"/>
      <c r="B106" s="359"/>
      <c r="C106" s="458"/>
      <c r="D106" s="459"/>
      <c r="E106" s="359"/>
      <c r="F106" s="359"/>
      <c r="G106" s="359"/>
      <c r="H106" s="359"/>
      <c r="I106" s="359"/>
      <c r="J106" s="359"/>
      <c r="K106" s="437"/>
      <c r="L106" s="437"/>
      <c r="M106" s="460"/>
      <c r="N106" s="437"/>
      <c r="O106" s="359"/>
      <c r="P106" s="359"/>
      <c r="Q106" s="359"/>
      <c r="R106" s="359"/>
      <c r="S106" s="359"/>
      <c r="T106" s="359"/>
      <c r="U106" s="437"/>
      <c r="V106" s="437"/>
      <c r="W106" s="460"/>
      <c r="X106" s="437"/>
      <c r="Y106" s="359"/>
      <c r="Z106" s="359"/>
      <c r="AA106" s="359"/>
      <c r="AB106" s="359"/>
      <c r="AC106" s="359"/>
      <c r="AD106" s="359"/>
      <c r="AE106" s="437"/>
      <c r="AF106" s="437"/>
      <c r="AG106" s="437"/>
      <c r="AH106" s="437"/>
      <c r="AI106" s="359"/>
      <c r="AJ106" s="359"/>
      <c r="AK106" s="359"/>
      <c r="AL106" s="359"/>
      <c r="AM106" s="359"/>
      <c r="AN106" s="359"/>
      <c r="AO106" s="437"/>
      <c r="AP106" s="437"/>
      <c r="AQ106" s="460"/>
      <c r="AR106" s="437"/>
      <c r="AS106" s="437"/>
      <c r="AT106" s="437"/>
      <c r="AU106" s="437"/>
      <c r="AV106" s="437"/>
      <c r="AW106" s="359"/>
      <c r="AX106" s="359"/>
      <c r="AY106" s="461"/>
      <c r="AZ106" s="545"/>
      <c r="BA106" s="545"/>
      <c r="BB106" s="545"/>
      <c r="BC106" s="545"/>
      <c r="BD106" s="359"/>
      <c r="BE106" s="359"/>
      <c r="BF106" s="359"/>
      <c r="BG106" s="359"/>
      <c r="BH106" s="359"/>
      <c r="BI106" s="359"/>
      <c r="BJ106" s="437"/>
      <c r="BK106" s="437"/>
      <c r="BL106" s="437"/>
      <c r="BM106" s="437"/>
      <c r="BN106" s="359"/>
      <c r="BO106" s="359"/>
      <c r="BP106" s="359"/>
      <c r="BQ106" s="359"/>
      <c r="BR106" s="359"/>
      <c r="BS106" s="359"/>
      <c r="BT106" s="437"/>
      <c r="BU106" s="437"/>
      <c r="BV106" s="437"/>
      <c r="BW106" s="437"/>
      <c r="BX106" s="437"/>
      <c r="BY106" s="437"/>
      <c r="BZ106" s="437"/>
      <c r="CA106" s="437"/>
      <c r="CB106" s="437"/>
      <c r="CC106" s="359"/>
      <c r="CD106" s="359"/>
      <c r="CE106" s="359"/>
      <c r="CF106" s="359"/>
      <c r="CG106" s="359"/>
      <c r="CH106" s="359"/>
      <c r="CI106" s="437"/>
      <c r="CJ106" s="437"/>
      <c r="CK106" s="460"/>
      <c r="CL106" s="437"/>
      <c r="CM106" s="359"/>
      <c r="CN106" s="359"/>
      <c r="CO106" s="359"/>
      <c r="CP106" s="359"/>
      <c r="CQ106" s="359"/>
      <c r="CR106" s="359"/>
      <c r="CS106" s="437"/>
      <c r="CT106" s="437"/>
      <c r="CU106" s="437"/>
      <c r="CV106" s="437"/>
      <c r="CW106" s="437"/>
      <c r="CX106" s="437"/>
      <c r="CY106" s="437"/>
      <c r="CZ106" s="437"/>
      <c r="DA106" s="437"/>
      <c r="DB106" s="437"/>
      <c r="DC106" s="437"/>
      <c r="DD106" s="437"/>
      <c r="DE106" s="437"/>
      <c r="DF106" s="437"/>
      <c r="DG106" s="437"/>
      <c r="DH106" s="437"/>
      <c r="DI106" s="359"/>
      <c r="DJ106" s="359"/>
      <c r="DK106" s="359"/>
      <c r="DL106" s="359"/>
      <c r="DM106" s="359"/>
      <c r="DN106" s="359"/>
      <c r="DO106" s="437"/>
      <c r="DP106" s="437"/>
      <c r="DQ106" s="437"/>
      <c r="DR106" s="437"/>
      <c r="DS106" s="359"/>
      <c r="DT106" s="359"/>
      <c r="DU106" s="359"/>
      <c r="DV106" s="359"/>
      <c r="DW106" s="359"/>
      <c r="DX106" s="359"/>
      <c r="DY106" s="437"/>
      <c r="DZ106" s="437"/>
      <c r="EA106" s="437"/>
      <c r="EB106" s="437"/>
      <c r="EC106" s="359"/>
      <c r="ED106" s="359"/>
      <c r="EE106" s="359"/>
      <c r="EF106" s="359"/>
      <c r="EG106" s="359"/>
      <c r="EH106" s="359"/>
      <c r="EI106" s="437"/>
      <c r="EJ106" s="437"/>
      <c r="EK106" s="437"/>
      <c r="EL106" s="437"/>
      <c r="EM106" s="359"/>
      <c r="EN106" s="359"/>
      <c r="EO106" s="359"/>
      <c r="EP106" s="359"/>
      <c r="EQ106" s="359"/>
      <c r="ER106" s="359"/>
      <c r="ES106" s="437"/>
      <c r="ET106" s="437"/>
      <c r="EU106" s="437"/>
      <c r="EV106" s="437"/>
      <c r="EW106" s="437"/>
      <c r="EX106" s="437"/>
      <c r="EY106" s="437"/>
      <c r="EZ106" s="437"/>
      <c r="FA106" s="437"/>
      <c r="FB106" s="437"/>
      <c r="FC106" s="437"/>
      <c r="FD106" s="437"/>
      <c r="FE106" s="437"/>
      <c r="FF106" s="437"/>
      <c r="FG106" s="437"/>
      <c r="FH106" s="437"/>
      <c r="FI106" s="437"/>
      <c r="FJ106" s="437"/>
      <c r="FK106" s="437"/>
      <c r="FL106" s="437"/>
      <c r="FM106" s="437"/>
      <c r="FN106" s="359"/>
      <c r="FO106" s="359"/>
      <c r="FP106" s="359"/>
      <c r="FQ106" s="359"/>
      <c r="FR106" s="359"/>
      <c r="FS106" s="359"/>
      <c r="FT106" s="437"/>
      <c r="FU106" s="437"/>
      <c r="FV106" s="437"/>
      <c r="FW106" s="437"/>
      <c r="FX106" s="359"/>
      <c r="FY106" s="359"/>
      <c r="FZ106" s="359"/>
      <c r="GA106" s="359"/>
      <c r="GB106" s="359"/>
      <c r="GC106" s="359"/>
      <c r="GD106" s="437"/>
      <c r="GE106" s="437"/>
      <c r="GF106" s="437"/>
      <c r="GG106" s="437"/>
      <c r="GH106" s="359"/>
      <c r="GI106" s="359"/>
      <c r="GJ106" s="359"/>
      <c r="GK106" s="359"/>
      <c r="GL106" s="359"/>
      <c r="GM106" s="359"/>
      <c r="GN106" s="437"/>
      <c r="GO106" s="437"/>
      <c r="GP106" s="437"/>
      <c r="GQ106" s="437"/>
      <c r="GR106" s="437"/>
      <c r="GS106" s="437"/>
      <c r="GT106" s="437"/>
      <c r="GU106" s="437"/>
      <c r="GV106" s="437"/>
      <c r="GW106" s="437"/>
      <c r="GX106" s="359"/>
      <c r="GY106" s="359"/>
      <c r="GZ106" s="359"/>
      <c r="HA106" s="359"/>
      <c r="HB106" s="359"/>
      <c r="HC106" s="359"/>
      <c r="HD106" s="437"/>
      <c r="HE106" s="437"/>
      <c r="HF106" s="437"/>
      <c r="HG106" s="437"/>
      <c r="HH106" s="437"/>
      <c r="HI106" s="437"/>
      <c r="HJ106" s="437"/>
      <c r="HK106" s="437"/>
      <c r="HL106" s="437"/>
      <c r="HM106" s="437"/>
      <c r="HN106" s="437"/>
      <c r="HO106" s="437"/>
      <c r="HP106" s="437"/>
      <c r="HQ106" s="437"/>
      <c r="HR106" s="437"/>
      <c r="HS106" s="437"/>
      <c r="HT106" s="437"/>
      <c r="HU106" s="359"/>
      <c r="HV106" s="359"/>
      <c r="HW106" s="359"/>
      <c r="HX106" s="359"/>
      <c r="HY106" s="359"/>
      <c r="HZ106" s="359"/>
      <c r="IA106" s="437"/>
      <c r="IB106" s="437"/>
      <c r="IC106" s="437"/>
      <c r="ID106" s="437"/>
      <c r="IE106" s="359"/>
      <c r="IF106" s="359"/>
      <c r="IG106" s="359"/>
      <c r="IH106" s="359"/>
      <c r="II106" s="359"/>
      <c r="IJ106" s="359"/>
      <c r="IK106" s="437"/>
      <c r="IL106" s="437"/>
      <c r="IM106" s="437"/>
      <c r="IN106" s="437"/>
      <c r="IO106" s="359"/>
      <c r="IP106" s="359"/>
      <c r="IQ106" s="359"/>
      <c r="IR106" s="359"/>
      <c r="IS106" s="359"/>
      <c r="IT106" s="359"/>
      <c r="IU106" s="437"/>
      <c r="IV106" s="437"/>
      <c r="IW106" s="437"/>
      <c r="IX106" s="437"/>
      <c r="IY106" s="359"/>
      <c r="IZ106" s="359"/>
      <c r="JA106" s="359"/>
      <c r="JB106" s="359"/>
      <c r="JC106" s="359"/>
      <c r="JD106" s="359"/>
      <c r="JE106" s="437"/>
      <c r="JF106" s="437"/>
      <c r="JG106" s="437"/>
      <c r="JH106" s="437"/>
      <c r="JI106" s="437"/>
      <c r="JJ106" s="437"/>
      <c r="JK106" s="437"/>
      <c r="JL106" s="437"/>
      <c r="JM106" s="437"/>
      <c r="JN106" s="437"/>
      <c r="JO106" s="437"/>
      <c r="JP106" s="359"/>
      <c r="JQ106" s="359"/>
      <c r="JR106" s="359"/>
      <c r="JS106" s="359"/>
      <c r="JT106" s="359"/>
      <c r="JU106" s="359"/>
      <c r="JV106" s="437"/>
      <c r="JW106" s="437"/>
      <c r="JX106" s="437"/>
      <c r="JY106" s="437"/>
      <c r="JZ106" s="437"/>
      <c r="KA106" s="462"/>
      <c r="KB106" s="462"/>
      <c r="KC106" s="462"/>
      <c r="KD106" s="462"/>
      <c r="KE106" s="462"/>
      <c r="KF106" s="462"/>
      <c r="KG106" s="359"/>
      <c r="KH106" s="359"/>
      <c r="KI106" s="359"/>
      <c r="KJ106" s="461"/>
      <c r="KK106" s="359"/>
      <c r="KL106" s="359"/>
      <c r="KM106" s="359"/>
      <c r="KN106" s="359"/>
      <c r="KO106" s="359"/>
      <c r="KP106" s="359"/>
      <c r="KQ106" s="359"/>
    </row>
    <row r="107" spans="1:303" ht="15" x14ac:dyDescent="0.3">
      <c r="A107" s="359"/>
      <c r="B107" s="359"/>
      <c r="C107" s="458"/>
      <c r="D107" s="459"/>
      <c r="E107" s="359"/>
      <c r="F107" s="359"/>
      <c r="G107" s="359"/>
      <c r="H107" s="359"/>
      <c r="I107" s="359"/>
      <c r="J107" s="359"/>
      <c r="K107" s="437"/>
      <c r="L107" s="437"/>
      <c r="M107" s="460"/>
      <c r="N107" s="437"/>
      <c r="O107" s="359"/>
      <c r="P107" s="359"/>
      <c r="Q107" s="359"/>
      <c r="R107" s="359"/>
      <c r="S107" s="359"/>
      <c r="T107" s="359"/>
      <c r="U107" s="437"/>
      <c r="V107" s="437"/>
      <c r="W107" s="460"/>
      <c r="X107" s="437"/>
      <c r="Y107" s="359"/>
      <c r="Z107" s="359"/>
      <c r="AA107" s="359"/>
      <c r="AB107" s="359"/>
      <c r="AC107" s="359"/>
      <c r="AD107" s="359"/>
      <c r="AE107" s="437"/>
      <c r="AF107" s="437"/>
      <c r="AG107" s="437"/>
      <c r="AH107" s="437"/>
      <c r="AI107" s="359"/>
      <c r="AJ107" s="359"/>
      <c r="AK107" s="359"/>
      <c r="AL107" s="359"/>
      <c r="AM107" s="359"/>
      <c r="AN107" s="359"/>
      <c r="AO107" s="437"/>
      <c r="AP107" s="437"/>
      <c r="AQ107" s="460"/>
      <c r="AR107" s="437"/>
      <c r="AS107" s="437"/>
      <c r="AT107" s="437"/>
      <c r="AU107" s="437"/>
      <c r="AV107" s="437"/>
      <c r="AW107" s="359"/>
      <c r="AX107" s="359"/>
      <c r="AY107" s="461"/>
      <c r="AZ107" s="545"/>
      <c r="BA107" s="545"/>
      <c r="BB107" s="545"/>
      <c r="BC107" s="545"/>
      <c r="BD107" s="359"/>
      <c r="BE107" s="359"/>
      <c r="BF107" s="359"/>
      <c r="BG107" s="359"/>
      <c r="BH107" s="359"/>
      <c r="BI107" s="359"/>
      <c r="BJ107" s="437"/>
      <c r="BK107" s="437"/>
      <c r="BL107" s="437"/>
      <c r="BM107" s="437"/>
      <c r="BN107" s="359"/>
      <c r="BO107" s="359"/>
      <c r="BP107" s="359"/>
      <c r="BQ107" s="359"/>
      <c r="BR107" s="359"/>
      <c r="BS107" s="359"/>
      <c r="BT107" s="437"/>
      <c r="BU107" s="437"/>
      <c r="BV107" s="437"/>
      <c r="BW107" s="437"/>
      <c r="BX107" s="437"/>
      <c r="BY107" s="437"/>
      <c r="BZ107" s="437"/>
      <c r="CA107" s="437"/>
      <c r="CB107" s="437"/>
      <c r="CC107" s="359"/>
      <c r="CD107" s="359"/>
      <c r="CE107" s="359"/>
      <c r="CF107" s="359"/>
      <c r="CG107" s="359"/>
      <c r="CH107" s="359"/>
      <c r="CI107" s="437"/>
      <c r="CJ107" s="437"/>
      <c r="CK107" s="460"/>
      <c r="CL107" s="437"/>
      <c r="CM107" s="359"/>
      <c r="CN107" s="359"/>
      <c r="CO107" s="359"/>
      <c r="CP107" s="359"/>
      <c r="CQ107" s="359"/>
      <c r="CR107" s="359"/>
      <c r="CS107" s="437"/>
      <c r="CT107" s="437"/>
      <c r="CU107" s="437"/>
      <c r="CV107" s="437"/>
      <c r="CW107" s="437"/>
      <c r="CX107" s="437"/>
      <c r="CY107" s="437"/>
      <c r="CZ107" s="437"/>
      <c r="DA107" s="437"/>
      <c r="DB107" s="437"/>
      <c r="DC107" s="437"/>
      <c r="DD107" s="437"/>
      <c r="DE107" s="437"/>
      <c r="DF107" s="437"/>
      <c r="DG107" s="437"/>
      <c r="DH107" s="437"/>
      <c r="DI107" s="359"/>
      <c r="DJ107" s="359"/>
      <c r="DK107" s="359"/>
      <c r="DL107" s="359"/>
      <c r="DM107" s="359"/>
      <c r="DN107" s="359"/>
      <c r="DO107" s="437"/>
      <c r="DP107" s="437"/>
      <c r="DQ107" s="437"/>
      <c r="DR107" s="437"/>
      <c r="DS107" s="359"/>
      <c r="DT107" s="359"/>
      <c r="DU107" s="359"/>
      <c r="DV107" s="359"/>
      <c r="DW107" s="359"/>
      <c r="DX107" s="359"/>
      <c r="DY107" s="437"/>
      <c r="DZ107" s="437"/>
      <c r="EA107" s="437"/>
      <c r="EB107" s="437"/>
      <c r="EC107" s="359"/>
      <c r="ED107" s="359"/>
      <c r="EE107" s="359"/>
      <c r="EF107" s="359"/>
      <c r="EG107" s="359"/>
      <c r="EH107" s="359"/>
      <c r="EI107" s="437"/>
      <c r="EJ107" s="437"/>
      <c r="EK107" s="437"/>
      <c r="EL107" s="437"/>
      <c r="EM107" s="359"/>
      <c r="EN107" s="359"/>
      <c r="EO107" s="359"/>
      <c r="EP107" s="359"/>
      <c r="EQ107" s="359"/>
      <c r="ER107" s="359"/>
      <c r="ES107" s="437"/>
      <c r="ET107" s="437"/>
      <c r="EU107" s="437"/>
      <c r="EV107" s="437"/>
      <c r="EW107" s="437"/>
      <c r="EX107" s="437"/>
      <c r="EY107" s="437"/>
      <c r="EZ107" s="437"/>
      <c r="FA107" s="437"/>
      <c r="FB107" s="437"/>
      <c r="FC107" s="437"/>
      <c r="FD107" s="437"/>
      <c r="FE107" s="437"/>
      <c r="FF107" s="437"/>
      <c r="FG107" s="437"/>
      <c r="FH107" s="437"/>
      <c r="FI107" s="437"/>
      <c r="FJ107" s="437"/>
      <c r="FK107" s="437"/>
      <c r="FL107" s="437"/>
      <c r="FM107" s="437"/>
      <c r="FN107" s="359"/>
      <c r="FO107" s="359"/>
      <c r="FP107" s="359"/>
      <c r="FQ107" s="359"/>
      <c r="FR107" s="359"/>
      <c r="FS107" s="359"/>
      <c r="FT107" s="437"/>
      <c r="FU107" s="437"/>
      <c r="FV107" s="437"/>
      <c r="FW107" s="437"/>
      <c r="FX107" s="359"/>
      <c r="FY107" s="359"/>
      <c r="FZ107" s="359"/>
      <c r="GA107" s="359"/>
      <c r="GB107" s="359"/>
      <c r="GC107" s="359"/>
      <c r="GD107" s="437"/>
      <c r="GE107" s="437"/>
      <c r="GF107" s="437"/>
      <c r="GG107" s="437"/>
      <c r="GH107" s="359"/>
      <c r="GI107" s="359"/>
      <c r="GJ107" s="359"/>
      <c r="GK107" s="359"/>
      <c r="GL107" s="359"/>
      <c r="GM107" s="359"/>
      <c r="GN107" s="437"/>
      <c r="GO107" s="437"/>
      <c r="GP107" s="437"/>
      <c r="GQ107" s="437"/>
      <c r="GR107" s="437"/>
      <c r="GS107" s="437"/>
      <c r="GT107" s="437"/>
      <c r="GU107" s="437"/>
      <c r="GV107" s="437"/>
      <c r="GW107" s="437"/>
      <c r="GX107" s="359"/>
      <c r="GY107" s="359"/>
      <c r="GZ107" s="359"/>
      <c r="HA107" s="359"/>
      <c r="HB107" s="359"/>
      <c r="HC107" s="359"/>
      <c r="HD107" s="437"/>
      <c r="HE107" s="437"/>
      <c r="HF107" s="437"/>
      <c r="HG107" s="437"/>
      <c r="HH107" s="437"/>
      <c r="HI107" s="437"/>
      <c r="HJ107" s="437"/>
      <c r="HK107" s="437"/>
      <c r="HL107" s="437"/>
      <c r="HM107" s="437"/>
      <c r="HN107" s="437"/>
      <c r="HO107" s="437"/>
      <c r="HP107" s="437"/>
      <c r="HQ107" s="437"/>
      <c r="HR107" s="437"/>
      <c r="HS107" s="437"/>
      <c r="HT107" s="437"/>
      <c r="HU107" s="359"/>
      <c r="HV107" s="359"/>
      <c r="HW107" s="359"/>
      <c r="HX107" s="359"/>
      <c r="HY107" s="359"/>
      <c r="HZ107" s="359"/>
      <c r="IA107" s="437"/>
      <c r="IB107" s="437"/>
      <c r="IC107" s="437"/>
      <c r="ID107" s="437"/>
      <c r="IE107" s="359"/>
      <c r="IF107" s="359"/>
      <c r="IG107" s="359"/>
      <c r="IH107" s="359"/>
      <c r="II107" s="359"/>
      <c r="IJ107" s="359"/>
      <c r="IK107" s="437"/>
      <c r="IL107" s="437"/>
      <c r="IM107" s="437"/>
      <c r="IN107" s="437"/>
      <c r="IO107" s="359"/>
      <c r="IP107" s="359"/>
      <c r="IQ107" s="359"/>
      <c r="IR107" s="359"/>
      <c r="IS107" s="359"/>
      <c r="IT107" s="359"/>
      <c r="IU107" s="437"/>
      <c r="IV107" s="437"/>
      <c r="IW107" s="437"/>
      <c r="IX107" s="437"/>
      <c r="IY107" s="359"/>
      <c r="IZ107" s="359"/>
      <c r="JA107" s="359"/>
      <c r="JB107" s="359"/>
      <c r="JC107" s="359"/>
      <c r="JD107" s="359"/>
      <c r="JE107" s="437"/>
      <c r="JF107" s="437"/>
      <c r="JG107" s="437"/>
      <c r="JH107" s="437"/>
      <c r="JI107" s="437"/>
      <c r="JJ107" s="437"/>
      <c r="JK107" s="437"/>
      <c r="JL107" s="437"/>
      <c r="JM107" s="437"/>
      <c r="JN107" s="437"/>
      <c r="JO107" s="437"/>
      <c r="JP107" s="359"/>
      <c r="JQ107" s="359"/>
      <c r="JR107" s="359"/>
      <c r="JS107" s="359"/>
      <c r="JT107" s="359"/>
      <c r="JU107" s="359"/>
      <c r="JV107" s="437"/>
      <c r="JW107" s="437"/>
      <c r="JX107" s="437"/>
      <c r="JY107" s="437"/>
      <c r="JZ107" s="437"/>
      <c r="KA107" s="462"/>
      <c r="KB107" s="462"/>
      <c r="KC107" s="462"/>
      <c r="KD107" s="462"/>
      <c r="KE107" s="462"/>
      <c r="KF107" s="462"/>
      <c r="KG107" s="359"/>
      <c r="KH107" s="359"/>
      <c r="KI107" s="359"/>
      <c r="KJ107" s="461"/>
      <c r="KK107" s="359"/>
      <c r="KL107" s="359"/>
      <c r="KM107" s="359"/>
      <c r="KN107" s="359"/>
      <c r="KO107" s="359"/>
      <c r="KP107" s="359"/>
      <c r="KQ107" s="359"/>
    </row>
    <row r="108" spans="1:303" ht="15" x14ac:dyDescent="0.3">
      <c r="A108" s="359"/>
      <c r="B108" s="359"/>
      <c r="C108" s="458"/>
      <c r="D108" s="459"/>
      <c r="E108" s="359"/>
      <c r="F108" s="359"/>
      <c r="G108" s="359"/>
      <c r="H108" s="359"/>
      <c r="I108" s="359"/>
      <c r="J108" s="359"/>
      <c r="K108" s="437"/>
      <c r="L108" s="437"/>
      <c r="M108" s="460"/>
      <c r="N108" s="437"/>
      <c r="O108" s="359"/>
      <c r="P108" s="359"/>
      <c r="Q108" s="359"/>
      <c r="R108" s="359"/>
      <c r="S108" s="359"/>
      <c r="T108" s="359"/>
      <c r="U108" s="437"/>
      <c r="V108" s="437"/>
      <c r="W108" s="460"/>
      <c r="X108" s="437"/>
      <c r="Y108" s="359"/>
      <c r="Z108" s="359"/>
      <c r="AA108" s="359"/>
      <c r="AB108" s="359"/>
      <c r="AC108" s="359"/>
      <c r="AD108" s="359"/>
      <c r="AE108" s="437"/>
      <c r="AF108" s="437"/>
      <c r="AG108" s="437"/>
      <c r="AH108" s="437"/>
      <c r="AI108" s="359"/>
      <c r="AJ108" s="359"/>
      <c r="AK108" s="359"/>
      <c r="AL108" s="359"/>
      <c r="AM108" s="359"/>
      <c r="AN108" s="359"/>
      <c r="AO108" s="437"/>
      <c r="AP108" s="437"/>
      <c r="AQ108" s="460"/>
      <c r="AR108" s="437"/>
      <c r="AS108" s="437"/>
      <c r="AT108" s="437"/>
      <c r="AU108" s="437"/>
      <c r="AV108" s="437"/>
      <c r="AW108" s="359"/>
      <c r="AX108" s="359"/>
      <c r="AY108" s="461"/>
      <c r="AZ108" s="545"/>
      <c r="BA108" s="545"/>
      <c r="BB108" s="545"/>
      <c r="BC108" s="545"/>
      <c r="BD108" s="359"/>
      <c r="BE108" s="359"/>
      <c r="BF108" s="359"/>
      <c r="BG108" s="359"/>
      <c r="BH108" s="359"/>
      <c r="BI108" s="359"/>
      <c r="BJ108" s="437"/>
      <c r="BK108" s="437"/>
      <c r="BL108" s="437"/>
      <c r="BM108" s="437"/>
      <c r="BN108" s="359"/>
      <c r="BO108" s="359"/>
      <c r="BP108" s="359"/>
      <c r="BQ108" s="359"/>
      <c r="BR108" s="359"/>
      <c r="BS108" s="359"/>
      <c r="BT108" s="437"/>
      <c r="BU108" s="437"/>
      <c r="BV108" s="437"/>
      <c r="BW108" s="437"/>
      <c r="BX108" s="437"/>
      <c r="BY108" s="437"/>
      <c r="BZ108" s="437"/>
      <c r="CA108" s="437"/>
      <c r="CB108" s="437"/>
      <c r="CC108" s="359"/>
      <c r="CD108" s="359"/>
      <c r="CE108" s="359"/>
      <c r="CF108" s="359"/>
      <c r="CG108" s="359"/>
      <c r="CH108" s="359"/>
      <c r="CI108" s="437"/>
      <c r="CJ108" s="437"/>
      <c r="CK108" s="460"/>
      <c r="CL108" s="437"/>
      <c r="CM108" s="359"/>
      <c r="CN108" s="359"/>
      <c r="CO108" s="359"/>
      <c r="CP108" s="359"/>
      <c r="CQ108" s="359"/>
      <c r="CR108" s="359"/>
      <c r="CS108" s="437"/>
      <c r="CT108" s="437"/>
      <c r="CU108" s="437"/>
      <c r="CV108" s="437"/>
      <c r="CW108" s="437"/>
      <c r="CX108" s="437"/>
      <c r="CY108" s="437"/>
      <c r="CZ108" s="437"/>
      <c r="DA108" s="437"/>
      <c r="DB108" s="437"/>
      <c r="DC108" s="437"/>
      <c r="DD108" s="437"/>
      <c r="DE108" s="437"/>
      <c r="DF108" s="437"/>
      <c r="DG108" s="437"/>
      <c r="DH108" s="437"/>
      <c r="DI108" s="359"/>
      <c r="DJ108" s="359"/>
      <c r="DK108" s="359"/>
      <c r="DL108" s="359"/>
      <c r="DM108" s="359"/>
      <c r="DN108" s="359"/>
      <c r="DO108" s="437"/>
      <c r="DP108" s="437"/>
      <c r="DQ108" s="437"/>
      <c r="DR108" s="437"/>
      <c r="DS108" s="359"/>
      <c r="DT108" s="359"/>
      <c r="DU108" s="359"/>
      <c r="DV108" s="359"/>
      <c r="DW108" s="359"/>
      <c r="DX108" s="359"/>
      <c r="DY108" s="437"/>
      <c r="DZ108" s="437"/>
      <c r="EA108" s="437"/>
      <c r="EB108" s="437"/>
      <c r="EC108" s="359"/>
      <c r="ED108" s="359"/>
      <c r="EE108" s="359"/>
      <c r="EF108" s="359"/>
      <c r="EG108" s="359"/>
      <c r="EH108" s="359"/>
      <c r="EI108" s="437"/>
      <c r="EJ108" s="437"/>
      <c r="EK108" s="437"/>
      <c r="EL108" s="437"/>
      <c r="EM108" s="359"/>
      <c r="EN108" s="359"/>
      <c r="EO108" s="359"/>
      <c r="EP108" s="359"/>
      <c r="EQ108" s="359"/>
      <c r="ER108" s="359"/>
      <c r="ES108" s="437"/>
      <c r="ET108" s="437"/>
      <c r="EU108" s="437"/>
      <c r="EV108" s="437"/>
      <c r="EW108" s="437"/>
      <c r="EX108" s="437"/>
      <c r="EY108" s="437"/>
      <c r="EZ108" s="437"/>
      <c r="FA108" s="437"/>
      <c r="FB108" s="437"/>
      <c r="FC108" s="437"/>
      <c r="FD108" s="437"/>
      <c r="FE108" s="437"/>
      <c r="FF108" s="437"/>
      <c r="FG108" s="437"/>
      <c r="FH108" s="437"/>
      <c r="FI108" s="437"/>
      <c r="FJ108" s="437"/>
      <c r="FK108" s="437"/>
      <c r="FL108" s="437"/>
      <c r="FM108" s="437"/>
      <c r="FN108" s="359"/>
      <c r="FO108" s="359"/>
      <c r="FP108" s="359"/>
      <c r="FQ108" s="359"/>
      <c r="FR108" s="359"/>
      <c r="FS108" s="359"/>
      <c r="FT108" s="437"/>
      <c r="FU108" s="437"/>
      <c r="FV108" s="437"/>
      <c r="FW108" s="437"/>
      <c r="FX108" s="359"/>
      <c r="FY108" s="359"/>
      <c r="FZ108" s="359"/>
      <c r="GA108" s="359"/>
      <c r="GB108" s="359"/>
      <c r="GC108" s="359"/>
      <c r="GD108" s="437"/>
      <c r="GE108" s="437"/>
      <c r="GF108" s="437"/>
      <c r="GG108" s="437"/>
      <c r="GH108" s="359"/>
      <c r="GI108" s="359"/>
      <c r="GJ108" s="359"/>
      <c r="GK108" s="359"/>
      <c r="GL108" s="359"/>
      <c r="GM108" s="359"/>
      <c r="GN108" s="437"/>
      <c r="GO108" s="437"/>
      <c r="GP108" s="437"/>
      <c r="GQ108" s="437"/>
      <c r="GR108" s="437"/>
      <c r="GS108" s="437"/>
      <c r="GT108" s="437"/>
      <c r="GU108" s="437"/>
      <c r="GV108" s="437"/>
      <c r="GW108" s="437"/>
      <c r="GX108" s="359"/>
      <c r="GY108" s="359"/>
      <c r="GZ108" s="359"/>
      <c r="HA108" s="359"/>
      <c r="HB108" s="359"/>
      <c r="HC108" s="359"/>
      <c r="HD108" s="437"/>
      <c r="HE108" s="437"/>
      <c r="HF108" s="437"/>
      <c r="HG108" s="437"/>
      <c r="HH108" s="437"/>
      <c r="HI108" s="437"/>
      <c r="HJ108" s="437"/>
      <c r="HK108" s="437"/>
      <c r="HL108" s="437"/>
      <c r="HM108" s="437"/>
      <c r="HN108" s="437"/>
      <c r="HO108" s="437"/>
      <c r="HP108" s="437"/>
      <c r="HQ108" s="437"/>
      <c r="HR108" s="437"/>
      <c r="HS108" s="437"/>
      <c r="HT108" s="437"/>
      <c r="HU108" s="359"/>
      <c r="HV108" s="359"/>
      <c r="HW108" s="359"/>
      <c r="HX108" s="359"/>
      <c r="HY108" s="359"/>
      <c r="HZ108" s="359"/>
      <c r="IA108" s="437"/>
      <c r="IB108" s="437"/>
      <c r="IC108" s="437"/>
      <c r="ID108" s="437"/>
      <c r="IE108" s="359"/>
      <c r="IF108" s="359"/>
      <c r="IG108" s="359"/>
      <c r="IH108" s="359"/>
      <c r="II108" s="359"/>
      <c r="IJ108" s="359"/>
      <c r="IK108" s="437"/>
      <c r="IL108" s="437"/>
      <c r="IM108" s="437"/>
      <c r="IN108" s="437"/>
      <c r="IO108" s="359"/>
      <c r="IP108" s="359"/>
      <c r="IQ108" s="359"/>
      <c r="IR108" s="359"/>
      <c r="IS108" s="359"/>
      <c r="IT108" s="359"/>
      <c r="IU108" s="437"/>
      <c r="IV108" s="437"/>
      <c r="IW108" s="437"/>
      <c r="IX108" s="437"/>
      <c r="IY108" s="359"/>
      <c r="IZ108" s="359"/>
      <c r="JA108" s="359"/>
      <c r="JB108" s="359"/>
      <c r="JC108" s="359"/>
      <c r="JD108" s="359"/>
      <c r="JE108" s="437"/>
      <c r="JF108" s="437"/>
      <c r="JG108" s="437"/>
      <c r="JH108" s="437"/>
      <c r="JI108" s="437"/>
      <c r="JJ108" s="437"/>
      <c r="JK108" s="437"/>
      <c r="JL108" s="437"/>
      <c r="JM108" s="437"/>
      <c r="JN108" s="437"/>
      <c r="JO108" s="437"/>
      <c r="JP108" s="359"/>
      <c r="JQ108" s="359"/>
      <c r="JR108" s="359"/>
      <c r="JS108" s="359"/>
      <c r="JT108" s="359"/>
      <c r="JU108" s="359"/>
      <c r="JV108" s="437"/>
      <c r="JW108" s="437"/>
      <c r="JX108" s="437"/>
      <c r="JY108" s="437"/>
      <c r="JZ108" s="437"/>
      <c r="KA108" s="462"/>
      <c r="KB108" s="462"/>
      <c r="KC108" s="462"/>
      <c r="KD108" s="462"/>
      <c r="KE108" s="462"/>
      <c r="KF108" s="462"/>
      <c r="KG108" s="359"/>
      <c r="KH108" s="359"/>
      <c r="KI108" s="359"/>
      <c r="KJ108" s="461"/>
      <c r="KK108" s="359"/>
      <c r="KL108" s="359"/>
      <c r="KM108" s="359"/>
      <c r="KN108" s="359"/>
      <c r="KO108" s="359"/>
      <c r="KP108" s="359"/>
      <c r="KQ108" s="359"/>
    </row>
    <row r="109" spans="1:303" ht="15" x14ac:dyDescent="0.3">
      <c r="A109" s="359"/>
      <c r="B109" s="359"/>
      <c r="C109" s="458"/>
      <c r="D109" s="459"/>
      <c r="E109" s="359"/>
      <c r="F109" s="359"/>
      <c r="G109" s="359"/>
      <c r="H109" s="359"/>
      <c r="I109" s="359"/>
      <c r="J109" s="359"/>
      <c r="K109" s="437"/>
      <c r="L109" s="437"/>
      <c r="M109" s="460"/>
      <c r="N109" s="437"/>
      <c r="O109" s="359"/>
      <c r="P109" s="359"/>
      <c r="Q109" s="359"/>
      <c r="R109" s="359"/>
      <c r="S109" s="359"/>
      <c r="T109" s="359"/>
      <c r="U109" s="437"/>
      <c r="V109" s="437"/>
      <c r="W109" s="460"/>
      <c r="X109" s="437"/>
      <c r="Y109" s="359"/>
      <c r="Z109" s="359"/>
      <c r="AA109" s="359"/>
      <c r="AB109" s="359"/>
      <c r="AC109" s="359"/>
      <c r="AD109" s="359"/>
      <c r="AE109" s="437"/>
      <c r="AF109" s="437"/>
      <c r="AG109" s="437"/>
      <c r="AH109" s="437"/>
      <c r="AI109" s="359"/>
      <c r="AJ109" s="359"/>
      <c r="AK109" s="359"/>
      <c r="AL109" s="359"/>
      <c r="AM109" s="359"/>
      <c r="AN109" s="359"/>
      <c r="AO109" s="437"/>
      <c r="AP109" s="437"/>
      <c r="AQ109" s="460"/>
      <c r="AR109" s="437"/>
      <c r="AS109" s="437"/>
      <c r="AT109" s="437"/>
      <c r="AU109" s="437"/>
      <c r="AV109" s="437"/>
      <c r="AW109" s="359"/>
      <c r="AX109" s="359"/>
      <c r="AY109" s="461"/>
      <c r="AZ109" s="545"/>
      <c r="BA109" s="545"/>
      <c r="BB109" s="545"/>
      <c r="BC109" s="545"/>
      <c r="BD109" s="359"/>
      <c r="BE109" s="359"/>
      <c r="BF109" s="359"/>
      <c r="BG109" s="359"/>
      <c r="BH109" s="359"/>
      <c r="BI109" s="359"/>
      <c r="BJ109" s="437"/>
      <c r="BK109" s="437"/>
      <c r="BL109" s="437"/>
      <c r="BM109" s="437"/>
      <c r="BN109" s="359"/>
      <c r="BO109" s="359"/>
      <c r="BP109" s="359"/>
      <c r="BQ109" s="359"/>
      <c r="BR109" s="359"/>
      <c r="BS109" s="359"/>
      <c r="BT109" s="437"/>
      <c r="BU109" s="437"/>
      <c r="BV109" s="437"/>
      <c r="BW109" s="437"/>
      <c r="BX109" s="437"/>
      <c r="BY109" s="437"/>
      <c r="BZ109" s="437"/>
      <c r="CA109" s="437"/>
      <c r="CB109" s="437"/>
      <c r="CC109" s="359"/>
      <c r="CD109" s="359"/>
      <c r="CE109" s="359"/>
      <c r="CF109" s="359"/>
      <c r="CG109" s="359"/>
      <c r="CH109" s="359"/>
      <c r="CI109" s="437"/>
      <c r="CJ109" s="437"/>
      <c r="CK109" s="460"/>
      <c r="CL109" s="437"/>
      <c r="CM109" s="359"/>
      <c r="CN109" s="359"/>
      <c r="CO109" s="359"/>
      <c r="CP109" s="359"/>
      <c r="CQ109" s="359"/>
      <c r="CR109" s="359"/>
      <c r="CS109" s="437"/>
      <c r="CT109" s="437"/>
      <c r="CU109" s="437"/>
      <c r="CV109" s="437"/>
      <c r="CW109" s="437"/>
      <c r="CX109" s="437"/>
      <c r="CY109" s="437"/>
      <c r="CZ109" s="437"/>
      <c r="DA109" s="437"/>
      <c r="DB109" s="437"/>
      <c r="DC109" s="437"/>
      <c r="DD109" s="437"/>
      <c r="DE109" s="437"/>
      <c r="DF109" s="437"/>
      <c r="DG109" s="437"/>
      <c r="DH109" s="437"/>
      <c r="DI109" s="359"/>
      <c r="DJ109" s="359"/>
      <c r="DK109" s="359"/>
      <c r="DL109" s="359"/>
      <c r="DM109" s="359"/>
      <c r="DN109" s="359"/>
      <c r="DO109" s="437"/>
      <c r="DP109" s="437"/>
      <c r="DQ109" s="437"/>
      <c r="DR109" s="437"/>
      <c r="DS109" s="359"/>
      <c r="DT109" s="359"/>
      <c r="DU109" s="359"/>
      <c r="DV109" s="359"/>
      <c r="DW109" s="359"/>
      <c r="DX109" s="359"/>
      <c r="DY109" s="437"/>
      <c r="DZ109" s="437"/>
      <c r="EA109" s="437"/>
      <c r="EB109" s="437"/>
      <c r="EC109" s="359"/>
      <c r="ED109" s="359"/>
      <c r="EE109" s="359"/>
      <c r="EF109" s="359"/>
      <c r="EG109" s="359"/>
      <c r="EH109" s="359"/>
      <c r="EI109" s="437"/>
      <c r="EJ109" s="437"/>
      <c r="EK109" s="437"/>
      <c r="EL109" s="437"/>
      <c r="EM109" s="359"/>
      <c r="EN109" s="359"/>
      <c r="EO109" s="359"/>
      <c r="EP109" s="359"/>
      <c r="EQ109" s="359"/>
      <c r="ER109" s="359"/>
      <c r="ES109" s="437"/>
      <c r="ET109" s="437"/>
      <c r="EU109" s="437"/>
      <c r="EV109" s="437"/>
      <c r="EW109" s="437"/>
      <c r="EX109" s="437"/>
      <c r="EY109" s="437"/>
      <c r="EZ109" s="437"/>
      <c r="FA109" s="437"/>
      <c r="FB109" s="437"/>
      <c r="FC109" s="437"/>
      <c r="FD109" s="437"/>
      <c r="FE109" s="437"/>
      <c r="FF109" s="437"/>
      <c r="FG109" s="437"/>
      <c r="FH109" s="437"/>
      <c r="FI109" s="437"/>
      <c r="FJ109" s="437"/>
      <c r="FK109" s="437"/>
      <c r="FL109" s="437"/>
      <c r="FM109" s="437"/>
      <c r="FN109" s="359"/>
      <c r="FO109" s="359"/>
      <c r="FP109" s="359"/>
      <c r="FQ109" s="359"/>
      <c r="FR109" s="359"/>
      <c r="FS109" s="359"/>
      <c r="FT109" s="437"/>
      <c r="FU109" s="437"/>
      <c r="FV109" s="437"/>
      <c r="FW109" s="437"/>
      <c r="FX109" s="359"/>
      <c r="FY109" s="359"/>
      <c r="FZ109" s="359"/>
      <c r="GA109" s="359"/>
      <c r="GB109" s="359"/>
      <c r="GC109" s="359"/>
      <c r="GD109" s="437"/>
      <c r="GE109" s="437"/>
      <c r="GF109" s="437"/>
      <c r="GG109" s="437"/>
      <c r="GH109" s="359"/>
      <c r="GI109" s="359"/>
      <c r="GJ109" s="359"/>
      <c r="GK109" s="359"/>
      <c r="GL109" s="359"/>
      <c r="GM109" s="359"/>
      <c r="GN109" s="437"/>
      <c r="GO109" s="437"/>
      <c r="GP109" s="437"/>
      <c r="GQ109" s="437"/>
      <c r="GR109" s="437"/>
      <c r="GS109" s="437"/>
      <c r="GT109" s="437"/>
      <c r="GU109" s="437"/>
      <c r="GV109" s="437"/>
      <c r="GW109" s="437"/>
      <c r="GX109" s="359"/>
      <c r="GY109" s="359"/>
      <c r="GZ109" s="359"/>
      <c r="HA109" s="359"/>
      <c r="HB109" s="359"/>
      <c r="HC109" s="359"/>
      <c r="HD109" s="437"/>
      <c r="HE109" s="437"/>
      <c r="HF109" s="437"/>
      <c r="HG109" s="437"/>
      <c r="HH109" s="437"/>
      <c r="HI109" s="437"/>
      <c r="HJ109" s="437"/>
      <c r="HK109" s="437"/>
      <c r="HL109" s="437"/>
      <c r="HM109" s="437"/>
      <c r="HN109" s="437"/>
      <c r="HO109" s="437"/>
      <c r="HP109" s="437"/>
      <c r="HQ109" s="437"/>
      <c r="HR109" s="437"/>
      <c r="HS109" s="437"/>
      <c r="HT109" s="437"/>
      <c r="HU109" s="359"/>
      <c r="HV109" s="359"/>
      <c r="HW109" s="359"/>
      <c r="HX109" s="359"/>
      <c r="HY109" s="359"/>
      <c r="HZ109" s="359"/>
      <c r="IA109" s="437"/>
      <c r="IB109" s="437"/>
      <c r="IC109" s="437"/>
      <c r="ID109" s="437"/>
      <c r="IE109" s="359"/>
      <c r="IF109" s="359"/>
      <c r="IG109" s="359"/>
      <c r="IH109" s="359"/>
      <c r="II109" s="359"/>
      <c r="IJ109" s="359"/>
      <c r="IK109" s="437"/>
      <c r="IL109" s="437"/>
      <c r="IM109" s="437"/>
      <c r="IN109" s="437"/>
      <c r="IO109" s="359"/>
      <c r="IP109" s="359"/>
      <c r="IQ109" s="359"/>
      <c r="IR109" s="359"/>
      <c r="IS109" s="359"/>
      <c r="IT109" s="359"/>
      <c r="IU109" s="437"/>
      <c r="IV109" s="437"/>
      <c r="IW109" s="437"/>
      <c r="IX109" s="437"/>
      <c r="IY109" s="359"/>
      <c r="IZ109" s="359"/>
      <c r="JA109" s="359"/>
      <c r="JB109" s="359"/>
      <c r="JC109" s="359"/>
      <c r="JD109" s="359"/>
      <c r="JE109" s="437"/>
      <c r="JF109" s="437"/>
      <c r="JG109" s="437"/>
      <c r="JH109" s="437"/>
      <c r="JI109" s="437"/>
      <c r="JJ109" s="437"/>
      <c r="JK109" s="437"/>
      <c r="JL109" s="437"/>
      <c r="JM109" s="437"/>
      <c r="JN109" s="437"/>
      <c r="JO109" s="437"/>
      <c r="JP109" s="359"/>
      <c r="JQ109" s="359"/>
      <c r="JR109" s="359"/>
      <c r="JS109" s="359"/>
      <c r="JT109" s="359"/>
      <c r="JU109" s="359"/>
      <c r="JV109" s="437"/>
      <c r="JW109" s="437"/>
      <c r="JX109" s="437"/>
      <c r="JY109" s="437"/>
      <c r="JZ109" s="437"/>
      <c r="KA109" s="462"/>
      <c r="KB109" s="462"/>
      <c r="KC109" s="462"/>
      <c r="KD109" s="462"/>
      <c r="KE109" s="462"/>
      <c r="KF109" s="462"/>
      <c r="KG109" s="359"/>
      <c r="KH109" s="359"/>
      <c r="KI109" s="359"/>
      <c r="KJ109" s="461"/>
      <c r="KK109" s="359"/>
      <c r="KL109" s="359"/>
      <c r="KM109" s="359"/>
      <c r="KN109" s="359"/>
      <c r="KO109" s="359"/>
      <c r="KP109" s="359"/>
      <c r="KQ109" s="359"/>
    </row>
    <row r="110" spans="1:303" ht="15" x14ac:dyDescent="0.3">
      <c r="A110" s="359"/>
      <c r="B110" s="359"/>
      <c r="C110" s="458"/>
      <c r="D110" s="459"/>
      <c r="E110" s="359"/>
      <c r="F110" s="359"/>
      <c r="G110" s="359"/>
      <c r="H110" s="359"/>
      <c r="I110" s="359"/>
      <c r="J110" s="359"/>
      <c r="K110" s="437"/>
      <c r="L110" s="437"/>
      <c r="M110" s="460"/>
      <c r="N110" s="437"/>
      <c r="O110" s="359"/>
      <c r="P110" s="359"/>
      <c r="Q110" s="359"/>
      <c r="R110" s="359"/>
      <c r="S110" s="359"/>
      <c r="T110" s="359"/>
      <c r="U110" s="437"/>
      <c r="V110" s="437"/>
      <c r="W110" s="460"/>
      <c r="X110" s="437"/>
      <c r="Y110" s="359"/>
      <c r="Z110" s="359"/>
      <c r="AA110" s="359"/>
      <c r="AB110" s="359"/>
      <c r="AC110" s="359"/>
      <c r="AD110" s="359"/>
      <c r="AE110" s="437"/>
      <c r="AF110" s="437"/>
      <c r="AG110" s="437"/>
      <c r="AH110" s="437"/>
      <c r="AI110" s="359"/>
      <c r="AJ110" s="359"/>
      <c r="AK110" s="359"/>
      <c r="AL110" s="359"/>
      <c r="AM110" s="359"/>
      <c r="AN110" s="359"/>
      <c r="AO110" s="437"/>
      <c r="AP110" s="437"/>
      <c r="AQ110" s="460"/>
      <c r="AR110" s="437"/>
      <c r="AS110" s="437"/>
      <c r="AT110" s="437"/>
      <c r="AU110" s="437"/>
      <c r="AV110" s="437"/>
      <c r="AW110" s="359"/>
      <c r="AX110" s="359"/>
      <c r="AY110" s="461"/>
      <c r="AZ110" s="545"/>
      <c r="BA110" s="545"/>
      <c r="BB110" s="545"/>
      <c r="BC110" s="545"/>
      <c r="BD110" s="359"/>
      <c r="BE110" s="359"/>
      <c r="BF110" s="359"/>
      <c r="BG110" s="359"/>
      <c r="BH110" s="359"/>
      <c r="BI110" s="359"/>
      <c r="BJ110" s="437"/>
      <c r="BK110" s="437"/>
      <c r="BL110" s="437"/>
      <c r="BM110" s="437"/>
      <c r="BN110" s="359"/>
      <c r="BO110" s="359"/>
      <c r="BP110" s="359"/>
      <c r="BQ110" s="359"/>
      <c r="BR110" s="359"/>
      <c r="BS110" s="359"/>
      <c r="BT110" s="437"/>
      <c r="BU110" s="437"/>
      <c r="BV110" s="437"/>
      <c r="BW110" s="437"/>
      <c r="BX110" s="437"/>
      <c r="BY110" s="437"/>
      <c r="BZ110" s="437"/>
      <c r="CA110" s="437"/>
      <c r="CB110" s="437"/>
      <c r="CC110" s="359"/>
      <c r="CD110" s="359"/>
      <c r="CE110" s="359"/>
      <c r="CF110" s="359"/>
      <c r="CG110" s="359"/>
      <c r="CH110" s="359"/>
      <c r="CI110" s="437"/>
      <c r="CJ110" s="437"/>
      <c r="CK110" s="460"/>
      <c r="CL110" s="437"/>
      <c r="CM110" s="359"/>
      <c r="CN110" s="359"/>
      <c r="CO110" s="359"/>
      <c r="CP110" s="359"/>
      <c r="CQ110" s="359"/>
      <c r="CR110" s="359"/>
      <c r="CS110" s="437"/>
      <c r="CT110" s="437"/>
      <c r="CU110" s="437"/>
      <c r="CV110" s="437"/>
      <c r="CW110" s="437"/>
      <c r="CX110" s="437"/>
      <c r="CY110" s="437"/>
      <c r="CZ110" s="437"/>
      <c r="DA110" s="437"/>
      <c r="DB110" s="437"/>
      <c r="DC110" s="437"/>
      <c r="DD110" s="437"/>
      <c r="DE110" s="437"/>
      <c r="DF110" s="437"/>
      <c r="DG110" s="437"/>
      <c r="DH110" s="437"/>
      <c r="DI110" s="359"/>
      <c r="DJ110" s="359"/>
      <c r="DK110" s="359"/>
      <c r="DL110" s="359"/>
      <c r="DM110" s="359"/>
      <c r="DN110" s="359"/>
      <c r="DO110" s="437"/>
      <c r="DP110" s="437"/>
      <c r="DQ110" s="437"/>
      <c r="DR110" s="437"/>
      <c r="DS110" s="359"/>
      <c r="DT110" s="359"/>
      <c r="DU110" s="359"/>
      <c r="DV110" s="359"/>
      <c r="DW110" s="359"/>
      <c r="DX110" s="359"/>
      <c r="DY110" s="437"/>
      <c r="DZ110" s="437"/>
      <c r="EA110" s="437"/>
      <c r="EB110" s="437"/>
      <c r="EC110" s="359"/>
      <c r="ED110" s="359"/>
      <c r="EE110" s="359"/>
      <c r="EF110" s="359"/>
      <c r="EG110" s="359"/>
      <c r="EH110" s="359"/>
      <c r="EI110" s="437"/>
      <c r="EJ110" s="437"/>
      <c r="EK110" s="437"/>
      <c r="EL110" s="437"/>
      <c r="EM110" s="359"/>
      <c r="EN110" s="359"/>
      <c r="EO110" s="359"/>
      <c r="EP110" s="359"/>
      <c r="EQ110" s="359"/>
      <c r="ER110" s="359"/>
      <c r="ES110" s="437"/>
      <c r="ET110" s="437"/>
      <c r="EU110" s="437"/>
      <c r="EV110" s="437"/>
      <c r="EW110" s="437"/>
      <c r="EX110" s="437"/>
      <c r="EY110" s="437"/>
      <c r="EZ110" s="437"/>
      <c r="FA110" s="437"/>
      <c r="FB110" s="437"/>
      <c r="FC110" s="437"/>
      <c r="FD110" s="437"/>
      <c r="FE110" s="437"/>
      <c r="FF110" s="437"/>
      <c r="FG110" s="437"/>
      <c r="FH110" s="437"/>
      <c r="FI110" s="437"/>
      <c r="FJ110" s="437"/>
      <c r="FK110" s="437"/>
      <c r="FL110" s="437"/>
      <c r="FM110" s="437"/>
      <c r="FN110" s="359"/>
      <c r="FO110" s="359"/>
      <c r="FP110" s="359"/>
      <c r="FQ110" s="359"/>
      <c r="FR110" s="359"/>
      <c r="FS110" s="359"/>
      <c r="FT110" s="437"/>
      <c r="FU110" s="437"/>
      <c r="FV110" s="437"/>
      <c r="FW110" s="437"/>
      <c r="FX110" s="359"/>
      <c r="FY110" s="359"/>
      <c r="FZ110" s="359"/>
      <c r="GA110" s="359"/>
      <c r="GB110" s="359"/>
      <c r="GC110" s="359"/>
      <c r="GD110" s="437"/>
      <c r="GE110" s="437"/>
      <c r="GF110" s="437"/>
      <c r="GG110" s="437"/>
      <c r="GH110" s="359"/>
      <c r="GI110" s="359"/>
      <c r="GJ110" s="359"/>
      <c r="GK110" s="359"/>
      <c r="GL110" s="359"/>
      <c r="GM110" s="359"/>
      <c r="GN110" s="437"/>
      <c r="GO110" s="437"/>
      <c r="GP110" s="437"/>
      <c r="GQ110" s="437"/>
      <c r="GR110" s="437"/>
      <c r="GS110" s="437"/>
      <c r="GT110" s="437"/>
      <c r="GU110" s="437"/>
      <c r="GV110" s="437"/>
      <c r="GW110" s="437"/>
      <c r="GX110" s="359"/>
      <c r="GY110" s="359"/>
      <c r="GZ110" s="359"/>
      <c r="HA110" s="359"/>
      <c r="HB110" s="359"/>
      <c r="HC110" s="359"/>
      <c r="HD110" s="437"/>
      <c r="HE110" s="437"/>
      <c r="HF110" s="437"/>
      <c r="HG110" s="437"/>
      <c r="HH110" s="437"/>
      <c r="HI110" s="437"/>
      <c r="HJ110" s="437"/>
      <c r="HK110" s="437"/>
      <c r="HL110" s="437"/>
      <c r="HM110" s="437"/>
      <c r="HN110" s="437"/>
      <c r="HO110" s="437"/>
      <c r="HP110" s="437"/>
      <c r="HQ110" s="437"/>
      <c r="HR110" s="437"/>
      <c r="HS110" s="437"/>
      <c r="HT110" s="437"/>
      <c r="HU110" s="359"/>
      <c r="HV110" s="359"/>
      <c r="HW110" s="359"/>
      <c r="HX110" s="359"/>
      <c r="HY110" s="359"/>
      <c r="HZ110" s="359"/>
      <c r="IA110" s="437"/>
      <c r="IB110" s="437"/>
      <c r="IC110" s="437"/>
      <c r="ID110" s="437"/>
      <c r="IE110" s="359"/>
      <c r="IF110" s="359"/>
      <c r="IG110" s="359"/>
      <c r="IH110" s="359"/>
      <c r="II110" s="359"/>
      <c r="IJ110" s="359"/>
      <c r="IK110" s="437"/>
      <c r="IL110" s="437"/>
      <c r="IM110" s="437"/>
      <c r="IN110" s="437"/>
      <c r="IO110" s="359"/>
      <c r="IP110" s="359"/>
      <c r="IQ110" s="359"/>
      <c r="IR110" s="359"/>
      <c r="IS110" s="359"/>
      <c r="IT110" s="359"/>
      <c r="IU110" s="437"/>
      <c r="IV110" s="437"/>
      <c r="IW110" s="437"/>
      <c r="IX110" s="437"/>
      <c r="IY110" s="359"/>
      <c r="IZ110" s="359"/>
      <c r="JA110" s="359"/>
      <c r="JB110" s="359"/>
      <c r="JC110" s="359"/>
      <c r="JD110" s="359"/>
      <c r="JE110" s="437"/>
      <c r="JF110" s="437"/>
      <c r="JG110" s="437"/>
      <c r="JH110" s="437"/>
      <c r="JI110" s="437"/>
      <c r="JJ110" s="437"/>
      <c r="JK110" s="437"/>
      <c r="JL110" s="437"/>
      <c r="JM110" s="437"/>
      <c r="JN110" s="437"/>
      <c r="JO110" s="437"/>
      <c r="JP110" s="359"/>
      <c r="JQ110" s="359"/>
      <c r="JR110" s="359"/>
      <c r="JS110" s="359"/>
      <c r="JT110" s="359"/>
      <c r="JU110" s="359"/>
      <c r="JV110" s="437"/>
      <c r="JW110" s="437"/>
      <c r="JX110" s="437"/>
      <c r="JY110" s="437"/>
      <c r="JZ110" s="437"/>
      <c r="KA110" s="462"/>
      <c r="KB110" s="462"/>
      <c r="KC110" s="462"/>
      <c r="KD110" s="462"/>
      <c r="KE110" s="462"/>
      <c r="KF110" s="462"/>
      <c r="KG110" s="359"/>
      <c r="KH110" s="359"/>
      <c r="KI110" s="359"/>
      <c r="KJ110" s="461"/>
      <c r="KK110" s="359"/>
      <c r="KL110" s="359"/>
      <c r="KM110" s="359"/>
      <c r="KN110" s="359"/>
      <c r="KO110" s="359"/>
      <c r="KP110" s="359"/>
      <c r="KQ110" s="359"/>
    </row>
    <row r="111" spans="1:303" ht="15" x14ac:dyDescent="0.3">
      <c r="A111" s="359"/>
      <c r="B111" s="359"/>
      <c r="C111" s="458"/>
      <c r="D111" s="459"/>
      <c r="E111" s="359"/>
      <c r="F111" s="359"/>
      <c r="G111" s="359"/>
      <c r="H111" s="359"/>
      <c r="I111" s="359"/>
      <c r="J111" s="359"/>
      <c r="K111" s="437"/>
      <c r="L111" s="437"/>
      <c r="M111" s="460"/>
      <c r="N111" s="437"/>
      <c r="O111" s="359"/>
      <c r="P111" s="359"/>
      <c r="Q111" s="359"/>
      <c r="R111" s="359"/>
      <c r="S111" s="359"/>
      <c r="T111" s="359"/>
      <c r="U111" s="437"/>
      <c r="V111" s="437"/>
      <c r="W111" s="460"/>
      <c r="X111" s="437"/>
      <c r="Y111" s="359"/>
      <c r="Z111" s="359"/>
      <c r="AA111" s="359"/>
      <c r="AB111" s="359"/>
      <c r="AC111" s="359"/>
      <c r="AD111" s="359"/>
      <c r="AE111" s="437"/>
      <c r="AF111" s="437"/>
      <c r="AG111" s="437"/>
      <c r="AH111" s="437"/>
      <c r="AI111" s="359"/>
      <c r="AJ111" s="359"/>
      <c r="AK111" s="359"/>
      <c r="AL111" s="359"/>
      <c r="AM111" s="359"/>
      <c r="AN111" s="359"/>
      <c r="AO111" s="437"/>
      <c r="AP111" s="437"/>
      <c r="AQ111" s="460"/>
      <c r="AR111" s="437"/>
      <c r="AS111" s="437"/>
      <c r="AT111" s="437"/>
      <c r="AU111" s="437"/>
      <c r="AV111" s="437"/>
      <c r="AW111" s="359"/>
      <c r="AX111" s="359"/>
      <c r="AY111" s="461"/>
      <c r="AZ111" s="545"/>
      <c r="BA111" s="545"/>
      <c r="BB111" s="545"/>
      <c r="BC111" s="545"/>
      <c r="BD111" s="359"/>
      <c r="BE111" s="359"/>
      <c r="BF111" s="359"/>
      <c r="BG111" s="359"/>
      <c r="BH111" s="359"/>
      <c r="BI111" s="359"/>
      <c r="BJ111" s="437"/>
      <c r="BK111" s="437"/>
      <c r="BL111" s="437"/>
      <c r="BM111" s="437"/>
      <c r="BN111" s="359"/>
      <c r="BO111" s="359"/>
      <c r="BP111" s="359"/>
      <c r="BQ111" s="359"/>
      <c r="BR111" s="359"/>
      <c r="BS111" s="359"/>
      <c r="BT111" s="437"/>
      <c r="BU111" s="437"/>
      <c r="BV111" s="437"/>
      <c r="BW111" s="437"/>
      <c r="BX111" s="437"/>
      <c r="BY111" s="437"/>
      <c r="BZ111" s="437"/>
      <c r="CA111" s="437"/>
      <c r="CB111" s="437"/>
      <c r="CC111" s="359"/>
      <c r="CD111" s="359"/>
      <c r="CE111" s="359"/>
      <c r="CF111" s="359"/>
      <c r="CG111" s="359"/>
      <c r="CH111" s="359"/>
      <c r="CI111" s="437"/>
      <c r="CJ111" s="437"/>
      <c r="CK111" s="460"/>
      <c r="CL111" s="437"/>
      <c r="CM111" s="359"/>
      <c r="CN111" s="359"/>
      <c r="CO111" s="359"/>
      <c r="CP111" s="359"/>
      <c r="CQ111" s="359"/>
      <c r="CR111" s="359"/>
      <c r="CS111" s="437"/>
      <c r="CT111" s="437"/>
      <c r="CU111" s="437"/>
      <c r="CV111" s="437"/>
      <c r="CW111" s="437"/>
      <c r="CX111" s="437"/>
      <c r="CY111" s="437"/>
      <c r="CZ111" s="437"/>
      <c r="DA111" s="437"/>
      <c r="DB111" s="437"/>
      <c r="DC111" s="437"/>
      <c r="DD111" s="437"/>
      <c r="DE111" s="437"/>
      <c r="DF111" s="437"/>
      <c r="DG111" s="437"/>
      <c r="DH111" s="437"/>
      <c r="DI111" s="359"/>
      <c r="DJ111" s="359"/>
      <c r="DK111" s="359"/>
      <c r="DL111" s="359"/>
      <c r="DM111" s="359"/>
      <c r="DN111" s="359"/>
      <c r="DO111" s="437"/>
      <c r="DP111" s="437"/>
      <c r="DQ111" s="437"/>
      <c r="DR111" s="437"/>
      <c r="DS111" s="359"/>
      <c r="DT111" s="359"/>
      <c r="DU111" s="359"/>
      <c r="DV111" s="359"/>
      <c r="DW111" s="359"/>
      <c r="DX111" s="359"/>
      <c r="DY111" s="437"/>
      <c r="DZ111" s="437"/>
      <c r="EA111" s="437"/>
      <c r="EB111" s="437"/>
      <c r="EC111" s="359"/>
      <c r="ED111" s="359"/>
      <c r="EE111" s="359"/>
      <c r="EF111" s="359"/>
      <c r="EG111" s="359"/>
      <c r="EH111" s="359"/>
      <c r="EI111" s="437"/>
      <c r="EJ111" s="437"/>
      <c r="EK111" s="437"/>
      <c r="EL111" s="437"/>
      <c r="EM111" s="359"/>
      <c r="EN111" s="359"/>
      <c r="EO111" s="359"/>
      <c r="EP111" s="359"/>
      <c r="EQ111" s="359"/>
      <c r="ER111" s="359"/>
      <c r="ES111" s="437"/>
      <c r="ET111" s="437"/>
      <c r="EU111" s="437"/>
      <c r="EV111" s="437"/>
      <c r="EW111" s="437"/>
      <c r="EX111" s="437"/>
      <c r="EY111" s="437"/>
      <c r="EZ111" s="437"/>
      <c r="FA111" s="437"/>
      <c r="FB111" s="437"/>
      <c r="FC111" s="437"/>
      <c r="FD111" s="437"/>
      <c r="FE111" s="437"/>
      <c r="FF111" s="437"/>
      <c r="FG111" s="437"/>
      <c r="FH111" s="437"/>
      <c r="FI111" s="437"/>
      <c r="FJ111" s="437"/>
      <c r="FK111" s="437"/>
      <c r="FL111" s="437"/>
      <c r="FM111" s="437"/>
      <c r="FN111" s="359"/>
      <c r="FO111" s="359"/>
      <c r="FP111" s="359"/>
      <c r="FQ111" s="359"/>
      <c r="FR111" s="359"/>
      <c r="FS111" s="359"/>
      <c r="FT111" s="437"/>
      <c r="FU111" s="437"/>
      <c r="FV111" s="437"/>
      <c r="FW111" s="437"/>
      <c r="FX111" s="359"/>
      <c r="FY111" s="359"/>
      <c r="FZ111" s="359"/>
      <c r="GA111" s="359"/>
      <c r="GB111" s="359"/>
      <c r="GC111" s="359"/>
      <c r="GD111" s="437"/>
      <c r="GE111" s="437"/>
      <c r="GF111" s="437"/>
      <c r="GG111" s="437"/>
      <c r="GH111" s="359"/>
      <c r="GI111" s="359"/>
      <c r="GJ111" s="359"/>
      <c r="GK111" s="359"/>
      <c r="GL111" s="359"/>
      <c r="GM111" s="359"/>
      <c r="GN111" s="437"/>
      <c r="GO111" s="437"/>
      <c r="GP111" s="437"/>
      <c r="GQ111" s="437"/>
      <c r="GR111" s="437"/>
      <c r="GS111" s="437"/>
      <c r="GT111" s="437"/>
      <c r="GU111" s="437"/>
      <c r="GV111" s="437"/>
      <c r="GW111" s="437"/>
      <c r="GX111" s="359"/>
      <c r="GY111" s="359"/>
      <c r="GZ111" s="359"/>
      <c r="HA111" s="359"/>
      <c r="HB111" s="359"/>
      <c r="HC111" s="359"/>
      <c r="HD111" s="437"/>
      <c r="HE111" s="437"/>
      <c r="HF111" s="437"/>
      <c r="HG111" s="437"/>
      <c r="HH111" s="437"/>
      <c r="HI111" s="437"/>
      <c r="HJ111" s="437"/>
      <c r="HK111" s="437"/>
      <c r="HL111" s="437"/>
      <c r="HM111" s="437"/>
      <c r="HN111" s="437"/>
      <c r="HO111" s="437"/>
      <c r="HP111" s="437"/>
      <c r="HQ111" s="437"/>
      <c r="HR111" s="437"/>
      <c r="HS111" s="437"/>
      <c r="HT111" s="437"/>
      <c r="HU111" s="359"/>
      <c r="HV111" s="359"/>
      <c r="HW111" s="359"/>
      <c r="HX111" s="359"/>
      <c r="HY111" s="359"/>
      <c r="HZ111" s="359"/>
      <c r="IA111" s="437"/>
      <c r="IB111" s="437"/>
      <c r="IC111" s="437"/>
      <c r="ID111" s="437"/>
      <c r="IE111" s="359"/>
      <c r="IF111" s="359"/>
      <c r="IG111" s="359"/>
      <c r="IH111" s="359"/>
      <c r="II111" s="359"/>
      <c r="IJ111" s="359"/>
      <c r="IK111" s="437"/>
      <c r="IL111" s="437"/>
      <c r="IM111" s="437"/>
      <c r="IN111" s="437"/>
      <c r="IO111" s="359"/>
      <c r="IP111" s="359"/>
      <c r="IQ111" s="359"/>
      <c r="IR111" s="359"/>
      <c r="IS111" s="359"/>
      <c r="IT111" s="359"/>
      <c r="IU111" s="437"/>
      <c r="IV111" s="437"/>
      <c r="IW111" s="437"/>
      <c r="IX111" s="437"/>
      <c r="IY111" s="359"/>
      <c r="IZ111" s="359"/>
      <c r="JA111" s="359"/>
      <c r="JB111" s="359"/>
      <c r="JC111" s="359"/>
      <c r="JD111" s="359"/>
      <c r="JE111" s="437"/>
      <c r="JF111" s="437"/>
      <c r="JG111" s="437"/>
      <c r="JH111" s="437"/>
      <c r="JI111" s="437"/>
      <c r="JJ111" s="437"/>
      <c r="JK111" s="437"/>
      <c r="JL111" s="437"/>
      <c r="JM111" s="437"/>
      <c r="JN111" s="437"/>
      <c r="JO111" s="437"/>
      <c r="JP111" s="359"/>
      <c r="JQ111" s="359"/>
      <c r="JR111" s="359"/>
      <c r="JS111" s="359"/>
      <c r="JT111" s="359"/>
      <c r="JU111" s="359"/>
      <c r="JV111" s="437"/>
      <c r="JW111" s="437"/>
      <c r="JX111" s="437"/>
      <c r="JY111" s="437"/>
      <c r="JZ111" s="437"/>
      <c r="KA111" s="462"/>
      <c r="KB111" s="462"/>
      <c r="KC111" s="462"/>
      <c r="KD111" s="462"/>
      <c r="KE111" s="462"/>
      <c r="KF111" s="462"/>
      <c r="KG111" s="359"/>
      <c r="KH111" s="359"/>
      <c r="KI111" s="359"/>
      <c r="KJ111" s="461"/>
      <c r="KK111" s="359"/>
      <c r="KL111" s="359"/>
      <c r="KM111" s="359"/>
      <c r="KN111" s="359"/>
      <c r="KO111" s="359"/>
      <c r="KP111" s="359"/>
      <c r="KQ111" s="359"/>
    </row>
    <row r="112" spans="1:303" ht="15" x14ac:dyDescent="0.3">
      <c r="A112" s="359"/>
      <c r="B112" s="359"/>
      <c r="C112" s="458"/>
      <c r="D112" s="459"/>
      <c r="E112" s="359"/>
      <c r="F112" s="359"/>
      <c r="G112" s="359"/>
      <c r="H112" s="359"/>
      <c r="I112" s="359"/>
      <c r="J112" s="359"/>
      <c r="K112" s="437"/>
      <c r="L112" s="437"/>
      <c r="M112" s="460"/>
      <c r="N112" s="437"/>
      <c r="O112" s="359"/>
      <c r="P112" s="359"/>
      <c r="Q112" s="359"/>
      <c r="R112" s="359"/>
      <c r="S112" s="359"/>
      <c r="T112" s="359"/>
      <c r="U112" s="437"/>
      <c r="V112" s="437"/>
      <c r="W112" s="460"/>
      <c r="X112" s="437"/>
      <c r="Y112" s="359"/>
      <c r="Z112" s="359"/>
      <c r="AA112" s="359"/>
      <c r="AB112" s="359"/>
      <c r="AC112" s="359"/>
      <c r="AD112" s="359"/>
      <c r="AE112" s="437"/>
      <c r="AF112" s="437"/>
      <c r="AG112" s="437"/>
      <c r="AH112" s="437"/>
      <c r="AI112" s="359"/>
      <c r="AJ112" s="359"/>
      <c r="AK112" s="359"/>
      <c r="AL112" s="359"/>
      <c r="AM112" s="359"/>
      <c r="AN112" s="359"/>
      <c r="AO112" s="437"/>
      <c r="AP112" s="437"/>
      <c r="AQ112" s="460"/>
      <c r="AR112" s="437"/>
      <c r="AS112" s="437"/>
      <c r="AT112" s="437"/>
      <c r="AU112" s="437"/>
      <c r="AV112" s="437"/>
      <c r="AW112" s="359"/>
      <c r="AX112" s="359"/>
      <c r="AY112" s="461"/>
      <c r="AZ112" s="545"/>
      <c r="BA112" s="545"/>
      <c r="BB112" s="545"/>
      <c r="BC112" s="545"/>
      <c r="BD112" s="359"/>
      <c r="BE112" s="359"/>
      <c r="BF112" s="359"/>
      <c r="BG112" s="359"/>
      <c r="BH112" s="359"/>
      <c r="BI112" s="359"/>
      <c r="BJ112" s="437"/>
      <c r="BK112" s="437"/>
      <c r="BL112" s="437"/>
      <c r="BM112" s="437"/>
      <c r="BN112" s="359"/>
      <c r="BO112" s="359"/>
      <c r="BP112" s="359"/>
      <c r="BQ112" s="359"/>
      <c r="BR112" s="359"/>
      <c r="BS112" s="359"/>
      <c r="BT112" s="437"/>
      <c r="BU112" s="437"/>
      <c r="BV112" s="437"/>
      <c r="BW112" s="437"/>
      <c r="BX112" s="437"/>
      <c r="BY112" s="437"/>
      <c r="BZ112" s="437"/>
      <c r="CA112" s="437"/>
      <c r="CB112" s="437"/>
      <c r="CC112" s="359"/>
      <c r="CD112" s="359"/>
      <c r="CE112" s="359"/>
      <c r="CF112" s="359"/>
      <c r="CG112" s="359"/>
      <c r="CH112" s="359"/>
      <c r="CI112" s="437"/>
      <c r="CJ112" s="437"/>
      <c r="CK112" s="460"/>
      <c r="CL112" s="437"/>
      <c r="CM112" s="359"/>
      <c r="CN112" s="359"/>
      <c r="CO112" s="359"/>
      <c r="CP112" s="359"/>
      <c r="CQ112" s="359"/>
      <c r="CR112" s="359"/>
      <c r="CS112" s="437"/>
      <c r="CT112" s="437"/>
      <c r="CU112" s="437"/>
      <c r="CV112" s="437"/>
      <c r="CW112" s="437"/>
      <c r="CX112" s="437"/>
      <c r="CY112" s="437"/>
      <c r="CZ112" s="437"/>
      <c r="DA112" s="437"/>
      <c r="DB112" s="437"/>
      <c r="DC112" s="437"/>
      <c r="DD112" s="437"/>
      <c r="DE112" s="437"/>
      <c r="DF112" s="437"/>
      <c r="DG112" s="437"/>
      <c r="DH112" s="437"/>
      <c r="DI112" s="359"/>
      <c r="DJ112" s="359"/>
      <c r="DK112" s="359"/>
      <c r="DL112" s="359"/>
      <c r="DM112" s="359"/>
      <c r="DN112" s="359"/>
      <c r="DO112" s="437"/>
      <c r="DP112" s="437"/>
      <c r="DQ112" s="437"/>
      <c r="DR112" s="437"/>
      <c r="DS112" s="359"/>
      <c r="DT112" s="359"/>
      <c r="DU112" s="359"/>
      <c r="DV112" s="359"/>
      <c r="DW112" s="359"/>
      <c r="DX112" s="359"/>
      <c r="DY112" s="437"/>
      <c r="DZ112" s="437"/>
      <c r="EA112" s="437"/>
      <c r="EB112" s="437"/>
      <c r="EC112" s="359"/>
      <c r="ED112" s="359"/>
      <c r="EE112" s="359"/>
      <c r="EF112" s="359"/>
      <c r="EG112" s="359"/>
      <c r="EH112" s="359"/>
      <c r="EI112" s="437"/>
      <c r="EJ112" s="437"/>
      <c r="EK112" s="437"/>
      <c r="EL112" s="437"/>
      <c r="EM112" s="359"/>
      <c r="EN112" s="359"/>
      <c r="EO112" s="359"/>
      <c r="EP112" s="359"/>
      <c r="EQ112" s="359"/>
      <c r="ER112" s="359"/>
      <c r="ES112" s="437"/>
      <c r="ET112" s="437"/>
      <c r="EU112" s="437"/>
      <c r="EV112" s="437"/>
      <c r="EW112" s="437"/>
      <c r="EX112" s="437"/>
      <c r="EY112" s="437"/>
      <c r="EZ112" s="437"/>
      <c r="FA112" s="437"/>
      <c r="FB112" s="437"/>
      <c r="FC112" s="437"/>
      <c r="FD112" s="437"/>
      <c r="FE112" s="437"/>
      <c r="FF112" s="437"/>
      <c r="FG112" s="437"/>
      <c r="FH112" s="437"/>
      <c r="FI112" s="437"/>
      <c r="FJ112" s="437"/>
      <c r="FK112" s="437"/>
      <c r="FL112" s="437"/>
      <c r="FM112" s="437"/>
      <c r="FN112" s="359"/>
      <c r="FO112" s="359"/>
      <c r="FP112" s="359"/>
      <c r="FQ112" s="359"/>
      <c r="FR112" s="359"/>
      <c r="FS112" s="359"/>
      <c r="FT112" s="437"/>
      <c r="FU112" s="437"/>
      <c r="FV112" s="437"/>
      <c r="FW112" s="437"/>
      <c r="FX112" s="359"/>
      <c r="FY112" s="359"/>
      <c r="FZ112" s="359"/>
      <c r="GA112" s="359"/>
      <c r="GB112" s="359"/>
      <c r="GC112" s="359"/>
      <c r="GD112" s="437"/>
      <c r="GE112" s="437"/>
      <c r="GF112" s="437"/>
      <c r="GG112" s="437"/>
      <c r="GH112" s="359"/>
      <c r="GI112" s="359"/>
      <c r="GJ112" s="359"/>
      <c r="GK112" s="359"/>
      <c r="GL112" s="359"/>
      <c r="GM112" s="359"/>
      <c r="GN112" s="437"/>
      <c r="GO112" s="437"/>
      <c r="GP112" s="437"/>
      <c r="GQ112" s="437"/>
      <c r="GR112" s="437"/>
      <c r="GS112" s="437"/>
      <c r="GT112" s="437"/>
      <c r="GU112" s="437"/>
      <c r="GV112" s="437"/>
      <c r="GW112" s="437"/>
      <c r="GX112" s="359"/>
      <c r="GY112" s="359"/>
      <c r="GZ112" s="359"/>
      <c r="HA112" s="359"/>
      <c r="HB112" s="359"/>
      <c r="HC112" s="359"/>
      <c r="HD112" s="437"/>
      <c r="HE112" s="437"/>
      <c r="HF112" s="437"/>
      <c r="HG112" s="437"/>
      <c r="HH112" s="437"/>
      <c r="HI112" s="437"/>
      <c r="HJ112" s="437"/>
      <c r="HK112" s="437"/>
      <c r="HL112" s="437"/>
      <c r="HM112" s="437"/>
      <c r="HN112" s="437"/>
      <c r="HO112" s="437"/>
      <c r="HP112" s="437"/>
      <c r="HQ112" s="437"/>
      <c r="HR112" s="437"/>
      <c r="HS112" s="437"/>
      <c r="HT112" s="437"/>
      <c r="HU112" s="359"/>
      <c r="HV112" s="359"/>
      <c r="HW112" s="359"/>
      <c r="HX112" s="359"/>
      <c r="HY112" s="359"/>
      <c r="HZ112" s="359"/>
      <c r="IA112" s="437"/>
      <c r="IB112" s="437"/>
      <c r="IC112" s="437"/>
      <c r="ID112" s="437"/>
      <c r="IE112" s="359"/>
      <c r="IF112" s="359"/>
      <c r="IG112" s="359"/>
      <c r="IH112" s="359"/>
      <c r="II112" s="359"/>
      <c r="IJ112" s="359"/>
      <c r="IK112" s="437"/>
      <c r="IL112" s="437"/>
      <c r="IM112" s="437"/>
      <c r="IN112" s="437"/>
      <c r="IO112" s="359"/>
      <c r="IP112" s="359"/>
      <c r="IQ112" s="359"/>
      <c r="IR112" s="359"/>
      <c r="IS112" s="359"/>
      <c r="IT112" s="359"/>
      <c r="IU112" s="437"/>
      <c r="IV112" s="437"/>
      <c r="IW112" s="437"/>
      <c r="IX112" s="437"/>
      <c r="IY112" s="359"/>
      <c r="IZ112" s="359"/>
      <c r="JA112" s="359"/>
      <c r="JB112" s="359"/>
      <c r="JC112" s="359"/>
      <c r="JD112" s="359"/>
      <c r="JE112" s="437"/>
      <c r="JF112" s="437"/>
      <c r="JG112" s="437"/>
      <c r="JH112" s="437"/>
      <c r="JI112" s="437"/>
      <c r="JJ112" s="437"/>
      <c r="JK112" s="437"/>
      <c r="JL112" s="437"/>
      <c r="JM112" s="437"/>
      <c r="JN112" s="437"/>
      <c r="JO112" s="437"/>
      <c r="JP112" s="359"/>
      <c r="JQ112" s="359"/>
      <c r="JR112" s="359"/>
      <c r="JS112" s="359"/>
      <c r="JT112" s="359"/>
      <c r="JU112" s="359"/>
      <c r="JV112" s="437"/>
      <c r="JW112" s="437"/>
      <c r="JX112" s="437"/>
      <c r="JY112" s="437"/>
      <c r="JZ112" s="437"/>
      <c r="KA112" s="462"/>
      <c r="KB112" s="462"/>
      <c r="KC112" s="462"/>
      <c r="KD112" s="462"/>
      <c r="KE112" s="462"/>
      <c r="KF112" s="462"/>
      <c r="KG112" s="359"/>
      <c r="KH112" s="359"/>
      <c r="KI112" s="359"/>
      <c r="KJ112" s="461"/>
      <c r="KK112" s="359"/>
      <c r="KL112" s="359"/>
      <c r="KM112" s="359"/>
      <c r="KN112" s="359"/>
      <c r="KO112" s="359"/>
      <c r="KP112" s="359"/>
      <c r="KQ112" s="359"/>
    </row>
    <row r="113" spans="1:303" ht="15" x14ac:dyDescent="0.3">
      <c r="A113" s="359"/>
      <c r="B113" s="359"/>
      <c r="C113" s="458"/>
      <c r="D113" s="459"/>
      <c r="E113" s="359"/>
      <c r="F113" s="359"/>
      <c r="G113" s="359"/>
      <c r="H113" s="359"/>
      <c r="I113" s="359"/>
      <c r="J113" s="359"/>
      <c r="K113" s="437"/>
      <c r="L113" s="437"/>
      <c r="M113" s="460"/>
      <c r="N113" s="437"/>
      <c r="O113" s="359"/>
      <c r="P113" s="359"/>
      <c r="Q113" s="359"/>
      <c r="R113" s="359"/>
      <c r="S113" s="359"/>
      <c r="T113" s="359"/>
      <c r="U113" s="437"/>
      <c r="V113" s="437"/>
      <c r="W113" s="460"/>
      <c r="X113" s="437"/>
      <c r="Y113" s="359"/>
      <c r="Z113" s="359"/>
      <c r="AA113" s="359"/>
      <c r="AB113" s="359"/>
      <c r="AC113" s="359"/>
      <c r="AD113" s="359"/>
      <c r="AE113" s="437"/>
      <c r="AF113" s="437"/>
      <c r="AG113" s="437"/>
      <c r="AH113" s="437"/>
      <c r="AI113" s="359"/>
      <c r="AJ113" s="359"/>
      <c r="AK113" s="359"/>
      <c r="AL113" s="359"/>
      <c r="AM113" s="359"/>
      <c r="AN113" s="359"/>
      <c r="AO113" s="437"/>
      <c r="AP113" s="437"/>
      <c r="AQ113" s="460"/>
      <c r="AR113" s="437"/>
      <c r="AS113" s="437"/>
      <c r="AT113" s="437"/>
      <c r="AU113" s="437"/>
      <c r="AV113" s="437"/>
      <c r="AW113" s="359"/>
      <c r="AX113" s="359"/>
      <c r="AY113" s="461"/>
      <c r="AZ113" s="545"/>
      <c r="BA113" s="545"/>
      <c r="BB113" s="545"/>
      <c r="BC113" s="545"/>
      <c r="BD113" s="359"/>
      <c r="BE113" s="359"/>
      <c r="BF113" s="359"/>
      <c r="BG113" s="359"/>
      <c r="BH113" s="359"/>
      <c r="BI113" s="359"/>
      <c r="BJ113" s="437"/>
      <c r="BK113" s="437"/>
      <c r="BL113" s="437"/>
      <c r="BM113" s="437"/>
      <c r="BN113" s="359"/>
      <c r="BO113" s="359"/>
      <c r="BP113" s="359"/>
      <c r="BQ113" s="359"/>
      <c r="BR113" s="359"/>
      <c r="BS113" s="359"/>
      <c r="BT113" s="437"/>
      <c r="BU113" s="437"/>
      <c r="BV113" s="437"/>
      <c r="BW113" s="437"/>
      <c r="BX113" s="437"/>
      <c r="BY113" s="437"/>
      <c r="BZ113" s="437"/>
      <c r="CA113" s="437"/>
      <c r="CB113" s="437"/>
      <c r="CC113" s="359"/>
      <c r="CD113" s="359"/>
      <c r="CE113" s="359"/>
      <c r="CF113" s="359"/>
      <c r="CG113" s="359"/>
      <c r="CH113" s="359"/>
      <c r="CI113" s="437"/>
      <c r="CJ113" s="437"/>
      <c r="CK113" s="460"/>
      <c r="CL113" s="437"/>
      <c r="CM113" s="359"/>
      <c r="CN113" s="359"/>
      <c r="CO113" s="359"/>
      <c r="CP113" s="359"/>
      <c r="CQ113" s="359"/>
      <c r="CR113" s="359"/>
      <c r="CS113" s="437"/>
      <c r="CT113" s="437"/>
      <c r="CU113" s="437"/>
      <c r="CV113" s="437"/>
      <c r="CW113" s="437"/>
      <c r="CX113" s="437"/>
      <c r="CY113" s="437"/>
      <c r="CZ113" s="437"/>
      <c r="DA113" s="437"/>
      <c r="DB113" s="437"/>
      <c r="DC113" s="437"/>
      <c r="DD113" s="437"/>
      <c r="DE113" s="437"/>
      <c r="DF113" s="437"/>
      <c r="DG113" s="437"/>
      <c r="DH113" s="437"/>
      <c r="DI113" s="359"/>
      <c r="DJ113" s="359"/>
      <c r="DK113" s="359"/>
      <c r="DL113" s="359"/>
      <c r="DM113" s="359"/>
      <c r="DN113" s="359"/>
      <c r="DO113" s="437"/>
      <c r="DP113" s="437"/>
      <c r="DQ113" s="437"/>
      <c r="DR113" s="437"/>
      <c r="DS113" s="359"/>
      <c r="DT113" s="359"/>
      <c r="DU113" s="359"/>
      <c r="DV113" s="359"/>
      <c r="DW113" s="359"/>
      <c r="DX113" s="359"/>
      <c r="DY113" s="437"/>
      <c r="DZ113" s="437"/>
      <c r="EA113" s="437"/>
      <c r="EB113" s="437"/>
      <c r="EC113" s="359"/>
      <c r="ED113" s="359"/>
      <c r="EE113" s="359"/>
      <c r="EF113" s="359"/>
      <c r="EG113" s="359"/>
      <c r="EH113" s="359"/>
      <c r="EI113" s="437"/>
      <c r="EJ113" s="437"/>
      <c r="EK113" s="437"/>
      <c r="EL113" s="437"/>
      <c r="EM113" s="359"/>
      <c r="EN113" s="359"/>
      <c r="EO113" s="359"/>
      <c r="EP113" s="359"/>
      <c r="EQ113" s="359"/>
      <c r="ER113" s="359"/>
      <c r="ES113" s="437"/>
      <c r="ET113" s="437"/>
      <c r="EU113" s="437"/>
      <c r="EV113" s="437"/>
      <c r="EW113" s="437"/>
      <c r="EX113" s="437"/>
      <c r="EY113" s="437"/>
      <c r="EZ113" s="437"/>
      <c r="FA113" s="437"/>
      <c r="FB113" s="437"/>
      <c r="FC113" s="437"/>
      <c r="FD113" s="437"/>
      <c r="FE113" s="437"/>
      <c r="FF113" s="437"/>
      <c r="FG113" s="437"/>
      <c r="FH113" s="437"/>
      <c r="FI113" s="437"/>
      <c r="FJ113" s="437"/>
      <c r="FK113" s="437"/>
      <c r="FL113" s="437"/>
      <c r="FM113" s="437"/>
      <c r="FN113" s="359"/>
      <c r="FO113" s="359"/>
      <c r="FP113" s="359"/>
      <c r="FQ113" s="359"/>
      <c r="FR113" s="359"/>
      <c r="FS113" s="359"/>
      <c r="FT113" s="437"/>
      <c r="FU113" s="437"/>
      <c r="FV113" s="437"/>
      <c r="FW113" s="437"/>
      <c r="FX113" s="359"/>
      <c r="FY113" s="359"/>
      <c r="FZ113" s="359"/>
      <c r="GA113" s="359"/>
      <c r="GB113" s="359"/>
      <c r="GC113" s="359"/>
      <c r="GD113" s="437"/>
      <c r="GE113" s="437"/>
      <c r="GF113" s="437"/>
      <c r="GG113" s="437"/>
      <c r="GH113" s="359"/>
      <c r="GI113" s="359"/>
      <c r="GJ113" s="359"/>
      <c r="GK113" s="359"/>
      <c r="GL113" s="359"/>
      <c r="GM113" s="359"/>
      <c r="GN113" s="437"/>
      <c r="GO113" s="437"/>
      <c r="GP113" s="437"/>
      <c r="GQ113" s="437"/>
      <c r="GR113" s="437"/>
      <c r="GS113" s="437"/>
      <c r="GT113" s="437"/>
      <c r="GU113" s="437"/>
      <c r="GV113" s="437"/>
      <c r="GW113" s="437"/>
      <c r="GX113" s="359"/>
      <c r="GY113" s="359"/>
      <c r="GZ113" s="359"/>
      <c r="HA113" s="359"/>
      <c r="HB113" s="359"/>
      <c r="HC113" s="359"/>
      <c r="HD113" s="437"/>
      <c r="HE113" s="437"/>
      <c r="HF113" s="437"/>
      <c r="HG113" s="437"/>
      <c r="HH113" s="437"/>
      <c r="HI113" s="437"/>
      <c r="HJ113" s="437"/>
      <c r="HK113" s="437"/>
      <c r="HL113" s="437"/>
      <c r="HM113" s="437"/>
      <c r="HN113" s="437"/>
      <c r="HO113" s="437"/>
      <c r="HP113" s="437"/>
      <c r="HQ113" s="437"/>
      <c r="HR113" s="437"/>
      <c r="HS113" s="437"/>
      <c r="HT113" s="437"/>
      <c r="HU113" s="359"/>
      <c r="HV113" s="359"/>
      <c r="HW113" s="359"/>
      <c r="HX113" s="359"/>
      <c r="HY113" s="359"/>
      <c r="HZ113" s="359"/>
      <c r="IA113" s="437"/>
      <c r="IB113" s="437"/>
      <c r="IC113" s="437"/>
      <c r="ID113" s="437"/>
      <c r="IE113" s="359"/>
      <c r="IF113" s="359"/>
      <c r="IG113" s="359"/>
      <c r="IH113" s="359"/>
      <c r="II113" s="359"/>
      <c r="IJ113" s="359"/>
      <c r="IK113" s="437"/>
      <c r="IL113" s="437"/>
      <c r="IM113" s="437"/>
      <c r="IN113" s="437"/>
      <c r="IO113" s="359"/>
      <c r="IP113" s="359"/>
      <c r="IQ113" s="359"/>
      <c r="IR113" s="359"/>
      <c r="IS113" s="359"/>
      <c r="IT113" s="359"/>
      <c r="IU113" s="437"/>
      <c r="IV113" s="437"/>
      <c r="IW113" s="437"/>
      <c r="IX113" s="437"/>
      <c r="IY113" s="359"/>
      <c r="IZ113" s="359"/>
      <c r="JA113" s="359"/>
      <c r="JB113" s="359"/>
      <c r="JC113" s="359"/>
      <c r="JD113" s="359"/>
      <c r="JE113" s="437"/>
      <c r="JF113" s="437"/>
      <c r="JG113" s="437"/>
      <c r="JH113" s="437"/>
      <c r="JI113" s="437"/>
      <c r="JJ113" s="437"/>
      <c r="JK113" s="437"/>
      <c r="JL113" s="437"/>
      <c r="JM113" s="437"/>
      <c r="JN113" s="437"/>
      <c r="JO113" s="437"/>
      <c r="JP113" s="359"/>
      <c r="JQ113" s="359"/>
      <c r="JR113" s="359"/>
      <c r="JS113" s="359"/>
      <c r="JT113" s="359"/>
      <c r="JU113" s="359"/>
      <c r="JV113" s="437"/>
      <c r="JW113" s="437"/>
      <c r="JX113" s="437"/>
      <c r="JY113" s="437"/>
      <c r="JZ113" s="437"/>
      <c r="KA113" s="462"/>
      <c r="KB113" s="462"/>
      <c r="KC113" s="462"/>
      <c r="KD113" s="462"/>
      <c r="KE113" s="462"/>
      <c r="KF113" s="462"/>
      <c r="KG113" s="359"/>
      <c r="KH113" s="359"/>
      <c r="KI113" s="359"/>
      <c r="KJ113" s="461"/>
      <c r="KK113" s="359"/>
      <c r="KL113" s="359"/>
      <c r="KM113" s="359"/>
      <c r="KN113" s="359"/>
      <c r="KO113" s="359"/>
      <c r="KP113" s="359"/>
      <c r="KQ113" s="359"/>
    </row>
    <row r="114" spans="1:303" ht="15" x14ac:dyDescent="0.3">
      <c r="A114" s="359"/>
      <c r="B114" s="359"/>
      <c r="C114" s="458"/>
      <c r="D114" s="459"/>
      <c r="E114" s="359"/>
      <c r="F114" s="359"/>
      <c r="G114" s="359"/>
      <c r="H114" s="359"/>
      <c r="I114" s="359"/>
      <c r="J114" s="359"/>
      <c r="K114" s="437"/>
      <c r="L114" s="437"/>
      <c r="M114" s="460"/>
      <c r="N114" s="437"/>
      <c r="O114" s="359"/>
      <c r="P114" s="359"/>
      <c r="Q114" s="359"/>
      <c r="R114" s="359"/>
      <c r="S114" s="359"/>
      <c r="T114" s="359"/>
      <c r="U114" s="437"/>
      <c r="V114" s="437"/>
      <c r="W114" s="460"/>
      <c r="X114" s="437"/>
      <c r="Y114" s="359"/>
      <c r="Z114" s="359"/>
      <c r="AA114" s="359"/>
      <c r="AB114" s="359"/>
      <c r="AC114" s="359"/>
      <c r="AD114" s="359"/>
      <c r="AE114" s="437"/>
      <c r="AF114" s="437"/>
      <c r="AG114" s="437"/>
      <c r="AH114" s="437"/>
      <c r="AI114" s="359"/>
      <c r="AJ114" s="359"/>
      <c r="AK114" s="359"/>
      <c r="AL114" s="359"/>
      <c r="AM114" s="359"/>
      <c r="AN114" s="359"/>
      <c r="AO114" s="437"/>
      <c r="AP114" s="437"/>
      <c r="AQ114" s="460"/>
      <c r="AR114" s="437"/>
      <c r="AS114" s="437"/>
      <c r="AT114" s="437"/>
      <c r="AU114" s="437"/>
      <c r="AV114" s="437"/>
      <c r="AW114" s="359"/>
      <c r="AX114" s="359"/>
      <c r="AY114" s="461"/>
      <c r="AZ114" s="545"/>
      <c r="BA114" s="545"/>
      <c r="BB114" s="545"/>
      <c r="BC114" s="545"/>
      <c r="BD114" s="359"/>
      <c r="BE114" s="359"/>
      <c r="BF114" s="359"/>
      <c r="BG114" s="359"/>
      <c r="BH114" s="359"/>
      <c r="BI114" s="359"/>
      <c r="BJ114" s="437"/>
      <c r="BK114" s="437"/>
      <c r="BL114" s="437"/>
      <c r="BM114" s="437"/>
      <c r="BN114" s="359"/>
      <c r="BO114" s="359"/>
      <c r="BP114" s="359"/>
      <c r="BQ114" s="359"/>
      <c r="BR114" s="359"/>
      <c r="BS114" s="359"/>
      <c r="BT114" s="437"/>
      <c r="BU114" s="437"/>
      <c r="BV114" s="437"/>
      <c r="BW114" s="437"/>
      <c r="BX114" s="437"/>
      <c r="BY114" s="437"/>
      <c r="BZ114" s="437"/>
      <c r="CA114" s="437"/>
      <c r="CB114" s="437"/>
      <c r="CC114" s="359"/>
      <c r="CD114" s="359"/>
      <c r="CE114" s="359"/>
      <c r="CF114" s="359"/>
      <c r="CG114" s="359"/>
      <c r="CH114" s="359"/>
      <c r="CI114" s="437"/>
      <c r="CJ114" s="437"/>
      <c r="CK114" s="460"/>
      <c r="CL114" s="437"/>
      <c r="CM114" s="359"/>
      <c r="CN114" s="359"/>
      <c r="CO114" s="359"/>
      <c r="CP114" s="359"/>
      <c r="CQ114" s="359"/>
      <c r="CR114" s="359"/>
      <c r="CS114" s="437"/>
      <c r="CT114" s="437"/>
      <c r="CU114" s="437"/>
      <c r="CV114" s="437"/>
      <c r="CW114" s="437"/>
      <c r="CX114" s="437"/>
      <c r="CY114" s="437"/>
      <c r="CZ114" s="437"/>
      <c r="DA114" s="437"/>
      <c r="DB114" s="437"/>
      <c r="DC114" s="437"/>
      <c r="DD114" s="437"/>
      <c r="DE114" s="437"/>
      <c r="DF114" s="437"/>
      <c r="DG114" s="437"/>
      <c r="DH114" s="437"/>
      <c r="DI114" s="359"/>
      <c r="DJ114" s="359"/>
      <c r="DK114" s="359"/>
      <c r="DL114" s="359"/>
      <c r="DM114" s="359"/>
      <c r="DN114" s="359"/>
      <c r="DO114" s="437"/>
      <c r="DP114" s="437"/>
      <c r="DQ114" s="437"/>
      <c r="DR114" s="437"/>
      <c r="DS114" s="359"/>
      <c r="DT114" s="359"/>
      <c r="DU114" s="359"/>
      <c r="DV114" s="359"/>
      <c r="DW114" s="359"/>
      <c r="DX114" s="359"/>
      <c r="DY114" s="437"/>
      <c r="DZ114" s="437"/>
      <c r="EA114" s="437"/>
      <c r="EB114" s="437"/>
      <c r="EC114" s="359"/>
      <c r="ED114" s="359"/>
      <c r="EE114" s="359"/>
      <c r="EF114" s="359"/>
      <c r="EG114" s="359"/>
      <c r="EH114" s="359"/>
      <c r="EI114" s="437"/>
      <c r="EJ114" s="437"/>
      <c r="EK114" s="437"/>
      <c r="EL114" s="437"/>
      <c r="EM114" s="359"/>
      <c r="EN114" s="359"/>
      <c r="EO114" s="359"/>
      <c r="EP114" s="359"/>
      <c r="EQ114" s="359"/>
      <c r="ER114" s="359"/>
      <c r="ES114" s="437"/>
      <c r="ET114" s="437"/>
      <c r="EU114" s="437"/>
      <c r="EV114" s="437"/>
      <c r="EW114" s="437"/>
      <c r="EX114" s="437"/>
      <c r="EY114" s="437"/>
      <c r="EZ114" s="437"/>
      <c r="FA114" s="437"/>
      <c r="FB114" s="437"/>
      <c r="FC114" s="437"/>
      <c r="FD114" s="437"/>
      <c r="FE114" s="437"/>
      <c r="FF114" s="437"/>
      <c r="FG114" s="437"/>
      <c r="FH114" s="437"/>
      <c r="FI114" s="437"/>
      <c r="FJ114" s="437"/>
      <c r="FK114" s="437"/>
      <c r="FL114" s="437"/>
      <c r="FM114" s="437"/>
      <c r="FN114" s="359"/>
      <c r="FO114" s="359"/>
      <c r="FP114" s="359"/>
      <c r="FQ114" s="359"/>
      <c r="FR114" s="359"/>
      <c r="FS114" s="359"/>
      <c r="FT114" s="437"/>
      <c r="FU114" s="437"/>
      <c r="FV114" s="437"/>
      <c r="FW114" s="437"/>
      <c r="FX114" s="359"/>
      <c r="FY114" s="359"/>
      <c r="FZ114" s="359"/>
      <c r="GA114" s="359"/>
      <c r="GB114" s="359"/>
      <c r="GC114" s="359"/>
      <c r="GD114" s="437"/>
      <c r="GE114" s="437"/>
      <c r="GF114" s="437"/>
      <c r="GG114" s="437"/>
      <c r="GH114" s="359"/>
      <c r="GI114" s="359"/>
      <c r="GJ114" s="359"/>
      <c r="GK114" s="359"/>
      <c r="GL114" s="359"/>
      <c r="GM114" s="359"/>
      <c r="GN114" s="437"/>
      <c r="GO114" s="437"/>
      <c r="GP114" s="437"/>
      <c r="GQ114" s="437"/>
      <c r="GR114" s="437"/>
      <c r="GS114" s="437"/>
      <c r="GT114" s="437"/>
      <c r="GU114" s="437"/>
      <c r="GV114" s="437"/>
      <c r="GW114" s="437"/>
      <c r="GX114" s="359"/>
      <c r="GY114" s="359"/>
      <c r="GZ114" s="359"/>
      <c r="HA114" s="359"/>
      <c r="HB114" s="359"/>
      <c r="HC114" s="359"/>
      <c r="HD114" s="437"/>
      <c r="HE114" s="437"/>
      <c r="HF114" s="437"/>
      <c r="HG114" s="437"/>
      <c r="HH114" s="437"/>
      <c r="HI114" s="437"/>
      <c r="HJ114" s="437"/>
      <c r="HK114" s="437"/>
      <c r="HL114" s="437"/>
      <c r="HM114" s="437"/>
      <c r="HN114" s="437"/>
      <c r="HO114" s="437"/>
      <c r="HP114" s="437"/>
      <c r="HQ114" s="437"/>
      <c r="HR114" s="437"/>
      <c r="HS114" s="437"/>
      <c r="HT114" s="437"/>
      <c r="HU114" s="359"/>
      <c r="HV114" s="359"/>
      <c r="HW114" s="359"/>
      <c r="HX114" s="359"/>
      <c r="HY114" s="359"/>
      <c r="HZ114" s="359"/>
      <c r="IA114" s="437"/>
      <c r="IB114" s="437"/>
      <c r="IC114" s="437"/>
      <c r="ID114" s="437"/>
      <c r="IE114" s="359"/>
      <c r="IF114" s="359"/>
      <c r="IG114" s="359"/>
      <c r="IH114" s="359"/>
      <c r="II114" s="359"/>
      <c r="IJ114" s="359"/>
      <c r="IK114" s="437"/>
      <c r="IL114" s="437"/>
      <c r="IM114" s="437"/>
      <c r="IN114" s="437"/>
      <c r="IO114" s="359"/>
      <c r="IP114" s="359"/>
      <c r="IQ114" s="359"/>
      <c r="IR114" s="359"/>
      <c r="IS114" s="359"/>
      <c r="IT114" s="359"/>
      <c r="IU114" s="437"/>
      <c r="IV114" s="437"/>
      <c r="IW114" s="437"/>
      <c r="IX114" s="437"/>
      <c r="IY114" s="359"/>
      <c r="IZ114" s="359"/>
      <c r="JA114" s="359"/>
      <c r="JB114" s="359"/>
      <c r="JC114" s="359"/>
      <c r="JD114" s="359"/>
      <c r="JE114" s="437"/>
      <c r="JF114" s="437"/>
      <c r="JG114" s="437"/>
      <c r="JH114" s="437"/>
      <c r="JI114" s="437"/>
      <c r="JJ114" s="437"/>
      <c r="JK114" s="437"/>
      <c r="JL114" s="437"/>
      <c r="JM114" s="437"/>
      <c r="JN114" s="437"/>
      <c r="JO114" s="437"/>
      <c r="JP114" s="359"/>
      <c r="JQ114" s="359"/>
      <c r="JR114" s="359"/>
      <c r="JS114" s="359"/>
      <c r="JT114" s="359"/>
      <c r="JU114" s="359"/>
      <c r="JV114" s="437"/>
      <c r="JW114" s="437"/>
      <c r="JX114" s="437"/>
      <c r="JY114" s="437"/>
      <c r="JZ114" s="437"/>
      <c r="KA114" s="462"/>
      <c r="KB114" s="462"/>
      <c r="KC114" s="462"/>
      <c r="KD114" s="462"/>
      <c r="KE114" s="462"/>
      <c r="KF114" s="462"/>
      <c r="KG114" s="359"/>
      <c r="KH114" s="359"/>
      <c r="KI114" s="359"/>
      <c r="KJ114" s="461"/>
      <c r="KK114" s="359"/>
      <c r="KL114" s="359"/>
      <c r="KM114" s="359"/>
      <c r="KN114" s="359"/>
      <c r="KO114" s="359"/>
      <c r="KP114" s="359"/>
      <c r="KQ114" s="359"/>
    </row>
    <row r="115" spans="1:303" ht="15" x14ac:dyDescent="0.3">
      <c r="A115" s="359"/>
      <c r="B115" s="359"/>
      <c r="C115" s="458"/>
      <c r="D115" s="459"/>
      <c r="E115" s="359"/>
      <c r="F115" s="359"/>
      <c r="G115" s="359"/>
      <c r="H115" s="359"/>
      <c r="I115" s="359"/>
      <c r="J115" s="359"/>
      <c r="K115" s="437"/>
      <c r="L115" s="437"/>
      <c r="M115" s="460"/>
      <c r="N115" s="437"/>
      <c r="O115" s="359"/>
      <c r="P115" s="359"/>
      <c r="Q115" s="359"/>
      <c r="R115" s="359"/>
      <c r="S115" s="359"/>
      <c r="T115" s="359"/>
      <c r="U115" s="437"/>
      <c r="V115" s="437"/>
      <c r="W115" s="460"/>
      <c r="X115" s="437"/>
      <c r="Y115" s="359"/>
      <c r="Z115" s="359"/>
      <c r="AA115" s="359"/>
      <c r="AB115" s="359"/>
      <c r="AC115" s="359"/>
      <c r="AD115" s="359"/>
      <c r="AE115" s="437"/>
      <c r="AF115" s="437"/>
      <c r="AG115" s="437"/>
      <c r="AH115" s="437"/>
      <c r="AI115" s="359"/>
      <c r="AJ115" s="359"/>
      <c r="AK115" s="359"/>
      <c r="AL115" s="359"/>
      <c r="AM115" s="359"/>
      <c r="AN115" s="359"/>
      <c r="AO115" s="437"/>
      <c r="AP115" s="437"/>
      <c r="AQ115" s="460"/>
      <c r="AR115" s="437"/>
      <c r="AS115" s="437"/>
      <c r="AT115" s="437"/>
      <c r="AU115" s="437"/>
      <c r="AV115" s="437"/>
      <c r="AW115" s="359"/>
      <c r="AX115" s="359"/>
      <c r="AY115" s="461"/>
      <c r="AZ115" s="545"/>
      <c r="BA115" s="545"/>
      <c r="BB115" s="545"/>
      <c r="BC115" s="545"/>
      <c r="BD115" s="359"/>
      <c r="BE115" s="359"/>
      <c r="BF115" s="359"/>
      <c r="BG115" s="359"/>
      <c r="BH115" s="359"/>
      <c r="BI115" s="359"/>
      <c r="BJ115" s="437"/>
      <c r="BK115" s="437"/>
      <c r="BL115" s="437"/>
      <c r="BM115" s="437"/>
      <c r="BN115" s="359"/>
      <c r="BO115" s="359"/>
      <c r="BP115" s="359"/>
      <c r="BQ115" s="359"/>
      <c r="BR115" s="359"/>
      <c r="BS115" s="359"/>
      <c r="BT115" s="437"/>
      <c r="BU115" s="437"/>
      <c r="BV115" s="437"/>
      <c r="BW115" s="437"/>
      <c r="BX115" s="437"/>
      <c r="BY115" s="437"/>
      <c r="BZ115" s="437"/>
      <c r="CA115" s="437"/>
      <c r="CB115" s="437"/>
      <c r="CC115" s="359"/>
      <c r="CD115" s="359"/>
      <c r="CE115" s="359"/>
      <c r="CF115" s="359"/>
      <c r="CG115" s="359"/>
      <c r="CH115" s="359"/>
      <c r="CI115" s="437"/>
      <c r="CJ115" s="437"/>
      <c r="CK115" s="460"/>
      <c r="CL115" s="437"/>
      <c r="CM115" s="359"/>
      <c r="CN115" s="359"/>
      <c r="CO115" s="359"/>
      <c r="CP115" s="359"/>
      <c r="CQ115" s="359"/>
      <c r="CR115" s="359"/>
      <c r="CS115" s="437"/>
      <c r="CT115" s="437"/>
      <c r="CU115" s="437"/>
      <c r="CV115" s="437"/>
      <c r="CW115" s="437"/>
      <c r="CX115" s="437"/>
      <c r="CY115" s="437"/>
      <c r="CZ115" s="437"/>
      <c r="DA115" s="437"/>
      <c r="DB115" s="437"/>
      <c r="DC115" s="437"/>
      <c r="DD115" s="437"/>
      <c r="DE115" s="437"/>
      <c r="DF115" s="437"/>
      <c r="DG115" s="437"/>
      <c r="DH115" s="437"/>
      <c r="DI115" s="359"/>
      <c r="DJ115" s="359"/>
      <c r="DK115" s="359"/>
      <c r="DL115" s="359"/>
      <c r="DM115" s="359"/>
      <c r="DN115" s="359"/>
      <c r="DO115" s="437"/>
      <c r="DP115" s="437"/>
      <c r="DQ115" s="437"/>
      <c r="DR115" s="437"/>
      <c r="DS115" s="359"/>
      <c r="DT115" s="359"/>
      <c r="DU115" s="359"/>
      <c r="DV115" s="359"/>
      <c r="DW115" s="359"/>
      <c r="DX115" s="359"/>
      <c r="DY115" s="437"/>
      <c r="DZ115" s="437"/>
      <c r="EA115" s="437"/>
      <c r="EB115" s="437"/>
      <c r="EC115" s="359"/>
      <c r="ED115" s="359"/>
      <c r="EE115" s="359"/>
      <c r="EF115" s="359"/>
      <c r="EG115" s="359"/>
      <c r="EH115" s="359"/>
      <c r="EI115" s="437"/>
      <c r="EJ115" s="437"/>
      <c r="EK115" s="437"/>
      <c r="EL115" s="437"/>
      <c r="EM115" s="359"/>
      <c r="EN115" s="359"/>
      <c r="EO115" s="359"/>
      <c r="EP115" s="359"/>
      <c r="EQ115" s="359"/>
      <c r="ER115" s="359"/>
      <c r="ES115" s="437"/>
      <c r="ET115" s="437"/>
      <c r="EU115" s="437"/>
      <c r="EV115" s="437"/>
      <c r="EW115" s="437"/>
      <c r="EX115" s="437"/>
      <c r="EY115" s="437"/>
      <c r="EZ115" s="437"/>
      <c r="FA115" s="437"/>
      <c r="FB115" s="437"/>
      <c r="FC115" s="437"/>
      <c r="FD115" s="437"/>
      <c r="FE115" s="437"/>
      <c r="FF115" s="437"/>
      <c r="FG115" s="437"/>
      <c r="FH115" s="437"/>
      <c r="FI115" s="437"/>
      <c r="FJ115" s="437"/>
      <c r="FK115" s="437"/>
      <c r="FL115" s="437"/>
      <c r="FM115" s="437"/>
      <c r="FN115" s="359"/>
      <c r="FO115" s="359"/>
      <c r="FP115" s="359"/>
      <c r="FQ115" s="359"/>
      <c r="FR115" s="359"/>
      <c r="FS115" s="359"/>
      <c r="FT115" s="437"/>
      <c r="FU115" s="437"/>
      <c r="FV115" s="437"/>
      <c r="FW115" s="437"/>
      <c r="FX115" s="359"/>
      <c r="FY115" s="359"/>
      <c r="FZ115" s="359"/>
      <c r="GA115" s="359"/>
      <c r="GB115" s="359"/>
      <c r="GC115" s="359"/>
      <c r="GD115" s="437"/>
      <c r="GE115" s="437"/>
      <c r="GF115" s="437"/>
      <c r="GG115" s="437"/>
      <c r="GH115" s="359"/>
      <c r="GI115" s="359"/>
      <c r="GJ115" s="359"/>
      <c r="GK115" s="359"/>
      <c r="GL115" s="359"/>
      <c r="GM115" s="359"/>
      <c r="GN115" s="437"/>
      <c r="GO115" s="437"/>
      <c r="GP115" s="437"/>
      <c r="GQ115" s="437"/>
      <c r="GR115" s="437"/>
      <c r="GS115" s="437"/>
      <c r="GT115" s="437"/>
      <c r="GU115" s="437"/>
      <c r="GV115" s="437"/>
      <c r="GW115" s="437"/>
      <c r="GX115" s="359"/>
      <c r="GY115" s="359"/>
      <c r="GZ115" s="359"/>
      <c r="HA115" s="359"/>
      <c r="HB115" s="359"/>
      <c r="HC115" s="359"/>
      <c r="HD115" s="437"/>
      <c r="HE115" s="437"/>
      <c r="HF115" s="437"/>
      <c r="HG115" s="437"/>
      <c r="HH115" s="437"/>
      <c r="HI115" s="437"/>
      <c r="HJ115" s="437"/>
      <c r="HK115" s="437"/>
      <c r="HL115" s="437"/>
      <c r="HM115" s="437"/>
      <c r="HN115" s="437"/>
      <c r="HO115" s="437"/>
      <c r="HP115" s="437"/>
      <c r="HQ115" s="437"/>
      <c r="HR115" s="437"/>
      <c r="HS115" s="437"/>
      <c r="HT115" s="437"/>
      <c r="HU115" s="359"/>
      <c r="HV115" s="359"/>
      <c r="HW115" s="359"/>
      <c r="HX115" s="359"/>
      <c r="HY115" s="359"/>
      <c r="HZ115" s="359"/>
      <c r="IA115" s="437"/>
      <c r="IB115" s="437"/>
      <c r="IC115" s="437"/>
      <c r="ID115" s="437"/>
      <c r="IE115" s="359"/>
      <c r="IF115" s="359"/>
      <c r="IG115" s="359"/>
      <c r="IH115" s="359"/>
      <c r="II115" s="359"/>
      <c r="IJ115" s="359"/>
      <c r="IK115" s="437"/>
      <c r="IL115" s="437"/>
      <c r="IM115" s="437"/>
      <c r="IN115" s="437"/>
      <c r="IO115" s="359"/>
      <c r="IP115" s="359"/>
      <c r="IQ115" s="359"/>
      <c r="IR115" s="359"/>
      <c r="IS115" s="359"/>
      <c r="IT115" s="359"/>
      <c r="IU115" s="437"/>
      <c r="IV115" s="437"/>
      <c r="IW115" s="437"/>
      <c r="IX115" s="437"/>
      <c r="IY115" s="359"/>
      <c r="IZ115" s="359"/>
      <c r="JA115" s="359"/>
      <c r="JB115" s="359"/>
      <c r="JC115" s="359"/>
      <c r="JD115" s="359"/>
      <c r="JE115" s="437"/>
      <c r="JF115" s="437"/>
      <c r="JG115" s="437"/>
      <c r="JH115" s="437"/>
      <c r="JI115" s="437"/>
      <c r="JJ115" s="437"/>
      <c r="JK115" s="437"/>
      <c r="JL115" s="437"/>
      <c r="JM115" s="437"/>
      <c r="JN115" s="437"/>
      <c r="JO115" s="437"/>
      <c r="JP115" s="359"/>
      <c r="JQ115" s="359"/>
      <c r="JR115" s="359"/>
      <c r="JS115" s="359"/>
      <c r="JT115" s="359"/>
      <c r="JU115" s="359"/>
      <c r="JV115" s="437"/>
      <c r="JW115" s="437"/>
      <c r="JX115" s="437"/>
      <c r="JY115" s="437"/>
      <c r="JZ115" s="437"/>
      <c r="KA115" s="462"/>
      <c r="KB115" s="462"/>
      <c r="KC115" s="462"/>
      <c r="KD115" s="462"/>
      <c r="KE115" s="462"/>
      <c r="KF115" s="462"/>
      <c r="KG115" s="359"/>
      <c r="KH115" s="359"/>
      <c r="KI115" s="359"/>
      <c r="KJ115" s="461"/>
      <c r="KK115" s="359"/>
      <c r="KL115" s="359"/>
      <c r="KM115" s="359"/>
      <c r="KN115" s="359"/>
      <c r="KO115" s="359"/>
      <c r="KP115" s="359"/>
      <c r="KQ115" s="359"/>
    </row>
    <row r="116" spans="1:303" ht="15" x14ac:dyDescent="0.3">
      <c r="A116" s="359"/>
      <c r="B116" s="359"/>
      <c r="C116" s="458"/>
      <c r="D116" s="459"/>
      <c r="E116" s="359"/>
      <c r="F116" s="359"/>
      <c r="G116" s="359"/>
      <c r="H116" s="359"/>
      <c r="I116" s="359"/>
      <c r="J116" s="359"/>
      <c r="K116" s="437"/>
      <c r="L116" s="437"/>
      <c r="M116" s="460"/>
      <c r="N116" s="437"/>
      <c r="O116" s="359"/>
      <c r="P116" s="359"/>
      <c r="Q116" s="359"/>
      <c r="R116" s="359"/>
      <c r="S116" s="359"/>
      <c r="T116" s="359"/>
      <c r="U116" s="437"/>
      <c r="V116" s="437"/>
      <c r="W116" s="460"/>
      <c r="X116" s="437"/>
      <c r="Y116" s="359"/>
      <c r="Z116" s="359"/>
      <c r="AA116" s="359"/>
      <c r="AB116" s="359"/>
      <c r="AC116" s="359"/>
      <c r="AD116" s="359"/>
      <c r="AE116" s="437"/>
      <c r="AF116" s="437"/>
      <c r="AG116" s="437"/>
      <c r="AH116" s="437"/>
      <c r="AI116" s="359"/>
      <c r="AJ116" s="359"/>
      <c r="AK116" s="359"/>
      <c r="AL116" s="359"/>
      <c r="AM116" s="359"/>
      <c r="AN116" s="359"/>
      <c r="AO116" s="437"/>
      <c r="AP116" s="437"/>
      <c r="AQ116" s="460"/>
      <c r="AR116" s="437"/>
      <c r="AS116" s="437"/>
      <c r="AT116" s="437"/>
      <c r="AU116" s="437"/>
      <c r="AV116" s="437"/>
      <c r="AW116" s="359"/>
      <c r="AX116" s="359"/>
      <c r="AY116" s="461"/>
      <c r="AZ116" s="545"/>
      <c r="BA116" s="545"/>
      <c r="BB116" s="545"/>
      <c r="BC116" s="545"/>
      <c r="BD116" s="359"/>
      <c r="BE116" s="359"/>
      <c r="BF116" s="359"/>
      <c r="BG116" s="359"/>
      <c r="BH116" s="359"/>
      <c r="BI116" s="359"/>
      <c r="BJ116" s="437"/>
      <c r="BK116" s="437"/>
      <c r="BL116" s="437"/>
      <c r="BM116" s="437"/>
      <c r="BN116" s="359"/>
      <c r="BO116" s="359"/>
      <c r="BP116" s="359"/>
      <c r="BQ116" s="359"/>
      <c r="BR116" s="359"/>
      <c r="BS116" s="359"/>
      <c r="BT116" s="437"/>
      <c r="BU116" s="437"/>
      <c r="BV116" s="437"/>
      <c r="BW116" s="437"/>
      <c r="BX116" s="437"/>
      <c r="BY116" s="437"/>
      <c r="BZ116" s="437"/>
      <c r="CA116" s="437"/>
      <c r="CB116" s="437"/>
      <c r="CC116" s="359"/>
      <c r="CD116" s="359"/>
      <c r="CE116" s="359"/>
      <c r="CF116" s="359"/>
      <c r="CG116" s="359"/>
      <c r="CH116" s="359"/>
      <c r="CI116" s="437"/>
      <c r="CJ116" s="437"/>
      <c r="CK116" s="460"/>
      <c r="CL116" s="437"/>
      <c r="CM116" s="359"/>
      <c r="CN116" s="359"/>
      <c r="CO116" s="359"/>
      <c r="CP116" s="359"/>
      <c r="CQ116" s="359"/>
      <c r="CR116" s="359"/>
      <c r="CS116" s="437"/>
      <c r="CT116" s="437"/>
      <c r="CU116" s="437"/>
      <c r="CV116" s="437"/>
      <c r="CW116" s="437"/>
      <c r="CX116" s="437"/>
      <c r="CY116" s="437"/>
      <c r="CZ116" s="437"/>
      <c r="DA116" s="437"/>
      <c r="DB116" s="437"/>
      <c r="DC116" s="437"/>
      <c r="DD116" s="437"/>
      <c r="DE116" s="437"/>
      <c r="DF116" s="437"/>
      <c r="DG116" s="437"/>
      <c r="DH116" s="437"/>
      <c r="DI116" s="359"/>
      <c r="DJ116" s="359"/>
      <c r="DK116" s="359"/>
      <c r="DL116" s="359"/>
      <c r="DM116" s="359"/>
      <c r="DN116" s="359"/>
      <c r="DO116" s="437"/>
      <c r="DP116" s="437"/>
      <c r="DQ116" s="437"/>
      <c r="DR116" s="437"/>
      <c r="DS116" s="359"/>
      <c r="DT116" s="359"/>
      <c r="DU116" s="359"/>
      <c r="DV116" s="359"/>
      <c r="DW116" s="359"/>
      <c r="DX116" s="359"/>
      <c r="DY116" s="437"/>
      <c r="DZ116" s="437"/>
      <c r="EA116" s="437"/>
      <c r="EB116" s="437"/>
      <c r="EC116" s="359"/>
      <c r="ED116" s="359"/>
      <c r="EE116" s="359"/>
      <c r="EF116" s="359"/>
      <c r="EG116" s="359"/>
      <c r="EH116" s="359"/>
      <c r="EI116" s="437"/>
      <c r="EJ116" s="437"/>
      <c r="EK116" s="437"/>
      <c r="EL116" s="437"/>
      <c r="EM116" s="359"/>
      <c r="EN116" s="359"/>
      <c r="EO116" s="359"/>
      <c r="EP116" s="359"/>
      <c r="EQ116" s="359"/>
      <c r="ER116" s="359"/>
      <c r="ES116" s="437"/>
      <c r="ET116" s="437"/>
      <c r="EU116" s="437"/>
      <c r="EV116" s="437"/>
      <c r="EW116" s="437"/>
      <c r="EX116" s="437"/>
      <c r="EY116" s="437"/>
      <c r="EZ116" s="437"/>
      <c r="FA116" s="437"/>
      <c r="FB116" s="437"/>
      <c r="FC116" s="437"/>
      <c r="FD116" s="437"/>
      <c r="FE116" s="437"/>
      <c r="FF116" s="437"/>
      <c r="FG116" s="437"/>
      <c r="FH116" s="437"/>
      <c r="FI116" s="437"/>
      <c r="FJ116" s="437"/>
      <c r="FK116" s="437"/>
      <c r="FL116" s="437"/>
      <c r="FM116" s="437"/>
      <c r="FN116" s="359"/>
      <c r="FO116" s="359"/>
      <c r="FP116" s="359"/>
      <c r="FQ116" s="359"/>
      <c r="FR116" s="359"/>
      <c r="FS116" s="359"/>
      <c r="FT116" s="437"/>
      <c r="FU116" s="437"/>
      <c r="FV116" s="437"/>
      <c r="FW116" s="437"/>
      <c r="FX116" s="359"/>
      <c r="FY116" s="359"/>
      <c r="FZ116" s="359"/>
      <c r="GA116" s="359"/>
      <c r="GB116" s="359"/>
      <c r="GC116" s="359"/>
      <c r="GD116" s="437"/>
      <c r="GE116" s="437"/>
      <c r="GF116" s="437"/>
      <c r="GG116" s="437"/>
      <c r="GH116" s="359"/>
      <c r="GI116" s="359"/>
      <c r="GJ116" s="359"/>
      <c r="GK116" s="359"/>
      <c r="GL116" s="359"/>
      <c r="GM116" s="359"/>
      <c r="GN116" s="437"/>
      <c r="GO116" s="437"/>
      <c r="GP116" s="437"/>
      <c r="GQ116" s="437"/>
      <c r="GR116" s="437"/>
      <c r="GS116" s="437"/>
      <c r="GT116" s="437"/>
      <c r="GU116" s="437"/>
      <c r="GV116" s="437"/>
      <c r="GW116" s="437"/>
      <c r="GX116" s="359"/>
      <c r="GY116" s="359"/>
      <c r="GZ116" s="359"/>
      <c r="HA116" s="359"/>
      <c r="HB116" s="359"/>
      <c r="HC116" s="359"/>
      <c r="HD116" s="437"/>
      <c r="HE116" s="437"/>
      <c r="HF116" s="437"/>
      <c r="HG116" s="437"/>
      <c r="HH116" s="437"/>
      <c r="HI116" s="437"/>
      <c r="HJ116" s="437"/>
      <c r="HK116" s="437"/>
      <c r="HL116" s="437"/>
      <c r="HM116" s="437"/>
      <c r="HN116" s="437"/>
      <c r="HO116" s="437"/>
      <c r="HP116" s="437"/>
      <c r="HQ116" s="437"/>
      <c r="HR116" s="437"/>
      <c r="HS116" s="437"/>
      <c r="HT116" s="437"/>
      <c r="HU116" s="359"/>
      <c r="HV116" s="359"/>
      <c r="HW116" s="359"/>
      <c r="HX116" s="359"/>
      <c r="HY116" s="359"/>
      <c r="HZ116" s="359"/>
      <c r="IA116" s="437"/>
      <c r="IB116" s="437"/>
      <c r="IC116" s="437"/>
      <c r="ID116" s="437"/>
      <c r="IE116" s="359"/>
      <c r="IF116" s="359"/>
      <c r="IG116" s="359"/>
      <c r="IH116" s="359"/>
      <c r="II116" s="359"/>
      <c r="IJ116" s="359"/>
      <c r="IK116" s="437"/>
      <c r="IL116" s="437"/>
      <c r="IM116" s="437"/>
      <c r="IN116" s="437"/>
      <c r="IO116" s="359"/>
      <c r="IP116" s="359"/>
      <c r="IQ116" s="359"/>
      <c r="IR116" s="359"/>
      <c r="IS116" s="359"/>
      <c r="IT116" s="359"/>
      <c r="IU116" s="437"/>
      <c r="IV116" s="437"/>
      <c r="IW116" s="437"/>
      <c r="IX116" s="437"/>
      <c r="IY116" s="359"/>
      <c r="IZ116" s="359"/>
      <c r="JA116" s="359"/>
      <c r="JB116" s="359"/>
      <c r="JC116" s="359"/>
      <c r="JD116" s="359"/>
      <c r="JE116" s="437"/>
      <c r="JF116" s="437"/>
      <c r="JG116" s="437"/>
      <c r="JH116" s="437"/>
      <c r="JI116" s="437"/>
      <c r="JJ116" s="437"/>
      <c r="JK116" s="437"/>
      <c r="JL116" s="437"/>
      <c r="JM116" s="437"/>
      <c r="JN116" s="437"/>
      <c r="JO116" s="437"/>
      <c r="JP116" s="359"/>
      <c r="JQ116" s="359"/>
      <c r="JR116" s="359"/>
      <c r="JS116" s="359"/>
      <c r="JT116" s="359"/>
      <c r="JU116" s="359"/>
      <c r="JV116" s="437"/>
      <c r="JW116" s="437"/>
      <c r="JX116" s="437"/>
      <c r="JY116" s="437"/>
      <c r="JZ116" s="437"/>
      <c r="KA116" s="462"/>
      <c r="KB116" s="462"/>
      <c r="KC116" s="462"/>
      <c r="KD116" s="462"/>
      <c r="KE116" s="462"/>
      <c r="KF116" s="462"/>
      <c r="KG116" s="359"/>
      <c r="KH116" s="359"/>
      <c r="KI116" s="359"/>
      <c r="KJ116" s="461"/>
      <c r="KK116" s="359"/>
      <c r="KL116" s="359"/>
      <c r="KM116" s="359"/>
      <c r="KN116" s="359"/>
      <c r="KO116" s="359"/>
      <c r="KP116" s="359"/>
      <c r="KQ116" s="359"/>
    </row>
    <row r="117" spans="1:303" ht="15" x14ac:dyDescent="0.3">
      <c r="A117" s="359"/>
      <c r="B117" s="359"/>
      <c r="C117" s="458"/>
      <c r="D117" s="459"/>
      <c r="E117" s="359"/>
      <c r="F117" s="359"/>
      <c r="G117" s="359"/>
      <c r="H117" s="359"/>
      <c r="I117" s="359"/>
      <c r="J117" s="359"/>
      <c r="K117" s="437"/>
      <c r="L117" s="437"/>
      <c r="M117" s="460"/>
      <c r="N117" s="437"/>
      <c r="O117" s="359"/>
      <c r="P117" s="359"/>
      <c r="Q117" s="359"/>
      <c r="R117" s="359"/>
      <c r="S117" s="359"/>
      <c r="T117" s="359"/>
      <c r="U117" s="437"/>
      <c r="V117" s="437"/>
      <c r="W117" s="460"/>
      <c r="X117" s="437"/>
      <c r="Y117" s="359"/>
      <c r="Z117" s="359"/>
      <c r="AA117" s="359"/>
      <c r="AB117" s="359"/>
      <c r="AC117" s="359"/>
      <c r="AD117" s="359"/>
      <c r="AE117" s="437"/>
      <c r="AF117" s="437"/>
      <c r="AG117" s="437"/>
      <c r="AH117" s="437"/>
      <c r="AI117" s="359"/>
      <c r="AJ117" s="359"/>
      <c r="AK117" s="359"/>
      <c r="AL117" s="359"/>
      <c r="AM117" s="359"/>
      <c r="AN117" s="359"/>
      <c r="AO117" s="437"/>
      <c r="AP117" s="437"/>
      <c r="AQ117" s="460"/>
      <c r="AR117" s="437"/>
      <c r="AS117" s="437"/>
      <c r="AT117" s="437"/>
      <c r="AU117" s="437"/>
      <c r="AV117" s="437"/>
      <c r="AW117" s="359"/>
      <c r="AX117" s="359"/>
      <c r="AY117" s="461"/>
      <c r="AZ117" s="545"/>
      <c r="BA117" s="545"/>
      <c r="BB117" s="545"/>
      <c r="BC117" s="545"/>
      <c r="BD117" s="359"/>
      <c r="BE117" s="359"/>
      <c r="BF117" s="359"/>
      <c r="BG117" s="359"/>
      <c r="BH117" s="359"/>
      <c r="BI117" s="359"/>
      <c r="BJ117" s="437"/>
      <c r="BK117" s="437"/>
      <c r="BL117" s="437"/>
      <c r="BM117" s="437"/>
      <c r="BN117" s="359"/>
      <c r="BO117" s="359"/>
      <c r="BP117" s="359"/>
      <c r="BQ117" s="359"/>
      <c r="BR117" s="359"/>
      <c r="BS117" s="359"/>
      <c r="BT117" s="437"/>
      <c r="BU117" s="437"/>
      <c r="BV117" s="437"/>
      <c r="BW117" s="437"/>
      <c r="BX117" s="437"/>
      <c r="BY117" s="437"/>
      <c r="BZ117" s="437"/>
      <c r="CA117" s="437"/>
      <c r="CB117" s="437"/>
      <c r="CC117" s="359"/>
      <c r="CD117" s="359"/>
      <c r="CE117" s="359"/>
      <c r="CF117" s="359"/>
      <c r="CG117" s="359"/>
      <c r="CH117" s="359"/>
      <c r="CI117" s="437"/>
      <c r="CJ117" s="437"/>
      <c r="CK117" s="460"/>
      <c r="CL117" s="437"/>
      <c r="CM117" s="359"/>
      <c r="CN117" s="359"/>
      <c r="CO117" s="359"/>
      <c r="CP117" s="359"/>
      <c r="CQ117" s="359"/>
      <c r="CR117" s="359"/>
      <c r="CS117" s="437"/>
      <c r="CT117" s="437"/>
      <c r="CU117" s="437"/>
      <c r="CV117" s="437"/>
      <c r="CW117" s="437"/>
      <c r="CX117" s="437"/>
      <c r="CY117" s="437"/>
      <c r="CZ117" s="437"/>
      <c r="DA117" s="437"/>
      <c r="DB117" s="437"/>
      <c r="DC117" s="437"/>
      <c r="DD117" s="437"/>
      <c r="DE117" s="437"/>
      <c r="DF117" s="437"/>
      <c r="DG117" s="437"/>
      <c r="DH117" s="437"/>
      <c r="DI117" s="359"/>
      <c r="DJ117" s="359"/>
      <c r="DK117" s="359"/>
      <c r="DL117" s="359"/>
      <c r="DM117" s="359"/>
      <c r="DN117" s="359"/>
      <c r="DO117" s="437"/>
      <c r="DP117" s="437"/>
      <c r="DQ117" s="437"/>
      <c r="DR117" s="437"/>
      <c r="DS117" s="359"/>
      <c r="DT117" s="359"/>
      <c r="DU117" s="359"/>
      <c r="DV117" s="359"/>
      <c r="DW117" s="359"/>
      <c r="DX117" s="359"/>
      <c r="DY117" s="437"/>
      <c r="DZ117" s="437"/>
      <c r="EA117" s="437"/>
      <c r="EB117" s="437"/>
      <c r="EC117" s="359"/>
      <c r="ED117" s="359"/>
      <c r="EE117" s="359"/>
      <c r="EF117" s="359"/>
      <c r="EG117" s="359"/>
      <c r="EH117" s="359"/>
      <c r="EI117" s="437"/>
      <c r="EJ117" s="437"/>
      <c r="EK117" s="437"/>
      <c r="EL117" s="437"/>
      <c r="EM117" s="359"/>
      <c r="EN117" s="359"/>
      <c r="EO117" s="359"/>
      <c r="EP117" s="359"/>
      <c r="EQ117" s="359"/>
      <c r="ER117" s="359"/>
      <c r="ES117" s="437"/>
      <c r="ET117" s="437"/>
      <c r="EU117" s="437"/>
      <c r="EV117" s="437"/>
      <c r="EW117" s="437"/>
      <c r="EX117" s="437"/>
      <c r="EY117" s="437"/>
      <c r="EZ117" s="437"/>
      <c r="FA117" s="437"/>
      <c r="FB117" s="437"/>
      <c r="FC117" s="437"/>
      <c r="FD117" s="437"/>
      <c r="FE117" s="437"/>
      <c r="FF117" s="437"/>
      <c r="FG117" s="437"/>
      <c r="FH117" s="437"/>
      <c r="FI117" s="437"/>
      <c r="FJ117" s="437"/>
      <c r="FK117" s="437"/>
      <c r="FL117" s="437"/>
      <c r="FM117" s="437"/>
      <c r="FN117" s="359"/>
      <c r="FO117" s="359"/>
      <c r="FP117" s="359"/>
      <c r="FQ117" s="359"/>
      <c r="FR117" s="359"/>
      <c r="FS117" s="359"/>
      <c r="FT117" s="437"/>
      <c r="FU117" s="437"/>
      <c r="FV117" s="437"/>
      <c r="FW117" s="437"/>
      <c r="FX117" s="359"/>
      <c r="FY117" s="359"/>
      <c r="FZ117" s="359"/>
      <c r="GA117" s="359"/>
      <c r="GB117" s="359"/>
      <c r="GC117" s="359"/>
      <c r="GD117" s="437"/>
      <c r="GE117" s="437"/>
      <c r="GF117" s="437"/>
      <c r="GG117" s="437"/>
      <c r="GH117" s="359"/>
      <c r="GI117" s="359"/>
      <c r="GJ117" s="359"/>
      <c r="GK117" s="359"/>
      <c r="GL117" s="359"/>
      <c r="GM117" s="359"/>
      <c r="GN117" s="437"/>
      <c r="GO117" s="437"/>
      <c r="GP117" s="437"/>
      <c r="GQ117" s="437"/>
      <c r="GR117" s="437"/>
      <c r="GS117" s="437"/>
      <c r="GT117" s="437"/>
      <c r="GU117" s="437"/>
      <c r="GV117" s="437"/>
      <c r="GW117" s="437"/>
      <c r="GX117" s="359"/>
      <c r="GY117" s="359"/>
      <c r="GZ117" s="359"/>
      <c r="HA117" s="359"/>
      <c r="HB117" s="359"/>
      <c r="HC117" s="359"/>
      <c r="HD117" s="437"/>
      <c r="HE117" s="437"/>
      <c r="HF117" s="437"/>
      <c r="HG117" s="437"/>
      <c r="HH117" s="437"/>
      <c r="HI117" s="437"/>
      <c r="HJ117" s="437"/>
      <c r="HK117" s="437"/>
      <c r="HL117" s="437"/>
      <c r="HM117" s="437"/>
      <c r="HN117" s="437"/>
      <c r="HO117" s="437"/>
      <c r="HP117" s="437"/>
      <c r="HQ117" s="437"/>
      <c r="HR117" s="437"/>
      <c r="HS117" s="437"/>
      <c r="HT117" s="437"/>
      <c r="HU117" s="359"/>
      <c r="HV117" s="359"/>
      <c r="HW117" s="359"/>
      <c r="HX117" s="359"/>
      <c r="HY117" s="359"/>
      <c r="HZ117" s="359"/>
      <c r="IA117" s="437"/>
      <c r="IB117" s="437"/>
      <c r="IC117" s="437"/>
      <c r="ID117" s="437"/>
      <c r="IE117" s="359"/>
      <c r="IF117" s="359"/>
      <c r="IG117" s="359"/>
      <c r="IH117" s="359"/>
      <c r="II117" s="359"/>
      <c r="IJ117" s="359"/>
      <c r="IK117" s="437"/>
      <c r="IL117" s="437"/>
      <c r="IM117" s="437"/>
      <c r="IN117" s="437"/>
      <c r="IO117" s="359"/>
      <c r="IP117" s="359"/>
      <c r="IQ117" s="359"/>
      <c r="IR117" s="359"/>
      <c r="IS117" s="359"/>
      <c r="IT117" s="359"/>
      <c r="IU117" s="437"/>
      <c r="IV117" s="437"/>
      <c r="IW117" s="437"/>
      <c r="IX117" s="437"/>
      <c r="IY117" s="359"/>
      <c r="IZ117" s="359"/>
      <c r="JA117" s="359"/>
      <c r="JB117" s="359"/>
      <c r="JC117" s="359"/>
      <c r="JD117" s="359"/>
      <c r="JE117" s="437"/>
      <c r="JF117" s="437"/>
      <c r="JG117" s="437"/>
      <c r="JH117" s="437"/>
      <c r="JI117" s="437"/>
      <c r="JJ117" s="437"/>
      <c r="JK117" s="437"/>
      <c r="JL117" s="437"/>
      <c r="JM117" s="437"/>
      <c r="JN117" s="437"/>
      <c r="JO117" s="437"/>
      <c r="JP117" s="359"/>
      <c r="JQ117" s="359"/>
      <c r="JR117" s="359"/>
      <c r="JS117" s="359"/>
      <c r="JT117" s="359"/>
      <c r="JU117" s="359"/>
      <c r="JV117" s="437"/>
      <c r="JW117" s="437"/>
      <c r="JX117" s="437"/>
      <c r="JY117" s="437"/>
      <c r="JZ117" s="437"/>
      <c r="KA117" s="462"/>
      <c r="KB117" s="462"/>
      <c r="KC117" s="462"/>
      <c r="KD117" s="462"/>
      <c r="KE117" s="462"/>
      <c r="KF117" s="462"/>
      <c r="KG117" s="359"/>
      <c r="KH117" s="359"/>
      <c r="KI117" s="359"/>
      <c r="KJ117" s="461"/>
      <c r="KK117" s="359"/>
      <c r="KL117" s="359"/>
      <c r="KM117" s="359"/>
      <c r="KN117" s="359"/>
      <c r="KO117" s="359"/>
      <c r="KP117" s="359"/>
      <c r="KQ117" s="359"/>
    </row>
    <row r="118" spans="1:303" ht="15" x14ac:dyDescent="0.3">
      <c r="A118" s="359"/>
      <c r="B118" s="359"/>
      <c r="C118" s="458"/>
      <c r="D118" s="459"/>
      <c r="E118" s="359"/>
      <c r="F118" s="359"/>
      <c r="G118" s="359"/>
      <c r="H118" s="359"/>
      <c r="I118" s="359"/>
      <c r="J118" s="359"/>
      <c r="K118" s="437"/>
      <c r="L118" s="437"/>
      <c r="M118" s="460"/>
      <c r="N118" s="437"/>
      <c r="O118" s="359"/>
      <c r="P118" s="359"/>
      <c r="Q118" s="359"/>
      <c r="R118" s="359"/>
      <c r="S118" s="359"/>
      <c r="T118" s="359"/>
      <c r="U118" s="437"/>
      <c r="V118" s="437"/>
      <c r="W118" s="460"/>
      <c r="X118" s="437"/>
      <c r="Y118" s="359"/>
      <c r="Z118" s="359"/>
      <c r="AA118" s="359"/>
      <c r="AB118" s="359"/>
      <c r="AC118" s="359"/>
      <c r="AD118" s="359"/>
      <c r="AE118" s="437"/>
      <c r="AF118" s="437"/>
      <c r="AG118" s="437"/>
      <c r="AH118" s="437"/>
      <c r="AI118" s="359"/>
      <c r="AJ118" s="359"/>
      <c r="AK118" s="359"/>
      <c r="AL118" s="359"/>
      <c r="AM118" s="359"/>
      <c r="AN118" s="359"/>
      <c r="AO118" s="437"/>
      <c r="AP118" s="437"/>
      <c r="AQ118" s="460"/>
      <c r="AR118" s="437"/>
      <c r="AS118" s="437"/>
      <c r="AT118" s="437"/>
      <c r="AU118" s="437"/>
      <c r="AV118" s="437"/>
      <c r="AW118" s="359"/>
      <c r="AX118" s="359"/>
      <c r="AY118" s="461"/>
      <c r="AZ118" s="545"/>
      <c r="BA118" s="545"/>
      <c r="BB118" s="545"/>
      <c r="BC118" s="545"/>
      <c r="BD118" s="359"/>
      <c r="BE118" s="359"/>
      <c r="BF118" s="359"/>
      <c r="BG118" s="359"/>
      <c r="BH118" s="359"/>
      <c r="BI118" s="359"/>
      <c r="BJ118" s="437"/>
      <c r="BK118" s="437"/>
      <c r="BL118" s="437"/>
      <c r="BM118" s="437"/>
      <c r="BN118" s="359"/>
      <c r="BO118" s="359"/>
      <c r="BP118" s="359"/>
      <c r="BQ118" s="359"/>
      <c r="BR118" s="359"/>
      <c r="BS118" s="359"/>
      <c r="BT118" s="437"/>
      <c r="BU118" s="437"/>
      <c r="BV118" s="437"/>
      <c r="BW118" s="437"/>
      <c r="BX118" s="437"/>
      <c r="BY118" s="437"/>
      <c r="BZ118" s="437"/>
      <c r="CA118" s="437"/>
      <c r="CB118" s="437"/>
      <c r="CC118" s="359"/>
      <c r="CD118" s="359"/>
      <c r="CE118" s="359"/>
      <c r="CF118" s="359"/>
      <c r="CG118" s="359"/>
      <c r="CH118" s="359"/>
      <c r="CI118" s="437"/>
      <c r="CJ118" s="437"/>
      <c r="CK118" s="460"/>
      <c r="CL118" s="437"/>
      <c r="CM118" s="359"/>
      <c r="CN118" s="359"/>
      <c r="CO118" s="359"/>
      <c r="CP118" s="359"/>
      <c r="CQ118" s="359"/>
      <c r="CR118" s="359"/>
      <c r="CS118" s="437"/>
      <c r="CT118" s="437"/>
      <c r="CU118" s="437"/>
      <c r="CV118" s="437"/>
      <c r="CW118" s="437"/>
      <c r="CX118" s="437"/>
      <c r="CY118" s="437"/>
      <c r="CZ118" s="437"/>
      <c r="DA118" s="437"/>
      <c r="DB118" s="437"/>
      <c r="DC118" s="437"/>
      <c r="DD118" s="437"/>
      <c r="DE118" s="437"/>
      <c r="DF118" s="437"/>
      <c r="DG118" s="437"/>
      <c r="DH118" s="437"/>
      <c r="DI118" s="359"/>
      <c r="DJ118" s="359"/>
      <c r="DK118" s="359"/>
      <c r="DL118" s="359"/>
      <c r="DM118" s="359"/>
      <c r="DN118" s="359"/>
      <c r="DO118" s="437"/>
      <c r="DP118" s="437"/>
      <c r="DQ118" s="437"/>
      <c r="DR118" s="437"/>
      <c r="DS118" s="359"/>
      <c r="DT118" s="359"/>
      <c r="DU118" s="359"/>
      <c r="DV118" s="359"/>
      <c r="DW118" s="359"/>
      <c r="DX118" s="359"/>
      <c r="DY118" s="437"/>
      <c r="DZ118" s="437"/>
      <c r="EA118" s="437"/>
      <c r="EB118" s="437"/>
      <c r="EC118" s="359"/>
      <c r="ED118" s="359"/>
      <c r="EE118" s="359"/>
      <c r="EF118" s="359"/>
      <c r="EG118" s="359"/>
      <c r="EH118" s="359"/>
      <c r="EI118" s="437"/>
      <c r="EJ118" s="437"/>
      <c r="EK118" s="437"/>
      <c r="EL118" s="437"/>
      <c r="EM118" s="359"/>
      <c r="EN118" s="359"/>
      <c r="EO118" s="359"/>
      <c r="EP118" s="359"/>
      <c r="EQ118" s="359"/>
      <c r="ER118" s="359"/>
      <c r="ES118" s="437"/>
      <c r="ET118" s="437"/>
      <c r="EU118" s="437"/>
      <c r="EV118" s="437"/>
      <c r="EW118" s="437"/>
      <c r="EX118" s="437"/>
      <c r="EY118" s="437"/>
      <c r="EZ118" s="437"/>
      <c r="FA118" s="437"/>
      <c r="FB118" s="437"/>
      <c r="FC118" s="437"/>
      <c r="FD118" s="437"/>
      <c r="FE118" s="437"/>
      <c r="FF118" s="437"/>
      <c r="FG118" s="437"/>
      <c r="FH118" s="437"/>
      <c r="FI118" s="437"/>
      <c r="FJ118" s="437"/>
      <c r="FK118" s="437"/>
      <c r="FL118" s="437"/>
      <c r="FM118" s="437"/>
      <c r="FN118" s="359"/>
      <c r="FO118" s="359"/>
      <c r="FP118" s="359"/>
      <c r="FQ118" s="359"/>
      <c r="FR118" s="359"/>
      <c r="FS118" s="359"/>
      <c r="FT118" s="437"/>
      <c r="FU118" s="437"/>
      <c r="FV118" s="437"/>
      <c r="FW118" s="437"/>
      <c r="FX118" s="359"/>
      <c r="FY118" s="359"/>
      <c r="FZ118" s="359"/>
      <c r="GA118" s="359"/>
      <c r="GB118" s="359"/>
      <c r="GC118" s="359"/>
      <c r="GD118" s="437"/>
      <c r="GE118" s="437"/>
      <c r="GF118" s="437"/>
      <c r="GG118" s="437"/>
      <c r="GH118" s="359"/>
      <c r="GI118" s="359"/>
      <c r="GJ118" s="359"/>
      <c r="GK118" s="359"/>
      <c r="GL118" s="359"/>
      <c r="GM118" s="359"/>
      <c r="GN118" s="437"/>
      <c r="GO118" s="437"/>
      <c r="GP118" s="437"/>
      <c r="GQ118" s="437"/>
      <c r="GR118" s="437"/>
      <c r="GS118" s="437"/>
      <c r="GT118" s="437"/>
      <c r="GU118" s="437"/>
      <c r="GV118" s="437"/>
      <c r="GW118" s="437"/>
      <c r="GX118" s="359"/>
      <c r="GY118" s="359"/>
      <c r="GZ118" s="359"/>
      <c r="HA118" s="359"/>
      <c r="HB118" s="359"/>
      <c r="HC118" s="359"/>
      <c r="HD118" s="437"/>
      <c r="HE118" s="437"/>
      <c r="HF118" s="437"/>
      <c r="HG118" s="437"/>
      <c r="HH118" s="437"/>
      <c r="HI118" s="437"/>
      <c r="HJ118" s="437"/>
      <c r="HK118" s="437"/>
      <c r="HL118" s="437"/>
      <c r="HM118" s="437"/>
      <c r="HN118" s="437"/>
      <c r="HO118" s="437"/>
      <c r="HP118" s="437"/>
      <c r="HQ118" s="437"/>
      <c r="HR118" s="437"/>
      <c r="HS118" s="437"/>
      <c r="HT118" s="437"/>
      <c r="HU118" s="359"/>
      <c r="HV118" s="359"/>
      <c r="HW118" s="359"/>
      <c r="HX118" s="359"/>
      <c r="HY118" s="359"/>
      <c r="HZ118" s="359"/>
      <c r="IA118" s="437"/>
      <c r="IB118" s="437"/>
      <c r="IC118" s="437"/>
      <c r="ID118" s="437"/>
      <c r="IE118" s="359"/>
      <c r="IF118" s="359"/>
      <c r="IG118" s="359"/>
      <c r="IH118" s="359"/>
      <c r="II118" s="359"/>
      <c r="IJ118" s="359"/>
      <c r="IK118" s="437"/>
      <c r="IL118" s="437"/>
      <c r="IM118" s="437"/>
      <c r="IN118" s="437"/>
      <c r="IO118" s="359"/>
      <c r="IP118" s="359"/>
      <c r="IQ118" s="359"/>
      <c r="IR118" s="359"/>
      <c r="IS118" s="359"/>
      <c r="IT118" s="359"/>
      <c r="IU118" s="437"/>
      <c r="IV118" s="437"/>
      <c r="IW118" s="437"/>
      <c r="IX118" s="437"/>
      <c r="IY118" s="359"/>
      <c r="IZ118" s="359"/>
      <c r="JA118" s="359"/>
      <c r="JB118" s="359"/>
      <c r="JC118" s="359"/>
      <c r="JD118" s="359"/>
      <c r="JE118" s="437"/>
      <c r="JF118" s="437"/>
      <c r="JG118" s="437"/>
      <c r="JH118" s="437"/>
      <c r="JI118" s="437"/>
      <c r="JJ118" s="437"/>
      <c r="JK118" s="437"/>
      <c r="JL118" s="437"/>
      <c r="JM118" s="437"/>
      <c r="JN118" s="437"/>
      <c r="JO118" s="437"/>
      <c r="JP118" s="359"/>
      <c r="JQ118" s="359"/>
      <c r="JR118" s="359"/>
      <c r="JS118" s="359"/>
      <c r="JT118" s="359"/>
      <c r="JU118" s="359"/>
      <c r="JV118" s="437"/>
      <c r="JW118" s="437"/>
      <c r="JX118" s="437"/>
      <c r="JY118" s="437"/>
      <c r="JZ118" s="437"/>
      <c r="KA118" s="462"/>
      <c r="KB118" s="462"/>
      <c r="KC118" s="462"/>
      <c r="KD118" s="462"/>
      <c r="KE118" s="462"/>
      <c r="KF118" s="462"/>
      <c r="KG118" s="359"/>
      <c r="KH118" s="359"/>
      <c r="KI118" s="359"/>
      <c r="KJ118" s="461"/>
      <c r="KK118" s="359"/>
      <c r="KL118" s="359"/>
      <c r="KM118" s="359"/>
      <c r="KN118" s="359"/>
      <c r="KO118" s="359"/>
      <c r="KP118" s="359"/>
      <c r="KQ118" s="359"/>
    </row>
  </sheetData>
  <mergeCells count="168">
    <mergeCell ref="GR1:GW1"/>
    <mergeCell ref="GR2:GR3"/>
    <mergeCell ref="GS2:GS3"/>
    <mergeCell ref="GT2:GT3"/>
    <mergeCell ref="GU2:GU3"/>
    <mergeCell ref="GV2:GV3"/>
    <mergeCell ref="GW2:GW3"/>
    <mergeCell ref="FB61:FC61"/>
    <mergeCell ref="JZ1:JZ3"/>
    <mergeCell ref="IY2:JA2"/>
    <mergeCell ref="JB2:JD2"/>
    <mergeCell ref="HH2:HH3"/>
    <mergeCell ref="HI2:HI3"/>
    <mergeCell ref="HJ2:HJ3"/>
    <mergeCell ref="HK2:HK3"/>
    <mergeCell ref="HL2:HL3"/>
    <mergeCell ref="HM2:HM3"/>
    <mergeCell ref="HN2:HN3"/>
    <mergeCell ref="HO2:HO3"/>
    <mergeCell ref="HP2:HP3"/>
    <mergeCell ref="A47:A49"/>
    <mergeCell ref="A62:A63"/>
    <mergeCell ref="A70:A72"/>
    <mergeCell ref="A74:A76"/>
    <mergeCell ref="KB2:KB3"/>
    <mergeCell ref="KA2:KA3"/>
    <mergeCell ref="A51:A54"/>
    <mergeCell ref="ES1:EV1"/>
    <mergeCell ref="FT1:FW1"/>
    <mergeCell ref="GD1:GG1"/>
    <mergeCell ref="GH1:GM1"/>
    <mergeCell ref="JP1:JU1"/>
    <mergeCell ref="FA1:FC1"/>
    <mergeCell ref="HH1:HM1"/>
    <mergeCell ref="HN1:HP1"/>
    <mergeCell ref="JI1:JL1"/>
    <mergeCell ref="JM1:JO1"/>
    <mergeCell ref="IO1:IT1"/>
    <mergeCell ref="IO2:IQ2"/>
    <mergeCell ref="IR2:IT2"/>
    <mergeCell ref="IY1:JD1"/>
    <mergeCell ref="CF2:CH2"/>
    <mergeCell ref="CW1:CZ1"/>
    <mergeCell ref="DD1:DD3"/>
    <mergeCell ref="KD2:KD3"/>
    <mergeCell ref="KE2:KE3"/>
    <mergeCell ref="KF2:KF3"/>
    <mergeCell ref="KC2:KC3"/>
    <mergeCell ref="FX2:FZ2"/>
    <mergeCell ref="GA2:GC2"/>
    <mergeCell ref="DI1:DN1"/>
    <mergeCell ref="DI2:DK2"/>
    <mergeCell ref="DL2:DN2"/>
    <mergeCell ref="GK2:GM2"/>
    <mergeCell ref="GX1:HC1"/>
    <mergeCell ref="KA1:KF1"/>
    <mergeCell ref="JV1:JY1"/>
    <mergeCell ref="HD1:HG1"/>
    <mergeCell ref="IA1:ID1"/>
    <mergeCell ref="IK1:IN1"/>
    <mergeCell ref="IU1:IX1"/>
    <mergeCell ref="JE1:JH1"/>
    <mergeCell ref="IE2:IG2"/>
    <mergeCell ref="IH2:IJ2"/>
    <mergeCell ref="HX2:HZ2"/>
    <mergeCell ref="IE1:IJ1"/>
    <mergeCell ref="JP2:JR2"/>
    <mergeCell ref="JS2:JU2"/>
    <mergeCell ref="DE1:DE3"/>
    <mergeCell ref="DF1:DF3"/>
    <mergeCell ref="DG1:DG3"/>
    <mergeCell ref="DH1:DH3"/>
    <mergeCell ref="DA1:DC1"/>
    <mergeCell ref="EW1:EZ1"/>
    <mergeCell ref="GH2:GJ2"/>
    <mergeCell ref="EI1:EL1"/>
    <mergeCell ref="FK2:FK3"/>
    <mergeCell ref="FL2:FL3"/>
    <mergeCell ref="FM2:FM3"/>
    <mergeCell ref="KL62:KN63"/>
    <mergeCell ref="BJ1:BM1"/>
    <mergeCell ref="BJ2:BM2"/>
    <mergeCell ref="AO1:AR1"/>
    <mergeCell ref="AO2:AR2"/>
    <mergeCell ref="EM1:ER1"/>
    <mergeCell ref="EM2:EO2"/>
    <mergeCell ref="EP2:ER2"/>
    <mergeCell ref="DS1:DX1"/>
    <mergeCell ref="DS2:DU2"/>
    <mergeCell ref="DV2:DX2"/>
    <mergeCell ref="EC1:EH1"/>
    <mergeCell ref="DO1:DR1"/>
    <mergeCell ref="DY1:EB1"/>
    <mergeCell ref="EC2:EE2"/>
    <mergeCell ref="EF2:EH2"/>
    <mergeCell ref="KG1:KJ1"/>
    <mergeCell ref="FN1:FS1"/>
    <mergeCell ref="CC1:CH1"/>
    <mergeCell ref="CC2:CE2"/>
    <mergeCell ref="CP2:CR2"/>
    <mergeCell ref="BT2:BW2"/>
    <mergeCell ref="CS1:CV1"/>
    <mergeCell ref="CS2:CV2"/>
    <mergeCell ref="CM2:CO2"/>
    <mergeCell ref="E1:J1"/>
    <mergeCell ref="CM1:CR1"/>
    <mergeCell ref="BB1:BB3"/>
    <mergeCell ref="BC1:BC3"/>
    <mergeCell ref="AW1:AY1"/>
    <mergeCell ref="CI1:CL1"/>
    <mergeCell ref="U1:X1"/>
    <mergeCell ref="BT1:BW1"/>
    <mergeCell ref="Y1:AD1"/>
    <mergeCell ref="AE1:AH1"/>
    <mergeCell ref="AI1:AN1"/>
    <mergeCell ref="BG2:BI2"/>
    <mergeCell ref="BN2:BP2"/>
    <mergeCell ref="BQ2:BS2"/>
    <mergeCell ref="AZ1:AZ3"/>
    <mergeCell ref="BA1:BA3"/>
    <mergeCell ref="BD1:BI1"/>
    <mergeCell ref="BN1:BS1"/>
    <mergeCell ref="Y2:AA2"/>
    <mergeCell ref="AB2:AD2"/>
    <mergeCell ref="AL2:AN2"/>
    <mergeCell ref="BD2:BF2"/>
    <mergeCell ref="AI2:AK2"/>
    <mergeCell ref="A4:A9"/>
    <mergeCell ref="AE2:AH2"/>
    <mergeCell ref="K1:N1"/>
    <mergeCell ref="A34:A39"/>
    <mergeCell ref="A33:D33"/>
    <mergeCell ref="U2:X2"/>
    <mergeCell ref="K2:N2"/>
    <mergeCell ref="E2:G2"/>
    <mergeCell ref="H2:J2"/>
    <mergeCell ref="O2:Q2"/>
    <mergeCell ref="R2:T2"/>
    <mergeCell ref="O1:T1"/>
    <mergeCell ref="A10:A11"/>
    <mergeCell ref="A3:B3"/>
    <mergeCell ref="A1:B1"/>
    <mergeCell ref="A22:A24"/>
    <mergeCell ref="A19:A20"/>
    <mergeCell ref="BX2:BX3"/>
    <mergeCell ref="BY2:BY3"/>
    <mergeCell ref="BZ2:BZ3"/>
    <mergeCell ref="CA2:CA3"/>
    <mergeCell ref="CB2:CB3"/>
    <mergeCell ref="GX2:GZ2"/>
    <mergeCell ref="HA2:HC2"/>
    <mergeCell ref="GN1:GQ1"/>
    <mergeCell ref="HU2:HW2"/>
    <mergeCell ref="FD1:FD3"/>
    <mergeCell ref="FE1:FE3"/>
    <mergeCell ref="FF1:FF3"/>
    <mergeCell ref="FG1:FG3"/>
    <mergeCell ref="FN2:FP2"/>
    <mergeCell ref="FQ2:FS2"/>
    <mergeCell ref="FX1:GC1"/>
    <mergeCell ref="HQ1:HQ3"/>
    <mergeCell ref="HR1:HR3"/>
    <mergeCell ref="HS1:HS3"/>
    <mergeCell ref="HT1:HT3"/>
    <mergeCell ref="HU1:HZ1"/>
    <mergeCell ref="FH1:FH3"/>
    <mergeCell ref="FI1:FI3"/>
    <mergeCell ref="FJ1:F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C27"/>
  <sheetViews>
    <sheetView topLeftCell="A7" workbookViewId="0">
      <selection activeCell="W20" sqref="W20:W21"/>
    </sheetView>
  </sheetViews>
  <sheetFormatPr defaultRowHeight="15" x14ac:dyDescent="0.25"/>
  <cols>
    <col min="1" max="1" width="4.85546875" customWidth="1"/>
    <col min="2" max="2" width="22.140625" style="558" customWidth="1"/>
    <col min="3" max="6" width="4.28515625" customWidth="1"/>
    <col min="7" max="7" width="7.42578125" style="652" customWidth="1"/>
    <col min="8" max="15" width="4.28515625" customWidth="1"/>
    <col min="16" max="16" width="10.7109375" customWidth="1"/>
    <col min="17" max="18" width="4.28515625" customWidth="1"/>
    <col min="19" max="19" width="8.5703125" style="652" customWidth="1"/>
    <col min="20" max="26" width="4.28515625" customWidth="1"/>
    <col min="27" max="27" width="5.42578125" customWidth="1"/>
    <col min="28" max="28" width="6.85546875" style="561" customWidth="1"/>
  </cols>
  <sheetData>
    <row r="2" spans="2:28" s="561" customFormat="1" x14ac:dyDescent="0.25">
      <c r="B2" s="559"/>
      <c r="C2" s="562" t="s">
        <v>171</v>
      </c>
      <c r="D2" s="562" t="s">
        <v>172</v>
      </c>
      <c r="E2" s="562" t="s">
        <v>173</v>
      </c>
      <c r="F2" s="562" t="s">
        <v>174</v>
      </c>
      <c r="G2" s="629" t="s">
        <v>175</v>
      </c>
      <c r="H2" s="562" t="s">
        <v>176</v>
      </c>
      <c r="I2" s="562" t="s">
        <v>177</v>
      </c>
      <c r="J2" s="562" t="s">
        <v>178</v>
      </c>
      <c r="K2" s="562" t="s">
        <v>179</v>
      </c>
      <c r="L2" s="562" t="s">
        <v>180</v>
      </c>
      <c r="M2" s="562" t="s">
        <v>181</v>
      </c>
      <c r="N2" s="562" t="s">
        <v>182</v>
      </c>
      <c r="O2" s="562" t="s">
        <v>183</v>
      </c>
      <c r="P2" s="629" t="s">
        <v>184</v>
      </c>
      <c r="Q2" s="562" t="s">
        <v>171</v>
      </c>
      <c r="R2" s="562" t="s">
        <v>172</v>
      </c>
      <c r="S2" s="629" t="s">
        <v>185</v>
      </c>
      <c r="T2" s="562" t="s">
        <v>173</v>
      </c>
      <c r="U2" s="562" t="s">
        <v>174</v>
      </c>
      <c r="V2" s="562" t="s">
        <v>176</v>
      </c>
      <c r="W2" s="562" t="s">
        <v>177</v>
      </c>
      <c r="X2" s="562" t="s">
        <v>178</v>
      </c>
      <c r="Y2" s="562" t="s">
        <v>179</v>
      </c>
      <c r="Z2" s="563" t="s">
        <v>180</v>
      </c>
      <c r="AA2" s="563"/>
      <c r="AB2" s="568" t="s">
        <v>94</v>
      </c>
    </row>
    <row r="3" spans="2:28" x14ac:dyDescent="0.25">
      <c r="B3" s="560" t="s">
        <v>186</v>
      </c>
      <c r="C3" s="557">
        <v>0</v>
      </c>
      <c r="D3" s="557">
        <v>5</v>
      </c>
      <c r="E3" s="557">
        <v>1</v>
      </c>
      <c r="F3" s="557">
        <v>1</v>
      </c>
      <c r="G3" s="630">
        <f>C3+D3+E3+F3</f>
        <v>7</v>
      </c>
      <c r="H3" s="557">
        <v>8</v>
      </c>
      <c r="I3" s="557">
        <v>2</v>
      </c>
      <c r="J3" s="557">
        <v>7</v>
      </c>
      <c r="K3" s="557">
        <v>7</v>
      </c>
      <c r="L3" s="557">
        <v>47</v>
      </c>
      <c r="M3" s="557">
        <v>39</v>
      </c>
      <c r="N3" s="557">
        <v>38</v>
      </c>
      <c r="O3" s="557">
        <v>23</v>
      </c>
      <c r="P3" s="630">
        <f>J3+K3+L3+M3+N3+O3</f>
        <v>161</v>
      </c>
      <c r="Q3" s="557">
        <v>14</v>
      </c>
      <c r="R3" s="557">
        <v>0</v>
      </c>
      <c r="S3" s="630">
        <f>H3+I3+J3+K3+L3+M3+N3+O3+Q3+R3</f>
        <v>185</v>
      </c>
      <c r="T3" s="557">
        <v>21</v>
      </c>
      <c r="U3" s="557">
        <v>6</v>
      </c>
      <c r="V3" s="557">
        <v>19</v>
      </c>
      <c r="W3" s="557"/>
      <c r="X3" s="557"/>
      <c r="Y3" s="557"/>
      <c r="Z3" s="564"/>
      <c r="AA3" s="579">
        <f>SUM(L3:Z3)</f>
        <v>553</v>
      </c>
      <c r="AB3" s="574">
        <f>C3+D3+E3+F3+H3+I3+J3+K3+L3+M3+N3+O3+Q3+R3+T3</f>
        <v>213</v>
      </c>
    </row>
    <row r="4" spans="2:28" x14ac:dyDescent="0.25">
      <c r="B4" s="560" t="s">
        <v>187</v>
      </c>
      <c r="C4" s="557">
        <v>0</v>
      </c>
      <c r="D4" s="557">
        <v>7</v>
      </c>
      <c r="E4" s="557">
        <v>4</v>
      </c>
      <c r="F4" s="557">
        <v>7</v>
      </c>
      <c r="G4" s="630">
        <f t="shared" ref="G4:G23" si="0">C4+D4+E4+F4</f>
        <v>18</v>
      </c>
      <c r="H4" s="557">
        <v>5</v>
      </c>
      <c r="I4" s="557">
        <v>2</v>
      </c>
      <c r="J4" s="557">
        <v>9</v>
      </c>
      <c r="K4" s="557">
        <v>25</v>
      </c>
      <c r="L4" s="557">
        <v>34</v>
      </c>
      <c r="M4" s="557">
        <v>35</v>
      </c>
      <c r="N4" s="557">
        <v>33</v>
      </c>
      <c r="O4" s="557">
        <v>24</v>
      </c>
      <c r="P4" s="630">
        <f t="shared" ref="P4:P20" si="1">J4+K4+L4+M4+N4+O4</f>
        <v>160</v>
      </c>
      <c r="Q4" s="557">
        <v>14</v>
      </c>
      <c r="R4" s="557">
        <v>0</v>
      </c>
      <c r="S4" s="630">
        <f t="shared" ref="S4:S23" si="2">H4+I4+J4+K4+L4+M4+N4+O4+Q4+R4</f>
        <v>181</v>
      </c>
      <c r="T4" s="557">
        <v>9</v>
      </c>
      <c r="U4" s="557">
        <v>9</v>
      </c>
      <c r="V4" s="557">
        <v>12</v>
      </c>
      <c r="W4" s="557"/>
      <c r="X4" s="557"/>
      <c r="Y4" s="557"/>
      <c r="Z4" s="564"/>
      <c r="AA4" s="579">
        <f t="shared" ref="AA4:AA23" si="3">SUM(L4:Z4)</f>
        <v>511</v>
      </c>
      <c r="AB4" s="574">
        <f t="shared" ref="AB4:AB23" si="4">C4+D4+E4+F4+H4+I4+J4+K4+L4+M4+N4+O4+Q4+R4+T4</f>
        <v>208</v>
      </c>
    </row>
    <row r="5" spans="2:28" x14ac:dyDescent="0.25">
      <c r="B5" s="560" t="s">
        <v>188</v>
      </c>
      <c r="C5" s="557">
        <v>0</v>
      </c>
      <c r="D5" s="557">
        <v>0</v>
      </c>
      <c r="E5" s="557">
        <v>0</v>
      </c>
      <c r="F5" s="557">
        <v>0</v>
      </c>
      <c r="G5" s="630">
        <f t="shared" si="0"/>
        <v>0</v>
      </c>
      <c r="H5" s="557">
        <v>0</v>
      </c>
      <c r="I5" s="557">
        <v>0</v>
      </c>
      <c r="J5" s="557">
        <v>0</v>
      </c>
      <c r="K5" s="557">
        <v>38</v>
      </c>
      <c r="L5" s="557">
        <v>22</v>
      </c>
      <c r="M5" s="557">
        <v>27</v>
      </c>
      <c r="N5" s="557">
        <v>6</v>
      </c>
      <c r="O5" s="557">
        <v>5</v>
      </c>
      <c r="P5" s="630">
        <f t="shared" si="1"/>
        <v>98</v>
      </c>
      <c r="Q5" s="557">
        <v>6</v>
      </c>
      <c r="R5" s="557">
        <v>0</v>
      </c>
      <c r="S5" s="630">
        <f t="shared" si="2"/>
        <v>104</v>
      </c>
      <c r="T5" s="557"/>
      <c r="U5" s="557"/>
      <c r="V5" s="557"/>
      <c r="W5" s="557"/>
      <c r="X5" s="557"/>
      <c r="Y5" s="557"/>
      <c r="Z5" s="564"/>
      <c r="AA5" s="579">
        <f t="shared" si="3"/>
        <v>268</v>
      </c>
      <c r="AB5" s="574">
        <f t="shared" si="4"/>
        <v>104</v>
      </c>
    </row>
    <row r="6" spans="2:28" x14ac:dyDescent="0.25">
      <c r="B6" s="560" t="s">
        <v>189</v>
      </c>
      <c r="C6" s="557">
        <v>0</v>
      </c>
      <c r="D6" s="557">
        <v>0</v>
      </c>
      <c r="E6" s="557">
        <v>0</v>
      </c>
      <c r="F6" s="557">
        <v>0</v>
      </c>
      <c r="G6" s="630">
        <f t="shared" si="0"/>
        <v>0</v>
      </c>
      <c r="H6" s="557">
        <v>0</v>
      </c>
      <c r="I6" s="557">
        <v>0</v>
      </c>
      <c r="J6" s="557">
        <v>0</v>
      </c>
      <c r="K6" s="557">
        <v>6</v>
      </c>
      <c r="L6" s="557">
        <v>0</v>
      </c>
      <c r="M6" s="557">
        <v>0</v>
      </c>
      <c r="N6" s="557">
        <v>0</v>
      </c>
      <c r="O6" s="557">
        <v>0</v>
      </c>
      <c r="P6" s="630">
        <f t="shared" si="1"/>
        <v>6</v>
      </c>
      <c r="Q6" s="557">
        <v>0</v>
      </c>
      <c r="R6" s="557">
        <v>0</v>
      </c>
      <c r="S6" s="630">
        <f t="shared" si="2"/>
        <v>6</v>
      </c>
      <c r="T6" s="557"/>
      <c r="U6" s="557"/>
      <c r="V6" s="557"/>
      <c r="W6" s="557"/>
      <c r="X6" s="557"/>
      <c r="Y6" s="557"/>
      <c r="Z6" s="564"/>
      <c r="AA6" s="579">
        <f t="shared" si="3"/>
        <v>12</v>
      </c>
      <c r="AB6" s="574">
        <f t="shared" si="4"/>
        <v>6</v>
      </c>
    </row>
    <row r="7" spans="2:28" ht="45" x14ac:dyDescent="0.25">
      <c r="B7" s="598" t="s">
        <v>190</v>
      </c>
      <c r="C7" s="595"/>
      <c r="D7" s="595"/>
      <c r="E7" s="595"/>
      <c r="F7" s="595"/>
      <c r="G7" s="630">
        <f t="shared" si="0"/>
        <v>0</v>
      </c>
      <c r="H7" s="595"/>
      <c r="I7" s="595"/>
      <c r="J7" s="595"/>
      <c r="K7" s="595"/>
      <c r="L7" s="595"/>
      <c r="M7" s="595"/>
      <c r="N7" s="595">
        <v>52</v>
      </c>
      <c r="O7" s="595"/>
      <c r="P7" s="630">
        <f t="shared" si="1"/>
        <v>52</v>
      </c>
      <c r="Q7" s="595"/>
      <c r="R7" s="595">
        <v>0</v>
      </c>
      <c r="S7" s="630">
        <f t="shared" si="2"/>
        <v>52</v>
      </c>
      <c r="T7" s="595">
        <v>10</v>
      </c>
      <c r="U7" s="595"/>
      <c r="V7" s="595"/>
      <c r="W7" s="595"/>
      <c r="X7" s="595"/>
      <c r="Y7" s="595"/>
      <c r="Z7" s="596"/>
      <c r="AA7" s="597"/>
      <c r="AB7" s="574">
        <f t="shared" si="4"/>
        <v>62</v>
      </c>
    </row>
    <row r="8" spans="2:28" x14ac:dyDescent="0.25">
      <c r="B8" s="560" t="s">
        <v>191</v>
      </c>
      <c r="C8" s="557">
        <v>0</v>
      </c>
      <c r="D8" s="557">
        <v>0</v>
      </c>
      <c r="E8" s="557">
        <v>0</v>
      </c>
      <c r="F8" s="557">
        <v>0</v>
      </c>
      <c r="G8" s="630">
        <f t="shared" si="0"/>
        <v>0</v>
      </c>
      <c r="H8" s="557">
        <v>0</v>
      </c>
      <c r="I8" s="557">
        <v>0</v>
      </c>
      <c r="J8" s="557">
        <v>0</v>
      </c>
      <c r="K8" s="557">
        <v>0</v>
      </c>
      <c r="L8" s="557">
        <v>1</v>
      </c>
      <c r="M8" s="557">
        <v>3</v>
      </c>
      <c r="N8" s="557">
        <v>13</v>
      </c>
      <c r="O8" s="557">
        <v>0</v>
      </c>
      <c r="P8" s="630">
        <f t="shared" si="1"/>
        <v>17</v>
      </c>
      <c r="Q8" s="557">
        <v>6</v>
      </c>
      <c r="R8" s="557">
        <v>0</v>
      </c>
      <c r="S8" s="630">
        <f t="shared" si="2"/>
        <v>23</v>
      </c>
      <c r="T8" s="557"/>
      <c r="U8" s="557"/>
      <c r="V8" s="557"/>
      <c r="W8" s="557"/>
      <c r="X8" s="557"/>
      <c r="Y8" s="557"/>
      <c r="Z8" s="564"/>
      <c r="AA8" s="579">
        <f t="shared" si="3"/>
        <v>63</v>
      </c>
      <c r="AB8" s="574">
        <f t="shared" si="4"/>
        <v>23</v>
      </c>
    </row>
    <row r="9" spans="2:28" x14ac:dyDescent="0.25">
      <c r="B9" s="560" t="s">
        <v>192</v>
      </c>
      <c r="C9" s="557">
        <v>0</v>
      </c>
      <c r="D9" s="557">
        <v>0</v>
      </c>
      <c r="E9" s="557">
        <v>0</v>
      </c>
      <c r="F9" s="557">
        <v>3</v>
      </c>
      <c r="G9" s="630">
        <f t="shared" si="0"/>
        <v>3</v>
      </c>
      <c r="H9" s="557">
        <v>3</v>
      </c>
      <c r="I9" s="557">
        <v>1</v>
      </c>
      <c r="J9" s="557">
        <v>3</v>
      </c>
      <c r="K9" s="557">
        <v>0</v>
      </c>
      <c r="L9" s="557">
        <v>0</v>
      </c>
      <c r="M9" s="557">
        <v>0</v>
      </c>
      <c r="N9" s="557">
        <v>1</v>
      </c>
      <c r="O9" s="557">
        <v>0</v>
      </c>
      <c r="P9" s="630">
        <f t="shared" si="1"/>
        <v>4</v>
      </c>
      <c r="Q9" s="557">
        <v>0</v>
      </c>
      <c r="R9" s="557">
        <v>0</v>
      </c>
      <c r="S9" s="630">
        <f t="shared" si="2"/>
        <v>8</v>
      </c>
      <c r="T9" s="557"/>
      <c r="U9" s="557">
        <v>1</v>
      </c>
      <c r="V9" s="557"/>
      <c r="W9" s="557"/>
      <c r="X9" s="557"/>
      <c r="Y9" s="557"/>
      <c r="Z9" s="564"/>
      <c r="AA9" s="579">
        <f t="shared" si="3"/>
        <v>14</v>
      </c>
      <c r="AB9" s="574">
        <f t="shared" si="4"/>
        <v>11</v>
      </c>
    </row>
    <row r="10" spans="2:28" x14ac:dyDescent="0.25">
      <c r="B10" s="560" t="s">
        <v>193</v>
      </c>
      <c r="C10" s="557">
        <v>0</v>
      </c>
      <c r="D10" s="557">
        <v>0</v>
      </c>
      <c r="E10" s="557">
        <v>3</v>
      </c>
      <c r="F10" s="557">
        <v>7</v>
      </c>
      <c r="G10" s="630">
        <f t="shared" si="0"/>
        <v>10</v>
      </c>
      <c r="H10" s="557">
        <v>16</v>
      </c>
      <c r="I10" s="557">
        <v>0</v>
      </c>
      <c r="J10" s="557">
        <v>0</v>
      </c>
      <c r="K10" s="557">
        <v>0</v>
      </c>
      <c r="L10" s="557">
        <v>0</v>
      </c>
      <c r="M10" s="557">
        <v>0</v>
      </c>
      <c r="N10" s="557">
        <v>0</v>
      </c>
      <c r="O10" s="557">
        <v>0</v>
      </c>
      <c r="P10" s="630">
        <f t="shared" si="1"/>
        <v>0</v>
      </c>
      <c r="Q10" s="557">
        <v>0</v>
      </c>
      <c r="R10" s="557">
        <v>0</v>
      </c>
      <c r="S10" s="630">
        <f t="shared" si="2"/>
        <v>16</v>
      </c>
      <c r="T10" s="557"/>
      <c r="U10" s="557"/>
      <c r="V10" s="557"/>
      <c r="W10" s="557"/>
      <c r="X10" s="557"/>
      <c r="Y10" s="557"/>
      <c r="Z10" s="564"/>
      <c r="AA10" s="579">
        <f t="shared" si="3"/>
        <v>16</v>
      </c>
      <c r="AB10" s="574">
        <f t="shared" si="4"/>
        <v>26</v>
      </c>
    </row>
    <row r="11" spans="2:28" x14ac:dyDescent="0.25">
      <c r="B11" s="560" t="s">
        <v>194</v>
      </c>
      <c r="C11" s="557">
        <v>0</v>
      </c>
      <c r="D11" s="557">
        <v>0</v>
      </c>
      <c r="E11" s="557">
        <v>0</v>
      </c>
      <c r="F11" s="557">
        <v>0</v>
      </c>
      <c r="G11" s="630">
        <f t="shared" si="0"/>
        <v>0</v>
      </c>
      <c r="H11" s="557">
        <v>0</v>
      </c>
      <c r="I11" s="557">
        <v>0</v>
      </c>
      <c r="J11" s="557">
        <v>0</v>
      </c>
      <c r="K11" s="557">
        <v>0</v>
      </c>
      <c r="L11" s="557">
        <v>0</v>
      </c>
      <c r="M11" s="557">
        <v>0</v>
      </c>
      <c r="N11" s="557">
        <v>0</v>
      </c>
      <c r="O11" s="557">
        <v>0</v>
      </c>
      <c r="P11" s="630">
        <f t="shared" si="1"/>
        <v>0</v>
      </c>
      <c r="Q11" s="557">
        <v>10</v>
      </c>
      <c r="R11" s="557">
        <v>0</v>
      </c>
      <c r="S11" s="630">
        <f t="shared" si="2"/>
        <v>10</v>
      </c>
      <c r="T11" s="557"/>
      <c r="U11" s="557"/>
      <c r="V11" s="557"/>
      <c r="W11" s="557"/>
      <c r="X11" s="557"/>
      <c r="Y11" s="557"/>
      <c r="Z11" s="564"/>
      <c r="AA11" s="579">
        <f t="shared" si="3"/>
        <v>20</v>
      </c>
      <c r="AB11" s="574">
        <f t="shared" si="4"/>
        <v>10</v>
      </c>
    </row>
    <row r="12" spans="2:28" x14ac:dyDescent="0.25">
      <c r="B12" s="565" t="s">
        <v>195</v>
      </c>
      <c r="C12" s="566">
        <v>0</v>
      </c>
      <c r="D12" s="566">
        <v>0</v>
      </c>
      <c r="E12" s="566">
        <v>0</v>
      </c>
      <c r="F12" s="566">
        <v>0</v>
      </c>
      <c r="G12" s="630">
        <f t="shared" si="0"/>
        <v>0</v>
      </c>
      <c r="H12" s="566">
        <v>0</v>
      </c>
      <c r="I12" s="566">
        <v>0</v>
      </c>
      <c r="J12" s="566">
        <v>0</v>
      </c>
      <c r="K12" s="566">
        <v>0</v>
      </c>
      <c r="L12" s="566">
        <v>0</v>
      </c>
      <c r="M12" s="566">
        <v>0</v>
      </c>
      <c r="N12" s="566">
        <v>0</v>
      </c>
      <c r="O12" s="566">
        <v>0</v>
      </c>
      <c r="P12" s="630">
        <f t="shared" si="1"/>
        <v>0</v>
      </c>
      <c r="Q12" s="566">
        <v>46</v>
      </c>
      <c r="R12" s="566">
        <v>0</v>
      </c>
      <c r="S12" s="630">
        <f t="shared" si="2"/>
        <v>46</v>
      </c>
      <c r="T12" s="566"/>
      <c r="U12" s="566"/>
      <c r="V12" s="566"/>
      <c r="W12" s="566"/>
      <c r="X12" s="566"/>
      <c r="Y12" s="566"/>
      <c r="Z12" s="567"/>
      <c r="AA12" s="579">
        <f t="shared" si="3"/>
        <v>92</v>
      </c>
      <c r="AB12" s="574">
        <f t="shared" si="4"/>
        <v>46</v>
      </c>
    </row>
    <row r="13" spans="2:28" x14ac:dyDescent="0.25">
      <c r="B13" s="560" t="s">
        <v>196</v>
      </c>
      <c r="C13" s="557">
        <v>0</v>
      </c>
      <c r="D13" s="557">
        <v>0</v>
      </c>
      <c r="E13" s="557">
        <v>0</v>
      </c>
      <c r="F13" s="557">
        <v>0</v>
      </c>
      <c r="G13" s="630">
        <f t="shared" si="0"/>
        <v>0</v>
      </c>
      <c r="H13" s="557">
        <v>0</v>
      </c>
      <c r="I13" s="557">
        <v>0</v>
      </c>
      <c r="J13" s="557">
        <v>0</v>
      </c>
      <c r="K13" s="557">
        <v>0</v>
      </c>
      <c r="L13" s="557">
        <v>0</v>
      </c>
      <c r="M13" s="557">
        <v>0</v>
      </c>
      <c r="N13" s="557">
        <v>0</v>
      </c>
      <c r="O13" s="557">
        <v>0</v>
      </c>
      <c r="P13" s="630">
        <f t="shared" si="1"/>
        <v>0</v>
      </c>
      <c r="Q13" s="557">
        <v>0</v>
      </c>
      <c r="R13" s="557">
        <v>21</v>
      </c>
      <c r="S13" s="630">
        <f t="shared" si="2"/>
        <v>21</v>
      </c>
      <c r="T13" s="557"/>
      <c r="U13" s="557"/>
      <c r="V13" s="557"/>
      <c r="W13" s="557"/>
      <c r="X13" s="557"/>
      <c r="Y13" s="557"/>
      <c r="Z13" s="557"/>
      <c r="AA13" s="579">
        <f t="shared" si="3"/>
        <v>42</v>
      </c>
      <c r="AB13" s="574">
        <f t="shared" si="4"/>
        <v>21</v>
      </c>
    </row>
    <row r="14" spans="2:28" x14ac:dyDescent="0.25">
      <c r="B14" s="565" t="s">
        <v>197</v>
      </c>
      <c r="C14" s="566">
        <v>0</v>
      </c>
      <c r="D14" s="566">
        <v>0</v>
      </c>
      <c r="E14" s="566">
        <v>0</v>
      </c>
      <c r="F14" s="566">
        <v>1</v>
      </c>
      <c r="G14" s="630">
        <f t="shared" si="0"/>
        <v>1</v>
      </c>
      <c r="H14" s="566">
        <v>0</v>
      </c>
      <c r="I14" s="566">
        <v>1</v>
      </c>
      <c r="J14" s="566">
        <v>0</v>
      </c>
      <c r="K14" s="566">
        <v>0</v>
      </c>
      <c r="L14" s="566">
        <v>1</v>
      </c>
      <c r="M14" s="566">
        <v>0</v>
      </c>
      <c r="N14" s="566">
        <v>1</v>
      </c>
      <c r="O14" s="566">
        <v>0</v>
      </c>
      <c r="P14" s="630">
        <f t="shared" si="1"/>
        <v>2</v>
      </c>
      <c r="Q14" s="566">
        <v>0</v>
      </c>
      <c r="R14" s="566">
        <v>0</v>
      </c>
      <c r="S14" s="630">
        <f t="shared" si="2"/>
        <v>3</v>
      </c>
      <c r="T14" s="566"/>
      <c r="U14" s="566"/>
      <c r="V14" s="566"/>
      <c r="W14" s="566"/>
      <c r="X14" s="566"/>
      <c r="Y14" s="566"/>
      <c r="Z14" s="566"/>
      <c r="AA14" s="579">
        <f t="shared" si="3"/>
        <v>7</v>
      </c>
      <c r="AB14" s="574">
        <f t="shared" si="4"/>
        <v>4</v>
      </c>
    </row>
    <row r="15" spans="2:28" x14ac:dyDescent="0.25">
      <c r="B15" s="565" t="s">
        <v>198</v>
      </c>
      <c r="C15" s="566">
        <v>0</v>
      </c>
      <c r="D15" s="566">
        <v>2</v>
      </c>
      <c r="E15" s="566">
        <v>2</v>
      </c>
      <c r="F15" s="566">
        <v>0</v>
      </c>
      <c r="G15" s="630">
        <f t="shared" si="0"/>
        <v>4</v>
      </c>
      <c r="H15" s="566">
        <v>3</v>
      </c>
      <c r="I15" s="566">
        <v>3</v>
      </c>
      <c r="J15" s="566">
        <v>0</v>
      </c>
      <c r="K15" s="566">
        <v>2</v>
      </c>
      <c r="L15" s="566">
        <v>0</v>
      </c>
      <c r="M15" s="566">
        <v>1</v>
      </c>
      <c r="N15" s="566">
        <v>0</v>
      </c>
      <c r="O15" s="566">
        <v>0</v>
      </c>
      <c r="P15" s="630">
        <f t="shared" si="1"/>
        <v>3</v>
      </c>
      <c r="Q15" s="566">
        <v>0</v>
      </c>
      <c r="R15" s="566">
        <v>0</v>
      </c>
      <c r="S15" s="630">
        <f t="shared" si="2"/>
        <v>9</v>
      </c>
      <c r="T15" s="566"/>
      <c r="U15" s="566">
        <v>2</v>
      </c>
      <c r="V15" s="566"/>
      <c r="W15" s="566"/>
      <c r="X15" s="566"/>
      <c r="Y15" s="566"/>
      <c r="Z15" s="566"/>
      <c r="AA15" s="579">
        <f t="shared" si="3"/>
        <v>15</v>
      </c>
      <c r="AB15" s="574">
        <f t="shared" si="4"/>
        <v>13</v>
      </c>
    </row>
    <row r="16" spans="2:28" x14ac:dyDescent="0.25">
      <c r="B16" s="565" t="s">
        <v>199</v>
      </c>
      <c r="C16" s="566">
        <v>0</v>
      </c>
      <c r="D16" s="566">
        <v>0</v>
      </c>
      <c r="E16" s="566">
        <v>0</v>
      </c>
      <c r="F16" s="566">
        <v>0</v>
      </c>
      <c r="G16" s="630">
        <f t="shared" si="0"/>
        <v>0</v>
      </c>
      <c r="H16" s="566">
        <v>1</v>
      </c>
      <c r="I16" s="566">
        <v>1</v>
      </c>
      <c r="J16" s="566">
        <v>0</v>
      </c>
      <c r="K16" s="566">
        <v>0</v>
      </c>
      <c r="L16" s="566">
        <v>0</v>
      </c>
      <c r="M16" s="566">
        <v>0</v>
      </c>
      <c r="N16" s="566">
        <v>0</v>
      </c>
      <c r="O16" s="566">
        <v>0</v>
      </c>
      <c r="P16" s="630">
        <f t="shared" si="1"/>
        <v>0</v>
      </c>
      <c r="Q16" s="566">
        <v>0</v>
      </c>
      <c r="R16" s="566">
        <v>0</v>
      </c>
      <c r="S16" s="630">
        <f t="shared" si="2"/>
        <v>2</v>
      </c>
      <c r="T16" s="566"/>
      <c r="U16" s="566"/>
      <c r="V16" s="566"/>
      <c r="W16" s="566"/>
      <c r="X16" s="566"/>
      <c r="Y16" s="566"/>
      <c r="Z16" s="566"/>
      <c r="AA16" s="579">
        <f t="shared" si="3"/>
        <v>2</v>
      </c>
      <c r="AB16" s="574">
        <f t="shared" si="4"/>
        <v>2</v>
      </c>
    </row>
    <row r="17" spans="2:29" x14ac:dyDescent="0.25">
      <c r="B17" s="565" t="s">
        <v>200</v>
      </c>
      <c r="C17" s="566">
        <v>0</v>
      </c>
      <c r="D17" s="566">
        <v>0</v>
      </c>
      <c r="E17" s="566">
        <v>1</v>
      </c>
      <c r="F17" s="566">
        <v>0</v>
      </c>
      <c r="G17" s="630">
        <f t="shared" si="0"/>
        <v>1</v>
      </c>
      <c r="H17" s="566">
        <v>0</v>
      </c>
      <c r="I17" s="566">
        <v>0</v>
      </c>
      <c r="J17" s="566">
        <v>0</v>
      </c>
      <c r="K17" s="566">
        <v>0</v>
      </c>
      <c r="L17" s="566">
        <v>0</v>
      </c>
      <c r="M17" s="566">
        <v>0</v>
      </c>
      <c r="N17" s="566">
        <v>0</v>
      </c>
      <c r="O17" s="566">
        <v>0</v>
      </c>
      <c r="P17" s="630">
        <f t="shared" si="1"/>
        <v>0</v>
      </c>
      <c r="Q17" s="566">
        <v>0</v>
      </c>
      <c r="R17" s="566">
        <v>0</v>
      </c>
      <c r="S17" s="630">
        <f t="shared" si="2"/>
        <v>0</v>
      </c>
      <c r="T17" s="566"/>
      <c r="U17" s="566"/>
      <c r="V17" s="566"/>
      <c r="W17" s="566"/>
      <c r="X17" s="566"/>
      <c r="Y17" s="566"/>
      <c r="Z17" s="566"/>
      <c r="AA17" s="579">
        <f t="shared" si="3"/>
        <v>0</v>
      </c>
      <c r="AB17" s="574">
        <f t="shared" si="4"/>
        <v>1</v>
      </c>
    </row>
    <row r="18" spans="2:29" x14ac:dyDescent="0.25">
      <c r="B18" s="565" t="s">
        <v>201</v>
      </c>
      <c r="C18" s="566">
        <v>0</v>
      </c>
      <c r="D18" s="566">
        <v>1</v>
      </c>
      <c r="E18" s="566">
        <v>2</v>
      </c>
      <c r="F18" s="566">
        <v>0</v>
      </c>
      <c r="G18" s="630">
        <f t="shared" si="0"/>
        <v>3</v>
      </c>
      <c r="H18" s="566">
        <v>1</v>
      </c>
      <c r="I18" s="566">
        <v>0</v>
      </c>
      <c r="J18" s="566">
        <v>1</v>
      </c>
      <c r="K18" s="566">
        <v>0</v>
      </c>
      <c r="L18" s="566">
        <v>1</v>
      </c>
      <c r="M18" s="566">
        <v>0</v>
      </c>
      <c r="N18" s="566">
        <v>0</v>
      </c>
      <c r="O18" s="566">
        <v>0</v>
      </c>
      <c r="P18" s="630">
        <f t="shared" si="1"/>
        <v>2</v>
      </c>
      <c r="Q18" s="566">
        <v>0</v>
      </c>
      <c r="R18" s="566">
        <v>0</v>
      </c>
      <c r="S18" s="630">
        <f t="shared" si="2"/>
        <v>3</v>
      </c>
      <c r="T18" s="566"/>
      <c r="U18" s="566"/>
      <c r="V18" s="566"/>
      <c r="W18" s="566"/>
      <c r="X18" s="566"/>
      <c r="Y18" s="566"/>
      <c r="Z18" s="566"/>
      <c r="AA18" s="579">
        <f t="shared" si="3"/>
        <v>6</v>
      </c>
      <c r="AB18" s="574">
        <f t="shared" si="4"/>
        <v>6</v>
      </c>
    </row>
    <row r="19" spans="2:29" x14ac:dyDescent="0.25">
      <c r="B19" s="565" t="s">
        <v>202</v>
      </c>
      <c r="C19" s="566">
        <v>0</v>
      </c>
      <c r="D19" s="566">
        <v>0</v>
      </c>
      <c r="E19" s="566">
        <v>0</v>
      </c>
      <c r="F19" s="566">
        <v>0</v>
      </c>
      <c r="G19" s="630">
        <f t="shared" si="0"/>
        <v>0</v>
      </c>
      <c r="H19" s="566">
        <v>0</v>
      </c>
      <c r="I19" s="566">
        <v>0</v>
      </c>
      <c r="J19" s="566">
        <v>0</v>
      </c>
      <c r="K19" s="566">
        <v>0</v>
      </c>
      <c r="L19" s="566">
        <v>0</v>
      </c>
      <c r="M19" s="566">
        <v>0</v>
      </c>
      <c r="N19" s="566">
        <v>0</v>
      </c>
      <c r="O19" s="566">
        <v>0</v>
      </c>
      <c r="P19" s="630">
        <f t="shared" si="1"/>
        <v>0</v>
      </c>
      <c r="Q19" s="566">
        <v>0</v>
      </c>
      <c r="R19" s="566">
        <v>67</v>
      </c>
      <c r="S19" s="630">
        <f t="shared" si="2"/>
        <v>67</v>
      </c>
      <c r="T19" s="566"/>
      <c r="U19" s="566"/>
      <c r="V19" s="566">
        <v>65</v>
      </c>
      <c r="W19" s="566"/>
      <c r="X19" s="566"/>
      <c r="Y19" s="566"/>
      <c r="Z19" s="566"/>
      <c r="AA19" s="579"/>
      <c r="AB19" s="574">
        <f t="shared" si="4"/>
        <v>67</v>
      </c>
    </row>
    <row r="20" spans="2:29" x14ac:dyDescent="0.25">
      <c r="B20" s="565" t="s">
        <v>203</v>
      </c>
      <c r="C20" s="566">
        <v>0</v>
      </c>
      <c r="D20" s="566">
        <v>0</v>
      </c>
      <c r="E20" s="566">
        <v>0</v>
      </c>
      <c r="F20" s="566">
        <v>0</v>
      </c>
      <c r="G20" s="630">
        <f t="shared" si="0"/>
        <v>0</v>
      </c>
      <c r="H20" s="566">
        <v>0</v>
      </c>
      <c r="I20" s="566">
        <v>0</v>
      </c>
      <c r="J20" s="566">
        <v>0</v>
      </c>
      <c r="K20" s="566">
        <v>0</v>
      </c>
      <c r="L20" s="566">
        <v>0</v>
      </c>
      <c r="M20" s="566">
        <v>0</v>
      </c>
      <c r="N20" s="566">
        <v>0</v>
      </c>
      <c r="O20" s="566">
        <v>0</v>
      </c>
      <c r="P20" s="630">
        <f t="shared" si="1"/>
        <v>0</v>
      </c>
      <c r="Q20" s="566">
        <v>0</v>
      </c>
      <c r="R20" s="566">
        <v>77</v>
      </c>
      <c r="S20" s="630">
        <f t="shared" si="2"/>
        <v>77</v>
      </c>
      <c r="T20" s="566"/>
      <c r="U20" s="566"/>
      <c r="V20" s="566"/>
      <c r="W20" s="566"/>
      <c r="X20" s="566"/>
      <c r="Y20" s="566"/>
      <c r="Z20" s="566"/>
      <c r="AA20" s="579"/>
      <c r="AB20" s="574">
        <f t="shared" si="4"/>
        <v>77</v>
      </c>
      <c r="AC20" t="s">
        <v>204</v>
      </c>
    </row>
    <row r="21" spans="2:29" x14ac:dyDescent="0.25">
      <c r="B21" s="565" t="s">
        <v>205</v>
      </c>
      <c r="C21" s="566"/>
      <c r="D21" s="566"/>
      <c r="E21" s="566"/>
      <c r="F21" s="566"/>
      <c r="G21" s="630">
        <f t="shared" si="0"/>
        <v>0</v>
      </c>
      <c r="H21" s="566"/>
      <c r="I21" s="566"/>
      <c r="J21" s="566"/>
      <c r="K21" s="566"/>
      <c r="L21" s="566"/>
      <c r="M21" s="566"/>
      <c r="N21" s="566"/>
      <c r="O21" s="566"/>
      <c r="P21" s="631"/>
      <c r="Q21" s="566"/>
      <c r="R21" s="566"/>
      <c r="S21" s="630">
        <f t="shared" si="2"/>
        <v>0</v>
      </c>
      <c r="T21" s="566">
        <v>60</v>
      </c>
      <c r="U21" s="566">
        <v>10</v>
      </c>
      <c r="V21" s="566"/>
      <c r="W21" s="566"/>
      <c r="X21" s="566"/>
      <c r="Y21" s="566"/>
      <c r="Z21" s="566"/>
      <c r="AA21" s="579"/>
      <c r="AB21" s="574">
        <f t="shared" si="4"/>
        <v>60</v>
      </c>
    </row>
    <row r="22" spans="2:29" x14ac:dyDescent="0.25">
      <c r="B22" s="565" t="s">
        <v>206</v>
      </c>
      <c r="C22" s="566"/>
      <c r="D22" s="566"/>
      <c r="E22" s="566"/>
      <c r="F22" s="566"/>
      <c r="G22" s="630">
        <f t="shared" si="0"/>
        <v>0</v>
      </c>
      <c r="H22" s="566"/>
      <c r="I22" s="566"/>
      <c r="J22" s="566"/>
      <c r="K22" s="566"/>
      <c r="L22" s="566"/>
      <c r="M22" s="566"/>
      <c r="N22" s="566"/>
      <c r="O22" s="566"/>
      <c r="P22" s="631"/>
      <c r="Q22" s="566"/>
      <c r="R22" s="566"/>
      <c r="S22" s="630">
        <f t="shared" si="2"/>
        <v>0</v>
      </c>
      <c r="T22" s="566">
        <v>2</v>
      </c>
      <c r="U22" s="566">
        <v>1</v>
      </c>
      <c r="V22" s="566"/>
      <c r="W22" s="566"/>
      <c r="X22" s="566"/>
      <c r="Y22" s="566"/>
      <c r="Z22" s="566"/>
      <c r="AA22" s="579"/>
      <c r="AB22" s="574">
        <f t="shared" si="4"/>
        <v>2</v>
      </c>
    </row>
    <row r="23" spans="2:29" x14ac:dyDescent="0.25">
      <c r="B23" s="565" t="s">
        <v>207</v>
      </c>
      <c r="C23" s="566"/>
      <c r="D23" s="566"/>
      <c r="E23" s="566"/>
      <c r="F23" s="566"/>
      <c r="G23" s="630">
        <f t="shared" si="0"/>
        <v>0</v>
      </c>
      <c r="H23" s="566"/>
      <c r="I23" s="566"/>
      <c r="J23" s="566"/>
      <c r="K23" s="566"/>
      <c r="L23" s="566"/>
      <c r="M23" s="566"/>
      <c r="N23" s="566"/>
      <c r="O23" s="566"/>
      <c r="P23" s="631"/>
      <c r="Q23" s="566"/>
      <c r="R23" s="566"/>
      <c r="S23" s="630">
        <f t="shared" si="2"/>
        <v>0</v>
      </c>
      <c r="T23" s="566"/>
      <c r="U23" s="566">
        <v>30</v>
      </c>
      <c r="V23" s="566"/>
      <c r="W23" s="566"/>
      <c r="X23" s="566"/>
      <c r="Y23" s="566"/>
      <c r="Z23" s="566"/>
      <c r="AA23" s="579">
        <f t="shared" si="3"/>
        <v>30</v>
      </c>
      <c r="AB23" s="574">
        <f t="shared" si="4"/>
        <v>0</v>
      </c>
    </row>
    <row r="24" spans="2:29" x14ac:dyDescent="0.25">
      <c r="B24" s="565" t="s">
        <v>208</v>
      </c>
      <c r="C24" s="566"/>
      <c r="D24" s="566"/>
      <c r="E24" s="566"/>
      <c r="F24" s="566"/>
      <c r="G24" s="631"/>
      <c r="H24" s="566"/>
      <c r="I24" s="566"/>
      <c r="J24" s="566"/>
      <c r="K24" s="566"/>
      <c r="L24" s="566"/>
      <c r="M24" s="566"/>
      <c r="N24" s="566"/>
      <c r="O24" s="566"/>
      <c r="P24" s="631"/>
      <c r="Q24" s="566"/>
      <c r="R24" s="566"/>
      <c r="S24" s="631"/>
      <c r="T24" s="566"/>
      <c r="U24" s="566">
        <v>1</v>
      </c>
      <c r="V24" s="566"/>
      <c r="W24" s="566"/>
      <c r="X24" s="566"/>
      <c r="Y24" s="566"/>
      <c r="Z24" s="566"/>
      <c r="AA24" s="670"/>
      <c r="AB24" s="671"/>
    </row>
    <row r="25" spans="2:29" s="561" customFormat="1" x14ac:dyDescent="0.25">
      <c r="B25" s="569" t="s">
        <v>94</v>
      </c>
      <c r="C25" s="573">
        <f>SUM(C3:C18)</f>
        <v>0</v>
      </c>
      <c r="D25" s="573">
        <f>SUM(D3:D18)</f>
        <v>15</v>
      </c>
      <c r="E25" s="573">
        <f>SUM(E3:E18)</f>
        <v>13</v>
      </c>
      <c r="F25" s="573">
        <f>SUM(F3:F18)</f>
        <v>19</v>
      </c>
      <c r="G25" s="632"/>
      <c r="H25" s="573">
        <f t="shared" ref="H25:O25" si="5">SUM(H3:H18)</f>
        <v>37</v>
      </c>
      <c r="I25" s="573">
        <f t="shared" si="5"/>
        <v>10</v>
      </c>
      <c r="J25" s="573">
        <f t="shared" si="5"/>
        <v>20</v>
      </c>
      <c r="K25" s="573">
        <f t="shared" si="5"/>
        <v>78</v>
      </c>
      <c r="L25" s="573">
        <f t="shared" si="5"/>
        <v>106</v>
      </c>
      <c r="M25" s="573">
        <f t="shared" si="5"/>
        <v>105</v>
      </c>
      <c r="N25" s="573">
        <f t="shared" si="5"/>
        <v>144</v>
      </c>
      <c r="O25" s="573">
        <f t="shared" si="5"/>
        <v>52</v>
      </c>
      <c r="P25" s="632">
        <f>SUM(P3:P20)</f>
        <v>505</v>
      </c>
      <c r="Q25" s="573">
        <f>SUM(Q3:Q18)</f>
        <v>96</v>
      </c>
      <c r="R25" s="573">
        <f>SUM(R3:R18)</f>
        <v>21</v>
      </c>
      <c r="S25" s="632"/>
      <c r="T25" s="573">
        <f>SUM(T3:T24)</f>
        <v>102</v>
      </c>
      <c r="U25" s="573">
        <f>SUM(U3:U24)</f>
        <v>60</v>
      </c>
      <c r="V25" s="573">
        <f>SUM(V3:V18)</f>
        <v>31</v>
      </c>
      <c r="W25" s="573">
        <f>SUM(W3:W18)</f>
        <v>0</v>
      </c>
      <c r="X25" s="573">
        <f>SUM(X3:X18)</f>
        <v>0</v>
      </c>
      <c r="Y25" s="573">
        <f>SUM(Y3:Y18)</f>
        <v>0</v>
      </c>
      <c r="Z25" s="573">
        <f>SUM(Z3:Z18)</f>
        <v>0</v>
      </c>
      <c r="AA25" s="578">
        <f>SUM(L25:Z25)</f>
        <v>1222</v>
      </c>
      <c r="AB25" s="575">
        <f>SUM(AB3:AB18)</f>
        <v>756</v>
      </c>
    </row>
    <row r="26" spans="2:29" x14ac:dyDescent="0.25">
      <c r="B26" s="570"/>
    </row>
    <row r="27" spans="2:29" x14ac:dyDescent="0.25">
      <c r="H27" s="572" t="s">
        <v>209</v>
      </c>
      <c r="I27" s="571" t="s">
        <v>210</v>
      </c>
      <c r="L27" s="571" t="s">
        <v>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2" workbookViewId="0">
      <selection activeCell="A12" sqref="A12"/>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A6" sqref="A6:H6"/>
    </sheetView>
  </sheetViews>
  <sheetFormatPr defaultRowHeight="15" x14ac:dyDescent="0.25"/>
  <cols>
    <col min="1" max="1" width="27.140625" style="85" customWidth="1"/>
    <col min="2" max="2" width="46.7109375" customWidth="1"/>
    <col min="3" max="3" width="74.42578125" customWidth="1"/>
    <col min="4" max="4" width="60.5703125" customWidth="1"/>
  </cols>
  <sheetData>
    <row r="1" spans="1:9" ht="37.5" x14ac:dyDescent="0.4">
      <c r="A1" s="83" t="s">
        <v>212</v>
      </c>
      <c r="B1" s="43"/>
      <c r="C1" s="43"/>
      <c r="D1" s="44" t="s">
        <v>213</v>
      </c>
      <c r="E1" s="43"/>
      <c r="F1" s="45"/>
      <c r="G1" s="44" t="s">
        <v>213</v>
      </c>
      <c r="H1" s="43"/>
    </row>
    <row r="2" spans="1:9" ht="60.75" customHeight="1" x14ac:dyDescent="0.4">
      <c r="A2" s="823" t="s">
        <v>214</v>
      </c>
      <c r="B2" s="824"/>
      <c r="C2" s="46"/>
      <c r="D2" s="46"/>
      <c r="E2" s="47" t="s">
        <v>213</v>
      </c>
      <c r="F2" s="43"/>
      <c r="G2" s="45"/>
      <c r="H2" s="47" t="s">
        <v>213</v>
      </c>
      <c r="I2" s="43"/>
    </row>
    <row r="3" spans="1:9" ht="33" customHeight="1" x14ac:dyDescent="0.3">
      <c r="A3" s="84" t="s">
        <v>215</v>
      </c>
      <c r="B3" s="48" t="s">
        <v>213</v>
      </c>
      <c r="C3" s="49" t="s">
        <v>213</v>
      </c>
      <c r="D3" s="47" t="s">
        <v>213</v>
      </c>
      <c r="E3" s="48" t="s">
        <v>213</v>
      </c>
      <c r="F3" s="45" t="s">
        <v>213</v>
      </c>
      <c r="G3" s="47" t="s">
        <v>213</v>
      </c>
      <c r="H3" s="49" t="s">
        <v>213</v>
      </c>
    </row>
    <row r="4" spans="1:9" ht="15" customHeight="1" x14ac:dyDescent="0.25">
      <c r="A4" s="827" t="s">
        <v>216</v>
      </c>
      <c r="B4" s="829" t="s">
        <v>217</v>
      </c>
      <c r="C4" s="50" t="s">
        <v>218</v>
      </c>
      <c r="D4" s="831" t="s">
        <v>219</v>
      </c>
      <c r="E4" s="51" t="s">
        <v>220</v>
      </c>
      <c r="F4" s="835" t="s">
        <v>221</v>
      </c>
      <c r="G4" s="831" t="s">
        <v>222</v>
      </c>
      <c r="H4" s="833" t="s">
        <v>223</v>
      </c>
    </row>
    <row r="5" spans="1:9" ht="28.5" customHeight="1" x14ac:dyDescent="0.25">
      <c r="A5" s="828"/>
      <c r="B5" s="830"/>
      <c r="C5" s="53" t="s">
        <v>224</v>
      </c>
      <c r="D5" s="832"/>
      <c r="E5" s="52" t="s">
        <v>220</v>
      </c>
      <c r="F5" s="836"/>
      <c r="G5" s="832"/>
      <c r="H5" s="834"/>
    </row>
    <row r="6" spans="1:9" ht="69" customHeight="1" x14ac:dyDescent="0.4">
      <c r="A6" s="825"/>
      <c r="B6" s="826"/>
      <c r="C6" s="826"/>
      <c r="D6" s="826"/>
      <c r="E6" s="826"/>
      <c r="F6" s="826"/>
      <c r="G6" s="826"/>
      <c r="H6" s="826"/>
    </row>
    <row r="7" spans="1:9" ht="18.75" hidden="1" x14ac:dyDescent="0.4">
      <c r="A7" s="820" t="s">
        <v>6</v>
      </c>
      <c r="B7" s="54" t="s">
        <v>213</v>
      </c>
      <c r="C7" s="54" t="s">
        <v>213</v>
      </c>
      <c r="D7" s="55" t="s">
        <v>213</v>
      </c>
      <c r="E7" s="55">
        <v>0</v>
      </c>
      <c r="F7" s="55" t="s">
        <v>213</v>
      </c>
      <c r="G7" s="55" t="s">
        <v>213</v>
      </c>
      <c r="H7" s="55" t="s">
        <v>213</v>
      </c>
    </row>
    <row r="8" spans="1:9" ht="61.5" customHeight="1" x14ac:dyDescent="0.25">
      <c r="A8" s="820"/>
      <c r="B8" s="56" t="s">
        <v>225</v>
      </c>
      <c r="C8" s="57" t="s">
        <v>226</v>
      </c>
      <c r="D8" s="58" t="s">
        <v>227</v>
      </c>
      <c r="E8" s="55">
        <v>0</v>
      </c>
      <c r="F8" s="55">
        <v>1570</v>
      </c>
      <c r="G8" s="58" t="s">
        <v>228</v>
      </c>
      <c r="H8" s="58" t="s">
        <v>229</v>
      </c>
    </row>
    <row r="9" spans="1:9" ht="206.25" customHeight="1" x14ac:dyDescent="0.25">
      <c r="A9" s="820"/>
      <c r="B9" s="56" t="s">
        <v>230</v>
      </c>
      <c r="C9" s="59" t="s">
        <v>231</v>
      </c>
      <c r="D9" s="59" t="s">
        <v>232</v>
      </c>
      <c r="E9" s="60">
        <v>0</v>
      </c>
      <c r="F9" s="61">
        <v>2642</v>
      </c>
      <c r="G9" s="60" t="s">
        <v>233</v>
      </c>
      <c r="H9" s="60" t="s">
        <v>229</v>
      </c>
    </row>
    <row r="10" spans="1:9" ht="107.25" customHeight="1" x14ac:dyDescent="0.25">
      <c r="A10" s="820"/>
      <c r="B10" s="56" t="s">
        <v>234</v>
      </c>
      <c r="C10" s="57" t="s">
        <v>235</v>
      </c>
      <c r="D10" s="59" t="s">
        <v>236</v>
      </c>
      <c r="E10" s="60">
        <v>0</v>
      </c>
      <c r="F10" s="62">
        <v>1700</v>
      </c>
      <c r="G10" s="60" t="s">
        <v>237</v>
      </c>
      <c r="H10" s="60" t="s">
        <v>229</v>
      </c>
    </row>
    <row r="11" spans="1:9" ht="199.5" customHeight="1" x14ac:dyDescent="0.25">
      <c r="A11" s="820"/>
      <c r="B11" s="82" t="s">
        <v>238</v>
      </c>
      <c r="C11" s="63" t="s">
        <v>239</v>
      </c>
      <c r="D11" s="63" t="s">
        <v>240</v>
      </c>
      <c r="E11" s="57">
        <v>0</v>
      </c>
      <c r="F11" s="64">
        <v>24800</v>
      </c>
      <c r="G11" s="60" t="s">
        <v>237</v>
      </c>
      <c r="H11" s="60" t="s">
        <v>229</v>
      </c>
    </row>
    <row r="12" spans="1:9" ht="111.75" customHeight="1" x14ac:dyDescent="0.25">
      <c r="A12" s="821"/>
      <c r="B12" s="63" t="s">
        <v>241</v>
      </c>
      <c r="C12" s="295" t="s">
        <v>242</v>
      </c>
      <c r="D12" s="296" t="s">
        <v>243</v>
      </c>
      <c r="E12" s="65">
        <v>0</v>
      </c>
      <c r="F12" s="67">
        <v>9700</v>
      </c>
      <c r="G12" s="65" t="s">
        <v>244</v>
      </c>
      <c r="H12" s="66" t="s">
        <v>229</v>
      </c>
    </row>
    <row r="13" spans="1:9" x14ac:dyDescent="0.25">
      <c r="A13" s="822" t="s">
        <v>245</v>
      </c>
      <c r="B13" s="68" t="s">
        <v>213</v>
      </c>
      <c r="C13" s="69" t="s">
        <v>213</v>
      </c>
      <c r="D13" s="69" t="s">
        <v>213</v>
      </c>
      <c r="E13" s="69" t="s">
        <v>213</v>
      </c>
      <c r="F13" s="69" t="s">
        <v>213</v>
      </c>
      <c r="G13" s="69" t="s">
        <v>213</v>
      </c>
      <c r="H13" s="69" t="s">
        <v>213</v>
      </c>
    </row>
    <row r="14" spans="1:9" x14ac:dyDescent="0.25">
      <c r="A14" s="822"/>
      <c r="B14" s="818" t="s">
        <v>246</v>
      </c>
      <c r="C14" s="818" t="s">
        <v>247</v>
      </c>
      <c r="D14" s="818" t="s">
        <v>248</v>
      </c>
      <c r="E14" s="818">
        <v>0</v>
      </c>
      <c r="F14" s="819">
        <v>5000</v>
      </c>
      <c r="G14" s="818" t="s">
        <v>249</v>
      </c>
      <c r="H14" s="817" t="s">
        <v>250</v>
      </c>
    </row>
    <row r="15" spans="1:9" x14ac:dyDescent="0.25">
      <c r="A15" s="822"/>
      <c r="B15" s="810"/>
      <c r="C15" s="810"/>
      <c r="D15" s="810"/>
      <c r="E15" s="810"/>
      <c r="F15" s="810"/>
      <c r="G15" s="810"/>
      <c r="H15" s="810"/>
    </row>
    <row r="16" spans="1:9" x14ac:dyDescent="0.25">
      <c r="A16" s="822"/>
      <c r="B16" s="810"/>
      <c r="C16" s="810"/>
      <c r="D16" s="810"/>
      <c r="E16" s="810"/>
      <c r="F16" s="810"/>
      <c r="G16" s="810"/>
      <c r="H16" s="810"/>
    </row>
    <row r="17" spans="1:8" x14ac:dyDescent="0.25">
      <c r="A17" s="822"/>
      <c r="B17" s="810"/>
      <c r="C17" s="810"/>
      <c r="D17" s="810"/>
      <c r="E17" s="810"/>
      <c r="F17" s="810"/>
      <c r="G17" s="810"/>
      <c r="H17" s="810"/>
    </row>
    <row r="18" spans="1:8" x14ac:dyDescent="0.25">
      <c r="A18" s="822"/>
      <c r="B18" s="810"/>
      <c r="C18" s="810"/>
      <c r="D18" s="810"/>
      <c r="E18" s="810"/>
      <c r="F18" s="810"/>
      <c r="G18" s="810"/>
      <c r="H18" s="810"/>
    </row>
    <row r="19" spans="1:8" x14ac:dyDescent="0.25">
      <c r="A19" s="822"/>
      <c r="B19" s="810" t="s">
        <v>251</v>
      </c>
      <c r="C19" s="810" t="s">
        <v>252</v>
      </c>
      <c r="D19" s="810" t="s">
        <v>253</v>
      </c>
      <c r="E19" s="810">
        <v>0</v>
      </c>
      <c r="F19" s="810">
        <v>50</v>
      </c>
      <c r="G19" s="810" t="s">
        <v>254</v>
      </c>
      <c r="H19" s="810" t="s">
        <v>250</v>
      </c>
    </row>
    <row r="20" spans="1:8" x14ac:dyDescent="0.25">
      <c r="A20" s="822"/>
      <c r="B20" s="810"/>
      <c r="C20" s="810"/>
      <c r="D20" s="810"/>
      <c r="E20" s="810"/>
      <c r="F20" s="810"/>
      <c r="G20" s="810"/>
      <c r="H20" s="810"/>
    </row>
    <row r="21" spans="1:8" x14ac:dyDescent="0.25">
      <c r="A21" s="822"/>
      <c r="B21" s="810" t="s">
        <v>255</v>
      </c>
      <c r="C21" s="810" t="s">
        <v>256</v>
      </c>
      <c r="D21" s="810" t="s">
        <v>257</v>
      </c>
      <c r="E21" s="810">
        <v>0</v>
      </c>
      <c r="F21" s="810">
        <v>537</v>
      </c>
      <c r="G21" s="810" t="s">
        <v>258</v>
      </c>
      <c r="H21" s="810" t="s">
        <v>250</v>
      </c>
    </row>
    <row r="22" spans="1:8" ht="24.75" customHeight="1" x14ac:dyDescent="0.25">
      <c r="A22" s="822"/>
      <c r="B22" s="811"/>
      <c r="C22" s="811"/>
      <c r="D22" s="811"/>
      <c r="E22" s="811"/>
      <c r="F22" s="811"/>
      <c r="G22" s="811"/>
      <c r="H22" s="811"/>
    </row>
    <row r="23" spans="1:8" x14ac:dyDescent="0.25">
      <c r="A23" s="822"/>
      <c r="B23" s="812" t="s">
        <v>259</v>
      </c>
      <c r="C23" s="813" t="s">
        <v>260</v>
      </c>
      <c r="D23" s="814" t="s">
        <v>261</v>
      </c>
      <c r="E23" s="814">
        <v>0</v>
      </c>
      <c r="F23" s="815">
        <v>2350</v>
      </c>
      <c r="G23" s="814" t="s">
        <v>258</v>
      </c>
      <c r="H23" s="810" t="s">
        <v>250</v>
      </c>
    </row>
    <row r="24" spans="1:8" x14ac:dyDescent="0.25">
      <c r="A24" s="822"/>
      <c r="B24" s="812"/>
      <c r="C24" s="813"/>
      <c r="D24" s="814"/>
      <c r="E24" s="814"/>
      <c r="F24" s="814"/>
      <c r="G24" s="814"/>
      <c r="H24" s="810"/>
    </row>
    <row r="25" spans="1:8" x14ac:dyDescent="0.25">
      <c r="A25" s="822"/>
      <c r="B25" s="812"/>
      <c r="C25" s="813"/>
      <c r="D25" s="814"/>
      <c r="E25" s="814"/>
      <c r="F25" s="814"/>
      <c r="G25" s="814"/>
      <c r="H25" s="816"/>
    </row>
    <row r="26" spans="1:8" ht="124.5" customHeight="1" x14ac:dyDescent="0.25">
      <c r="A26" s="822"/>
      <c r="B26" s="70" t="s">
        <v>262</v>
      </c>
      <c r="C26" s="71" t="s">
        <v>260</v>
      </c>
      <c r="D26" s="73" t="s">
        <v>263</v>
      </c>
      <c r="E26" s="74">
        <v>0</v>
      </c>
      <c r="F26" s="71" t="s">
        <v>264</v>
      </c>
      <c r="G26" s="71" t="s">
        <v>258</v>
      </c>
      <c r="H26" s="75" t="s">
        <v>250</v>
      </c>
    </row>
    <row r="27" spans="1:8" ht="122.25" customHeight="1" x14ac:dyDescent="0.25">
      <c r="A27" s="822"/>
      <c r="B27" s="76" t="s">
        <v>265</v>
      </c>
      <c r="C27" s="72" t="s">
        <v>266</v>
      </c>
      <c r="D27" s="71" t="s">
        <v>267</v>
      </c>
      <c r="E27" s="77">
        <v>0</v>
      </c>
      <c r="F27" s="78">
        <v>4700</v>
      </c>
      <c r="G27" s="77" t="s">
        <v>268</v>
      </c>
      <c r="H27" s="77" t="s">
        <v>250</v>
      </c>
    </row>
    <row r="28" spans="1:8" ht="15" customHeight="1" x14ac:dyDescent="0.3">
      <c r="A28" s="86" t="s">
        <v>269</v>
      </c>
      <c r="B28" s="79" t="s">
        <v>213</v>
      </c>
      <c r="C28" s="80" t="s">
        <v>213</v>
      </c>
      <c r="D28" s="81" t="s">
        <v>213</v>
      </c>
      <c r="E28" s="81" t="s">
        <v>213</v>
      </c>
      <c r="F28" s="81" t="s">
        <v>213</v>
      </c>
      <c r="G28" s="81" t="s">
        <v>213</v>
      </c>
      <c r="H28" s="81" t="s">
        <v>213</v>
      </c>
    </row>
  </sheetData>
  <mergeCells count="38">
    <mergeCell ref="A2:B2"/>
    <mergeCell ref="A6:H6"/>
    <mergeCell ref="A4:A5"/>
    <mergeCell ref="B4:B5"/>
    <mergeCell ref="D4:D5"/>
    <mergeCell ref="G4:G5"/>
    <mergeCell ref="H4:H5"/>
    <mergeCell ref="F4:F5"/>
    <mergeCell ref="A7:A12"/>
    <mergeCell ref="A13:A27"/>
    <mergeCell ref="B14:B18"/>
    <mergeCell ref="C14:C18"/>
    <mergeCell ref="D14:D18"/>
    <mergeCell ref="H14:H18"/>
    <mergeCell ref="B19:B20"/>
    <mergeCell ref="C19:C20"/>
    <mergeCell ref="D19:D20"/>
    <mergeCell ref="E19:E20"/>
    <mergeCell ref="F19:F20"/>
    <mergeCell ref="G19:G20"/>
    <mergeCell ref="H19:H20"/>
    <mergeCell ref="E14:E18"/>
    <mergeCell ref="F14:F18"/>
    <mergeCell ref="G14:G18"/>
    <mergeCell ref="H21:H22"/>
    <mergeCell ref="B23:B25"/>
    <mergeCell ref="C23:C25"/>
    <mergeCell ref="D23:D25"/>
    <mergeCell ref="E23:E25"/>
    <mergeCell ref="F23:F25"/>
    <mergeCell ref="G23:G25"/>
    <mergeCell ref="H23:H25"/>
    <mergeCell ref="B21:B22"/>
    <mergeCell ref="C21:C22"/>
    <mergeCell ref="D21:D22"/>
    <mergeCell ref="E21:E22"/>
    <mergeCell ref="F21:F22"/>
    <mergeCell ref="G21:G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6"/>
  <sheetViews>
    <sheetView topLeftCell="A4" workbookViewId="0">
      <selection activeCell="A5" sqref="A5"/>
    </sheetView>
  </sheetViews>
  <sheetFormatPr defaultRowHeight="15" x14ac:dyDescent="0.25"/>
  <cols>
    <col min="2" max="2" width="52.7109375" customWidth="1"/>
    <col min="3" max="3" width="50.5703125" style="599" hidden="1" customWidth="1"/>
    <col min="4" max="5" width="10.28515625" hidden="1" customWidth="1"/>
    <col min="6" max="6" width="19.85546875" hidden="1" customWidth="1"/>
    <col min="7" max="7" width="10.28515625" bestFit="1" customWidth="1"/>
  </cols>
  <sheetData>
    <row r="1" spans="2:7" x14ac:dyDescent="0.25">
      <c r="B1" s="609" t="s">
        <v>270</v>
      </c>
      <c r="C1" s="610" t="s">
        <v>271</v>
      </c>
      <c r="D1" s="611" t="s">
        <v>272</v>
      </c>
      <c r="E1" s="611" t="s">
        <v>273</v>
      </c>
      <c r="F1" s="611" t="s">
        <v>274</v>
      </c>
      <c r="G1" s="612" t="s">
        <v>275</v>
      </c>
    </row>
    <row r="2" spans="2:7" x14ac:dyDescent="0.25">
      <c r="B2" s="622" t="s">
        <v>276</v>
      </c>
      <c r="C2" s="620"/>
      <c r="D2" s="621"/>
      <c r="E2" s="621"/>
      <c r="F2" s="621" t="s">
        <v>277</v>
      </c>
      <c r="G2" s="623" t="s">
        <v>278</v>
      </c>
    </row>
    <row r="3" spans="2:7" ht="57.75" customHeight="1" x14ac:dyDescent="0.25">
      <c r="B3" s="619" t="s">
        <v>279</v>
      </c>
      <c r="C3" s="602"/>
      <c r="D3" s="601"/>
      <c r="E3" s="601"/>
      <c r="F3" s="601"/>
      <c r="G3" s="607"/>
    </row>
    <row r="4" spans="2:7" ht="33.75" customHeight="1" x14ac:dyDescent="0.25">
      <c r="B4" s="606" t="s">
        <v>7</v>
      </c>
      <c r="C4" s="602" t="s">
        <v>280</v>
      </c>
      <c r="D4" s="601">
        <v>550</v>
      </c>
      <c r="E4" s="601">
        <v>384</v>
      </c>
      <c r="F4" s="603">
        <v>0.7</v>
      </c>
      <c r="G4" s="608">
        <v>0.9</v>
      </c>
    </row>
    <row r="5" spans="2:7" ht="26.25" hidden="1" x14ac:dyDescent="0.25">
      <c r="B5" s="605"/>
      <c r="C5" s="602" t="s">
        <v>281</v>
      </c>
      <c r="D5" s="601">
        <v>2</v>
      </c>
      <c r="E5" s="601">
        <v>2</v>
      </c>
      <c r="F5" s="603">
        <v>1</v>
      </c>
      <c r="G5" s="607"/>
    </row>
    <row r="6" spans="2:7" ht="26.25" hidden="1" x14ac:dyDescent="0.25">
      <c r="B6" s="605"/>
      <c r="C6" s="602" t="s">
        <v>282</v>
      </c>
      <c r="D6" s="601">
        <v>1</v>
      </c>
      <c r="E6" s="601">
        <v>1</v>
      </c>
      <c r="F6" s="603">
        <v>1</v>
      </c>
      <c r="G6" s="607"/>
    </row>
    <row r="7" spans="2:7" ht="39" x14ac:dyDescent="0.25">
      <c r="B7" s="606" t="s">
        <v>283</v>
      </c>
      <c r="C7" s="602" t="s">
        <v>284</v>
      </c>
      <c r="D7" s="601">
        <v>50</v>
      </c>
      <c r="E7" s="601">
        <v>50</v>
      </c>
      <c r="F7" s="603">
        <v>1</v>
      </c>
      <c r="G7" s="608">
        <v>0.44</v>
      </c>
    </row>
    <row r="8" spans="2:7" ht="39" hidden="1" x14ac:dyDescent="0.25">
      <c r="B8" s="605"/>
      <c r="C8" s="602" t="s">
        <v>285</v>
      </c>
      <c r="D8" s="601">
        <v>130</v>
      </c>
      <c r="E8" s="601">
        <v>97</v>
      </c>
      <c r="F8" s="603">
        <v>0.75</v>
      </c>
      <c r="G8" s="607"/>
    </row>
    <row r="9" spans="2:7" ht="26.25" hidden="1" x14ac:dyDescent="0.25">
      <c r="B9" s="605"/>
      <c r="C9" s="602" t="s">
        <v>286</v>
      </c>
      <c r="D9" s="601">
        <v>30</v>
      </c>
      <c r="E9" s="601">
        <v>0</v>
      </c>
      <c r="F9" s="603">
        <v>0</v>
      </c>
      <c r="G9" s="607"/>
    </row>
    <row r="10" spans="2:7" ht="26.25" hidden="1" x14ac:dyDescent="0.25">
      <c r="B10" s="605"/>
      <c r="C10" s="602" t="s">
        <v>287</v>
      </c>
      <c r="D10" s="601">
        <v>30</v>
      </c>
      <c r="E10" s="601">
        <v>0</v>
      </c>
      <c r="F10" s="603">
        <v>0</v>
      </c>
      <c r="G10" s="607"/>
    </row>
    <row r="11" spans="2:7" ht="39" x14ac:dyDescent="0.25">
      <c r="B11" s="606" t="s">
        <v>14</v>
      </c>
      <c r="C11" s="602" t="s">
        <v>288</v>
      </c>
      <c r="D11" s="601">
        <v>150</v>
      </c>
      <c r="E11" s="601">
        <v>174</v>
      </c>
      <c r="F11" s="603">
        <v>1</v>
      </c>
      <c r="G11" s="608">
        <v>0.85</v>
      </c>
    </row>
    <row r="12" spans="2:7" ht="26.25" hidden="1" x14ac:dyDescent="0.25">
      <c r="B12" s="605"/>
      <c r="C12" s="602" t="s">
        <v>289</v>
      </c>
      <c r="D12" s="601">
        <v>300</v>
      </c>
      <c r="E12" s="601">
        <v>208</v>
      </c>
      <c r="F12" s="603">
        <v>0.69</v>
      </c>
      <c r="G12" s="607"/>
    </row>
    <row r="13" spans="2:7" ht="39" x14ac:dyDescent="0.25">
      <c r="B13" s="606" t="s">
        <v>16</v>
      </c>
      <c r="C13" s="602" t="s">
        <v>290</v>
      </c>
      <c r="D13" s="601">
        <v>450</v>
      </c>
      <c r="E13" s="601">
        <v>453</v>
      </c>
      <c r="F13" s="603">
        <v>1.01</v>
      </c>
      <c r="G13" s="608">
        <v>0.7</v>
      </c>
    </row>
    <row r="14" spans="2:7" ht="26.25" hidden="1" x14ac:dyDescent="0.25">
      <c r="B14" s="605"/>
      <c r="C14" s="602" t="s">
        <v>17</v>
      </c>
      <c r="D14" s="601">
        <v>25</v>
      </c>
      <c r="E14" s="601">
        <v>27</v>
      </c>
      <c r="F14" s="603">
        <v>1.08</v>
      </c>
      <c r="G14" s="607"/>
    </row>
    <row r="15" spans="2:7" ht="26.25" hidden="1" x14ac:dyDescent="0.25">
      <c r="B15" s="605"/>
      <c r="C15" s="602" t="s">
        <v>291</v>
      </c>
      <c r="D15" s="601">
        <v>200</v>
      </c>
      <c r="E15" s="601">
        <v>73</v>
      </c>
      <c r="F15" s="603">
        <v>0.37</v>
      </c>
      <c r="G15" s="607"/>
    </row>
    <row r="16" spans="2:7" ht="26.25" hidden="1" x14ac:dyDescent="0.25">
      <c r="B16" s="605"/>
      <c r="C16" s="602" t="s">
        <v>140</v>
      </c>
      <c r="D16" s="604">
        <v>3700</v>
      </c>
      <c r="E16" s="601">
        <v>1250</v>
      </c>
      <c r="F16" s="603">
        <v>0.34</v>
      </c>
      <c r="G16" s="607"/>
    </row>
    <row r="17" spans="2:7" ht="102.75" x14ac:dyDescent="0.25">
      <c r="B17" s="606" t="s">
        <v>292</v>
      </c>
      <c r="C17" s="602" t="s">
        <v>293</v>
      </c>
      <c r="D17" s="601">
        <v>2</v>
      </c>
      <c r="E17" s="601">
        <v>9</v>
      </c>
      <c r="F17" s="603">
        <v>1</v>
      </c>
      <c r="G17" s="608">
        <v>0.6</v>
      </c>
    </row>
    <row r="18" spans="2:7" hidden="1" x14ac:dyDescent="0.25">
      <c r="B18" s="605"/>
      <c r="C18" s="602" t="s">
        <v>294</v>
      </c>
      <c r="D18" s="601">
        <v>1</v>
      </c>
      <c r="E18" s="601">
        <v>0</v>
      </c>
      <c r="F18" s="603">
        <v>0</v>
      </c>
      <c r="G18" s="607"/>
    </row>
    <row r="19" spans="2:7" ht="26.25" hidden="1" x14ac:dyDescent="0.25">
      <c r="B19" s="605"/>
      <c r="C19" s="602" t="s">
        <v>295</v>
      </c>
      <c r="D19" s="604">
        <v>4500</v>
      </c>
      <c r="E19" s="601">
        <v>3546</v>
      </c>
      <c r="F19" s="603">
        <v>0.79</v>
      </c>
      <c r="G19" s="607"/>
    </row>
    <row r="20" spans="2:7" ht="39" x14ac:dyDescent="0.25">
      <c r="B20" s="619" t="s">
        <v>296</v>
      </c>
      <c r="C20" s="602"/>
      <c r="D20" s="601"/>
      <c r="E20" s="601"/>
      <c r="F20" s="601"/>
      <c r="G20" s="607"/>
    </row>
    <row r="21" spans="2:7" ht="39" x14ac:dyDescent="0.25">
      <c r="B21" s="606" t="s">
        <v>297</v>
      </c>
      <c r="C21" s="602" t="s">
        <v>298</v>
      </c>
      <c r="D21" s="604">
        <v>3350</v>
      </c>
      <c r="E21" s="601">
        <v>455</v>
      </c>
      <c r="F21" s="603">
        <v>0.14000000000000001</v>
      </c>
      <c r="G21" s="608">
        <v>0.71</v>
      </c>
    </row>
    <row r="22" spans="2:7" ht="26.25" hidden="1" x14ac:dyDescent="0.25">
      <c r="B22" s="605"/>
      <c r="C22" s="602" t="s">
        <v>299</v>
      </c>
      <c r="D22" s="601">
        <v>6</v>
      </c>
      <c r="E22" s="601">
        <v>6</v>
      </c>
      <c r="F22" s="603">
        <v>1</v>
      </c>
      <c r="G22" s="607"/>
    </row>
    <row r="23" spans="2:7" ht="26.25" hidden="1" x14ac:dyDescent="0.25">
      <c r="B23" s="605"/>
      <c r="C23" s="602" t="s">
        <v>300</v>
      </c>
      <c r="D23" s="601">
        <v>15</v>
      </c>
      <c r="E23" s="601">
        <v>13</v>
      </c>
      <c r="F23" s="603">
        <v>0.87</v>
      </c>
      <c r="G23" s="607"/>
    </row>
    <row r="24" spans="2:7" ht="39" hidden="1" x14ac:dyDescent="0.25">
      <c r="B24" s="605"/>
      <c r="C24" s="602" t="s">
        <v>301</v>
      </c>
      <c r="D24" s="601">
        <v>600</v>
      </c>
      <c r="E24" s="601">
        <v>300</v>
      </c>
      <c r="F24" s="603">
        <v>0.5</v>
      </c>
      <c r="G24" s="607"/>
    </row>
    <row r="25" spans="2:7" hidden="1" x14ac:dyDescent="0.25">
      <c r="B25" s="605"/>
      <c r="C25" s="602" t="s">
        <v>59</v>
      </c>
      <c r="D25" s="601">
        <v>2</v>
      </c>
      <c r="E25" s="601">
        <v>4</v>
      </c>
      <c r="F25" s="603">
        <v>2</v>
      </c>
      <c r="G25" s="607"/>
    </row>
    <row r="26" spans="2:7" ht="39" hidden="1" x14ac:dyDescent="0.25">
      <c r="B26" s="605"/>
      <c r="C26" s="602" t="s">
        <v>302</v>
      </c>
      <c r="D26" s="601">
        <v>4</v>
      </c>
      <c r="E26" s="601">
        <v>2</v>
      </c>
      <c r="F26" s="603">
        <v>0.5</v>
      </c>
      <c r="G26" s="607"/>
    </row>
    <row r="27" spans="2:7" ht="26.25" hidden="1" x14ac:dyDescent="0.25">
      <c r="B27" s="605"/>
      <c r="C27" s="602" t="s">
        <v>303</v>
      </c>
      <c r="D27" s="601">
        <v>2</v>
      </c>
      <c r="E27" s="601">
        <v>0</v>
      </c>
      <c r="F27" s="603">
        <v>0</v>
      </c>
      <c r="G27" s="607"/>
    </row>
    <row r="28" spans="2:7" ht="51.75" x14ac:dyDescent="0.25">
      <c r="B28" s="606" t="s">
        <v>40</v>
      </c>
      <c r="C28" s="602" t="s">
        <v>41</v>
      </c>
      <c r="D28" s="601">
        <v>15</v>
      </c>
      <c r="E28" s="601">
        <v>4</v>
      </c>
      <c r="F28" s="603">
        <v>0.27</v>
      </c>
      <c r="G28" s="608">
        <v>0.27</v>
      </c>
    </row>
    <row r="29" spans="2:7" ht="39" x14ac:dyDescent="0.25">
      <c r="B29" s="606" t="s">
        <v>45</v>
      </c>
      <c r="C29" s="602" t="s">
        <v>304</v>
      </c>
      <c r="D29" s="601">
        <v>100</v>
      </c>
      <c r="E29" s="601">
        <v>150</v>
      </c>
      <c r="F29" s="603">
        <v>1.5</v>
      </c>
      <c r="G29" s="608">
        <v>0.84</v>
      </c>
    </row>
    <row r="30" spans="2:7" ht="26.25" hidden="1" x14ac:dyDescent="0.25">
      <c r="B30" s="605"/>
      <c r="C30" s="602" t="s">
        <v>305</v>
      </c>
      <c r="D30" s="601">
        <v>2000</v>
      </c>
      <c r="E30" s="601">
        <v>34</v>
      </c>
      <c r="F30" s="603">
        <v>0.02</v>
      </c>
      <c r="G30" s="607"/>
    </row>
    <row r="31" spans="2:7" ht="26.25" hidden="1" x14ac:dyDescent="0.25">
      <c r="B31" s="605"/>
      <c r="C31" s="602" t="s">
        <v>306</v>
      </c>
      <c r="D31" s="601">
        <v>3</v>
      </c>
      <c r="E31" s="601">
        <v>3</v>
      </c>
      <c r="F31" s="603">
        <v>1</v>
      </c>
      <c r="G31" s="607"/>
    </row>
    <row r="32" spans="2:7" ht="51.75" hidden="1" x14ac:dyDescent="0.25">
      <c r="B32" s="605"/>
      <c r="C32" s="602" t="s">
        <v>307</v>
      </c>
      <c r="D32" s="601">
        <v>120</v>
      </c>
      <c r="E32" s="601">
        <v>0</v>
      </c>
      <c r="F32" s="603">
        <v>0</v>
      </c>
      <c r="G32" s="607"/>
    </row>
    <row r="33" spans="2:7" ht="51.75" x14ac:dyDescent="0.25">
      <c r="B33" s="606" t="s">
        <v>308</v>
      </c>
      <c r="C33" s="602" t="s">
        <v>309</v>
      </c>
      <c r="D33" s="604">
        <v>1350</v>
      </c>
      <c r="E33" s="601">
        <v>1564</v>
      </c>
      <c r="F33" s="603">
        <v>1</v>
      </c>
      <c r="G33" s="608">
        <v>1</v>
      </c>
    </row>
    <row r="34" spans="2:7" hidden="1" x14ac:dyDescent="0.25">
      <c r="B34" s="605"/>
      <c r="C34" s="602" t="s">
        <v>310</v>
      </c>
      <c r="D34" s="601">
        <v>50</v>
      </c>
      <c r="E34" s="601">
        <v>50</v>
      </c>
      <c r="F34" s="603">
        <v>1</v>
      </c>
      <c r="G34" s="607"/>
    </row>
    <row r="35" spans="2:7" ht="51.75" x14ac:dyDescent="0.25">
      <c r="B35" s="606" t="s">
        <v>57</v>
      </c>
      <c r="C35" s="602" t="s">
        <v>58</v>
      </c>
      <c r="D35" s="601">
        <v>2</v>
      </c>
      <c r="E35" s="601">
        <v>2</v>
      </c>
      <c r="F35" s="603">
        <v>1</v>
      </c>
      <c r="G35" s="608">
        <v>1</v>
      </c>
    </row>
    <row r="36" spans="2:7" ht="51.75" x14ac:dyDescent="0.25">
      <c r="B36" s="613" t="s">
        <v>311</v>
      </c>
      <c r="C36" s="614" t="s">
        <v>312</v>
      </c>
      <c r="D36" s="615">
        <v>2800</v>
      </c>
      <c r="E36" s="616">
        <v>2060</v>
      </c>
      <c r="F36" s="617">
        <v>0.74</v>
      </c>
      <c r="G36" s="61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6" sqref="B6"/>
    </sheetView>
  </sheetViews>
  <sheetFormatPr defaultRowHeight="15" x14ac:dyDescent="0.25"/>
  <cols>
    <col min="1" max="1" width="17.42578125" customWidth="1"/>
  </cols>
  <sheetData>
    <row r="1" spans="1:3" x14ac:dyDescent="0.25">
      <c r="A1" s="837" t="s">
        <v>313</v>
      </c>
      <c r="B1" s="837"/>
      <c r="C1" s="837"/>
    </row>
    <row r="2" spans="1:3" x14ac:dyDescent="0.25">
      <c r="A2" t="s">
        <v>216</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39"/>
  <sheetViews>
    <sheetView topLeftCell="A32" workbookViewId="0">
      <selection activeCell="C38" sqref="C38"/>
    </sheetView>
  </sheetViews>
  <sheetFormatPr defaultRowHeight="15" x14ac:dyDescent="0.25"/>
  <cols>
    <col min="2" max="2" width="49.7109375" customWidth="1"/>
    <col min="3" max="3" width="42.5703125" customWidth="1"/>
    <col min="4" max="4" width="13.42578125" customWidth="1"/>
    <col min="5" max="5" width="14.5703125" customWidth="1"/>
    <col min="6" max="6" width="0" hidden="1" customWidth="1"/>
    <col min="7" max="7" width="0.42578125" customWidth="1"/>
    <col min="8" max="8" width="15" customWidth="1"/>
    <col min="9" max="9" width="18.140625" customWidth="1"/>
    <col min="10" max="10" width="20.7109375" style="144" customWidth="1"/>
  </cols>
  <sheetData>
    <row r="2" spans="2:10" ht="30" customHeight="1" x14ac:dyDescent="0.25">
      <c r="B2" s="37" t="s">
        <v>314</v>
      </c>
      <c r="C2" s="4" t="s">
        <v>315</v>
      </c>
      <c r="D2" s="4" t="s">
        <v>70</v>
      </c>
      <c r="E2" s="4" t="s">
        <v>111</v>
      </c>
      <c r="F2" s="5" t="s">
        <v>316</v>
      </c>
      <c r="G2" s="5" t="s">
        <v>317</v>
      </c>
      <c r="H2" s="4" t="s">
        <v>128</v>
      </c>
      <c r="I2" s="6" t="s">
        <v>112</v>
      </c>
      <c r="J2" s="140" t="s">
        <v>318</v>
      </c>
    </row>
    <row r="3" spans="2:10" x14ac:dyDescent="0.25">
      <c r="B3" s="36" t="s">
        <v>319</v>
      </c>
      <c r="C3" s="23"/>
      <c r="D3" s="24"/>
      <c r="E3" s="24"/>
      <c r="F3" s="1"/>
      <c r="G3" s="1"/>
      <c r="H3" s="24"/>
      <c r="I3" s="695"/>
      <c r="J3" s="141"/>
    </row>
    <row r="4" spans="2:10" ht="31.5" customHeight="1" x14ac:dyDescent="0.25">
      <c r="B4" s="25" t="s">
        <v>320</v>
      </c>
      <c r="C4" s="7" t="s">
        <v>8</v>
      </c>
      <c r="D4" s="1">
        <v>200</v>
      </c>
      <c r="E4" s="1">
        <f>'Sheet 2'!AG8</f>
        <v>66</v>
      </c>
      <c r="F4" s="1">
        <v>100</v>
      </c>
      <c r="G4" s="1">
        <v>300</v>
      </c>
      <c r="H4" s="1">
        <f>D4-E4</f>
        <v>134</v>
      </c>
      <c r="I4" s="3">
        <f>E4/D4</f>
        <v>0.33</v>
      </c>
      <c r="J4" s="838">
        <f>(I7+I6+I4)/3</f>
        <v>0.55444444444444441</v>
      </c>
    </row>
    <row r="5" spans="2:10" ht="42" customHeight="1" x14ac:dyDescent="0.25">
      <c r="B5" s="42"/>
      <c r="C5" s="7" t="s">
        <v>321</v>
      </c>
      <c r="D5" s="1"/>
      <c r="E5" s="1"/>
      <c r="F5" s="1"/>
      <c r="G5" s="1"/>
      <c r="H5" s="1">
        <f>D5-E5</f>
        <v>0</v>
      </c>
      <c r="I5" s="695" t="e">
        <f>E5/D5</f>
        <v>#DIV/0!</v>
      </c>
      <c r="J5" s="838"/>
    </row>
    <row r="6" spans="2:10" ht="26.25" customHeight="1" x14ac:dyDescent="0.25">
      <c r="B6" s="26"/>
      <c r="C6" s="7" t="s">
        <v>10</v>
      </c>
      <c r="D6" s="1">
        <v>3</v>
      </c>
      <c r="E6" s="1">
        <f>'Sheet 2'!AG10</f>
        <v>1</v>
      </c>
      <c r="F6" s="1"/>
      <c r="G6" s="1"/>
      <c r="H6" s="1">
        <f t="shared" ref="H6:H22" si="0">D6-E6</f>
        <v>2</v>
      </c>
      <c r="I6" s="3">
        <f t="shared" ref="I6:I22" si="1">E6/D6</f>
        <v>0.33333333333333331</v>
      </c>
      <c r="J6" s="838"/>
    </row>
    <row r="7" spans="2:10" ht="31.5" customHeight="1" x14ac:dyDescent="0.25">
      <c r="B7" s="87"/>
      <c r="C7" s="7" t="s">
        <v>322</v>
      </c>
      <c r="D7" s="1">
        <v>1</v>
      </c>
      <c r="E7" s="1">
        <v>1</v>
      </c>
      <c r="F7" s="1"/>
      <c r="G7" s="1"/>
      <c r="H7" s="1">
        <f>D7-E7</f>
        <v>0</v>
      </c>
      <c r="I7" s="695">
        <f>E7/D7</f>
        <v>1</v>
      </c>
      <c r="J7" s="838"/>
    </row>
    <row r="8" spans="2:10" x14ac:dyDescent="0.25">
      <c r="B8" s="11"/>
      <c r="C8" s="12" t="s">
        <v>323</v>
      </c>
      <c r="D8" s="13">
        <v>50</v>
      </c>
      <c r="E8" s="13">
        <v>0</v>
      </c>
      <c r="F8" s="13"/>
      <c r="G8" s="13"/>
      <c r="H8" s="13">
        <f t="shared" si="0"/>
        <v>50</v>
      </c>
      <c r="I8" s="14">
        <f t="shared" si="1"/>
        <v>0</v>
      </c>
      <c r="J8" s="143"/>
    </row>
    <row r="9" spans="2:10" ht="27.75" customHeight="1" x14ac:dyDescent="0.25">
      <c r="B9" s="27" t="s">
        <v>324</v>
      </c>
      <c r="C9" s="7" t="s">
        <v>325</v>
      </c>
      <c r="D9" s="1">
        <v>85</v>
      </c>
      <c r="E9" s="1">
        <f>'Sheet 2'!AG13</f>
        <v>85</v>
      </c>
      <c r="F9" s="1"/>
      <c r="G9" s="1"/>
      <c r="H9" s="1">
        <f>D9-E9</f>
        <v>0</v>
      </c>
      <c r="I9" s="3">
        <f>E9/D9</f>
        <v>1</v>
      </c>
      <c r="J9" s="143">
        <f>Table2[[#This Row],[% Achieved]]</f>
        <v>1</v>
      </c>
    </row>
    <row r="10" spans="2:10" ht="27.75" customHeight="1" x14ac:dyDescent="0.25">
      <c r="B10" s="283"/>
      <c r="C10" s="7" t="s">
        <v>13</v>
      </c>
      <c r="D10" s="1"/>
      <c r="E10" s="1"/>
      <c r="F10" s="1"/>
      <c r="G10" s="1"/>
      <c r="H10" s="1">
        <f>D10-E10</f>
        <v>0</v>
      </c>
      <c r="I10" s="695" t="e">
        <f>E10/D10</f>
        <v>#DIV/0!</v>
      </c>
      <c r="J10" s="143"/>
    </row>
    <row r="11" spans="2:10" x14ac:dyDescent="0.25">
      <c r="B11" s="11"/>
      <c r="C11" s="12" t="s">
        <v>326</v>
      </c>
      <c r="D11" s="13">
        <v>350</v>
      </c>
      <c r="E11" s="13">
        <v>0</v>
      </c>
      <c r="F11" s="13"/>
      <c r="G11" s="13"/>
      <c r="H11" s="13">
        <f>D11-E11</f>
        <v>350</v>
      </c>
      <c r="I11" s="14">
        <f>E11/D11</f>
        <v>0</v>
      </c>
      <c r="J11" s="143"/>
    </row>
    <row r="12" spans="2:10" ht="28.5" customHeight="1" x14ac:dyDescent="0.25">
      <c r="B12" s="28" t="s">
        <v>327</v>
      </c>
      <c r="C12" s="7" t="s">
        <v>328</v>
      </c>
      <c r="D12" s="1">
        <v>200</v>
      </c>
      <c r="E12" s="1">
        <f>'Sheet 2'!AG16</f>
        <v>94</v>
      </c>
      <c r="F12" s="1"/>
      <c r="G12" s="1"/>
      <c r="H12" s="1">
        <f t="shared" si="0"/>
        <v>106</v>
      </c>
      <c r="I12" s="3">
        <f t="shared" si="1"/>
        <v>0.47</v>
      </c>
      <c r="J12" s="143">
        <f>Table2[[#This Row],[% Achieved]]</f>
        <v>0.47</v>
      </c>
    </row>
    <row r="13" spans="2:10" ht="45" x14ac:dyDescent="0.25">
      <c r="B13" s="29" t="s">
        <v>329</v>
      </c>
      <c r="C13" s="132" t="s">
        <v>330</v>
      </c>
      <c r="D13" s="133">
        <v>25</v>
      </c>
      <c r="E13" s="133">
        <f>'Sheet 2'!O17</f>
        <v>0</v>
      </c>
      <c r="F13" s="133"/>
      <c r="G13" s="133"/>
      <c r="H13" s="133">
        <f>D13-E13</f>
        <v>25</v>
      </c>
      <c r="I13" s="134">
        <f>Table2[[#This Row],[Achieved]]/Table2[[#This Row],[Target]]</f>
        <v>0</v>
      </c>
      <c r="J13" s="838">
        <f>SUM(I14+I15+I16)/3</f>
        <v>1.3306666666666667</v>
      </c>
    </row>
    <row r="14" spans="2:10" x14ac:dyDescent="0.25">
      <c r="B14" s="2"/>
      <c r="C14" s="7" t="s">
        <v>331</v>
      </c>
      <c r="D14" s="1">
        <v>50</v>
      </c>
      <c r="E14" s="1">
        <f>'Sheet 2'!AG18</f>
        <v>50</v>
      </c>
      <c r="F14" s="1"/>
      <c r="G14" s="1"/>
      <c r="H14" s="1">
        <f>Table2[[#This Row],[Target]]-Table2[[#This Row],[Achieved]]</f>
        <v>0</v>
      </c>
      <c r="I14" s="3">
        <f>Table2[[#This Row],[Achieved]]/Table2[[#This Row],[Target]]</f>
        <v>1</v>
      </c>
      <c r="J14" s="838"/>
    </row>
    <row r="15" spans="2:10" ht="30.6" customHeight="1" x14ac:dyDescent="0.25">
      <c r="B15" s="2"/>
      <c r="C15" s="22" t="s">
        <v>332</v>
      </c>
      <c r="D15" s="1">
        <v>2</v>
      </c>
      <c r="E15" s="1">
        <f>'Sheet 2'!AG19</f>
        <v>4</v>
      </c>
      <c r="F15" s="1"/>
      <c r="G15" s="1"/>
      <c r="H15" s="1">
        <f t="shared" ref="H15:H16" si="2">D15-E15</f>
        <v>-2</v>
      </c>
      <c r="I15" s="3">
        <f>Table2[[#This Row],[Achieved]]/Table2[[#This Row],[Target]]</f>
        <v>2</v>
      </c>
      <c r="J15" s="838"/>
    </row>
    <row r="16" spans="2:10" x14ac:dyDescent="0.25">
      <c r="B16" s="2"/>
      <c r="C16" s="7" t="s">
        <v>333</v>
      </c>
      <c r="D16" s="8">
        <v>1000</v>
      </c>
      <c r="E16" s="1">
        <f>'Sheet 2'!AG20</f>
        <v>934</v>
      </c>
      <c r="F16" s="1"/>
      <c r="G16" s="1"/>
      <c r="H16" s="1">
        <f t="shared" si="2"/>
        <v>66</v>
      </c>
      <c r="I16" s="3">
        <f>SUM(Table2[[#This Row],[Achieved]]+E17)/Table2[[#This Row],[Target]]</f>
        <v>0.99199999999999999</v>
      </c>
      <c r="J16" s="838"/>
    </row>
    <row r="17" spans="2:10" x14ac:dyDescent="0.25">
      <c r="B17" s="2"/>
      <c r="C17" s="7" t="s">
        <v>334</v>
      </c>
      <c r="D17" s="8"/>
      <c r="E17" s="1">
        <f>'Sheet 2'!O21</f>
        <v>58</v>
      </c>
      <c r="F17" s="1"/>
      <c r="G17" s="1"/>
      <c r="H17" s="1">
        <f>D17-E17</f>
        <v>-58</v>
      </c>
      <c r="I17" s="695" t="e">
        <f>E17/D17</f>
        <v>#DIV/0!</v>
      </c>
      <c r="J17" s="142"/>
    </row>
    <row r="18" spans="2:10" ht="60" customHeight="1" x14ac:dyDescent="0.25">
      <c r="B18" s="131" t="s">
        <v>335</v>
      </c>
      <c r="C18" s="7"/>
      <c r="D18" s="8"/>
      <c r="E18" s="1">
        <f>'Sheet 2'!AG22</f>
        <v>57</v>
      </c>
      <c r="F18" s="1"/>
      <c r="G18" s="1"/>
      <c r="H18" s="1">
        <f>D18-E18</f>
        <v>-57</v>
      </c>
      <c r="I18" s="695" t="e">
        <f>E18/D18</f>
        <v>#DIV/0!</v>
      </c>
      <c r="J18" s="142"/>
    </row>
    <row r="19" spans="2:10" x14ac:dyDescent="0.25">
      <c r="B19" s="31" t="s">
        <v>336</v>
      </c>
      <c r="C19" s="18"/>
      <c r="D19" s="30"/>
      <c r="E19" s="19"/>
      <c r="F19" s="19"/>
      <c r="G19" s="19"/>
      <c r="H19" s="19">
        <f>D19-E19</f>
        <v>0</v>
      </c>
      <c r="I19" s="696" t="e">
        <f>E19/D19</f>
        <v>#DIV/0!</v>
      </c>
      <c r="J19" s="141"/>
    </row>
    <row r="20" spans="2:10" ht="30" x14ac:dyDescent="0.25">
      <c r="B20" s="32" t="s">
        <v>28</v>
      </c>
      <c r="C20" s="10" t="s">
        <v>337</v>
      </c>
      <c r="D20" s="9">
        <v>1300</v>
      </c>
      <c r="E20" s="9">
        <f>'Sheet 2'!AG23</f>
        <v>55</v>
      </c>
      <c r="F20" s="9"/>
      <c r="G20" s="9"/>
      <c r="H20" s="9">
        <f t="shared" si="0"/>
        <v>1245</v>
      </c>
      <c r="I20" s="16">
        <f t="shared" si="1"/>
        <v>4.230769230769231E-2</v>
      </c>
      <c r="J20" s="838">
        <f>SUM(I20+I21+I22+I23+I24+I25)/7</f>
        <v>0.33521062271062274</v>
      </c>
    </row>
    <row r="21" spans="2:10" ht="24.75" customHeight="1" x14ac:dyDescent="0.25">
      <c r="B21" s="17"/>
      <c r="C21" s="18" t="s">
        <v>338</v>
      </c>
      <c r="D21" s="19">
        <v>600</v>
      </c>
      <c r="E21" s="19">
        <f>'Sheet 2'!AG24</f>
        <v>55</v>
      </c>
      <c r="F21" s="19"/>
      <c r="G21" s="19"/>
      <c r="H21" s="19">
        <f t="shared" si="0"/>
        <v>545</v>
      </c>
      <c r="I21" s="20">
        <f t="shared" si="1"/>
        <v>9.166666666666666E-2</v>
      </c>
      <c r="J21" s="838"/>
    </row>
    <row r="22" spans="2:10" ht="22.5" customHeight="1" x14ac:dyDescent="0.25">
      <c r="B22" s="15"/>
      <c r="C22" s="10" t="s">
        <v>339</v>
      </c>
      <c r="D22" s="9">
        <v>480</v>
      </c>
      <c r="E22" s="9">
        <f>'Sheet 2'!AG25</f>
        <v>22</v>
      </c>
      <c r="F22" s="9"/>
      <c r="G22" s="9"/>
      <c r="H22" s="9">
        <f t="shared" si="0"/>
        <v>458</v>
      </c>
      <c r="I22" s="16">
        <f t="shared" si="1"/>
        <v>4.583333333333333E-2</v>
      </c>
      <c r="J22" s="838"/>
    </row>
    <row r="23" spans="2:10" ht="22.5" customHeight="1" x14ac:dyDescent="0.25">
      <c r="B23" s="17"/>
      <c r="C23" s="21" t="s">
        <v>340</v>
      </c>
      <c r="D23" s="19">
        <v>4</v>
      </c>
      <c r="E23" s="19">
        <f>'Sheet 2'!AG26</f>
        <v>0</v>
      </c>
      <c r="F23" s="19"/>
      <c r="G23" s="19"/>
      <c r="H23" s="19">
        <f t="shared" ref="H23:H39" si="3">D23-E23</f>
        <v>4</v>
      </c>
      <c r="I23" s="20">
        <f t="shared" ref="I23:I39" si="4">E23/D23</f>
        <v>0</v>
      </c>
      <c r="J23" s="838"/>
    </row>
    <row r="24" spans="2:10" ht="22.5" customHeight="1" x14ac:dyDescent="0.25">
      <c r="B24" s="15"/>
      <c r="C24" s="10" t="s">
        <v>341</v>
      </c>
      <c r="D24" s="9">
        <v>240</v>
      </c>
      <c r="E24" s="9">
        <f>'Sheet 2'!AG27</f>
        <v>240</v>
      </c>
      <c r="F24" s="9"/>
      <c r="G24" s="9"/>
      <c r="H24" s="9">
        <f>D24-E24</f>
        <v>0</v>
      </c>
      <c r="I24" s="697">
        <f>E24/D24</f>
        <v>1</v>
      </c>
      <c r="J24" s="838"/>
    </row>
    <row r="25" spans="2:10" ht="24" customHeight="1" x14ac:dyDescent="0.25">
      <c r="B25" s="17"/>
      <c r="C25" s="18" t="s">
        <v>342</v>
      </c>
      <c r="D25" s="19">
        <v>6</v>
      </c>
      <c r="E25" s="19">
        <v>7</v>
      </c>
      <c r="F25" s="19"/>
      <c r="G25" s="19"/>
      <c r="H25" s="19">
        <f>D25-E25</f>
        <v>-1</v>
      </c>
      <c r="I25" s="696">
        <f>E25/D25</f>
        <v>1.1666666666666667</v>
      </c>
      <c r="J25" s="838"/>
    </row>
    <row r="26" spans="2:10" ht="32.25" customHeight="1" x14ac:dyDescent="0.25">
      <c r="B26" s="17"/>
      <c r="C26" s="282" t="s">
        <v>37</v>
      </c>
      <c r="D26" s="19"/>
      <c r="E26" s="19"/>
      <c r="F26" s="19"/>
      <c r="G26" s="19"/>
      <c r="H26" s="19">
        <f>D26-E26</f>
        <v>0</v>
      </c>
      <c r="I26" s="696" t="e">
        <f>E26/D26</f>
        <v>#DIV/0!</v>
      </c>
      <c r="J26" s="838"/>
    </row>
    <row r="27" spans="2:10" ht="24" customHeight="1" x14ac:dyDescent="0.25">
      <c r="B27" s="17"/>
      <c r="C27" s="18" t="s">
        <v>38</v>
      </c>
      <c r="D27" s="19"/>
      <c r="E27" s="19"/>
      <c r="F27" s="19"/>
      <c r="G27" s="19"/>
      <c r="H27" s="19">
        <f>D27-E27</f>
        <v>0</v>
      </c>
      <c r="I27" s="696" t="e">
        <f>E27/D27</f>
        <v>#DIV/0!</v>
      </c>
      <c r="J27" s="838"/>
    </row>
    <row r="28" spans="2:10" ht="24" customHeight="1" x14ac:dyDescent="0.25">
      <c r="B28" s="15"/>
      <c r="C28" s="10" t="s">
        <v>343</v>
      </c>
      <c r="D28" s="9">
        <v>0</v>
      </c>
      <c r="E28" s="9" t="e">
        <f>'Sheet 2'!#REF!</f>
        <v>#REF!</v>
      </c>
      <c r="F28" s="9"/>
      <c r="G28" s="9"/>
      <c r="H28" s="9" t="e">
        <f>D28-E28</f>
        <v>#REF!</v>
      </c>
      <c r="I28" s="697" t="e">
        <f>E28/D28</f>
        <v>#REF!</v>
      </c>
      <c r="J28" s="838"/>
    </row>
    <row r="29" spans="2:10" ht="45" x14ac:dyDescent="0.25">
      <c r="B29" s="33" t="s">
        <v>153</v>
      </c>
      <c r="C29" s="10" t="s">
        <v>344</v>
      </c>
      <c r="D29" s="9">
        <v>10</v>
      </c>
      <c r="E29" s="9">
        <f>'Sheet 2'!AG33</f>
        <v>3</v>
      </c>
      <c r="F29" s="9"/>
      <c r="G29" s="9"/>
      <c r="H29" s="9">
        <f t="shared" si="3"/>
        <v>7</v>
      </c>
      <c r="I29" s="697">
        <f t="shared" si="4"/>
        <v>0.3</v>
      </c>
      <c r="J29" s="141">
        <v>0</v>
      </c>
    </row>
    <row r="30" spans="2:10" ht="22.5" customHeight="1" x14ac:dyDescent="0.25">
      <c r="B30" s="34" t="s">
        <v>155</v>
      </c>
      <c r="C30" s="12" t="s">
        <v>345</v>
      </c>
      <c r="D30" s="13">
        <v>5</v>
      </c>
      <c r="E30" s="13">
        <v>0</v>
      </c>
      <c r="F30" s="13"/>
      <c r="G30" s="13"/>
      <c r="H30" s="13">
        <f>D30-E30</f>
        <v>5</v>
      </c>
      <c r="I30" s="698">
        <f>E30/D30</f>
        <v>0</v>
      </c>
      <c r="J30" s="141"/>
    </row>
    <row r="31" spans="2:10" ht="68.25" customHeight="1" x14ac:dyDescent="0.25">
      <c r="B31" s="38" t="s">
        <v>346</v>
      </c>
      <c r="C31" s="40" t="s">
        <v>347</v>
      </c>
      <c r="D31" s="19">
        <v>150</v>
      </c>
      <c r="E31" s="19">
        <f>'Sheet 2'!AG35</f>
        <v>44</v>
      </c>
      <c r="F31" s="19"/>
      <c r="G31" s="19"/>
      <c r="H31" s="19">
        <f>D31-E31</f>
        <v>106</v>
      </c>
      <c r="I31" s="696">
        <f>E31/D31</f>
        <v>0.29333333333333333</v>
      </c>
      <c r="J31" s="839">
        <f>SUM(I31+I32)/3</f>
        <v>0.29968253968253972</v>
      </c>
    </row>
    <row r="32" spans="2:10" ht="15" customHeight="1" x14ac:dyDescent="0.25">
      <c r="B32" s="39"/>
      <c r="C32" s="41" t="s">
        <v>348</v>
      </c>
      <c r="D32" s="9">
        <v>350</v>
      </c>
      <c r="E32" s="9">
        <f>'Sheet 2'!AG36</f>
        <v>212</v>
      </c>
      <c r="F32" s="9"/>
      <c r="G32" s="9"/>
      <c r="H32" s="9">
        <f t="shared" si="3"/>
        <v>138</v>
      </c>
      <c r="I32" s="697">
        <f t="shared" si="4"/>
        <v>0.60571428571428576</v>
      </c>
      <c r="J32" s="839"/>
    </row>
    <row r="33" spans="2:10" ht="46.5" customHeight="1" x14ac:dyDescent="0.25">
      <c r="B33" s="89"/>
      <c r="C33" s="10" t="s">
        <v>349</v>
      </c>
      <c r="D33" s="9">
        <v>960</v>
      </c>
      <c r="E33" s="9">
        <f>'Sheet 2'!AG37</f>
        <v>782</v>
      </c>
      <c r="F33" s="9"/>
      <c r="G33" s="9"/>
      <c r="H33" s="9">
        <f>D33-E33</f>
        <v>178</v>
      </c>
      <c r="I33" s="697">
        <f>Table2[[#This Row],[Achieved]]/Table2[[#This Row],[Target]]</f>
        <v>0.81458333333333333</v>
      </c>
      <c r="J33" s="839"/>
    </row>
    <row r="34" spans="2:10" ht="45" x14ac:dyDescent="0.25">
      <c r="B34" s="35" t="s">
        <v>165</v>
      </c>
      <c r="C34" s="10" t="s">
        <v>350</v>
      </c>
      <c r="D34" s="9">
        <v>3</v>
      </c>
      <c r="E34" s="9">
        <f>'Sheet 2'!AG38</f>
        <v>2</v>
      </c>
      <c r="F34" s="9"/>
      <c r="G34" s="9"/>
      <c r="H34" s="9">
        <f t="shared" si="3"/>
        <v>1</v>
      </c>
      <c r="I34" s="697">
        <f t="shared" si="4"/>
        <v>0.66666666666666663</v>
      </c>
      <c r="J34" s="839">
        <f>SUM(I34+I35+I37+I36)/4</f>
        <v>0.95833333333333337</v>
      </c>
    </row>
    <row r="35" spans="2:10" ht="30" customHeight="1" x14ac:dyDescent="0.25">
      <c r="B35" s="17"/>
      <c r="C35" s="18" t="s">
        <v>59</v>
      </c>
      <c r="D35" s="19">
        <v>3</v>
      </c>
      <c r="E35" s="19">
        <f>'Sheet 2'!AG39</f>
        <v>0</v>
      </c>
      <c r="F35" s="19"/>
      <c r="G35" s="19"/>
      <c r="H35" s="19">
        <f>D35-E35</f>
        <v>3</v>
      </c>
      <c r="I35" s="696">
        <f>E35/D35</f>
        <v>0</v>
      </c>
      <c r="J35" s="839"/>
    </row>
    <row r="36" spans="2:10" x14ac:dyDescent="0.25">
      <c r="B36" s="15"/>
      <c r="C36" s="10" t="s">
        <v>60</v>
      </c>
      <c r="D36" s="9">
        <v>1</v>
      </c>
      <c r="E36" s="9">
        <v>2</v>
      </c>
      <c r="F36" s="9"/>
      <c r="G36" s="9"/>
      <c r="H36" s="9">
        <f>D36-E36</f>
        <v>-1</v>
      </c>
      <c r="I36" s="697">
        <f>E36/D36</f>
        <v>2</v>
      </c>
      <c r="J36" s="839"/>
    </row>
    <row r="37" spans="2:10" ht="30" x14ac:dyDescent="0.25">
      <c r="B37" s="17"/>
      <c r="C37" s="18" t="s">
        <v>61</v>
      </c>
      <c r="D37" s="19">
        <v>6</v>
      </c>
      <c r="E37" s="19">
        <v>7</v>
      </c>
      <c r="F37" s="19"/>
      <c r="G37" s="19"/>
      <c r="H37" s="19">
        <f>D37-E37</f>
        <v>-1</v>
      </c>
      <c r="I37" s="696">
        <f>E37/D37</f>
        <v>1.1666666666666667</v>
      </c>
      <c r="J37" s="839"/>
    </row>
    <row r="38" spans="2:10" ht="41.25" customHeight="1" x14ac:dyDescent="0.25">
      <c r="B38" s="88" t="s">
        <v>265</v>
      </c>
      <c r="C38" s="40" t="s">
        <v>351</v>
      </c>
      <c r="D38" s="19">
        <v>500</v>
      </c>
      <c r="E38" s="19">
        <f>'Sheet 2'!I42</f>
        <v>518</v>
      </c>
      <c r="F38" s="19"/>
      <c r="G38" s="19"/>
      <c r="H38" s="19">
        <f>D38-E38</f>
        <v>-18</v>
      </c>
      <c r="I38" s="696">
        <f>E38/D38</f>
        <v>1.036</v>
      </c>
      <c r="J38" s="141">
        <f>Table2[[#This Row],[% Achieved]]</f>
        <v>1.036</v>
      </c>
    </row>
    <row r="39" spans="2:10" x14ac:dyDescent="0.25">
      <c r="B39" s="15"/>
      <c r="C39" s="10"/>
      <c r="D39" s="9"/>
      <c r="E39" s="9">
        <v>0</v>
      </c>
      <c r="F39" s="9"/>
      <c r="G39" s="9"/>
      <c r="H39" s="9">
        <f t="shared" si="3"/>
        <v>0</v>
      </c>
      <c r="I39" s="16" t="e">
        <f t="shared" si="4"/>
        <v>#DIV/0!</v>
      </c>
      <c r="J39" s="143"/>
    </row>
  </sheetData>
  <mergeCells count="5">
    <mergeCell ref="J4:J7"/>
    <mergeCell ref="J13:J16"/>
    <mergeCell ref="J20:J28"/>
    <mergeCell ref="J31:J33"/>
    <mergeCell ref="J34:J37"/>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264"/>
  <sheetViews>
    <sheetView topLeftCell="D1" zoomScale="28" zoomScaleNormal="44" workbookViewId="0">
      <pane xSplit="2" topLeftCell="J1" activePane="topRight" state="frozen"/>
      <selection pane="topRight" activeCell="J52" sqref="J52"/>
    </sheetView>
  </sheetViews>
  <sheetFormatPr defaultColWidth="8.85546875" defaultRowHeight="15" x14ac:dyDescent="0.25"/>
  <cols>
    <col min="1" max="1" width="17.5703125" customWidth="1"/>
    <col min="2" max="2" width="25.85546875" customWidth="1"/>
    <col min="3" max="3" width="34.140625" customWidth="1"/>
    <col min="4" max="4" width="52" style="137" customWidth="1"/>
    <col min="5" max="5" width="8.7109375" customWidth="1"/>
    <col min="6" max="6" width="11.42578125" hidden="1" customWidth="1"/>
    <col min="7" max="7" width="7.42578125" style="24" customWidth="1"/>
    <col min="8" max="8" width="7.5703125" style="125" customWidth="1"/>
    <col min="9" max="10" width="7.140625" style="1" customWidth="1"/>
    <col min="11" max="11" width="6.42578125" style="125" customWidth="1"/>
    <col min="12" max="12" width="7.7109375" style="24" customWidth="1"/>
    <col min="13" max="13" width="7.140625" style="1" customWidth="1"/>
    <col min="14" max="14" width="7.85546875" style="125" customWidth="1"/>
    <col min="15" max="15" width="7.140625" style="91" customWidth="1"/>
    <col min="16" max="19" width="9.42578125" style="91" customWidth="1"/>
    <col min="20" max="20" width="8.42578125" style="126" customWidth="1"/>
    <col min="21" max="21" width="8.5703125" style="127" customWidth="1"/>
    <col min="22" max="22" width="7.42578125" style="128" customWidth="1"/>
    <col min="23" max="23" width="8.42578125" style="128" customWidth="1"/>
    <col min="24" max="24" width="7.5703125" style="127" customWidth="1"/>
    <col min="25" max="25" width="7" style="126" customWidth="1"/>
    <col min="26" max="26" width="8.140625" style="1" customWidth="1"/>
    <col min="27" max="27" width="7.5703125" style="125" customWidth="1"/>
    <col min="28" max="31" width="8.85546875" style="91" customWidth="1"/>
    <col min="32" max="32" width="9.5703125" style="139" customWidth="1"/>
    <col min="33" max="33" width="15" style="129" customWidth="1"/>
    <col min="34" max="34" width="17.85546875" style="130" customWidth="1"/>
    <col min="35" max="146" width="8.85546875" style="90"/>
  </cols>
  <sheetData>
    <row r="1" spans="1:146" ht="45.95" customHeight="1" x14ac:dyDescent="0.25">
      <c r="A1" s="852" t="s">
        <v>352</v>
      </c>
      <c r="B1" s="853"/>
      <c r="C1" s="853"/>
      <c r="D1" s="853"/>
      <c r="E1" s="853"/>
      <c r="F1" s="853"/>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row>
    <row r="2" spans="1:146" ht="42.95" customHeight="1" x14ac:dyDescent="0.25">
      <c r="A2" s="854" t="s">
        <v>353</v>
      </c>
      <c r="B2" s="855"/>
      <c r="C2" s="855"/>
      <c r="D2" s="855"/>
      <c r="E2" s="855"/>
      <c r="F2" s="855"/>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row>
    <row r="3" spans="1:146" ht="32.1" customHeight="1" x14ac:dyDescent="0.25">
      <c r="A3" s="145" t="s">
        <v>354</v>
      </c>
      <c r="B3" s="856">
        <v>45352</v>
      </c>
      <c r="C3" s="857"/>
      <c r="D3" s="858"/>
      <c r="E3" s="146"/>
      <c r="F3" s="147"/>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row>
    <row r="4" spans="1:146" ht="31.5" customHeight="1" x14ac:dyDescent="0.25">
      <c r="A4" s="877" t="s">
        <v>355</v>
      </c>
      <c r="B4" s="884" t="s">
        <v>276</v>
      </c>
      <c r="C4" s="881" t="s">
        <v>356</v>
      </c>
      <c r="D4" s="885" t="s">
        <v>357</v>
      </c>
      <c r="E4" s="843" t="s">
        <v>358</v>
      </c>
      <c r="F4" s="844" t="s">
        <v>69</v>
      </c>
      <c r="G4" s="847"/>
      <c r="H4" s="847"/>
      <c r="I4" s="847"/>
      <c r="J4" s="847"/>
      <c r="K4" s="847"/>
      <c r="L4" s="847"/>
      <c r="M4" s="847"/>
      <c r="N4" s="847"/>
      <c r="O4" s="847"/>
      <c r="P4" s="847"/>
      <c r="Q4" s="847"/>
      <c r="R4" s="847"/>
      <c r="S4" s="847"/>
      <c r="T4" s="847"/>
      <c r="U4" s="847"/>
      <c r="V4" s="847"/>
      <c r="W4" s="847"/>
      <c r="X4" s="847"/>
      <c r="Y4" s="847"/>
      <c r="Z4" s="847"/>
      <c r="AA4" s="847"/>
      <c r="AB4" s="847"/>
      <c r="AC4" s="847"/>
      <c r="AD4" s="847"/>
      <c r="AE4" s="847"/>
      <c r="AF4" s="847"/>
      <c r="AG4" s="847"/>
      <c r="AH4" s="847"/>
    </row>
    <row r="5" spans="1:146" ht="31.5" customHeight="1" x14ac:dyDescent="0.25">
      <c r="A5" s="877"/>
      <c r="B5" s="884"/>
      <c r="C5" s="882"/>
      <c r="D5" s="885"/>
      <c r="E5" s="843"/>
      <c r="F5" s="844"/>
      <c r="G5" s="878" t="s">
        <v>359</v>
      </c>
      <c r="H5" s="848"/>
      <c r="I5" s="848"/>
      <c r="J5" s="848"/>
      <c r="K5" s="848"/>
      <c r="L5" s="848"/>
      <c r="M5" s="848"/>
      <c r="N5" s="848"/>
      <c r="O5" s="849"/>
      <c r="P5" s="148"/>
      <c r="Q5" s="148"/>
      <c r="R5" s="148"/>
      <c r="S5" s="148"/>
      <c r="T5" s="878" t="s">
        <v>360</v>
      </c>
      <c r="U5" s="848"/>
      <c r="V5" s="848"/>
      <c r="W5" s="848"/>
      <c r="X5" s="848"/>
      <c r="Y5" s="848"/>
      <c r="Z5" s="848"/>
      <c r="AA5" s="848"/>
      <c r="AB5" s="849"/>
      <c r="AC5" s="148"/>
      <c r="AD5" s="148"/>
      <c r="AE5" s="148"/>
      <c r="AF5" s="148"/>
      <c r="AG5" s="848"/>
      <c r="AH5" s="849"/>
    </row>
    <row r="6" spans="1:146" ht="45" customHeight="1" x14ac:dyDescent="0.25">
      <c r="A6" s="877"/>
      <c r="B6" s="884"/>
      <c r="C6" s="883"/>
      <c r="D6" s="885"/>
      <c r="E6" s="843"/>
      <c r="F6" s="845"/>
      <c r="G6" s="879" t="s">
        <v>361</v>
      </c>
      <c r="H6" s="880"/>
      <c r="I6" s="880"/>
      <c r="J6" s="879" t="s">
        <v>362</v>
      </c>
      <c r="K6" s="880"/>
      <c r="L6" s="880"/>
      <c r="M6" s="875" t="s">
        <v>363</v>
      </c>
      <c r="N6" s="876"/>
      <c r="O6" s="876"/>
      <c r="P6" s="859" t="s">
        <v>364</v>
      </c>
      <c r="Q6" s="859"/>
      <c r="R6" s="859"/>
      <c r="S6" s="860"/>
      <c r="T6" s="867" t="s">
        <v>365</v>
      </c>
      <c r="U6" s="868"/>
      <c r="V6" s="868"/>
      <c r="W6" s="867" t="s">
        <v>366</v>
      </c>
      <c r="X6" s="868"/>
      <c r="Y6" s="868"/>
      <c r="Z6" s="861" t="s">
        <v>367</v>
      </c>
      <c r="AA6" s="862"/>
      <c r="AB6" s="863"/>
      <c r="AC6" s="859" t="s">
        <v>368</v>
      </c>
      <c r="AD6" s="859"/>
      <c r="AE6" s="859"/>
      <c r="AF6" s="860"/>
      <c r="AG6" s="149"/>
      <c r="AH6" s="850" t="s">
        <v>369</v>
      </c>
    </row>
    <row r="7" spans="1:146" ht="48.75" customHeight="1" x14ac:dyDescent="0.25">
      <c r="A7" s="873" t="s">
        <v>370</v>
      </c>
      <c r="B7" s="874"/>
      <c r="C7" s="874"/>
      <c r="D7" s="874"/>
      <c r="E7" s="874"/>
      <c r="F7" s="874"/>
      <c r="G7" s="150" t="s">
        <v>113</v>
      </c>
      <c r="H7" s="151" t="s">
        <v>114</v>
      </c>
      <c r="I7" s="150" t="s">
        <v>94</v>
      </c>
      <c r="J7" s="150" t="s">
        <v>113</v>
      </c>
      <c r="K7" s="151" t="s">
        <v>114</v>
      </c>
      <c r="L7" s="150" t="s">
        <v>94</v>
      </c>
      <c r="M7" s="152" t="s">
        <v>113</v>
      </c>
      <c r="N7" s="153" t="s">
        <v>114</v>
      </c>
      <c r="O7" s="152" t="s">
        <v>94</v>
      </c>
      <c r="P7" s="154" t="s">
        <v>70</v>
      </c>
      <c r="Q7" s="154" t="s">
        <v>371</v>
      </c>
      <c r="R7" s="155" t="s">
        <v>112</v>
      </c>
      <c r="S7" s="155" t="s">
        <v>372</v>
      </c>
      <c r="T7" s="156" t="s">
        <v>113</v>
      </c>
      <c r="U7" s="157" t="s">
        <v>114</v>
      </c>
      <c r="V7" s="156" t="s">
        <v>94</v>
      </c>
      <c r="W7" s="156" t="s">
        <v>113</v>
      </c>
      <c r="X7" s="157" t="s">
        <v>114</v>
      </c>
      <c r="Y7" s="156" t="s">
        <v>94</v>
      </c>
      <c r="Z7" s="152" t="s">
        <v>113</v>
      </c>
      <c r="AA7" s="153" t="s">
        <v>114</v>
      </c>
      <c r="AB7" s="152" t="s">
        <v>94</v>
      </c>
      <c r="AC7" s="154" t="s">
        <v>70</v>
      </c>
      <c r="AD7" s="154" t="s">
        <v>111</v>
      </c>
      <c r="AE7" s="155" t="s">
        <v>112</v>
      </c>
      <c r="AF7" s="158" t="s">
        <v>128</v>
      </c>
      <c r="AG7" s="159" t="s">
        <v>373</v>
      </c>
      <c r="AH7" s="851"/>
    </row>
    <row r="8" spans="1:146" s="93" customFormat="1" ht="29.25" customHeight="1" x14ac:dyDescent="0.2">
      <c r="A8" s="864" t="s">
        <v>6</v>
      </c>
      <c r="B8" s="871" t="s">
        <v>320</v>
      </c>
      <c r="C8" s="160" t="s">
        <v>374</v>
      </c>
      <c r="D8" s="268" t="s">
        <v>375</v>
      </c>
      <c r="E8" s="161">
        <v>200</v>
      </c>
      <c r="F8" s="162" t="s">
        <v>130</v>
      </c>
      <c r="G8" s="163">
        <v>36</v>
      </c>
      <c r="H8" s="164">
        <v>2</v>
      </c>
      <c r="I8" s="150">
        <f>G8+H8</f>
        <v>38</v>
      </c>
      <c r="J8" s="163">
        <v>1</v>
      </c>
      <c r="K8" s="165"/>
      <c r="L8" s="150">
        <f>J8+K8</f>
        <v>1</v>
      </c>
      <c r="M8" s="166">
        <f>SUM(G8+J8)</f>
        <v>37</v>
      </c>
      <c r="N8" s="166">
        <f>SUM(H8+K8)</f>
        <v>2</v>
      </c>
      <c r="O8" s="167">
        <f>M8+N8</f>
        <v>39</v>
      </c>
      <c r="P8" s="168">
        <v>200</v>
      </c>
      <c r="Q8" s="169">
        <f>SUM(O8)</f>
        <v>39</v>
      </c>
      <c r="R8" s="170">
        <f>Q8/P8</f>
        <v>0.19500000000000001</v>
      </c>
      <c r="S8" s="168">
        <f>E8-Q8</f>
        <v>161</v>
      </c>
      <c r="T8" s="171">
        <v>25</v>
      </c>
      <c r="U8" s="172"/>
      <c r="V8" s="171">
        <f>T8+U8</f>
        <v>25</v>
      </c>
      <c r="W8" s="173">
        <v>2</v>
      </c>
      <c r="X8" s="172"/>
      <c r="Y8" s="173">
        <f>W8+X8</f>
        <v>2</v>
      </c>
      <c r="Z8" s="152">
        <f t="shared" ref="Z8:AA23" si="0">T8+W8</f>
        <v>27</v>
      </c>
      <c r="AA8" s="152">
        <f t="shared" si="0"/>
        <v>0</v>
      </c>
      <c r="AB8" s="167">
        <f>Z8+AA8</f>
        <v>27</v>
      </c>
      <c r="AC8" s="169">
        <v>161</v>
      </c>
      <c r="AD8" s="169">
        <f>AB8</f>
        <v>27</v>
      </c>
      <c r="AE8" s="169"/>
      <c r="AF8" s="174">
        <f>AC8-AD8</f>
        <v>134</v>
      </c>
      <c r="AG8" s="175">
        <f>SUM(Q8+AD8)</f>
        <v>66</v>
      </c>
      <c r="AH8" s="176">
        <f>AG8/E8</f>
        <v>0.33</v>
      </c>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row>
    <row r="9" spans="1:146" s="93" customFormat="1" ht="56.25" customHeight="1" x14ac:dyDescent="0.2">
      <c r="A9" s="865"/>
      <c r="B9" s="872"/>
      <c r="C9" s="178"/>
      <c r="D9" s="268" t="s">
        <v>376</v>
      </c>
      <c r="E9" s="179"/>
      <c r="F9" s="180"/>
      <c r="G9" s="163"/>
      <c r="H9" s="164"/>
      <c r="I9" s="150"/>
      <c r="J9" s="181"/>
      <c r="K9" s="165"/>
      <c r="L9" s="150"/>
      <c r="M9" s="166"/>
      <c r="N9" s="166"/>
      <c r="O9" s="167"/>
      <c r="P9" s="169"/>
      <c r="Q9" s="169"/>
      <c r="R9" s="170"/>
      <c r="S9" s="170"/>
      <c r="T9" s="182"/>
      <c r="U9" s="183"/>
      <c r="V9" s="182"/>
      <c r="W9" s="184"/>
      <c r="X9" s="183"/>
      <c r="Y9" s="184"/>
      <c r="Z9" s="152"/>
      <c r="AA9" s="152"/>
      <c r="AB9" s="167"/>
      <c r="AC9" s="169"/>
      <c r="AD9" s="169"/>
      <c r="AE9" s="169"/>
      <c r="AF9" s="174">
        <f>AC9-AD9</f>
        <v>0</v>
      </c>
      <c r="AG9" s="175">
        <f>Q9+AD9</f>
        <v>0</v>
      </c>
      <c r="AH9" s="176" t="e">
        <f>AG9/E9</f>
        <v>#DIV/0!</v>
      </c>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row>
    <row r="10" spans="1:146" s="93" customFormat="1" ht="27.75" customHeight="1" x14ac:dyDescent="0.2">
      <c r="A10" s="865"/>
      <c r="B10" s="872"/>
      <c r="C10" s="178"/>
      <c r="D10" s="268" t="s">
        <v>377</v>
      </c>
      <c r="E10" s="179">
        <v>3</v>
      </c>
      <c r="F10" s="180" t="s">
        <v>130</v>
      </c>
      <c r="G10" s="163">
        <v>0</v>
      </c>
      <c r="H10" s="164">
        <v>0</v>
      </c>
      <c r="I10" s="150">
        <v>0</v>
      </c>
      <c r="J10" s="163">
        <v>0</v>
      </c>
      <c r="K10" s="164">
        <v>0</v>
      </c>
      <c r="L10" s="150">
        <v>0</v>
      </c>
      <c r="M10" s="166">
        <v>0</v>
      </c>
      <c r="N10" s="166">
        <v>0</v>
      </c>
      <c r="O10" s="167">
        <v>0</v>
      </c>
      <c r="P10" s="169">
        <v>3</v>
      </c>
      <c r="Q10" s="169">
        <f>O10</f>
        <v>0</v>
      </c>
      <c r="R10" s="170">
        <f>Q10/P10</f>
        <v>0</v>
      </c>
      <c r="S10" s="168">
        <f>E10-Q10</f>
        <v>3</v>
      </c>
      <c r="T10" s="171"/>
      <c r="U10" s="172"/>
      <c r="V10" s="171">
        <f>T10+U10</f>
        <v>0</v>
      </c>
      <c r="W10" s="173"/>
      <c r="X10" s="172"/>
      <c r="Y10" s="173">
        <f>W10+X10</f>
        <v>0</v>
      </c>
      <c r="Z10" s="152"/>
      <c r="AA10" s="152"/>
      <c r="AB10" s="167">
        <v>1</v>
      </c>
      <c r="AC10" s="169">
        <v>3</v>
      </c>
      <c r="AD10" s="169">
        <f>AB10</f>
        <v>1</v>
      </c>
      <c r="AE10" s="185">
        <f>AD10/AC10</f>
        <v>0.33333333333333331</v>
      </c>
      <c r="AF10" s="174">
        <f>AC10-AD10</f>
        <v>2</v>
      </c>
      <c r="AG10" s="175">
        <f>SUM(O10+AB10)</f>
        <v>1</v>
      </c>
      <c r="AH10" s="176">
        <f>AG10/E10</f>
        <v>0.33333333333333331</v>
      </c>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row>
    <row r="11" spans="1:146" s="93" customFormat="1" ht="47.25" customHeight="1" x14ac:dyDescent="0.2">
      <c r="A11" s="177"/>
      <c r="B11" s="178"/>
      <c r="C11" s="178"/>
      <c r="D11" s="186" t="s">
        <v>378</v>
      </c>
      <c r="E11" s="179">
        <v>1</v>
      </c>
      <c r="F11" s="180"/>
      <c r="G11" s="163"/>
      <c r="H11" s="164"/>
      <c r="I11" s="150"/>
      <c r="J11" s="163"/>
      <c r="K11" s="164"/>
      <c r="L11" s="150"/>
      <c r="M11" s="166"/>
      <c r="N11" s="166"/>
      <c r="O11" s="167"/>
      <c r="P11" s="169"/>
      <c r="Q11" s="169"/>
      <c r="R11" s="170"/>
      <c r="S11" s="170"/>
      <c r="T11" s="182"/>
      <c r="U11" s="183"/>
      <c r="V11" s="182"/>
      <c r="W11" s="184"/>
      <c r="X11" s="183"/>
      <c r="Y11" s="184"/>
      <c r="Z11" s="152"/>
      <c r="AA11" s="152"/>
      <c r="AB11" s="167"/>
      <c r="AC11" s="169">
        <v>1</v>
      </c>
      <c r="AD11" s="169">
        <v>1</v>
      </c>
      <c r="AE11" s="170">
        <f>AD11/AC11</f>
        <v>1</v>
      </c>
      <c r="AF11" s="174">
        <f>AC11-AD11</f>
        <v>0</v>
      </c>
      <c r="AG11" s="175">
        <f>SUM(Q11+AD11)</f>
        <v>1</v>
      </c>
      <c r="AH11" s="176"/>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92"/>
      <c r="EC11" s="92"/>
      <c r="ED11" s="92"/>
      <c r="EE11" s="92"/>
      <c r="EF11" s="92"/>
      <c r="EG11" s="92"/>
      <c r="EH11" s="92"/>
      <c r="EI11" s="92"/>
      <c r="EJ11" s="92"/>
      <c r="EK11" s="92"/>
      <c r="EL11" s="92"/>
      <c r="EM11" s="92"/>
      <c r="EN11" s="92"/>
      <c r="EO11" s="92"/>
      <c r="EP11" s="92"/>
    </row>
    <row r="12" spans="1:146" s="93" customFormat="1" ht="30" customHeight="1" x14ac:dyDescent="0.2">
      <c r="A12" s="187"/>
      <c r="B12" s="188"/>
      <c r="C12" s="189"/>
      <c r="D12" s="190" t="s">
        <v>379</v>
      </c>
      <c r="E12" s="191">
        <v>350</v>
      </c>
      <c r="F12" s="192" t="s">
        <v>130</v>
      </c>
      <c r="G12" s="193"/>
      <c r="H12" s="194"/>
      <c r="I12" s="195">
        <f t="shared" ref="I12:I17" si="1">G12+H12</f>
        <v>0</v>
      </c>
      <c r="J12" s="196"/>
      <c r="K12" s="197"/>
      <c r="L12" s="195"/>
      <c r="M12" s="193">
        <f t="shared" ref="M12:N17" si="2">G12+J12</f>
        <v>0</v>
      </c>
      <c r="N12" s="193">
        <f t="shared" si="2"/>
        <v>0</v>
      </c>
      <c r="O12" s="198">
        <f t="shared" ref="O12:O17" si="3">M12+N12</f>
        <v>0</v>
      </c>
      <c r="P12" s="169"/>
      <c r="Q12" s="169"/>
      <c r="R12" s="170"/>
      <c r="S12" s="170"/>
      <c r="T12" s="199"/>
      <c r="U12" s="200"/>
      <c r="V12" s="201">
        <f>T12+U12</f>
        <v>0</v>
      </c>
      <c r="W12" s="202"/>
      <c r="X12" s="200"/>
      <c r="Y12" s="203">
        <f>W12+X12</f>
        <v>0</v>
      </c>
      <c r="Z12" s="195">
        <f t="shared" si="0"/>
        <v>0</v>
      </c>
      <c r="AA12" s="195">
        <f t="shared" si="0"/>
        <v>0</v>
      </c>
      <c r="AB12" s="198">
        <f t="shared" ref="AB12:AB23" si="4">Z12+AA12</f>
        <v>0</v>
      </c>
      <c r="AC12" s="169"/>
      <c r="AD12" s="169"/>
      <c r="AE12" s="169"/>
      <c r="AF12" s="174"/>
      <c r="AG12" s="204"/>
      <c r="AH12" s="205"/>
    </row>
    <row r="13" spans="1:146" s="93" customFormat="1" ht="25.5" customHeight="1" x14ac:dyDescent="0.2">
      <c r="A13" s="177"/>
      <c r="B13" s="206" t="s">
        <v>324</v>
      </c>
      <c r="C13" s="206" t="s">
        <v>380</v>
      </c>
      <c r="D13" s="269" t="s">
        <v>381</v>
      </c>
      <c r="E13" s="207">
        <v>85</v>
      </c>
      <c r="F13" s="208" t="s">
        <v>130</v>
      </c>
      <c r="G13" s="163">
        <v>16</v>
      </c>
      <c r="H13" s="164">
        <v>17</v>
      </c>
      <c r="I13" s="150">
        <f>SUM(G13+H13)</f>
        <v>33</v>
      </c>
      <c r="J13" s="163">
        <v>7</v>
      </c>
      <c r="K13" s="164">
        <v>5</v>
      </c>
      <c r="L13" s="150">
        <f>SUM(J13+K13)</f>
        <v>12</v>
      </c>
      <c r="M13" s="166">
        <f>SUM(G13+J13)</f>
        <v>23</v>
      </c>
      <c r="N13" s="166">
        <f>SUM(H13+K13)</f>
        <v>22</v>
      </c>
      <c r="O13" s="167">
        <f>SUM(M13:N13)</f>
        <v>45</v>
      </c>
      <c r="P13" s="169">
        <v>85</v>
      </c>
      <c r="Q13" s="169">
        <f>O13</f>
        <v>45</v>
      </c>
      <c r="R13" s="170">
        <f>Q13/P13</f>
        <v>0.52941176470588236</v>
      </c>
      <c r="S13" s="168">
        <f>E13-Q13</f>
        <v>40</v>
      </c>
      <c r="T13" s="209">
        <v>10</v>
      </c>
      <c r="U13" s="210">
        <v>12</v>
      </c>
      <c r="V13" s="211">
        <f>T13+U13</f>
        <v>22</v>
      </c>
      <c r="W13" s="211">
        <v>10</v>
      </c>
      <c r="X13" s="210">
        <v>8</v>
      </c>
      <c r="Y13" s="209">
        <f>W13+X13</f>
        <v>18</v>
      </c>
      <c r="Z13" s="152">
        <f>SUM(T13+W13)</f>
        <v>20</v>
      </c>
      <c r="AA13" s="152">
        <f>SUM(U13+X13)</f>
        <v>20</v>
      </c>
      <c r="AB13" s="167">
        <f>Z13+AA13</f>
        <v>40</v>
      </c>
      <c r="AC13" s="169">
        <v>40</v>
      </c>
      <c r="AD13" s="169">
        <f>AB13</f>
        <v>40</v>
      </c>
      <c r="AE13" s="185">
        <f>AD13/AC13</f>
        <v>1</v>
      </c>
      <c r="AF13" s="174">
        <f>AC13-AD13</f>
        <v>0</v>
      </c>
      <c r="AG13" s="175">
        <f>SUM(O13+AB13)</f>
        <v>85</v>
      </c>
      <c r="AH13" s="176">
        <f>AG13/E13</f>
        <v>1</v>
      </c>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92"/>
      <c r="EC13" s="92"/>
      <c r="ED13" s="92"/>
      <c r="EE13" s="92"/>
      <c r="EF13" s="92"/>
      <c r="EG13" s="92"/>
      <c r="EH13" s="92"/>
      <c r="EI13" s="92"/>
      <c r="EJ13" s="92"/>
      <c r="EK13" s="92"/>
      <c r="EL13" s="92"/>
      <c r="EM13" s="92"/>
      <c r="EN13" s="92"/>
      <c r="EO13" s="92"/>
      <c r="EP13" s="92"/>
    </row>
    <row r="14" spans="1:146" s="93" customFormat="1" ht="56.25" customHeight="1" x14ac:dyDescent="0.2">
      <c r="A14" s="177"/>
      <c r="B14" s="212"/>
      <c r="C14" s="212"/>
      <c r="D14" s="213" t="s">
        <v>13</v>
      </c>
      <c r="E14" s="207">
        <v>60</v>
      </c>
      <c r="F14" s="208"/>
      <c r="G14" s="163"/>
      <c r="H14" s="164"/>
      <c r="I14" s="150"/>
      <c r="J14" s="163"/>
      <c r="K14" s="164"/>
      <c r="L14" s="150"/>
      <c r="M14" s="166"/>
      <c r="N14" s="166"/>
      <c r="O14" s="167"/>
      <c r="P14" s="169"/>
      <c r="Q14" s="169"/>
      <c r="R14" s="170"/>
      <c r="S14" s="168"/>
      <c r="T14" s="214"/>
      <c r="U14" s="215"/>
      <c r="V14" s="211"/>
      <c r="W14" s="216"/>
      <c r="X14" s="215"/>
      <c r="Y14" s="209"/>
      <c r="Z14" s="152"/>
      <c r="AA14" s="152"/>
      <c r="AB14" s="167"/>
      <c r="AC14" s="169"/>
      <c r="AD14" s="169"/>
      <c r="AE14" s="169"/>
      <c r="AF14" s="174"/>
      <c r="AG14" s="175"/>
      <c r="AH14" s="176"/>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92"/>
      <c r="EC14" s="92"/>
      <c r="ED14" s="92"/>
      <c r="EE14" s="92"/>
      <c r="EF14" s="92"/>
      <c r="EG14" s="92"/>
      <c r="EH14" s="92"/>
      <c r="EI14" s="92"/>
      <c r="EJ14" s="92"/>
      <c r="EK14" s="92"/>
      <c r="EL14" s="92"/>
      <c r="EM14" s="92"/>
      <c r="EN14" s="92"/>
      <c r="EO14" s="92"/>
      <c r="EP14" s="92"/>
    </row>
    <row r="15" spans="1:146" s="94" customFormat="1" ht="24.75" customHeight="1" x14ac:dyDescent="0.2">
      <c r="A15" s="217"/>
      <c r="B15" s="218"/>
      <c r="C15" s="218"/>
      <c r="D15" s="219" t="s">
        <v>382</v>
      </c>
      <c r="E15" s="220">
        <v>350</v>
      </c>
      <c r="F15" s="221"/>
      <c r="G15" s="222"/>
      <c r="H15" s="223"/>
      <c r="I15" s="224"/>
      <c r="J15" s="225"/>
      <c r="K15" s="226"/>
      <c r="L15" s="224"/>
      <c r="M15" s="222"/>
      <c r="N15" s="222"/>
      <c r="O15" s="224"/>
      <c r="P15" s="227"/>
      <c r="Q15" s="227"/>
      <c r="R15" s="228"/>
      <c r="S15" s="228"/>
      <c r="T15" s="229"/>
      <c r="U15" s="226"/>
      <c r="V15" s="222"/>
      <c r="W15" s="225"/>
      <c r="X15" s="226"/>
      <c r="Y15" s="224"/>
      <c r="Z15" s="224"/>
      <c r="AA15" s="224"/>
      <c r="AB15" s="224"/>
      <c r="AC15" s="227"/>
      <c r="AD15" s="227"/>
      <c r="AE15" s="227"/>
      <c r="AF15" s="230"/>
      <c r="AG15" s="231"/>
      <c r="AH15" s="232"/>
    </row>
    <row r="16" spans="1:146" s="93" customFormat="1" ht="27.75" customHeight="1" x14ac:dyDescent="0.2">
      <c r="A16" s="177"/>
      <c r="B16" s="212" t="s">
        <v>383</v>
      </c>
      <c r="C16" s="212" t="s">
        <v>384</v>
      </c>
      <c r="D16" s="270" t="s">
        <v>385</v>
      </c>
      <c r="E16" s="233">
        <v>200</v>
      </c>
      <c r="F16" s="234" t="s">
        <v>130</v>
      </c>
      <c r="G16" s="163">
        <v>44</v>
      </c>
      <c r="H16" s="164">
        <v>2</v>
      </c>
      <c r="I16" s="150">
        <f t="shared" si="1"/>
        <v>46</v>
      </c>
      <c r="J16" s="163">
        <v>1</v>
      </c>
      <c r="K16" s="165"/>
      <c r="L16" s="150"/>
      <c r="M16" s="166">
        <f>SUM(G16+J16)</f>
        <v>45</v>
      </c>
      <c r="N16" s="166">
        <f t="shared" si="2"/>
        <v>2</v>
      </c>
      <c r="O16" s="167">
        <f t="shared" si="3"/>
        <v>47</v>
      </c>
      <c r="P16" s="169">
        <v>200</v>
      </c>
      <c r="Q16" s="169">
        <f>O16</f>
        <v>47</v>
      </c>
      <c r="R16" s="170">
        <f>Q16/P16</f>
        <v>0.23499999999999999</v>
      </c>
      <c r="S16" s="168">
        <f>E16-Q16</f>
        <v>153</v>
      </c>
      <c r="T16" s="171">
        <v>47</v>
      </c>
      <c r="U16" s="172"/>
      <c r="V16" s="173">
        <f t="shared" ref="V16:V38" si="5">T16+U16</f>
        <v>47</v>
      </c>
      <c r="W16" s="173"/>
      <c r="X16" s="172"/>
      <c r="Y16" s="171">
        <f t="shared" ref="Y16:Y38" si="6">W16+X16</f>
        <v>0</v>
      </c>
      <c r="Z16" s="152">
        <f t="shared" si="0"/>
        <v>47</v>
      </c>
      <c r="AA16" s="152">
        <f t="shared" si="0"/>
        <v>0</v>
      </c>
      <c r="AB16" s="167">
        <f>Z16+AA16</f>
        <v>47</v>
      </c>
      <c r="AC16" s="169">
        <v>153</v>
      </c>
      <c r="AD16" s="169">
        <f>AB16</f>
        <v>47</v>
      </c>
      <c r="AE16" s="185">
        <f>AD16/AC16</f>
        <v>0.30718954248366015</v>
      </c>
      <c r="AF16" s="174">
        <f>AC16-AD16</f>
        <v>106</v>
      </c>
      <c r="AG16" s="175">
        <f>SUM(Q16+AD16)</f>
        <v>94</v>
      </c>
      <c r="AH16" s="176">
        <f>AG16/E16</f>
        <v>0.47</v>
      </c>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92"/>
      <c r="EC16" s="92"/>
      <c r="ED16" s="92"/>
      <c r="EE16" s="92"/>
      <c r="EF16" s="92"/>
      <c r="EG16" s="92"/>
      <c r="EH16" s="92"/>
      <c r="EI16" s="92"/>
      <c r="EJ16" s="92"/>
      <c r="EK16" s="92"/>
      <c r="EL16" s="92"/>
      <c r="EM16" s="92"/>
      <c r="EN16" s="92"/>
      <c r="EO16" s="92"/>
      <c r="EP16" s="92"/>
    </row>
    <row r="17" spans="1:146" s="93" customFormat="1" ht="36.75" customHeight="1" x14ac:dyDescent="0.2">
      <c r="A17" s="235"/>
      <c r="B17" s="206" t="s">
        <v>16</v>
      </c>
      <c r="C17" s="236" t="s">
        <v>386</v>
      </c>
      <c r="D17" s="270" t="s">
        <v>387</v>
      </c>
      <c r="E17" s="237">
        <v>25</v>
      </c>
      <c r="F17" s="238" t="s">
        <v>388</v>
      </c>
      <c r="G17" s="163"/>
      <c r="H17" s="164"/>
      <c r="I17" s="150">
        <f t="shared" si="1"/>
        <v>0</v>
      </c>
      <c r="J17" s="181"/>
      <c r="K17" s="165"/>
      <c r="L17" s="150"/>
      <c r="M17" s="166">
        <f t="shared" si="2"/>
        <v>0</v>
      </c>
      <c r="N17" s="166">
        <f t="shared" si="2"/>
        <v>0</v>
      </c>
      <c r="O17" s="167">
        <f t="shared" si="3"/>
        <v>0</v>
      </c>
      <c r="P17" s="169"/>
      <c r="Q17" s="169"/>
      <c r="R17" s="170" t="e">
        <f>Q17/P17</f>
        <v>#DIV/0!</v>
      </c>
      <c r="S17" s="168">
        <f>E17-Q17</f>
        <v>25</v>
      </c>
      <c r="T17" s="182"/>
      <c r="U17" s="183"/>
      <c r="V17" s="184">
        <f t="shared" si="5"/>
        <v>0</v>
      </c>
      <c r="W17" s="184"/>
      <c r="X17" s="183"/>
      <c r="Y17" s="182">
        <f t="shared" si="6"/>
        <v>0</v>
      </c>
      <c r="Z17" s="152">
        <f t="shared" si="0"/>
        <v>0</v>
      </c>
      <c r="AA17" s="152">
        <f t="shared" si="0"/>
        <v>0</v>
      </c>
      <c r="AB17" s="167">
        <f t="shared" si="4"/>
        <v>0</v>
      </c>
      <c r="AC17" s="169">
        <v>25</v>
      </c>
      <c r="AD17" s="169"/>
      <c r="AE17" s="169"/>
      <c r="AF17" s="174">
        <f>AC17-AD17</f>
        <v>25</v>
      </c>
      <c r="AG17" s="175">
        <f>SUM(Q17+AD17)</f>
        <v>0</v>
      </c>
      <c r="AH17" s="176" t="e">
        <f>SUM(O17+AB17+#REF!)</f>
        <v>#REF!</v>
      </c>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c r="DA17" s="92"/>
      <c r="DB17" s="92"/>
      <c r="DC17" s="92"/>
      <c r="DD17" s="92"/>
      <c r="DE17" s="92"/>
      <c r="DF17" s="92"/>
      <c r="DG17" s="92"/>
      <c r="DH17" s="92"/>
      <c r="DI17" s="92"/>
      <c r="DJ17" s="92"/>
      <c r="DK17" s="92"/>
      <c r="DL17" s="92"/>
      <c r="DM17" s="92"/>
      <c r="DN17" s="92"/>
      <c r="DO17" s="92"/>
      <c r="DP17" s="92"/>
      <c r="DQ17" s="92"/>
      <c r="DR17" s="92"/>
      <c r="DS17" s="92"/>
      <c r="DT17" s="92"/>
      <c r="DU17" s="92"/>
      <c r="DV17" s="92"/>
      <c r="DW17" s="92"/>
      <c r="DX17" s="92"/>
      <c r="DY17" s="92"/>
      <c r="DZ17" s="92"/>
      <c r="EA17" s="92"/>
      <c r="EB17" s="92"/>
      <c r="EC17" s="92"/>
      <c r="ED17" s="92"/>
      <c r="EE17" s="92"/>
      <c r="EF17" s="92"/>
      <c r="EG17" s="92"/>
      <c r="EH17" s="92"/>
      <c r="EI17" s="92"/>
      <c r="EJ17" s="92"/>
      <c r="EK17" s="92"/>
      <c r="EL17" s="92"/>
      <c r="EM17" s="92"/>
      <c r="EN17" s="92"/>
      <c r="EO17" s="92"/>
      <c r="EP17" s="92"/>
    </row>
    <row r="18" spans="1:146" s="93" customFormat="1" ht="27" customHeight="1" x14ac:dyDescent="0.2">
      <c r="A18" s="177"/>
      <c r="B18" s="236"/>
      <c r="C18" s="212"/>
      <c r="D18" s="270" t="s">
        <v>389</v>
      </c>
      <c r="E18" s="237">
        <v>50</v>
      </c>
      <c r="F18" s="238" t="s">
        <v>130</v>
      </c>
      <c r="G18" s="163"/>
      <c r="H18" s="164"/>
      <c r="I18" s="150"/>
      <c r="J18" s="181"/>
      <c r="K18" s="165"/>
      <c r="L18" s="150"/>
      <c r="M18" s="166"/>
      <c r="N18" s="166"/>
      <c r="O18" s="167">
        <f>M18+N18</f>
        <v>0</v>
      </c>
      <c r="P18" s="169"/>
      <c r="Q18" s="169"/>
      <c r="R18" s="170" t="e">
        <f>Q18/P18</f>
        <v>#DIV/0!</v>
      </c>
      <c r="S18" s="168">
        <f>E18-Q18</f>
        <v>50</v>
      </c>
      <c r="T18" s="171">
        <v>18</v>
      </c>
      <c r="U18" s="172">
        <v>22</v>
      </c>
      <c r="V18" s="173">
        <f t="shared" si="5"/>
        <v>40</v>
      </c>
      <c r="W18" s="173">
        <v>7</v>
      </c>
      <c r="X18" s="172">
        <v>3</v>
      </c>
      <c r="Y18" s="171">
        <f t="shared" si="6"/>
        <v>10</v>
      </c>
      <c r="Z18" s="152">
        <f>SUM(T18+W18)</f>
        <v>25</v>
      </c>
      <c r="AA18" s="152">
        <f>SUM(U18+X18)</f>
        <v>25</v>
      </c>
      <c r="AB18" s="167">
        <f>Z18+AA18</f>
        <v>50</v>
      </c>
      <c r="AC18" s="169">
        <v>50</v>
      </c>
      <c r="AD18" s="169">
        <f>SUM(O18+AB18)</f>
        <v>50</v>
      </c>
      <c r="AE18" s="185">
        <f>AC18/AD18</f>
        <v>1</v>
      </c>
      <c r="AF18" s="174">
        <f>AC18-AD18</f>
        <v>0</v>
      </c>
      <c r="AG18" s="175">
        <f>SUM(Q18+AD18)</f>
        <v>50</v>
      </c>
      <c r="AH18" s="176">
        <f>AG18/E18</f>
        <v>1</v>
      </c>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c r="DA18" s="92"/>
      <c r="DB18" s="92"/>
      <c r="DC18" s="92"/>
      <c r="DD18" s="92"/>
      <c r="DE18" s="92"/>
      <c r="DF18" s="92"/>
      <c r="DG18" s="92"/>
      <c r="DH18" s="92"/>
      <c r="DI18" s="92"/>
      <c r="DJ18" s="92"/>
      <c r="DK18" s="92"/>
      <c r="DL18" s="92"/>
      <c r="DM18" s="92"/>
      <c r="DN18" s="92"/>
      <c r="DO18" s="92"/>
      <c r="DP18" s="92"/>
      <c r="DQ18" s="92"/>
      <c r="DR18" s="92"/>
      <c r="DS18" s="92"/>
      <c r="DT18" s="92"/>
      <c r="DU18" s="92"/>
      <c r="DV18" s="92"/>
      <c r="DW18" s="92"/>
      <c r="DX18" s="92"/>
      <c r="DY18" s="92"/>
      <c r="DZ18" s="92"/>
      <c r="EA18" s="92"/>
      <c r="EB18" s="92"/>
      <c r="EC18" s="92"/>
      <c r="ED18" s="92"/>
      <c r="EE18" s="92"/>
      <c r="EF18" s="92"/>
      <c r="EG18" s="92"/>
      <c r="EH18" s="92"/>
      <c r="EI18" s="92"/>
      <c r="EJ18" s="92"/>
      <c r="EK18" s="92"/>
      <c r="EL18" s="92"/>
      <c r="EM18" s="92"/>
      <c r="EN18" s="92"/>
      <c r="EO18" s="92"/>
      <c r="EP18" s="92"/>
    </row>
    <row r="19" spans="1:146" s="93" customFormat="1" ht="28.5" customHeight="1" x14ac:dyDescent="0.2">
      <c r="A19" s="239"/>
      <c r="B19" s="236"/>
      <c r="C19" s="236"/>
      <c r="D19" s="270" t="s">
        <v>390</v>
      </c>
      <c r="E19" s="237">
        <v>2</v>
      </c>
      <c r="F19" s="238" t="s">
        <v>130</v>
      </c>
      <c r="G19" s="163"/>
      <c r="H19" s="164"/>
      <c r="I19" s="150"/>
      <c r="J19" s="181"/>
      <c r="K19" s="165"/>
      <c r="L19" s="150"/>
      <c r="M19" s="166"/>
      <c r="N19" s="166"/>
      <c r="O19" s="167">
        <v>4</v>
      </c>
      <c r="P19" s="169">
        <v>2</v>
      </c>
      <c r="Q19" s="169">
        <v>2</v>
      </c>
      <c r="R19" s="170">
        <f>Q19/P19</f>
        <v>1</v>
      </c>
      <c r="S19" s="168">
        <f>E19-Q19</f>
        <v>0</v>
      </c>
      <c r="T19" s="182"/>
      <c r="U19" s="183"/>
      <c r="V19" s="184">
        <f t="shared" si="5"/>
        <v>0</v>
      </c>
      <c r="W19" s="184"/>
      <c r="X19" s="183"/>
      <c r="Y19" s="182">
        <f t="shared" si="6"/>
        <v>0</v>
      </c>
      <c r="Z19" s="152"/>
      <c r="AA19" s="152"/>
      <c r="AB19" s="167">
        <f>Z19+AA19</f>
        <v>0</v>
      </c>
      <c r="AC19" s="169">
        <v>2</v>
      </c>
      <c r="AD19" s="169"/>
      <c r="AE19" s="169"/>
      <c r="AF19" s="174">
        <f>AC19-AD19</f>
        <v>2</v>
      </c>
      <c r="AG19" s="175">
        <f>O19+AB19</f>
        <v>4</v>
      </c>
      <c r="AH19" s="176">
        <f>AG19/E19</f>
        <v>2</v>
      </c>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2"/>
      <c r="DB19" s="92"/>
      <c r="DC19" s="92"/>
      <c r="DD19" s="92"/>
      <c r="DE19" s="92"/>
      <c r="DF19" s="92"/>
      <c r="DG19" s="92"/>
      <c r="DH19" s="92"/>
      <c r="DI19" s="92"/>
      <c r="DJ19" s="92"/>
      <c r="DK19" s="92"/>
      <c r="DL19" s="92"/>
      <c r="DM19" s="92"/>
      <c r="DN19" s="92"/>
      <c r="DO19" s="92"/>
      <c r="DP19" s="92"/>
      <c r="DQ19" s="92"/>
      <c r="DR19" s="92"/>
      <c r="DS19" s="92"/>
      <c r="DT19" s="92"/>
      <c r="DU19" s="92"/>
      <c r="DV19" s="92"/>
      <c r="DW19" s="92"/>
      <c r="DX19" s="92"/>
      <c r="DY19" s="92"/>
      <c r="DZ19" s="92"/>
      <c r="EA19" s="92"/>
      <c r="EB19" s="92"/>
      <c r="EC19" s="92"/>
      <c r="ED19" s="92"/>
      <c r="EE19" s="92"/>
      <c r="EF19" s="92"/>
      <c r="EG19" s="92"/>
      <c r="EH19" s="92"/>
      <c r="EI19" s="92"/>
      <c r="EJ19" s="92"/>
      <c r="EK19" s="92"/>
      <c r="EL19" s="92"/>
      <c r="EM19" s="92"/>
      <c r="EN19" s="92"/>
      <c r="EO19" s="92"/>
      <c r="EP19" s="92"/>
    </row>
    <row r="20" spans="1:146" s="93" customFormat="1" ht="26.25" customHeight="1" x14ac:dyDescent="0.2">
      <c r="A20" s="239"/>
      <c r="B20" s="236"/>
      <c r="C20" s="236"/>
      <c r="D20" s="270" t="s">
        <v>391</v>
      </c>
      <c r="E20" s="240">
        <v>1000</v>
      </c>
      <c r="F20" s="238" t="s">
        <v>130</v>
      </c>
      <c r="G20" s="163">
        <v>188</v>
      </c>
      <c r="H20" s="164">
        <v>0</v>
      </c>
      <c r="I20" s="150">
        <f>SUM(G20:H20)</f>
        <v>188</v>
      </c>
      <c r="J20" s="163">
        <v>0</v>
      </c>
      <c r="K20" s="164">
        <v>0</v>
      </c>
      <c r="L20" s="150">
        <v>0</v>
      </c>
      <c r="M20" s="166">
        <f>SUM(G20+J20)</f>
        <v>188</v>
      </c>
      <c r="N20" s="241">
        <v>0</v>
      </c>
      <c r="O20" s="167">
        <f>M20+N20</f>
        <v>188</v>
      </c>
      <c r="P20" s="169">
        <v>1000</v>
      </c>
      <c r="Q20" s="169">
        <f>O20</f>
        <v>188</v>
      </c>
      <c r="R20" s="170">
        <f>Q20/P20</f>
        <v>0.188</v>
      </c>
      <c r="S20" s="168">
        <f>E20-Q20</f>
        <v>812</v>
      </c>
      <c r="T20" s="171">
        <v>746</v>
      </c>
      <c r="U20" s="172"/>
      <c r="V20" s="173">
        <f>SUM(T20:U20)</f>
        <v>746</v>
      </c>
      <c r="W20" s="173"/>
      <c r="X20" s="172"/>
      <c r="Y20" s="171">
        <f t="shared" si="6"/>
        <v>0</v>
      </c>
      <c r="Z20" s="152">
        <f>SUM(T20+W20)</f>
        <v>746</v>
      </c>
      <c r="AA20" s="152">
        <f>SUM(U20+X20)</f>
        <v>0</v>
      </c>
      <c r="AB20" s="167">
        <f>Z20+AA20</f>
        <v>746</v>
      </c>
      <c r="AC20" s="169">
        <v>944</v>
      </c>
      <c r="AD20" s="169">
        <f>SUM(O20+AB20)</f>
        <v>934</v>
      </c>
      <c r="AE20" s="170">
        <f>AD20/AC20</f>
        <v>0.98940677966101698</v>
      </c>
      <c r="AF20" s="174">
        <f>AC20-AD20</f>
        <v>10</v>
      </c>
      <c r="AG20" s="175">
        <f>SUM(O20+AB20)</f>
        <v>934</v>
      </c>
      <c r="AH20" s="176">
        <f>AG20/P20</f>
        <v>0.93400000000000005</v>
      </c>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c r="DA20" s="92"/>
      <c r="DB20" s="92"/>
      <c r="DC20" s="92"/>
      <c r="DD20" s="92"/>
      <c r="DE20" s="92"/>
      <c r="DF20" s="92"/>
      <c r="DG20" s="92"/>
      <c r="DH20" s="92"/>
      <c r="DI20" s="92"/>
      <c r="DJ20" s="92"/>
      <c r="DK20" s="92"/>
      <c r="DL20" s="92"/>
      <c r="DM20" s="92"/>
      <c r="DN20" s="92"/>
      <c r="DO20" s="92"/>
      <c r="DP20" s="92"/>
      <c r="DQ20" s="92"/>
      <c r="DR20" s="92"/>
      <c r="DS20" s="92"/>
      <c r="DT20" s="92"/>
      <c r="DU20" s="92"/>
      <c r="DV20" s="92"/>
      <c r="DW20" s="92"/>
      <c r="DX20" s="92"/>
      <c r="DY20" s="92"/>
      <c r="DZ20" s="92"/>
      <c r="EA20" s="92"/>
      <c r="EB20" s="92"/>
      <c r="EC20" s="92"/>
      <c r="ED20" s="92"/>
      <c r="EE20" s="92"/>
      <c r="EF20" s="92"/>
      <c r="EG20" s="92"/>
      <c r="EH20" s="92"/>
      <c r="EI20" s="92"/>
      <c r="EJ20" s="92"/>
      <c r="EK20" s="92"/>
      <c r="EL20" s="92"/>
      <c r="EM20" s="92"/>
      <c r="EN20" s="92"/>
      <c r="EO20" s="92"/>
      <c r="EP20" s="92"/>
    </row>
    <row r="21" spans="1:146" s="93" customFormat="1" ht="37.5" customHeight="1" x14ac:dyDescent="0.2">
      <c r="A21" s="239"/>
      <c r="B21" s="236"/>
      <c r="C21" s="236"/>
      <c r="D21" s="271" t="s">
        <v>392</v>
      </c>
      <c r="E21" s="240"/>
      <c r="F21" s="238"/>
      <c r="G21" s="163">
        <v>26</v>
      </c>
      <c r="H21" s="164">
        <v>23</v>
      </c>
      <c r="I21" s="150">
        <f>SUM(G21:H21)</f>
        <v>49</v>
      </c>
      <c r="J21" s="163">
        <v>0</v>
      </c>
      <c r="K21" s="164">
        <v>9</v>
      </c>
      <c r="L21" s="150">
        <f>SUM(J21:K21)</f>
        <v>9</v>
      </c>
      <c r="M21" s="166">
        <f>SUM(G21+J21)</f>
        <v>26</v>
      </c>
      <c r="N21" s="166">
        <f>SUM(H21+K21)</f>
        <v>32</v>
      </c>
      <c r="O21" s="167">
        <f>SUM(M21:N21)</f>
        <v>58</v>
      </c>
      <c r="P21" s="169"/>
      <c r="Q21" s="169">
        <f>O21</f>
        <v>58</v>
      </c>
      <c r="R21" s="170"/>
      <c r="S21" s="170"/>
      <c r="T21" s="184">
        <v>180</v>
      </c>
      <c r="U21" s="183">
        <v>37</v>
      </c>
      <c r="V21" s="182">
        <f>SUM(T21:U21)</f>
        <v>217</v>
      </c>
      <c r="W21" s="184"/>
      <c r="X21" s="183"/>
      <c r="Y21" s="182">
        <f>SUM(W21:X21)</f>
        <v>0</v>
      </c>
      <c r="Z21" s="152">
        <f>SUM(T21+W21)</f>
        <v>180</v>
      </c>
      <c r="AA21" s="152">
        <f>SUM(U21+X21)</f>
        <v>37</v>
      </c>
      <c r="AB21" s="167">
        <f>SUM(Z21:AA21)</f>
        <v>217</v>
      </c>
      <c r="AC21" s="169"/>
      <c r="AD21" s="169"/>
      <c r="AE21" s="169"/>
      <c r="AF21" s="174"/>
      <c r="AG21" s="175">
        <f>SUM(Q21+AD21)</f>
        <v>58</v>
      </c>
      <c r="AH21" s="176"/>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c r="DA21" s="92"/>
      <c r="DB21" s="92"/>
      <c r="DC21" s="92"/>
      <c r="DD21" s="92"/>
      <c r="DE21" s="92"/>
      <c r="DF21" s="92"/>
      <c r="DG21" s="92"/>
      <c r="DH21" s="92"/>
      <c r="DI21" s="92"/>
      <c r="DJ21" s="92"/>
      <c r="DK21" s="92"/>
      <c r="DL21" s="92"/>
      <c r="DM21" s="92"/>
      <c r="DN21" s="92"/>
      <c r="DO21" s="92"/>
      <c r="DP21" s="92"/>
      <c r="DQ21" s="92"/>
      <c r="DR21" s="92"/>
      <c r="DS21" s="92"/>
      <c r="DT21" s="92"/>
      <c r="DU21" s="92"/>
      <c r="DV21" s="92"/>
      <c r="DW21" s="92"/>
      <c r="DX21" s="92"/>
      <c r="DY21" s="92"/>
      <c r="DZ21" s="92"/>
      <c r="EA21" s="92"/>
      <c r="EB21" s="92"/>
      <c r="EC21" s="92"/>
      <c r="ED21" s="92"/>
      <c r="EE21" s="92"/>
      <c r="EF21" s="92"/>
      <c r="EG21" s="92"/>
      <c r="EH21" s="92"/>
      <c r="EI21" s="92"/>
      <c r="EJ21" s="92"/>
      <c r="EK21" s="92"/>
      <c r="EL21" s="92"/>
      <c r="EM21" s="92"/>
      <c r="EN21" s="92"/>
      <c r="EO21" s="92"/>
      <c r="EP21" s="92"/>
    </row>
    <row r="22" spans="1:146" s="93" customFormat="1" ht="33.75" customHeight="1" x14ac:dyDescent="0.2">
      <c r="A22" s="239"/>
      <c r="B22" s="178" t="s">
        <v>335</v>
      </c>
      <c r="C22" s="236"/>
      <c r="D22" s="271" t="s">
        <v>393</v>
      </c>
      <c r="E22" s="240"/>
      <c r="F22" s="238"/>
      <c r="G22" s="163">
        <v>37</v>
      </c>
      <c r="H22" s="164">
        <v>2</v>
      </c>
      <c r="I22" s="150">
        <f>SUM(G22:H22)</f>
        <v>39</v>
      </c>
      <c r="J22" s="163"/>
      <c r="K22" s="164"/>
      <c r="L22" s="150"/>
      <c r="M22" s="166">
        <f>G22+J22</f>
        <v>37</v>
      </c>
      <c r="N22" s="166">
        <f>H22+K22</f>
        <v>2</v>
      </c>
      <c r="O22" s="167">
        <f>SUM(M22:N22)</f>
        <v>39</v>
      </c>
      <c r="P22" s="169"/>
      <c r="Q22" s="169">
        <f>O22</f>
        <v>39</v>
      </c>
      <c r="R22" s="170"/>
      <c r="S22" s="170"/>
      <c r="T22" s="173">
        <v>18</v>
      </c>
      <c r="U22" s="172"/>
      <c r="V22" s="171"/>
      <c r="W22" s="173"/>
      <c r="X22" s="172"/>
      <c r="Y22" s="171"/>
      <c r="Z22" s="152">
        <v>18</v>
      </c>
      <c r="AA22" s="152"/>
      <c r="AB22" s="167">
        <f>SUM(Z22:AA22)</f>
        <v>18</v>
      </c>
      <c r="AC22" s="169"/>
      <c r="AD22" s="169">
        <f>AB22</f>
        <v>18</v>
      </c>
      <c r="AE22" s="169"/>
      <c r="AF22" s="174"/>
      <c r="AG22" s="175">
        <f>O22+AB22</f>
        <v>57</v>
      </c>
      <c r="AH22" s="176"/>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c r="DA22" s="92"/>
      <c r="DB22" s="92"/>
      <c r="DC22" s="92"/>
      <c r="DD22" s="92"/>
      <c r="DE22" s="92"/>
      <c r="DF22" s="92"/>
      <c r="DG22" s="92"/>
      <c r="DH22" s="92"/>
      <c r="DI22" s="92"/>
      <c r="DJ22" s="92"/>
      <c r="DK22" s="92"/>
      <c r="DL22" s="92"/>
      <c r="DM22" s="92"/>
      <c r="DN22" s="92"/>
      <c r="DO22" s="92"/>
      <c r="DP22" s="92"/>
      <c r="DQ22" s="92"/>
      <c r="DR22" s="92"/>
      <c r="DS22" s="92"/>
      <c r="DT22" s="92"/>
      <c r="DU22" s="92"/>
      <c r="DV22" s="92"/>
      <c r="DW22" s="92"/>
      <c r="DX22" s="92"/>
      <c r="DY22" s="92"/>
      <c r="DZ22" s="92"/>
      <c r="EA22" s="92"/>
      <c r="EB22" s="92"/>
      <c r="EC22" s="92"/>
      <c r="ED22" s="92"/>
      <c r="EE22" s="92"/>
      <c r="EF22" s="92"/>
      <c r="EG22" s="92"/>
      <c r="EH22" s="92"/>
      <c r="EI22" s="92"/>
      <c r="EJ22" s="92"/>
      <c r="EK22" s="92"/>
      <c r="EL22" s="92"/>
      <c r="EM22" s="92"/>
      <c r="EN22" s="92"/>
      <c r="EO22" s="92"/>
      <c r="EP22" s="92"/>
    </row>
    <row r="23" spans="1:146" ht="38.25" customHeight="1" x14ac:dyDescent="0.25">
      <c r="A23" s="242" t="s">
        <v>27</v>
      </c>
      <c r="B23" s="243" t="s">
        <v>28</v>
      </c>
      <c r="C23" s="840" t="s">
        <v>247</v>
      </c>
      <c r="D23" s="272" t="s">
        <v>394</v>
      </c>
      <c r="E23" s="244">
        <v>1300</v>
      </c>
      <c r="F23" s="245" t="s">
        <v>130</v>
      </c>
      <c r="G23" s="163">
        <v>16</v>
      </c>
      <c r="H23" s="164">
        <v>4</v>
      </c>
      <c r="I23" s="150">
        <f>SUM(G23+H23)</f>
        <v>20</v>
      </c>
      <c r="J23" s="163">
        <v>0</v>
      </c>
      <c r="K23" s="164">
        <v>0</v>
      </c>
      <c r="L23" s="150">
        <v>0</v>
      </c>
      <c r="M23" s="166">
        <f>SUM(G23+J23)</f>
        <v>16</v>
      </c>
      <c r="N23" s="166">
        <f>SUM(H23+K23)</f>
        <v>4</v>
      </c>
      <c r="O23" s="167">
        <f>SUM(M23+N23)</f>
        <v>20</v>
      </c>
      <c r="P23" s="168">
        <f>E23</f>
        <v>1300</v>
      </c>
      <c r="Q23" s="169">
        <f>O23</f>
        <v>20</v>
      </c>
      <c r="R23" s="170">
        <f>Q23/P23</f>
        <v>1.5384615384615385E-2</v>
      </c>
      <c r="S23" s="168">
        <f>E23-Q23</f>
        <v>1280</v>
      </c>
      <c r="T23" s="209">
        <v>17</v>
      </c>
      <c r="U23" s="210">
        <v>18</v>
      </c>
      <c r="V23" s="156">
        <f t="shared" si="5"/>
        <v>35</v>
      </c>
      <c r="W23" s="211"/>
      <c r="X23" s="210"/>
      <c r="Y23" s="209">
        <f t="shared" si="6"/>
        <v>0</v>
      </c>
      <c r="Z23" s="152">
        <f t="shared" si="0"/>
        <v>17</v>
      </c>
      <c r="AA23" s="152">
        <f t="shared" si="0"/>
        <v>18</v>
      </c>
      <c r="AB23" s="167">
        <f t="shared" si="4"/>
        <v>35</v>
      </c>
      <c r="AC23" s="169">
        <v>1280</v>
      </c>
      <c r="AD23" s="169">
        <f>AB23</f>
        <v>35</v>
      </c>
      <c r="AE23" s="169"/>
      <c r="AF23" s="174">
        <f>AC23-AD23</f>
        <v>1245</v>
      </c>
      <c r="AG23" s="175">
        <f>SUM(AD23+Q23)</f>
        <v>55</v>
      </c>
      <c r="AH23" s="176">
        <f>AG23/E23</f>
        <v>4.230769230769231E-2</v>
      </c>
    </row>
    <row r="24" spans="1:146" ht="28.5" customHeight="1" x14ac:dyDescent="0.25">
      <c r="A24" s="246"/>
      <c r="B24" s="243"/>
      <c r="C24" s="841"/>
      <c r="D24" s="272" t="s">
        <v>395</v>
      </c>
      <c r="E24" s="244">
        <v>600</v>
      </c>
      <c r="F24" s="245" t="s">
        <v>130</v>
      </c>
      <c r="G24" s="163">
        <v>16</v>
      </c>
      <c r="H24" s="164">
        <v>4</v>
      </c>
      <c r="I24" s="150">
        <f>SUM(H24)</f>
        <v>4</v>
      </c>
      <c r="J24" s="163">
        <v>0</v>
      </c>
      <c r="K24" s="164">
        <v>0</v>
      </c>
      <c r="L24" s="150">
        <v>0</v>
      </c>
      <c r="M24" s="166">
        <v>16</v>
      </c>
      <c r="N24" s="166">
        <v>4</v>
      </c>
      <c r="O24" s="167">
        <v>20</v>
      </c>
      <c r="P24" s="168">
        <f>E24</f>
        <v>600</v>
      </c>
      <c r="Q24" s="169">
        <f>O24</f>
        <v>20</v>
      </c>
      <c r="R24" s="170">
        <f>Q24/P24</f>
        <v>3.3333333333333333E-2</v>
      </c>
      <c r="S24" s="168">
        <f>E24-Q24</f>
        <v>580</v>
      </c>
      <c r="T24" s="209">
        <v>17</v>
      </c>
      <c r="U24" s="210">
        <v>18</v>
      </c>
      <c r="V24" s="156">
        <f t="shared" si="5"/>
        <v>35</v>
      </c>
      <c r="W24" s="211"/>
      <c r="X24" s="210"/>
      <c r="Y24" s="209">
        <f t="shared" si="6"/>
        <v>0</v>
      </c>
      <c r="Z24" s="152">
        <f>SUM(T24+W24)</f>
        <v>17</v>
      </c>
      <c r="AA24" s="152">
        <f>SUM(U24+X24)</f>
        <v>18</v>
      </c>
      <c r="AB24" s="167">
        <f t="shared" ref="AB24:AB38" si="7">Z24+AA24</f>
        <v>35</v>
      </c>
      <c r="AC24" s="169">
        <v>596</v>
      </c>
      <c r="AD24" s="169">
        <f>AB24</f>
        <v>35</v>
      </c>
      <c r="AE24" s="185">
        <f>AD24/AC24</f>
        <v>5.8724832214765099E-2</v>
      </c>
      <c r="AF24" s="174">
        <f>AC24-AD24</f>
        <v>561</v>
      </c>
      <c r="AG24" s="175">
        <f>SUM(Q24+AD24)</f>
        <v>55</v>
      </c>
      <c r="AH24" s="176">
        <f>AG24/E24</f>
        <v>9.166666666666666E-2</v>
      </c>
    </row>
    <row r="25" spans="1:146" ht="28.5" customHeight="1" x14ac:dyDescent="0.25">
      <c r="A25" s="246"/>
      <c r="B25" s="243"/>
      <c r="C25" s="842"/>
      <c r="D25" s="272" t="s">
        <v>396</v>
      </c>
      <c r="E25" s="244">
        <v>600</v>
      </c>
      <c r="F25" s="245" t="s">
        <v>130</v>
      </c>
      <c r="G25" s="163">
        <v>3</v>
      </c>
      <c r="H25" s="164">
        <v>1</v>
      </c>
      <c r="I25" s="150">
        <f>SUM(G25+H25)</f>
        <v>4</v>
      </c>
      <c r="J25" s="163">
        <v>0</v>
      </c>
      <c r="K25" s="164">
        <v>0</v>
      </c>
      <c r="L25" s="150">
        <f>SUM(J25+K25)</f>
        <v>0</v>
      </c>
      <c r="M25" s="166">
        <f>SUM(G25+J25)</f>
        <v>3</v>
      </c>
      <c r="N25" s="166">
        <f>SUM(H25+K25)</f>
        <v>1</v>
      </c>
      <c r="O25" s="167">
        <f>M25+N25</f>
        <v>4</v>
      </c>
      <c r="P25" s="168">
        <f>E25/3</f>
        <v>200</v>
      </c>
      <c r="Q25" s="169">
        <v>20</v>
      </c>
      <c r="R25" s="170">
        <f>Q25/P25</f>
        <v>0.1</v>
      </c>
      <c r="S25" s="168">
        <f>E25-Q25</f>
        <v>580</v>
      </c>
      <c r="T25" s="209">
        <v>2</v>
      </c>
      <c r="U25" s="210"/>
      <c r="V25" s="156">
        <f t="shared" si="5"/>
        <v>2</v>
      </c>
      <c r="W25" s="211"/>
      <c r="X25" s="210"/>
      <c r="Y25" s="209">
        <f t="shared" si="6"/>
        <v>0</v>
      </c>
      <c r="Z25" s="152">
        <f>T25+W25</f>
        <v>2</v>
      </c>
      <c r="AA25" s="152">
        <f>SUM(U25+X25)</f>
        <v>0</v>
      </c>
      <c r="AB25" s="167">
        <f t="shared" si="7"/>
        <v>2</v>
      </c>
      <c r="AC25" s="169">
        <v>480</v>
      </c>
      <c r="AD25" s="169">
        <f>AB25</f>
        <v>2</v>
      </c>
      <c r="AE25" s="169">
        <f>AD25/AC25</f>
        <v>4.1666666666666666E-3</v>
      </c>
      <c r="AF25" s="174">
        <f>AC25-AD25</f>
        <v>478</v>
      </c>
      <c r="AG25" s="175">
        <f>SUM(Q25+AD25)</f>
        <v>22</v>
      </c>
      <c r="AH25" s="176">
        <f>AG25/E25</f>
        <v>3.6666666666666667E-2</v>
      </c>
    </row>
    <row r="26" spans="1:146" ht="27.75" customHeight="1" x14ac:dyDescent="0.25">
      <c r="A26" s="246"/>
      <c r="B26" s="243"/>
      <c r="C26" s="243"/>
      <c r="D26" s="272" t="s">
        <v>397</v>
      </c>
      <c r="E26" s="244">
        <v>4</v>
      </c>
      <c r="F26" s="245" t="s">
        <v>130</v>
      </c>
      <c r="G26" s="163"/>
      <c r="H26" s="164"/>
      <c r="I26" s="150"/>
      <c r="J26" s="163"/>
      <c r="K26" s="164"/>
      <c r="L26" s="150"/>
      <c r="M26" s="166"/>
      <c r="N26" s="166"/>
      <c r="O26" s="167">
        <f>M26+N26</f>
        <v>0</v>
      </c>
      <c r="P26" s="169">
        <v>4</v>
      </c>
      <c r="Q26" s="169">
        <f>O26</f>
        <v>0</v>
      </c>
      <c r="R26" s="170">
        <f>Q26/P26</f>
        <v>0</v>
      </c>
      <c r="S26" s="168">
        <f>E26-Q26</f>
        <v>4</v>
      </c>
      <c r="T26" s="209"/>
      <c r="U26" s="210"/>
      <c r="V26" s="156">
        <f t="shared" si="5"/>
        <v>0</v>
      </c>
      <c r="W26" s="211"/>
      <c r="X26" s="210"/>
      <c r="Y26" s="209">
        <f t="shared" si="6"/>
        <v>0</v>
      </c>
      <c r="Z26" s="152"/>
      <c r="AA26" s="152"/>
      <c r="AB26" s="167">
        <f t="shared" si="7"/>
        <v>0</v>
      </c>
      <c r="AC26" s="169">
        <v>4</v>
      </c>
      <c r="AD26" s="169"/>
      <c r="AE26" s="185">
        <f>AD26/AC26</f>
        <v>0</v>
      </c>
      <c r="AF26" s="174">
        <f>AC26-AD26</f>
        <v>4</v>
      </c>
      <c r="AG26" s="175">
        <f>SUM(Q26+AD26)</f>
        <v>0</v>
      </c>
      <c r="AH26" s="176">
        <f>AG26/E26</f>
        <v>0</v>
      </c>
    </row>
    <row r="27" spans="1:146" ht="27.75" customHeight="1" x14ac:dyDescent="0.25">
      <c r="A27" s="246"/>
      <c r="B27" s="243"/>
      <c r="C27" s="243"/>
      <c r="D27" s="272" t="s">
        <v>398</v>
      </c>
      <c r="E27" s="244">
        <v>240</v>
      </c>
      <c r="F27" s="245" t="s">
        <v>130</v>
      </c>
      <c r="G27" s="163">
        <v>133</v>
      </c>
      <c r="H27" s="164">
        <v>107</v>
      </c>
      <c r="I27" s="150">
        <f>SUM(G27+H27)</f>
        <v>240</v>
      </c>
      <c r="J27" s="163">
        <v>0</v>
      </c>
      <c r="K27" s="164">
        <v>0</v>
      </c>
      <c r="L27" s="150">
        <f>SUM(J27+K27)</f>
        <v>0</v>
      </c>
      <c r="M27" s="166">
        <f>SUM(G27+J27)</f>
        <v>133</v>
      </c>
      <c r="N27" s="166">
        <f>SUM(H27+K27)</f>
        <v>107</v>
      </c>
      <c r="O27" s="167">
        <f>SUM(M27+N27)</f>
        <v>240</v>
      </c>
      <c r="P27" s="169">
        <v>240</v>
      </c>
      <c r="Q27" s="169">
        <f>SUM(O27)</f>
        <v>240</v>
      </c>
      <c r="R27" s="170">
        <f>Q27/P27</f>
        <v>1</v>
      </c>
      <c r="S27" s="168">
        <f>E27-Q27</f>
        <v>0</v>
      </c>
      <c r="T27" s="209"/>
      <c r="U27" s="210"/>
      <c r="V27" s="156"/>
      <c r="W27" s="211"/>
      <c r="X27" s="210"/>
      <c r="Y27" s="209"/>
      <c r="Z27" s="152"/>
      <c r="AA27" s="152"/>
      <c r="AB27" s="167"/>
      <c r="AC27" s="169">
        <v>240</v>
      </c>
      <c r="AD27" s="169"/>
      <c r="AE27" s="169"/>
      <c r="AF27" s="174">
        <f>AC27-AD27</f>
        <v>240</v>
      </c>
      <c r="AG27" s="175">
        <f>SUM(Q27+AD27)</f>
        <v>240</v>
      </c>
      <c r="AH27" s="176">
        <f>AG27/E27</f>
        <v>1</v>
      </c>
    </row>
    <row r="28" spans="1:146" ht="30" customHeight="1" x14ac:dyDescent="0.25">
      <c r="A28" s="246"/>
      <c r="B28" s="243"/>
      <c r="C28" s="243"/>
      <c r="D28" s="272" t="s">
        <v>35</v>
      </c>
      <c r="E28" s="244"/>
      <c r="F28" s="245"/>
      <c r="G28" s="163"/>
      <c r="H28" s="164"/>
      <c r="I28" s="150">
        <f>SUM(G28:H28)</f>
        <v>0</v>
      </c>
      <c r="J28" s="163"/>
      <c r="K28" s="164"/>
      <c r="L28" s="150">
        <f>SUM(J28:K28)</f>
        <v>0</v>
      </c>
      <c r="M28" s="166">
        <f>SUM(G28+J28)</f>
        <v>0</v>
      </c>
      <c r="N28" s="166">
        <f>SUM(T296)</f>
        <v>0</v>
      </c>
      <c r="O28" s="167"/>
      <c r="P28" s="169"/>
      <c r="Q28" s="169"/>
      <c r="R28" s="170"/>
      <c r="S28" s="168"/>
      <c r="T28" s="209">
        <v>6</v>
      </c>
      <c r="U28" s="210">
        <v>4</v>
      </c>
      <c r="V28" s="156">
        <f>SUM(T28:U28)</f>
        <v>10</v>
      </c>
      <c r="W28" s="211"/>
      <c r="X28" s="210"/>
      <c r="Y28" s="209">
        <f>SUM(W28:X28)</f>
        <v>0</v>
      </c>
      <c r="Z28" s="152">
        <f>SUM(T28+W28)</f>
        <v>6</v>
      </c>
      <c r="AA28" s="152">
        <f>SUM(U28+X28)</f>
        <v>4</v>
      </c>
      <c r="AB28" s="167">
        <f>SUM(Z28:AA28)</f>
        <v>10</v>
      </c>
      <c r="AC28" s="169"/>
      <c r="AD28" s="169">
        <f>SUM(O28+AB28)</f>
        <v>10</v>
      </c>
      <c r="AE28" s="169"/>
      <c r="AF28" s="174"/>
      <c r="AG28" s="175"/>
      <c r="AH28" s="176"/>
    </row>
    <row r="29" spans="1:146" ht="33.75" customHeight="1" x14ac:dyDescent="0.25">
      <c r="A29" s="246"/>
      <c r="B29" s="243"/>
      <c r="C29" s="243"/>
      <c r="D29" s="272" t="s">
        <v>36</v>
      </c>
      <c r="E29" s="244">
        <v>6</v>
      </c>
      <c r="F29" s="245" t="s">
        <v>130</v>
      </c>
      <c r="G29" s="163">
        <v>1</v>
      </c>
      <c r="H29" s="164">
        <v>3</v>
      </c>
      <c r="I29" s="150">
        <f>SUM(G29:H29)</f>
        <v>4</v>
      </c>
      <c r="J29" s="163">
        <v>3</v>
      </c>
      <c r="K29" s="164">
        <v>0</v>
      </c>
      <c r="L29" s="150">
        <f>SUM(J29:K29)</f>
        <v>3</v>
      </c>
      <c r="M29" s="166">
        <f>SUM(G29+J29)</f>
        <v>4</v>
      </c>
      <c r="N29" s="166">
        <f>SUM(H29+K29)</f>
        <v>3</v>
      </c>
      <c r="O29" s="167">
        <f>SUM(M29:N29)</f>
        <v>7</v>
      </c>
      <c r="P29" s="169">
        <v>6</v>
      </c>
      <c r="Q29" s="169">
        <v>7</v>
      </c>
      <c r="R29" s="170">
        <f>Q29/P29</f>
        <v>1.1666666666666667</v>
      </c>
      <c r="S29" s="168">
        <f>E29-Q29</f>
        <v>-1</v>
      </c>
      <c r="T29" s="209"/>
      <c r="U29" s="210"/>
      <c r="V29" s="156"/>
      <c r="W29" s="211"/>
      <c r="X29" s="210"/>
      <c r="Y29" s="209"/>
      <c r="Z29" s="152"/>
      <c r="AA29" s="152"/>
      <c r="AB29" s="167"/>
      <c r="AC29" s="169">
        <v>9</v>
      </c>
      <c r="AD29" s="169"/>
      <c r="AE29" s="169"/>
      <c r="AF29" s="174">
        <f>AC29-AD29</f>
        <v>9</v>
      </c>
      <c r="AG29" s="175">
        <v>7</v>
      </c>
      <c r="AH29" s="176">
        <f>AG29/E29</f>
        <v>1.1666666666666667</v>
      </c>
    </row>
    <row r="30" spans="1:146" ht="32.25" customHeight="1" x14ac:dyDescent="0.25">
      <c r="A30" s="246"/>
      <c r="B30" s="278"/>
      <c r="C30" s="243"/>
      <c r="D30" s="277" t="s">
        <v>37</v>
      </c>
      <c r="E30" s="279">
        <v>50</v>
      </c>
      <c r="F30" s="280"/>
      <c r="G30" s="163"/>
      <c r="H30" s="164"/>
      <c r="I30" s="150"/>
      <c r="J30" s="163"/>
      <c r="K30" s="164"/>
      <c r="L30" s="150"/>
      <c r="M30" s="166"/>
      <c r="N30" s="166"/>
      <c r="O30" s="167"/>
      <c r="P30" s="169"/>
      <c r="Q30" s="169"/>
      <c r="R30" s="170"/>
      <c r="S30" s="168"/>
      <c r="T30" s="209"/>
      <c r="U30" s="210"/>
      <c r="V30" s="156"/>
      <c r="W30" s="211"/>
      <c r="X30" s="210"/>
      <c r="Y30" s="209"/>
      <c r="Z30" s="152"/>
      <c r="AA30" s="152"/>
      <c r="AB30" s="167"/>
      <c r="AC30" s="169"/>
      <c r="AD30" s="169"/>
      <c r="AE30" s="169"/>
      <c r="AF30" s="174"/>
      <c r="AG30" s="175"/>
      <c r="AH30" s="176"/>
    </row>
    <row r="31" spans="1:146" s="93" customFormat="1" ht="32.25" customHeight="1" x14ac:dyDescent="0.2">
      <c r="A31" s="247"/>
      <c r="B31" s="248"/>
      <c r="C31" s="249"/>
      <c r="D31" s="273" t="s">
        <v>38</v>
      </c>
      <c r="E31" s="250"/>
      <c r="F31" s="251"/>
      <c r="G31" s="163"/>
      <c r="H31" s="164"/>
      <c r="I31" s="150"/>
      <c r="J31" s="163"/>
      <c r="K31" s="164"/>
      <c r="L31" s="150"/>
      <c r="M31" s="166"/>
      <c r="N31" s="166"/>
      <c r="O31" s="167"/>
      <c r="P31" s="169"/>
      <c r="Q31" s="169"/>
      <c r="R31" s="170"/>
      <c r="S31" s="170"/>
      <c r="T31" s="184"/>
      <c r="U31" s="183"/>
      <c r="V31" s="182"/>
      <c r="W31" s="184"/>
      <c r="X31" s="183"/>
      <c r="Y31" s="182"/>
      <c r="Z31" s="152"/>
      <c r="AA31" s="152"/>
      <c r="AB31" s="167"/>
      <c r="AC31" s="169"/>
      <c r="AD31" s="169"/>
      <c r="AE31" s="169"/>
      <c r="AF31" s="174">
        <f>AC31-AD31</f>
        <v>0</v>
      </c>
      <c r="AG31" s="175"/>
      <c r="AH31" s="176"/>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c r="CD31" s="92"/>
      <c r="CE31" s="92"/>
      <c r="CF31" s="92"/>
      <c r="CG31" s="92"/>
      <c r="CH31" s="92"/>
      <c r="CI31" s="92"/>
      <c r="CJ31" s="92"/>
      <c r="CK31" s="92"/>
      <c r="CL31" s="92"/>
      <c r="CM31" s="92"/>
      <c r="CN31" s="92"/>
      <c r="CO31" s="92"/>
      <c r="CP31" s="92"/>
      <c r="CQ31" s="92"/>
      <c r="CR31" s="92"/>
      <c r="CS31" s="92"/>
      <c r="CT31" s="92"/>
      <c r="CU31" s="92"/>
      <c r="CV31" s="92"/>
      <c r="CW31" s="92"/>
      <c r="CX31" s="92"/>
      <c r="CY31" s="92"/>
      <c r="CZ31" s="92"/>
      <c r="DA31" s="92"/>
      <c r="DB31" s="92"/>
      <c r="DC31" s="92"/>
      <c r="DD31" s="92"/>
      <c r="DE31" s="92"/>
      <c r="DF31" s="92"/>
      <c r="DG31" s="92"/>
      <c r="DH31" s="92"/>
      <c r="DI31" s="92"/>
      <c r="DJ31" s="92"/>
      <c r="DK31" s="92"/>
      <c r="DL31" s="92"/>
      <c r="DM31" s="92"/>
      <c r="DN31" s="92"/>
      <c r="DO31" s="92"/>
      <c r="DP31" s="92"/>
      <c r="DQ31" s="92"/>
      <c r="DR31" s="92"/>
      <c r="DS31" s="92"/>
      <c r="DT31" s="92"/>
      <c r="DU31" s="92"/>
      <c r="DV31" s="92"/>
      <c r="DW31" s="92"/>
      <c r="DX31" s="92"/>
      <c r="DY31" s="92"/>
      <c r="DZ31" s="92"/>
      <c r="EA31" s="92"/>
      <c r="EB31" s="92"/>
      <c r="EC31" s="92"/>
      <c r="ED31" s="92"/>
      <c r="EE31" s="92"/>
      <c r="EF31" s="92"/>
      <c r="EG31" s="92"/>
      <c r="EH31" s="92"/>
      <c r="EI31" s="92"/>
      <c r="EJ31" s="92"/>
      <c r="EK31" s="92"/>
      <c r="EL31" s="92"/>
      <c r="EM31" s="92"/>
      <c r="EN31" s="92"/>
      <c r="EO31" s="92"/>
      <c r="EP31" s="92"/>
    </row>
    <row r="32" spans="1:146" s="93" customFormat="1" ht="33" customHeight="1" x14ac:dyDescent="0.2">
      <c r="A32" s="281"/>
      <c r="B32" s="248"/>
      <c r="C32" s="249"/>
      <c r="D32" s="273" t="s">
        <v>39</v>
      </c>
      <c r="E32" s="250">
        <v>50</v>
      </c>
      <c r="F32" s="251"/>
      <c r="G32" s="163"/>
      <c r="H32" s="164"/>
      <c r="I32" s="150"/>
      <c r="J32" s="163"/>
      <c r="K32" s="164"/>
      <c r="L32" s="150"/>
      <c r="M32" s="166"/>
      <c r="N32" s="166"/>
      <c r="O32" s="167"/>
      <c r="P32" s="169"/>
      <c r="Q32" s="169"/>
      <c r="R32" s="170"/>
      <c r="S32" s="170"/>
      <c r="T32" s="184"/>
      <c r="U32" s="183"/>
      <c r="V32" s="182"/>
      <c r="W32" s="184"/>
      <c r="X32" s="183"/>
      <c r="Y32" s="182"/>
      <c r="Z32" s="152"/>
      <c r="AA32" s="152"/>
      <c r="AB32" s="167"/>
      <c r="AC32" s="169"/>
      <c r="AD32" s="169"/>
      <c r="AE32" s="169"/>
      <c r="AF32" s="174"/>
      <c r="AG32" s="175"/>
      <c r="AH32" s="176"/>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c r="CD32" s="92"/>
      <c r="CE32" s="92"/>
      <c r="CF32" s="92"/>
      <c r="CG32" s="92"/>
      <c r="CH32" s="92"/>
      <c r="CI32" s="92"/>
      <c r="CJ32" s="92"/>
      <c r="CK32" s="92"/>
      <c r="CL32" s="92"/>
      <c r="CM32" s="92"/>
      <c r="CN32" s="92"/>
      <c r="CO32" s="92"/>
      <c r="CP32" s="92"/>
      <c r="CQ32" s="92"/>
      <c r="CR32" s="92"/>
      <c r="CS32" s="92"/>
      <c r="CT32" s="92"/>
      <c r="CU32" s="92"/>
      <c r="CV32" s="92"/>
      <c r="CW32" s="92"/>
      <c r="CX32" s="92"/>
      <c r="CY32" s="92"/>
      <c r="CZ32" s="92"/>
      <c r="DA32" s="92"/>
      <c r="DB32" s="92"/>
      <c r="DC32" s="92"/>
      <c r="DD32" s="92"/>
      <c r="DE32" s="92"/>
      <c r="DF32" s="92"/>
      <c r="DG32" s="92"/>
      <c r="DH32" s="92"/>
      <c r="DI32" s="92"/>
      <c r="DJ32" s="92"/>
      <c r="DK32" s="92"/>
      <c r="DL32" s="92"/>
      <c r="DM32" s="92"/>
      <c r="DN32" s="92"/>
      <c r="DO32" s="92"/>
      <c r="DP32" s="92"/>
      <c r="DQ32" s="92"/>
      <c r="DR32" s="92"/>
      <c r="DS32" s="92"/>
      <c r="DT32" s="92"/>
      <c r="DU32" s="92"/>
      <c r="DV32" s="92"/>
      <c r="DW32" s="92"/>
      <c r="DX32" s="92"/>
      <c r="DY32" s="92"/>
      <c r="DZ32" s="92"/>
      <c r="EA32" s="92"/>
      <c r="EB32" s="92"/>
      <c r="EC32" s="92"/>
      <c r="ED32" s="92"/>
      <c r="EE32" s="92"/>
      <c r="EF32" s="92"/>
      <c r="EG32" s="92"/>
      <c r="EH32" s="92"/>
      <c r="EI32" s="92"/>
      <c r="EJ32" s="92"/>
      <c r="EK32" s="92"/>
      <c r="EL32" s="92"/>
      <c r="EM32" s="92"/>
      <c r="EN32" s="92"/>
      <c r="EO32" s="92"/>
      <c r="EP32" s="92"/>
    </row>
    <row r="33" spans="1:146" ht="26.25" customHeight="1" x14ac:dyDescent="0.25">
      <c r="A33" s="252"/>
      <c r="B33" s="253" t="s">
        <v>153</v>
      </c>
      <c r="C33" s="253" t="s">
        <v>399</v>
      </c>
      <c r="D33" s="274" t="s">
        <v>400</v>
      </c>
      <c r="E33" s="244">
        <v>10</v>
      </c>
      <c r="F33" s="245" t="s">
        <v>133</v>
      </c>
      <c r="G33" s="163"/>
      <c r="H33" s="164"/>
      <c r="I33" s="150"/>
      <c r="J33" s="163"/>
      <c r="K33" s="164"/>
      <c r="L33" s="150"/>
      <c r="M33" s="166"/>
      <c r="N33" s="166"/>
      <c r="O33" s="167">
        <f>SUM(M33:N33)</f>
        <v>0</v>
      </c>
      <c r="P33" s="169">
        <v>10</v>
      </c>
      <c r="Q33" s="169">
        <f>O33</f>
        <v>0</v>
      </c>
      <c r="R33" s="170">
        <f t="shared" ref="R33:R42" si="8">Q33/P33</f>
        <v>0</v>
      </c>
      <c r="S33" s="168">
        <f>E33-Q33</f>
        <v>10</v>
      </c>
      <c r="T33" s="209"/>
      <c r="U33" s="210"/>
      <c r="V33" s="211">
        <f t="shared" si="5"/>
        <v>0</v>
      </c>
      <c r="W33" s="211">
        <v>0</v>
      </c>
      <c r="X33" s="210">
        <v>0</v>
      </c>
      <c r="Y33" s="209">
        <f t="shared" si="6"/>
        <v>0</v>
      </c>
      <c r="Z33" s="152">
        <f>SUM(T33+W33)</f>
        <v>0</v>
      </c>
      <c r="AA33" s="152">
        <f>SUM(U33+X33)</f>
        <v>0</v>
      </c>
      <c r="AB33" s="167">
        <f t="shared" si="7"/>
        <v>0</v>
      </c>
      <c r="AC33" s="169">
        <v>5</v>
      </c>
      <c r="AD33" s="169">
        <v>3</v>
      </c>
      <c r="AE33" s="185">
        <f>AD33/AC33</f>
        <v>0.6</v>
      </c>
      <c r="AF33" s="174">
        <f>AC33-AD33</f>
        <v>2</v>
      </c>
      <c r="AG33" s="175">
        <f>SUM(Q33+AD33)</f>
        <v>3</v>
      </c>
      <c r="AH33" s="176"/>
    </row>
    <row r="34" spans="1:146" ht="34.5" customHeight="1" x14ac:dyDescent="0.25">
      <c r="A34" s="254" t="s">
        <v>401</v>
      </c>
      <c r="B34" s="255" t="s">
        <v>155</v>
      </c>
      <c r="C34" s="255" t="s">
        <v>402</v>
      </c>
      <c r="D34" s="275" t="s">
        <v>403</v>
      </c>
      <c r="E34" s="256"/>
      <c r="F34" s="257" t="s">
        <v>133</v>
      </c>
      <c r="G34" s="193"/>
      <c r="H34" s="194"/>
      <c r="I34" s="195"/>
      <c r="J34" s="193"/>
      <c r="K34" s="194"/>
      <c r="L34" s="195"/>
      <c r="M34" s="193"/>
      <c r="N34" s="193"/>
      <c r="O34" s="198">
        <f>M34+N34</f>
        <v>0</v>
      </c>
      <c r="P34" s="169"/>
      <c r="Q34" s="169"/>
      <c r="R34" s="170" t="e">
        <f t="shared" si="8"/>
        <v>#DIV/0!</v>
      </c>
      <c r="S34" s="170"/>
      <c r="T34" s="203"/>
      <c r="U34" s="258"/>
      <c r="V34" s="201">
        <f t="shared" si="5"/>
        <v>0</v>
      </c>
      <c r="W34" s="201"/>
      <c r="X34" s="258"/>
      <c r="Y34" s="203">
        <f t="shared" si="6"/>
        <v>0</v>
      </c>
      <c r="Z34" s="195"/>
      <c r="AA34" s="195"/>
      <c r="AB34" s="198">
        <f t="shared" si="7"/>
        <v>0</v>
      </c>
      <c r="AC34" s="169"/>
      <c r="AD34" s="169"/>
      <c r="AE34" s="185"/>
      <c r="AF34" s="174"/>
      <c r="AG34" s="204"/>
      <c r="AH34" s="205"/>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row>
    <row r="35" spans="1:146" ht="39.75" customHeight="1" x14ac:dyDescent="0.25">
      <c r="A35" s="259"/>
      <c r="B35" s="869" t="s">
        <v>346</v>
      </c>
      <c r="C35" s="260" t="s">
        <v>404</v>
      </c>
      <c r="D35" s="276" t="s">
        <v>405</v>
      </c>
      <c r="E35" s="261">
        <v>150</v>
      </c>
      <c r="F35" s="245" t="s">
        <v>406</v>
      </c>
      <c r="G35" s="163">
        <v>10</v>
      </c>
      <c r="H35" s="164">
        <v>23</v>
      </c>
      <c r="I35" s="150">
        <f>SUM(G35+H35)</f>
        <v>33</v>
      </c>
      <c r="J35" s="163">
        <v>7</v>
      </c>
      <c r="K35" s="164">
        <v>4</v>
      </c>
      <c r="L35" s="150">
        <f>SUM(J35+K35)</f>
        <v>11</v>
      </c>
      <c r="M35" s="166">
        <f t="shared" ref="M35:N37" si="9">SUM(G35+J35)</f>
        <v>17</v>
      </c>
      <c r="N35" s="166">
        <f t="shared" si="9"/>
        <v>27</v>
      </c>
      <c r="O35" s="167">
        <f>SUM(M35:N35)</f>
        <v>44</v>
      </c>
      <c r="P35" s="169">
        <v>150</v>
      </c>
      <c r="Q35" s="169">
        <f>SUM(O35)</f>
        <v>44</v>
      </c>
      <c r="R35" s="170">
        <f t="shared" si="8"/>
        <v>0.29333333333333333</v>
      </c>
      <c r="S35" s="168">
        <f>E35-Q35</f>
        <v>106</v>
      </c>
      <c r="T35" s="209"/>
      <c r="U35" s="210"/>
      <c r="V35" s="211">
        <f t="shared" si="5"/>
        <v>0</v>
      </c>
      <c r="W35" s="211"/>
      <c r="X35" s="210"/>
      <c r="Y35" s="209">
        <f t="shared" si="6"/>
        <v>0</v>
      </c>
      <c r="Z35" s="152"/>
      <c r="AA35" s="152"/>
      <c r="AB35" s="167">
        <f t="shared" si="7"/>
        <v>0</v>
      </c>
      <c r="AC35" s="169">
        <v>106</v>
      </c>
      <c r="AD35" s="169"/>
      <c r="AE35" s="169"/>
      <c r="AF35" s="174">
        <f t="shared" ref="AF35:AF42" si="10">AC35-AD35</f>
        <v>106</v>
      </c>
      <c r="AG35" s="175">
        <f t="shared" ref="AG35:AG42" si="11">SUM(Q35+AD35)</f>
        <v>44</v>
      </c>
      <c r="AH35" s="176">
        <f>AG35/E35</f>
        <v>0.29333333333333333</v>
      </c>
    </row>
    <row r="36" spans="1:146" ht="27" customHeight="1" x14ac:dyDescent="0.25">
      <c r="A36" s="259"/>
      <c r="B36" s="870"/>
      <c r="C36" s="262"/>
      <c r="D36" s="276" t="s">
        <v>407</v>
      </c>
      <c r="E36" s="261">
        <v>350</v>
      </c>
      <c r="F36" s="245" t="s">
        <v>408</v>
      </c>
      <c r="G36" s="163">
        <v>141</v>
      </c>
      <c r="H36" s="164">
        <v>71</v>
      </c>
      <c r="I36" s="150">
        <f>SUM(G36+H36)</f>
        <v>212</v>
      </c>
      <c r="J36" s="163">
        <v>0</v>
      </c>
      <c r="K36" s="164">
        <v>0</v>
      </c>
      <c r="L36" s="150">
        <f t="shared" ref="L36:L42" si="12">SUM(J36:K36)</f>
        <v>0</v>
      </c>
      <c r="M36" s="166">
        <f t="shared" si="9"/>
        <v>141</v>
      </c>
      <c r="N36" s="166">
        <f t="shared" si="9"/>
        <v>71</v>
      </c>
      <c r="O36" s="167">
        <f>SUM(M36:N36)</f>
        <v>212</v>
      </c>
      <c r="P36" s="169">
        <v>350</v>
      </c>
      <c r="Q36" s="169">
        <f>SUM(O36)</f>
        <v>212</v>
      </c>
      <c r="R36" s="170">
        <f t="shared" si="8"/>
        <v>0.60571428571428576</v>
      </c>
      <c r="S36" s="168">
        <f>P36-Q36</f>
        <v>138</v>
      </c>
      <c r="T36" s="211"/>
      <c r="U36" s="210"/>
      <c r="V36" s="211">
        <f>SUM(T36:U36)</f>
        <v>0</v>
      </c>
      <c r="W36" s="211">
        <v>0</v>
      </c>
      <c r="X36" s="210">
        <v>0</v>
      </c>
      <c r="Y36" s="209">
        <f>SUM(W36:X36)</f>
        <v>0</v>
      </c>
      <c r="Z36" s="152">
        <f>SUM(T36+W36)</f>
        <v>0</v>
      </c>
      <c r="AA36" s="152">
        <f>SUM(U36+X36)</f>
        <v>0</v>
      </c>
      <c r="AB36" s="167">
        <f>SUM(Z36:AA36)</f>
        <v>0</v>
      </c>
      <c r="AC36" s="169"/>
      <c r="AD36" s="169">
        <f>AB36</f>
        <v>0</v>
      </c>
      <c r="AE36" s="170" t="e">
        <f>AD36/AC36</f>
        <v>#DIV/0!</v>
      </c>
      <c r="AF36" s="174">
        <f t="shared" si="10"/>
        <v>0</v>
      </c>
      <c r="AG36" s="175">
        <f t="shared" si="11"/>
        <v>212</v>
      </c>
      <c r="AH36" s="176">
        <f>AG36/P36</f>
        <v>0.60571428571428576</v>
      </c>
    </row>
    <row r="37" spans="1:146" ht="56.25" customHeight="1" x14ac:dyDescent="0.25">
      <c r="A37" s="259"/>
      <c r="B37" s="262"/>
      <c r="C37" s="262"/>
      <c r="D37" s="277" t="s">
        <v>349</v>
      </c>
      <c r="E37" s="261">
        <v>960</v>
      </c>
      <c r="F37" s="245"/>
      <c r="G37" s="163">
        <v>128</v>
      </c>
      <c r="H37" s="164">
        <v>71</v>
      </c>
      <c r="I37" s="150">
        <f t="shared" ref="I37:I42" si="13">SUM(G37:H37)</f>
        <v>199</v>
      </c>
      <c r="J37" s="163">
        <v>26</v>
      </c>
      <c r="K37" s="164">
        <v>17</v>
      </c>
      <c r="L37" s="150">
        <f t="shared" si="12"/>
        <v>43</v>
      </c>
      <c r="M37" s="166">
        <f t="shared" si="9"/>
        <v>154</v>
      </c>
      <c r="N37" s="166">
        <f t="shared" si="9"/>
        <v>88</v>
      </c>
      <c r="O37" s="167">
        <f>SUM(M37:N37)</f>
        <v>242</v>
      </c>
      <c r="P37" s="169">
        <v>960</v>
      </c>
      <c r="Q37" s="169">
        <f>O37</f>
        <v>242</v>
      </c>
      <c r="R37" s="170">
        <f t="shared" si="8"/>
        <v>0.25208333333333333</v>
      </c>
      <c r="S37" s="169">
        <v>341</v>
      </c>
      <c r="T37" s="209">
        <v>309</v>
      </c>
      <c r="U37" s="210">
        <v>231</v>
      </c>
      <c r="V37" s="211">
        <f>SUM(T37:U37)</f>
        <v>540</v>
      </c>
      <c r="W37" s="211">
        <v>0</v>
      </c>
      <c r="X37" s="210">
        <v>0</v>
      </c>
      <c r="Y37" s="209">
        <f>SUM(W37:X37)</f>
        <v>0</v>
      </c>
      <c r="Z37" s="152">
        <f>SUM(T37+W37)</f>
        <v>309</v>
      </c>
      <c r="AA37" s="152">
        <f>SUM(U37+X37)</f>
        <v>231</v>
      </c>
      <c r="AB37" s="167">
        <f>SUM(Z37:AA37)</f>
        <v>540</v>
      </c>
      <c r="AC37" s="169">
        <v>960</v>
      </c>
      <c r="AD37" s="169">
        <f>AB37</f>
        <v>540</v>
      </c>
      <c r="AE37" s="185">
        <f>AD37/AC37</f>
        <v>0.5625</v>
      </c>
      <c r="AF37" s="174">
        <f t="shared" si="10"/>
        <v>420</v>
      </c>
      <c r="AG37" s="175">
        <f t="shared" si="11"/>
        <v>782</v>
      </c>
      <c r="AH37" s="176">
        <f>AG37/P37</f>
        <v>0.81458333333333333</v>
      </c>
    </row>
    <row r="38" spans="1:146" ht="29.25" customHeight="1" x14ac:dyDescent="0.25">
      <c r="A38" s="259"/>
      <c r="B38" s="263" t="s">
        <v>165</v>
      </c>
      <c r="C38" s="263" t="s">
        <v>409</v>
      </c>
      <c r="D38" s="272" t="s">
        <v>410</v>
      </c>
      <c r="E38" s="261">
        <v>3</v>
      </c>
      <c r="F38" s="245" t="s">
        <v>130</v>
      </c>
      <c r="G38" s="163"/>
      <c r="H38" s="164"/>
      <c r="I38" s="150">
        <f t="shared" si="13"/>
        <v>0</v>
      </c>
      <c r="J38" s="163"/>
      <c r="K38" s="164"/>
      <c r="L38" s="150">
        <f t="shared" si="12"/>
        <v>0</v>
      </c>
      <c r="M38" s="166"/>
      <c r="N38" s="166"/>
      <c r="O38" s="167">
        <f>M38+M38</f>
        <v>0</v>
      </c>
      <c r="P38" s="169">
        <v>3</v>
      </c>
      <c r="Q38" s="169">
        <v>2</v>
      </c>
      <c r="R38" s="170">
        <f t="shared" si="8"/>
        <v>0.66666666666666663</v>
      </c>
      <c r="S38" s="168">
        <f>E38-Q38</f>
        <v>1</v>
      </c>
      <c r="T38" s="209"/>
      <c r="U38" s="210"/>
      <c r="V38" s="211">
        <f t="shared" si="5"/>
        <v>0</v>
      </c>
      <c r="W38" s="211"/>
      <c r="X38" s="210"/>
      <c r="Y38" s="209">
        <f t="shared" si="6"/>
        <v>0</v>
      </c>
      <c r="Z38" s="152"/>
      <c r="AA38" s="152"/>
      <c r="AB38" s="167">
        <f t="shared" si="7"/>
        <v>0</v>
      </c>
      <c r="AC38" s="169">
        <v>1</v>
      </c>
      <c r="AD38" s="169"/>
      <c r="AE38" s="169"/>
      <c r="AF38" s="174">
        <f t="shared" si="10"/>
        <v>1</v>
      </c>
      <c r="AG38" s="175">
        <f t="shared" si="11"/>
        <v>2</v>
      </c>
      <c r="AH38" s="176">
        <f>AG38/E38</f>
        <v>0.66666666666666663</v>
      </c>
    </row>
    <row r="39" spans="1:146" ht="47.25" customHeight="1" x14ac:dyDescent="0.25">
      <c r="A39" s="264"/>
      <c r="B39" s="265"/>
      <c r="C39" s="266"/>
      <c r="D39" s="277" t="s">
        <v>59</v>
      </c>
      <c r="E39" s="261">
        <v>2</v>
      </c>
      <c r="F39" s="245" t="s">
        <v>130</v>
      </c>
      <c r="G39" s="163"/>
      <c r="H39" s="164"/>
      <c r="I39" s="150">
        <f t="shared" si="13"/>
        <v>0</v>
      </c>
      <c r="J39" s="163"/>
      <c r="K39" s="164"/>
      <c r="L39" s="150">
        <f t="shared" si="12"/>
        <v>0</v>
      </c>
      <c r="M39" s="166"/>
      <c r="N39" s="166"/>
      <c r="O39" s="167">
        <f>SUM(M39:N39)</f>
        <v>0</v>
      </c>
      <c r="P39" s="169">
        <v>2</v>
      </c>
      <c r="Q39" s="169">
        <f>O39</f>
        <v>0</v>
      </c>
      <c r="R39" s="170">
        <f t="shared" si="8"/>
        <v>0</v>
      </c>
      <c r="S39" s="168">
        <f>E39-Q39</f>
        <v>2</v>
      </c>
      <c r="T39" s="209"/>
      <c r="U39" s="210"/>
      <c r="V39" s="211"/>
      <c r="W39" s="211"/>
      <c r="X39" s="210"/>
      <c r="Y39" s="209"/>
      <c r="Z39" s="152"/>
      <c r="AA39" s="152"/>
      <c r="AB39" s="167"/>
      <c r="AC39" s="169">
        <v>3</v>
      </c>
      <c r="AD39" s="169"/>
      <c r="AE39" s="169"/>
      <c r="AF39" s="174">
        <f t="shared" si="10"/>
        <v>3</v>
      </c>
      <c r="AG39" s="175">
        <f t="shared" si="11"/>
        <v>0</v>
      </c>
      <c r="AH39" s="176">
        <f>AG39/E39</f>
        <v>0</v>
      </c>
    </row>
    <row r="40" spans="1:146" ht="43.5" customHeight="1" x14ac:dyDescent="0.25">
      <c r="A40" s="264"/>
      <c r="B40" s="265"/>
      <c r="C40" s="266"/>
      <c r="D40" s="277" t="s">
        <v>60</v>
      </c>
      <c r="E40" s="261">
        <v>1</v>
      </c>
      <c r="F40" s="245" t="s">
        <v>130</v>
      </c>
      <c r="G40" s="163"/>
      <c r="H40" s="164"/>
      <c r="I40" s="150">
        <f t="shared" si="13"/>
        <v>0</v>
      </c>
      <c r="J40" s="163"/>
      <c r="K40" s="164"/>
      <c r="L40" s="150">
        <f t="shared" si="12"/>
        <v>0</v>
      </c>
      <c r="M40" s="166"/>
      <c r="N40" s="166"/>
      <c r="O40" s="167">
        <f>SUM(M40:N40)</f>
        <v>0</v>
      </c>
      <c r="P40" s="169">
        <v>1</v>
      </c>
      <c r="Q40" s="169">
        <v>4</v>
      </c>
      <c r="R40" s="170">
        <f t="shared" si="8"/>
        <v>4</v>
      </c>
      <c r="S40" s="168">
        <f>E40-Q40</f>
        <v>-3</v>
      </c>
      <c r="T40" s="209"/>
      <c r="U40" s="210"/>
      <c r="V40" s="211"/>
      <c r="W40" s="211"/>
      <c r="X40" s="210"/>
      <c r="Y40" s="209"/>
      <c r="Z40" s="152"/>
      <c r="AA40" s="152"/>
      <c r="AB40" s="167"/>
      <c r="AC40" s="169">
        <v>1</v>
      </c>
      <c r="AD40" s="169"/>
      <c r="AE40" s="169"/>
      <c r="AF40" s="174">
        <f t="shared" si="10"/>
        <v>1</v>
      </c>
      <c r="AG40" s="175">
        <f t="shared" si="11"/>
        <v>4</v>
      </c>
      <c r="AH40" s="176">
        <f>AG40/E40</f>
        <v>4</v>
      </c>
    </row>
    <row r="41" spans="1:146" ht="53.25" customHeight="1" x14ac:dyDescent="0.25">
      <c r="A41" s="264"/>
      <c r="B41" s="265"/>
      <c r="C41" s="266"/>
      <c r="D41" s="277" t="s">
        <v>61</v>
      </c>
      <c r="E41" s="261">
        <v>6</v>
      </c>
      <c r="F41" s="245" t="s">
        <v>130</v>
      </c>
      <c r="G41" s="163"/>
      <c r="H41" s="164"/>
      <c r="I41" s="150">
        <f t="shared" si="13"/>
        <v>0</v>
      </c>
      <c r="J41" s="163"/>
      <c r="K41" s="164"/>
      <c r="L41" s="150">
        <f t="shared" si="12"/>
        <v>0</v>
      </c>
      <c r="M41" s="166"/>
      <c r="N41" s="166"/>
      <c r="O41" s="167">
        <f>SUM(M41:N41)</f>
        <v>0</v>
      </c>
      <c r="P41" s="169">
        <v>6</v>
      </c>
      <c r="Q41" s="169">
        <f>O41</f>
        <v>0</v>
      </c>
      <c r="R41" s="170">
        <f t="shared" si="8"/>
        <v>0</v>
      </c>
      <c r="S41" s="168">
        <f>E41-Q41</f>
        <v>6</v>
      </c>
      <c r="T41" s="209"/>
      <c r="U41" s="210"/>
      <c r="V41" s="211"/>
      <c r="W41" s="211"/>
      <c r="X41" s="210"/>
      <c r="Y41" s="209"/>
      <c r="Z41" s="152"/>
      <c r="AA41" s="152"/>
      <c r="AB41" s="167"/>
      <c r="AC41" s="169">
        <v>6</v>
      </c>
      <c r="AD41" s="169"/>
      <c r="AE41" s="169"/>
      <c r="AF41" s="174">
        <f t="shared" si="10"/>
        <v>6</v>
      </c>
      <c r="AG41" s="175">
        <f t="shared" si="11"/>
        <v>0</v>
      </c>
      <c r="AH41" s="176">
        <f>AG41/E41</f>
        <v>0</v>
      </c>
    </row>
    <row r="42" spans="1:146" ht="27" customHeight="1" x14ac:dyDescent="0.25">
      <c r="A42" s="259"/>
      <c r="B42" s="267" t="s">
        <v>265</v>
      </c>
      <c r="C42" s="262"/>
      <c r="D42" s="276" t="s">
        <v>411</v>
      </c>
      <c r="E42" s="261">
        <v>500</v>
      </c>
      <c r="F42" s="245" t="s">
        <v>130</v>
      </c>
      <c r="G42" s="163">
        <v>259</v>
      </c>
      <c r="H42" s="164">
        <v>259</v>
      </c>
      <c r="I42" s="150">
        <f t="shared" si="13"/>
        <v>518</v>
      </c>
      <c r="J42" s="163">
        <v>11</v>
      </c>
      <c r="K42" s="164">
        <v>13</v>
      </c>
      <c r="L42" s="150">
        <f t="shared" si="12"/>
        <v>24</v>
      </c>
      <c r="M42" s="166">
        <f>SUM(G42+J42)</f>
        <v>270</v>
      </c>
      <c r="N42" s="166">
        <f>SUM(H42+K42)</f>
        <v>272</v>
      </c>
      <c r="O42" s="167">
        <f>M42+N42</f>
        <v>542</v>
      </c>
      <c r="P42" s="169">
        <v>500</v>
      </c>
      <c r="Q42" s="169">
        <f>SUM(O42)</f>
        <v>542</v>
      </c>
      <c r="R42" s="170">
        <f t="shared" si="8"/>
        <v>1.0840000000000001</v>
      </c>
      <c r="S42" s="168">
        <f>E42-Q42</f>
        <v>-42</v>
      </c>
      <c r="T42" s="211"/>
      <c r="U42" s="210"/>
      <c r="V42" s="211">
        <f t="shared" ref="V42" si="14">T42+U42</f>
        <v>0</v>
      </c>
      <c r="W42" s="211"/>
      <c r="X42" s="210"/>
      <c r="Y42" s="209">
        <f t="shared" ref="Y42" si="15">W42+X42</f>
        <v>0</v>
      </c>
      <c r="Z42" s="152">
        <f>SUM(T42+W42)</f>
        <v>0</v>
      </c>
      <c r="AA42" s="152">
        <f>SUM(U42+X42)</f>
        <v>0</v>
      </c>
      <c r="AB42" s="167">
        <f t="shared" ref="AB42" si="16">Z42+AA42</f>
        <v>0</v>
      </c>
      <c r="AC42" s="169">
        <v>0</v>
      </c>
      <c r="AD42" s="169"/>
      <c r="AE42" s="170" t="e">
        <f>AD42/AC42</f>
        <v>#DIV/0!</v>
      </c>
      <c r="AF42" s="174">
        <f t="shared" si="10"/>
        <v>0</v>
      </c>
      <c r="AG42" s="175">
        <f t="shared" si="11"/>
        <v>542</v>
      </c>
      <c r="AH42" s="176">
        <f>AG42/E42</f>
        <v>1.0840000000000001</v>
      </c>
    </row>
    <row r="43" spans="1:146" s="90" customFormat="1" x14ac:dyDescent="0.25">
      <c r="A43" s="9"/>
      <c r="B43" s="95"/>
      <c r="C43" s="96"/>
      <c r="D43" s="135"/>
      <c r="E43" s="9"/>
      <c r="F43" s="9"/>
      <c r="G43" s="97"/>
      <c r="H43" s="98"/>
      <c r="I43" s="98"/>
      <c r="J43" s="97"/>
      <c r="K43" s="98"/>
      <c r="L43" s="99"/>
      <c r="M43" s="97"/>
      <c r="N43" s="98"/>
      <c r="O43" s="100"/>
      <c r="P43" s="100"/>
      <c r="Q43" s="100"/>
      <c r="R43" s="100"/>
      <c r="S43" s="100"/>
      <c r="T43" s="101"/>
      <c r="U43" s="102"/>
      <c r="V43" s="102"/>
      <c r="W43" s="101"/>
      <c r="X43" s="102"/>
      <c r="Y43" s="103"/>
      <c r="Z43" s="97"/>
      <c r="AA43" s="98"/>
      <c r="AB43" s="100"/>
      <c r="AC43" s="100"/>
      <c r="AD43" s="100"/>
      <c r="AE43" s="100"/>
      <c r="AF43" s="100"/>
      <c r="AG43" s="104"/>
      <c r="AH43" s="105"/>
    </row>
    <row r="44" spans="1:146" s="90" customFormat="1" x14ac:dyDescent="0.25">
      <c r="B44" s="106"/>
      <c r="C44" s="107"/>
      <c r="D44" s="136"/>
      <c r="G44" s="108"/>
      <c r="L44" s="108"/>
      <c r="O44" s="109"/>
      <c r="P44" s="109"/>
      <c r="Q44" s="109"/>
      <c r="R44" s="109"/>
      <c r="S44" s="109"/>
      <c r="T44" s="110"/>
      <c r="U44" s="111"/>
      <c r="V44" s="111"/>
      <c r="W44" s="111"/>
      <c r="X44" s="111"/>
      <c r="Y44" s="110"/>
      <c r="AB44" s="109"/>
      <c r="AC44" s="109"/>
      <c r="AD44" s="109"/>
      <c r="AE44" s="109"/>
      <c r="AF44" s="109"/>
      <c r="AG44" s="112"/>
      <c r="AH44" s="113"/>
    </row>
    <row r="45" spans="1:146" s="90" customFormat="1" x14ac:dyDescent="0.25">
      <c r="B45" s="114"/>
      <c r="C45" s="114"/>
      <c r="D45" s="136"/>
      <c r="G45" s="108"/>
      <c r="L45" s="108"/>
      <c r="O45" s="109"/>
      <c r="P45" s="109"/>
      <c r="Q45" s="109"/>
      <c r="R45" s="109"/>
      <c r="S45" s="109"/>
      <c r="T45" s="110"/>
      <c r="U45" s="111"/>
      <c r="V45" s="111"/>
      <c r="W45" s="111"/>
      <c r="X45" s="111"/>
      <c r="Y45" s="110"/>
      <c r="AB45" s="109"/>
      <c r="AC45" s="109"/>
      <c r="AD45" s="109"/>
      <c r="AE45" s="109"/>
      <c r="AF45" s="109"/>
      <c r="AG45" s="112"/>
      <c r="AH45" s="113"/>
    </row>
    <row r="46" spans="1:146" s="90" customFormat="1" x14ac:dyDescent="0.25">
      <c r="B46" s="114"/>
      <c r="C46" s="114"/>
      <c r="D46" s="136"/>
      <c r="G46" s="108"/>
      <c r="L46" s="108"/>
      <c r="O46" s="109"/>
      <c r="P46" s="109"/>
      <c r="Q46" s="109"/>
      <c r="R46" s="109"/>
      <c r="S46" s="109"/>
      <c r="T46" s="110"/>
      <c r="U46" s="111"/>
      <c r="V46" s="111"/>
      <c r="W46" s="111"/>
      <c r="X46" s="111"/>
      <c r="Y46" s="110"/>
      <c r="AB46" s="109"/>
      <c r="AC46" s="109"/>
      <c r="AD46" s="109"/>
      <c r="AE46" s="109"/>
      <c r="AF46" s="109"/>
      <c r="AG46" s="112"/>
      <c r="AH46" s="113"/>
    </row>
    <row r="47" spans="1:146" s="90" customFormat="1" x14ac:dyDescent="0.25">
      <c r="B47" s="114"/>
      <c r="C47" s="114"/>
      <c r="D47" s="136"/>
      <c r="G47" s="108"/>
      <c r="L47" s="108"/>
      <c r="O47" s="109"/>
      <c r="P47" s="109"/>
      <c r="Q47" s="109"/>
      <c r="R47" s="109"/>
      <c r="S47" s="109"/>
      <c r="T47" s="110"/>
      <c r="U47" s="111"/>
      <c r="V47" s="111"/>
      <c r="W47" s="111"/>
      <c r="X47" s="111"/>
      <c r="Y47" s="110"/>
      <c r="AB47" s="109"/>
      <c r="AC47" s="109"/>
      <c r="AD47" s="109"/>
      <c r="AE47" s="109"/>
      <c r="AF47" s="109"/>
      <c r="AG47" s="112"/>
      <c r="AH47" s="113"/>
    </row>
    <row r="48" spans="1:146" s="90" customFormat="1" x14ac:dyDescent="0.25">
      <c r="B48" s="114"/>
      <c r="C48" s="114"/>
      <c r="D48" s="136"/>
      <c r="G48" s="108"/>
      <c r="L48" s="108"/>
      <c r="O48" s="109"/>
      <c r="P48" s="109"/>
      <c r="Q48" s="109"/>
      <c r="R48" s="109"/>
      <c r="S48" s="109"/>
      <c r="T48" s="110"/>
      <c r="U48" s="111"/>
      <c r="V48" s="111"/>
      <c r="W48" s="111"/>
      <c r="X48" s="111"/>
      <c r="Y48" s="110"/>
      <c r="AB48" s="109"/>
      <c r="AC48" s="109"/>
      <c r="AD48" s="109"/>
      <c r="AE48" s="109"/>
      <c r="AF48" s="109"/>
      <c r="AG48" s="112"/>
      <c r="AH48" s="113"/>
    </row>
    <row r="49" spans="2:34" s="90" customFormat="1" x14ac:dyDescent="0.25">
      <c r="B49" s="866"/>
      <c r="C49" s="115"/>
      <c r="D49" s="136"/>
      <c r="G49" s="108"/>
      <c r="L49" s="108"/>
      <c r="O49" s="109"/>
      <c r="P49" s="109"/>
      <c r="Q49" s="109"/>
      <c r="R49" s="109"/>
      <c r="S49" s="109"/>
      <c r="T49" s="110"/>
      <c r="U49" s="111"/>
      <c r="V49" s="111"/>
      <c r="W49" s="111"/>
      <c r="X49" s="111"/>
      <c r="Y49" s="110"/>
      <c r="AB49" s="109"/>
      <c r="AC49" s="109"/>
      <c r="AD49" s="109"/>
      <c r="AE49" s="109"/>
      <c r="AF49" s="109"/>
      <c r="AG49" s="112"/>
      <c r="AH49" s="113"/>
    </row>
    <row r="50" spans="2:34" s="90" customFormat="1" x14ac:dyDescent="0.25">
      <c r="B50" s="866"/>
      <c r="C50" s="115"/>
      <c r="D50" s="136"/>
      <c r="G50" s="108"/>
      <c r="L50" s="108"/>
      <c r="O50" s="109"/>
      <c r="P50" s="109"/>
      <c r="Q50" s="109"/>
      <c r="R50" s="109"/>
      <c r="S50" s="109"/>
      <c r="T50" s="110"/>
      <c r="U50" s="111"/>
      <c r="V50" s="111"/>
      <c r="W50" s="111"/>
      <c r="X50" s="111"/>
      <c r="Y50" s="110"/>
      <c r="AB50" s="109"/>
      <c r="AC50" s="109"/>
      <c r="AD50" s="109"/>
      <c r="AE50" s="109"/>
      <c r="AF50" s="109"/>
      <c r="AG50" s="112"/>
      <c r="AH50" s="113"/>
    </row>
    <row r="51" spans="2:34" s="90" customFormat="1" x14ac:dyDescent="0.25">
      <c r="B51" s="866"/>
      <c r="C51" s="115"/>
      <c r="D51" s="136"/>
      <c r="G51" s="108"/>
      <c r="L51" s="108"/>
      <c r="O51" s="109"/>
      <c r="P51" s="109"/>
      <c r="Q51" s="109"/>
      <c r="R51" s="109"/>
      <c r="S51" s="109"/>
      <c r="T51" s="110"/>
      <c r="U51" s="111"/>
      <c r="V51" s="111"/>
      <c r="W51" s="111"/>
      <c r="X51" s="111"/>
      <c r="Y51" s="110"/>
      <c r="AB51" s="109"/>
      <c r="AC51" s="109"/>
      <c r="AD51" s="109"/>
      <c r="AE51" s="109"/>
      <c r="AF51" s="109"/>
      <c r="AG51" s="112"/>
      <c r="AH51" s="113"/>
    </row>
    <row r="52" spans="2:34" s="90" customFormat="1" x14ac:dyDescent="0.25">
      <c r="B52" s="866"/>
      <c r="C52" s="115"/>
      <c r="D52" s="136"/>
      <c r="G52" s="108"/>
      <c r="L52" s="108"/>
      <c r="O52" s="109"/>
      <c r="P52" s="109"/>
      <c r="Q52" s="109"/>
      <c r="R52" s="109"/>
      <c r="S52" s="109"/>
      <c r="T52" s="110"/>
      <c r="U52" s="111"/>
      <c r="V52" s="111"/>
      <c r="W52" s="111"/>
      <c r="X52" s="111"/>
      <c r="Y52" s="110"/>
      <c r="AB52" s="109"/>
      <c r="AC52" s="109"/>
      <c r="AD52" s="109"/>
      <c r="AE52" s="109"/>
      <c r="AF52" s="109"/>
      <c r="AG52" s="112"/>
      <c r="AH52" s="113"/>
    </row>
    <row r="53" spans="2:34" s="90" customFormat="1" x14ac:dyDescent="0.25">
      <c r="B53" s="115"/>
      <c r="C53" s="115"/>
      <c r="D53" s="136"/>
      <c r="G53" s="108"/>
      <c r="L53" s="108"/>
      <c r="O53" s="109"/>
      <c r="P53" s="109"/>
      <c r="Q53" s="109"/>
      <c r="R53" s="109"/>
      <c r="S53" s="109"/>
      <c r="T53" s="110"/>
      <c r="U53" s="111"/>
      <c r="V53" s="111"/>
      <c r="W53" s="111"/>
      <c r="X53" s="111"/>
      <c r="Y53" s="110"/>
      <c r="AB53" s="109"/>
      <c r="AC53" s="109"/>
      <c r="AD53" s="109"/>
      <c r="AE53" s="109"/>
      <c r="AF53" s="109"/>
      <c r="AG53" s="112"/>
      <c r="AH53" s="113"/>
    </row>
    <row r="54" spans="2:34" s="90" customFormat="1" x14ac:dyDescent="0.25">
      <c r="B54" s="116"/>
      <c r="C54" s="116"/>
      <c r="D54" s="136"/>
      <c r="G54" s="108"/>
      <c r="L54" s="108"/>
      <c r="O54" s="109"/>
      <c r="P54" s="109"/>
      <c r="Q54" s="109"/>
      <c r="R54" s="109"/>
      <c r="S54" s="109"/>
      <c r="T54" s="110"/>
      <c r="U54" s="111"/>
      <c r="V54" s="111"/>
      <c r="W54" s="111"/>
      <c r="X54" s="111"/>
      <c r="Y54" s="110"/>
      <c r="AB54" s="109"/>
      <c r="AC54" s="109"/>
      <c r="AD54" s="109"/>
      <c r="AE54" s="109"/>
      <c r="AF54" s="109"/>
      <c r="AG54" s="112"/>
      <c r="AH54" s="113"/>
    </row>
    <row r="55" spans="2:34" s="90" customFormat="1" x14ac:dyDescent="0.25">
      <c r="B55" s="117"/>
      <c r="C55" s="117"/>
      <c r="D55" s="136"/>
      <c r="G55" s="108"/>
      <c r="L55" s="108"/>
      <c r="O55" s="109"/>
      <c r="P55" s="109"/>
      <c r="Q55" s="109"/>
      <c r="R55" s="109"/>
      <c r="S55" s="109"/>
      <c r="T55" s="110"/>
      <c r="U55" s="111"/>
      <c r="V55" s="111"/>
      <c r="W55" s="111"/>
      <c r="X55" s="111"/>
      <c r="Y55" s="110"/>
      <c r="AB55" s="109"/>
      <c r="AC55" s="109"/>
      <c r="AD55" s="109"/>
      <c r="AE55" s="109"/>
      <c r="AF55" s="109"/>
      <c r="AG55" s="112"/>
      <c r="AH55" s="113"/>
    </row>
    <row r="56" spans="2:34" s="90" customFormat="1" x14ac:dyDescent="0.25">
      <c r="B56" s="117"/>
      <c r="C56" s="117"/>
      <c r="D56" s="136"/>
      <c r="G56" s="108"/>
      <c r="L56" s="108"/>
      <c r="O56" s="109"/>
      <c r="P56" s="109"/>
      <c r="Q56" s="109"/>
      <c r="R56" s="109"/>
      <c r="S56" s="109"/>
      <c r="T56" s="110"/>
      <c r="U56" s="111"/>
      <c r="V56" s="111"/>
      <c r="W56" s="111"/>
      <c r="X56" s="111"/>
      <c r="Y56" s="110"/>
      <c r="AB56" s="109"/>
      <c r="AC56" s="109"/>
      <c r="AD56" s="109"/>
      <c r="AE56" s="109"/>
      <c r="AF56" s="109"/>
      <c r="AG56" s="112"/>
      <c r="AH56" s="113"/>
    </row>
    <row r="57" spans="2:34" s="90" customFormat="1" x14ac:dyDescent="0.25">
      <c r="B57" s="117"/>
      <c r="C57" s="117"/>
      <c r="D57" s="136"/>
      <c r="G57" s="108"/>
      <c r="L57" s="108"/>
      <c r="O57" s="109"/>
      <c r="P57" s="109"/>
      <c r="Q57" s="109"/>
      <c r="R57" s="109"/>
      <c r="S57" s="109"/>
      <c r="T57" s="110"/>
      <c r="U57" s="111"/>
      <c r="V57" s="111"/>
      <c r="W57" s="111"/>
      <c r="X57" s="111"/>
      <c r="Y57" s="110"/>
      <c r="AB57" s="109"/>
      <c r="AC57" s="109"/>
      <c r="AD57" s="109"/>
      <c r="AE57" s="109"/>
      <c r="AF57" s="109"/>
      <c r="AG57" s="112"/>
      <c r="AH57" s="113"/>
    </row>
    <row r="58" spans="2:34" s="90" customFormat="1" x14ac:dyDescent="0.25">
      <c r="B58" s="117"/>
      <c r="C58" s="117"/>
      <c r="D58" s="136"/>
      <c r="G58" s="108"/>
      <c r="L58" s="108"/>
      <c r="O58" s="109"/>
      <c r="P58" s="109"/>
      <c r="Q58" s="109"/>
      <c r="R58" s="109"/>
      <c r="S58" s="109"/>
      <c r="T58" s="110"/>
      <c r="U58" s="111"/>
      <c r="V58" s="111"/>
      <c r="W58" s="111"/>
      <c r="X58" s="111"/>
      <c r="Y58" s="110"/>
      <c r="AB58" s="109"/>
      <c r="AC58" s="109"/>
      <c r="AD58" s="109"/>
      <c r="AE58" s="109"/>
      <c r="AF58" s="109"/>
      <c r="AG58" s="112"/>
      <c r="AH58" s="113"/>
    </row>
    <row r="59" spans="2:34" s="90" customFormat="1" x14ac:dyDescent="0.25">
      <c r="D59" s="136"/>
      <c r="G59" s="108"/>
      <c r="L59" s="108"/>
      <c r="O59" s="109"/>
      <c r="P59" s="109"/>
      <c r="Q59" s="109"/>
      <c r="R59" s="109"/>
      <c r="S59" s="109"/>
      <c r="T59" s="110"/>
      <c r="U59" s="111"/>
      <c r="V59" s="111"/>
      <c r="W59" s="111"/>
      <c r="X59" s="111"/>
      <c r="Y59" s="110"/>
      <c r="AB59" s="109"/>
      <c r="AC59" s="109"/>
      <c r="AD59" s="109"/>
      <c r="AE59" s="109"/>
      <c r="AF59" s="109"/>
      <c r="AG59" s="112"/>
      <c r="AH59" s="113"/>
    </row>
    <row r="60" spans="2:34" s="90" customFormat="1" x14ac:dyDescent="0.25">
      <c r="D60" s="136"/>
      <c r="G60" s="108"/>
      <c r="L60" s="108"/>
      <c r="O60" s="109"/>
      <c r="P60" s="109"/>
      <c r="Q60" s="109"/>
      <c r="R60" s="109"/>
      <c r="S60" s="109"/>
      <c r="T60" s="110"/>
      <c r="U60" s="111"/>
      <c r="V60" s="111"/>
      <c r="W60" s="111"/>
      <c r="X60" s="111"/>
      <c r="Y60" s="110"/>
      <c r="AB60" s="109"/>
      <c r="AC60" s="109"/>
      <c r="AD60" s="109"/>
      <c r="AE60" s="109"/>
      <c r="AF60" s="109"/>
      <c r="AG60" s="112"/>
      <c r="AH60" s="113"/>
    </row>
    <row r="61" spans="2:34" s="90" customFormat="1" x14ac:dyDescent="0.25">
      <c r="D61" s="136"/>
      <c r="G61" s="108"/>
      <c r="L61" s="108"/>
      <c r="O61" s="109"/>
      <c r="P61" s="109"/>
      <c r="Q61" s="109"/>
      <c r="R61" s="109"/>
      <c r="S61" s="109"/>
      <c r="T61" s="110"/>
      <c r="U61" s="111"/>
      <c r="V61" s="111"/>
      <c r="W61" s="111"/>
      <c r="X61" s="111"/>
      <c r="Y61" s="110"/>
      <c r="AB61" s="109"/>
      <c r="AC61" s="109"/>
      <c r="AD61" s="109"/>
      <c r="AE61" s="109"/>
      <c r="AF61" s="109"/>
      <c r="AG61" s="112"/>
      <c r="AH61" s="113"/>
    </row>
    <row r="62" spans="2:34" s="90" customFormat="1" x14ac:dyDescent="0.25">
      <c r="D62" s="136"/>
      <c r="G62" s="108"/>
      <c r="L62" s="108"/>
      <c r="O62" s="109"/>
      <c r="P62" s="109"/>
      <c r="Q62" s="109"/>
      <c r="R62" s="109"/>
      <c r="S62" s="109"/>
      <c r="T62" s="110"/>
      <c r="U62" s="111"/>
      <c r="V62" s="111"/>
      <c r="W62" s="111"/>
      <c r="X62" s="111"/>
      <c r="Y62" s="110"/>
      <c r="AB62" s="109"/>
      <c r="AC62" s="109"/>
      <c r="AD62" s="109"/>
      <c r="AE62" s="109"/>
      <c r="AF62" s="109"/>
      <c r="AG62" s="112"/>
      <c r="AH62" s="113"/>
    </row>
    <row r="63" spans="2:34" s="90" customFormat="1" x14ac:dyDescent="0.25">
      <c r="D63" s="136"/>
      <c r="G63" s="108"/>
      <c r="L63" s="108"/>
      <c r="O63" s="109"/>
      <c r="P63" s="109"/>
      <c r="Q63" s="109"/>
      <c r="R63" s="109"/>
      <c r="S63" s="109"/>
      <c r="T63" s="110"/>
      <c r="U63" s="111"/>
      <c r="V63" s="111"/>
      <c r="W63" s="111"/>
      <c r="X63" s="111"/>
      <c r="Y63" s="110"/>
      <c r="AB63" s="109"/>
      <c r="AC63" s="109"/>
      <c r="AD63" s="109"/>
      <c r="AE63" s="109"/>
      <c r="AF63" s="109"/>
      <c r="AG63" s="112"/>
      <c r="AH63" s="113"/>
    </row>
    <row r="64" spans="2:34" s="90" customFormat="1" x14ac:dyDescent="0.25">
      <c r="D64" s="136"/>
      <c r="G64" s="108"/>
      <c r="L64" s="108"/>
      <c r="O64" s="109"/>
      <c r="P64" s="109"/>
      <c r="Q64" s="109"/>
      <c r="R64" s="109"/>
      <c r="S64" s="109"/>
      <c r="T64" s="110"/>
      <c r="U64" s="111"/>
      <c r="V64" s="111"/>
      <c r="W64" s="111"/>
      <c r="X64" s="111"/>
      <c r="Y64" s="110"/>
      <c r="AB64" s="109"/>
      <c r="AC64" s="109"/>
      <c r="AD64" s="109"/>
      <c r="AE64" s="109"/>
      <c r="AF64" s="109"/>
      <c r="AG64" s="112"/>
      <c r="AH64" s="113"/>
    </row>
    <row r="65" spans="4:34" s="90" customFormat="1" x14ac:dyDescent="0.25">
      <c r="D65" s="136"/>
      <c r="G65" s="108"/>
      <c r="L65" s="108"/>
      <c r="O65" s="109"/>
      <c r="P65" s="109"/>
      <c r="Q65" s="109"/>
      <c r="R65" s="109"/>
      <c r="S65" s="109"/>
      <c r="T65" s="110"/>
      <c r="U65" s="111"/>
      <c r="V65" s="111"/>
      <c r="W65" s="111"/>
      <c r="X65" s="111"/>
      <c r="Y65" s="110"/>
      <c r="AB65" s="109"/>
      <c r="AC65" s="109"/>
      <c r="AD65" s="109"/>
      <c r="AE65" s="109"/>
      <c r="AF65" s="109"/>
      <c r="AG65" s="112"/>
      <c r="AH65" s="113"/>
    </row>
    <row r="66" spans="4:34" s="90" customFormat="1" x14ac:dyDescent="0.25">
      <c r="D66" s="136"/>
      <c r="G66" s="108"/>
      <c r="L66" s="108"/>
      <c r="O66" s="109"/>
      <c r="P66" s="109"/>
      <c r="Q66" s="109"/>
      <c r="R66" s="109"/>
      <c r="S66" s="109"/>
      <c r="T66" s="110"/>
      <c r="U66" s="111"/>
      <c r="V66" s="111"/>
      <c r="W66" s="111"/>
      <c r="X66" s="111"/>
      <c r="Y66" s="110"/>
      <c r="AB66" s="109"/>
      <c r="AC66" s="109"/>
      <c r="AD66" s="109"/>
      <c r="AE66" s="109"/>
      <c r="AF66" s="109"/>
      <c r="AG66" s="112"/>
      <c r="AH66" s="113"/>
    </row>
    <row r="67" spans="4:34" s="90" customFormat="1" x14ac:dyDescent="0.25">
      <c r="D67" s="136"/>
      <c r="G67" s="108"/>
      <c r="L67" s="108"/>
      <c r="O67" s="109"/>
      <c r="P67" s="109"/>
      <c r="Q67" s="109"/>
      <c r="R67" s="109"/>
      <c r="S67" s="109"/>
      <c r="T67" s="110"/>
      <c r="U67" s="111"/>
      <c r="V67" s="111"/>
      <c r="W67" s="111"/>
      <c r="X67" s="111"/>
      <c r="Y67" s="110"/>
      <c r="AB67" s="109"/>
      <c r="AC67" s="109"/>
      <c r="AD67" s="109"/>
      <c r="AE67" s="109"/>
      <c r="AF67" s="109"/>
      <c r="AG67" s="112"/>
      <c r="AH67" s="113"/>
    </row>
    <row r="68" spans="4:34" s="90" customFormat="1" x14ac:dyDescent="0.25">
      <c r="D68" s="136"/>
      <c r="G68" s="108"/>
      <c r="L68" s="108"/>
      <c r="O68" s="109"/>
      <c r="P68" s="109"/>
      <c r="Q68" s="109"/>
      <c r="R68" s="109"/>
      <c r="S68" s="109"/>
      <c r="T68" s="110"/>
      <c r="U68" s="111"/>
      <c r="V68" s="111"/>
      <c r="W68" s="111"/>
      <c r="X68" s="111"/>
      <c r="Y68" s="110"/>
      <c r="AB68" s="109"/>
      <c r="AC68" s="109"/>
      <c r="AD68" s="109"/>
      <c r="AE68" s="109"/>
      <c r="AF68" s="109"/>
      <c r="AG68" s="112"/>
      <c r="AH68" s="113"/>
    </row>
    <row r="69" spans="4:34" s="90" customFormat="1" x14ac:dyDescent="0.25">
      <c r="D69" s="136"/>
      <c r="G69" s="108"/>
      <c r="L69" s="108"/>
      <c r="O69" s="109"/>
      <c r="P69" s="109"/>
      <c r="Q69" s="109"/>
      <c r="R69" s="109"/>
      <c r="S69" s="109"/>
      <c r="T69" s="110"/>
      <c r="U69" s="111"/>
      <c r="V69" s="111"/>
      <c r="W69" s="111"/>
      <c r="X69" s="111"/>
      <c r="Y69" s="110"/>
      <c r="AB69" s="109"/>
      <c r="AC69" s="109"/>
      <c r="AD69" s="109"/>
      <c r="AE69" s="109"/>
      <c r="AF69" s="109"/>
      <c r="AG69" s="112"/>
      <c r="AH69" s="113"/>
    </row>
    <row r="70" spans="4:34" s="90" customFormat="1" x14ac:dyDescent="0.25">
      <c r="D70" s="136"/>
      <c r="G70" s="108"/>
      <c r="L70" s="108"/>
      <c r="O70" s="109"/>
      <c r="P70" s="109"/>
      <c r="Q70" s="109"/>
      <c r="R70" s="109"/>
      <c r="S70" s="109"/>
      <c r="T70" s="110"/>
      <c r="U70" s="111"/>
      <c r="V70" s="111"/>
      <c r="W70" s="111"/>
      <c r="X70" s="111"/>
      <c r="Y70" s="110"/>
      <c r="AB70" s="109"/>
      <c r="AC70" s="109"/>
      <c r="AD70" s="109"/>
      <c r="AE70" s="109"/>
      <c r="AF70" s="109"/>
      <c r="AG70" s="112"/>
      <c r="AH70" s="113"/>
    </row>
    <row r="71" spans="4:34" s="90" customFormat="1" x14ac:dyDescent="0.25">
      <c r="D71" s="136"/>
      <c r="G71" s="108"/>
      <c r="L71" s="108"/>
      <c r="O71" s="109"/>
      <c r="P71" s="109"/>
      <c r="Q71" s="109"/>
      <c r="R71" s="109"/>
      <c r="S71" s="109"/>
      <c r="T71" s="110"/>
      <c r="U71" s="111"/>
      <c r="V71" s="111"/>
      <c r="W71" s="111"/>
      <c r="X71" s="111"/>
      <c r="Y71" s="110"/>
      <c r="AB71" s="109"/>
      <c r="AC71" s="109"/>
      <c r="AD71" s="109"/>
      <c r="AE71" s="109"/>
      <c r="AF71" s="109"/>
      <c r="AG71" s="112"/>
      <c r="AH71" s="113"/>
    </row>
    <row r="72" spans="4:34" s="90" customFormat="1" x14ac:dyDescent="0.25">
      <c r="D72" s="136"/>
      <c r="G72" s="108"/>
      <c r="L72" s="108"/>
      <c r="O72" s="109"/>
      <c r="P72" s="109"/>
      <c r="Q72" s="109"/>
      <c r="R72" s="109"/>
      <c r="S72" s="109"/>
      <c r="T72" s="110"/>
      <c r="U72" s="111"/>
      <c r="V72" s="111"/>
      <c r="W72" s="111"/>
      <c r="X72" s="111"/>
      <c r="Y72" s="110"/>
      <c r="AB72" s="109"/>
      <c r="AC72" s="109"/>
      <c r="AD72" s="109"/>
      <c r="AE72" s="109"/>
      <c r="AF72" s="109"/>
      <c r="AG72" s="112"/>
      <c r="AH72" s="113"/>
    </row>
    <row r="73" spans="4:34" s="90" customFormat="1" x14ac:dyDescent="0.25">
      <c r="D73" s="136"/>
      <c r="G73" s="108"/>
      <c r="L73" s="108"/>
      <c r="O73" s="109"/>
      <c r="P73" s="109"/>
      <c r="Q73" s="109"/>
      <c r="R73" s="109"/>
      <c r="S73" s="109"/>
      <c r="T73" s="110"/>
      <c r="U73" s="111"/>
      <c r="V73" s="111"/>
      <c r="W73" s="111"/>
      <c r="X73" s="111"/>
      <c r="Y73" s="110"/>
      <c r="AB73" s="109"/>
      <c r="AC73" s="109"/>
      <c r="AD73" s="109"/>
      <c r="AE73" s="109"/>
      <c r="AF73" s="109"/>
      <c r="AG73" s="112"/>
      <c r="AH73" s="113"/>
    </row>
    <row r="74" spans="4:34" s="90" customFormat="1" x14ac:dyDescent="0.25">
      <c r="D74" s="136"/>
      <c r="G74" s="108"/>
      <c r="L74" s="108"/>
      <c r="O74" s="109"/>
      <c r="P74" s="109"/>
      <c r="Q74" s="109"/>
      <c r="R74" s="109"/>
      <c r="S74" s="109"/>
      <c r="T74" s="110"/>
      <c r="U74" s="111"/>
      <c r="V74" s="111"/>
      <c r="W74" s="111"/>
      <c r="X74" s="111"/>
      <c r="Y74" s="110"/>
      <c r="AB74" s="109"/>
      <c r="AC74" s="109"/>
      <c r="AD74" s="109"/>
      <c r="AE74" s="109"/>
      <c r="AF74" s="109"/>
      <c r="AG74" s="112"/>
      <c r="AH74" s="113"/>
    </row>
    <row r="75" spans="4:34" s="90" customFormat="1" x14ac:dyDescent="0.25">
      <c r="D75" s="136"/>
      <c r="G75" s="108"/>
      <c r="L75" s="108"/>
      <c r="O75" s="109"/>
      <c r="P75" s="109"/>
      <c r="Q75" s="109"/>
      <c r="R75" s="109"/>
      <c r="S75" s="109"/>
      <c r="T75" s="110"/>
      <c r="U75" s="111"/>
      <c r="V75" s="111"/>
      <c r="W75" s="111"/>
      <c r="X75" s="111"/>
      <c r="Y75" s="110"/>
      <c r="AB75" s="109"/>
      <c r="AC75" s="109"/>
      <c r="AD75" s="109"/>
      <c r="AE75" s="109"/>
      <c r="AF75" s="109"/>
      <c r="AG75" s="112"/>
      <c r="AH75" s="113"/>
    </row>
    <row r="76" spans="4:34" s="90" customFormat="1" x14ac:dyDescent="0.25">
      <c r="D76" s="136"/>
      <c r="G76" s="108"/>
      <c r="L76" s="108"/>
      <c r="O76" s="109"/>
      <c r="P76" s="109"/>
      <c r="Q76" s="109"/>
      <c r="R76" s="109"/>
      <c r="S76" s="109"/>
      <c r="T76" s="110"/>
      <c r="U76" s="111"/>
      <c r="V76" s="111"/>
      <c r="W76" s="111"/>
      <c r="X76" s="111"/>
      <c r="Y76" s="110"/>
      <c r="AB76" s="109"/>
      <c r="AC76" s="109"/>
      <c r="AD76" s="109"/>
      <c r="AE76" s="109"/>
      <c r="AF76" s="109"/>
      <c r="AG76" s="112"/>
      <c r="AH76" s="113"/>
    </row>
    <row r="77" spans="4:34" s="90" customFormat="1" x14ac:dyDescent="0.25">
      <c r="D77" s="136"/>
      <c r="G77" s="108"/>
      <c r="L77" s="108"/>
      <c r="O77" s="109"/>
      <c r="P77" s="109"/>
      <c r="Q77" s="109"/>
      <c r="R77" s="109"/>
      <c r="S77" s="109"/>
      <c r="T77" s="110"/>
      <c r="U77" s="111"/>
      <c r="V77" s="111"/>
      <c r="W77" s="111"/>
      <c r="X77" s="111"/>
      <c r="Y77" s="110"/>
      <c r="AB77" s="109"/>
      <c r="AC77" s="109"/>
      <c r="AD77" s="109"/>
      <c r="AE77" s="109"/>
      <c r="AF77" s="109"/>
      <c r="AG77" s="112"/>
      <c r="AH77" s="113"/>
    </row>
    <row r="78" spans="4:34" s="90" customFormat="1" x14ac:dyDescent="0.25">
      <c r="D78" s="136"/>
      <c r="G78" s="108"/>
      <c r="L78" s="108"/>
      <c r="O78" s="109"/>
      <c r="P78" s="109"/>
      <c r="Q78" s="109"/>
      <c r="R78" s="109"/>
      <c r="S78" s="109"/>
      <c r="T78" s="110"/>
      <c r="U78" s="111"/>
      <c r="V78" s="111"/>
      <c r="W78" s="111"/>
      <c r="X78" s="111"/>
      <c r="Y78" s="110"/>
      <c r="AB78" s="109"/>
      <c r="AC78" s="109"/>
      <c r="AD78" s="109"/>
      <c r="AE78" s="109"/>
      <c r="AF78" s="109"/>
      <c r="AG78" s="112"/>
      <c r="AH78" s="113"/>
    </row>
    <row r="79" spans="4:34" s="90" customFormat="1" x14ac:dyDescent="0.25">
      <c r="D79" s="136"/>
      <c r="G79" s="108"/>
      <c r="L79" s="108"/>
      <c r="O79" s="109"/>
      <c r="P79" s="109"/>
      <c r="Q79" s="109"/>
      <c r="R79" s="109"/>
      <c r="S79" s="109"/>
      <c r="T79" s="110"/>
      <c r="U79" s="111"/>
      <c r="V79" s="111"/>
      <c r="W79" s="111"/>
      <c r="X79" s="111"/>
      <c r="Y79" s="110"/>
      <c r="AB79" s="109"/>
      <c r="AC79" s="109"/>
      <c r="AD79" s="109"/>
      <c r="AE79" s="109"/>
      <c r="AF79" s="109"/>
      <c r="AG79" s="112"/>
      <c r="AH79" s="113"/>
    </row>
    <row r="80" spans="4:34" s="90" customFormat="1" x14ac:dyDescent="0.25">
      <c r="D80" s="136"/>
      <c r="G80" s="108"/>
      <c r="L80" s="108"/>
      <c r="O80" s="109"/>
      <c r="P80" s="109"/>
      <c r="Q80" s="109"/>
      <c r="R80" s="109"/>
      <c r="S80" s="109"/>
      <c r="T80" s="110"/>
      <c r="U80" s="111"/>
      <c r="V80" s="111"/>
      <c r="W80" s="111"/>
      <c r="X80" s="111"/>
      <c r="Y80" s="110"/>
      <c r="AB80" s="109"/>
      <c r="AC80" s="109"/>
      <c r="AD80" s="109"/>
      <c r="AE80" s="109"/>
      <c r="AF80" s="109"/>
      <c r="AG80" s="112"/>
      <c r="AH80" s="113"/>
    </row>
    <row r="81" spans="4:34" s="90" customFormat="1" x14ac:dyDescent="0.25">
      <c r="D81" s="136"/>
      <c r="G81" s="108"/>
      <c r="L81" s="108"/>
      <c r="O81" s="109"/>
      <c r="P81" s="109"/>
      <c r="Q81" s="109"/>
      <c r="R81" s="109"/>
      <c r="S81" s="109"/>
      <c r="T81" s="110"/>
      <c r="U81" s="111"/>
      <c r="V81" s="111"/>
      <c r="W81" s="111"/>
      <c r="X81" s="111"/>
      <c r="Y81" s="110"/>
      <c r="AB81" s="109"/>
      <c r="AC81" s="109"/>
      <c r="AD81" s="109"/>
      <c r="AE81" s="109"/>
      <c r="AF81" s="109"/>
      <c r="AG81" s="112"/>
      <c r="AH81" s="113"/>
    </row>
    <row r="82" spans="4:34" s="90" customFormat="1" x14ac:dyDescent="0.25">
      <c r="D82" s="136"/>
      <c r="G82" s="108"/>
      <c r="L82" s="108"/>
      <c r="O82" s="109"/>
      <c r="P82" s="109"/>
      <c r="Q82" s="109"/>
      <c r="R82" s="109"/>
      <c r="S82" s="109"/>
      <c r="T82" s="110"/>
      <c r="U82" s="111"/>
      <c r="V82" s="111"/>
      <c r="W82" s="111"/>
      <c r="X82" s="111"/>
      <c r="Y82" s="110"/>
      <c r="AB82" s="109"/>
      <c r="AC82" s="109"/>
      <c r="AD82" s="109"/>
      <c r="AE82" s="109"/>
      <c r="AF82" s="109"/>
      <c r="AG82" s="112"/>
      <c r="AH82" s="113"/>
    </row>
    <row r="83" spans="4:34" s="90" customFormat="1" x14ac:dyDescent="0.25">
      <c r="D83" s="136"/>
      <c r="G83" s="108"/>
      <c r="L83" s="108"/>
      <c r="O83" s="109"/>
      <c r="P83" s="109"/>
      <c r="Q83" s="109"/>
      <c r="R83" s="109"/>
      <c r="S83" s="109"/>
      <c r="T83" s="110"/>
      <c r="U83" s="111"/>
      <c r="V83" s="111"/>
      <c r="W83" s="111"/>
      <c r="X83" s="111"/>
      <c r="Y83" s="110"/>
      <c r="AB83" s="109"/>
      <c r="AC83" s="109"/>
      <c r="AD83" s="109"/>
      <c r="AE83" s="109"/>
      <c r="AF83" s="109"/>
      <c r="AG83" s="112"/>
      <c r="AH83" s="113"/>
    </row>
    <row r="84" spans="4:34" s="90" customFormat="1" x14ac:dyDescent="0.25">
      <c r="D84" s="136"/>
      <c r="G84" s="108"/>
      <c r="L84" s="108"/>
      <c r="O84" s="109"/>
      <c r="P84" s="109"/>
      <c r="Q84" s="109"/>
      <c r="R84" s="109"/>
      <c r="S84" s="109"/>
      <c r="T84" s="110"/>
      <c r="U84" s="111"/>
      <c r="V84" s="111"/>
      <c r="W84" s="111"/>
      <c r="X84" s="111"/>
      <c r="Y84" s="110"/>
      <c r="AB84" s="109"/>
      <c r="AC84" s="109"/>
      <c r="AD84" s="109"/>
      <c r="AE84" s="109"/>
      <c r="AF84" s="109"/>
      <c r="AG84" s="112"/>
      <c r="AH84" s="113"/>
    </row>
    <row r="85" spans="4:34" s="90" customFormat="1" x14ac:dyDescent="0.25">
      <c r="D85" s="136"/>
      <c r="G85" s="108"/>
      <c r="L85" s="108"/>
      <c r="O85" s="109"/>
      <c r="P85" s="109"/>
      <c r="Q85" s="109"/>
      <c r="R85" s="109"/>
      <c r="S85" s="109"/>
      <c r="T85" s="110"/>
      <c r="U85" s="111"/>
      <c r="V85" s="111"/>
      <c r="W85" s="111"/>
      <c r="X85" s="111"/>
      <c r="Y85" s="110"/>
      <c r="AB85" s="109"/>
      <c r="AC85" s="109"/>
      <c r="AD85" s="109"/>
      <c r="AE85" s="109"/>
      <c r="AF85" s="109"/>
      <c r="AG85" s="112"/>
      <c r="AH85" s="113"/>
    </row>
    <row r="86" spans="4:34" s="90" customFormat="1" x14ac:dyDescent="0.25">
      <c r="D86" s="136"/>
      <c r="G86" s="108"/>
      <c r="L86" s="108"/>
      <c r="O86" s="109"/>
      <c r="P86" s="109"/>
      <c r="Q86" s="109"/>
      <c r="R86" s="109"/>
      <c r="S86" s="109"/>
      <c r="T86" s="110"/>
      <c r="U86" s="111"/>
      <c r="V86" s="111"/>
      <c r="W86" s="111"/>
      <c r="X86" s="111"/>
      <c r="Y86" s="110"/>
      <c r="AB86" s="109"/>
      <c r="AC86" s="109"/>
      <c r="AD86" s="109"/>
      <c r="AE86" s="109"/>
      <c r="AF86" s="109"/>
      <c r="AG86" s="112"/>
      <c r="AH86" s="113"/>
    </row>
    <row r="87" spans="4:34" s="90" customFormat="1" x14ac:dyDescent="0.25">
      <c r="D87" s="136"/>
      <c r="G87" s="108"/>
      <c r="L87" s="108"/>
      <c r="O87" s="109"/>
      <c r="P87" s="109"/>
      <c r="Q87" s="109"/>
      <c r="R87" s="109"/>
      <c r="S87" s="109"/>
      <c r="T87" s="110"/>
      <c r="U87" s="111"/>
      <c r="V87" s="111"/>
      <c r="W87" s="111"/>
      <c r="X87" s="111"/>
      <c r="Y87" s="110"/>
      <c r="AB87" s="109"/>
      <c r="AC87" s="109"/>
      <c r="AD87" s="109"/>
      <c r="AE87" s="109"/>
      <c r="AF87" s="109"/>
      <c r="AG87" s="112"/>
      <c r="AH87" s="113"/>
    </row>
    <row r="88" spans="4:34" s="90" customFormat="1" x14ac:dyDescent="0.25">
      <c r="D88" s="136"/>
      <c r="G88" s="108"/>
      <c r="L88" s="108"/>
      <c r="O88" s="109"/>
      <c r="P88" s="109"/>
      <c r="Q88" s="109"/>
      <c r="R88" s="109"/>
      <c r="S88" s="109"/>
      <c r="T88" s="110"/>
      <c r="U88" s="111"/>
      <c r="V88" s="111"/>
      <c r="W88" s="111"/>
      <c r="X88" s="111"/>
      <c r="Y88" s="110"/>
      <c r="AB88" s="109"/>
      <c r="AC88" s="109"/>
      <c r="AD88" s="109"/>
      <c r="AE88" s="109"/>
      <c r="AF88" s="109"/>
      <c r="AG88" s="112"/>
      <c r="AH88" s="113"/>
    </row>
    <row r="89" spans="4:34" s="90" customFormat="1" x14ac:dyDescent="0.25">
      <c r="D89" s="136"/>
      <c r="G89" s="108"/>
      <c r="L89" s="108"/>
      <c r="O89" s="109"/>
      <c r="P89" s="109"/>
      <c r="Q89" s="109"/>
      <c r="R89" s="109"/>
      <c r="S89" s="109"/>
      <c r="T89" s="110"/>
      <c r="U89" s="111"/>
      <c r="V89" s="111"/>
      <c r="W89" s="111"/>
      <c r="X89" s="111"/>
      <c r="Y89" s="110"/>
      <c r="AB89" s="109"/>
      <c r="AC89" s="109"/>
      <c r="AD89" s="109"/>
      <c r="AE89" s="109"/>
      <c r="AF89" s="109"/>
      <c r="AG89" s="112"/>
      <c r="AH89" s="113"/>
    </row>
    <row r="90" spans="4:34" s="90" customFormat="1" x14ac:dyDescent="0.25">
      <c r="D90" s="136"/>
      <c r="G90" s="108"/>
      <c r="L90" s="108"/>
      <c r="O90" s="109"/>
      <c r="P90" s="109"/>
      <c r="Q90" s="109"/>
      <c r="R90" s="109"/>
      <c r="S90" s="109"/>
      <c r="T90" s="110"/>
      <c r="U90" s="111"/>
      <c r="V90" s="111"/>
      <c r="W90" s="111"/>
      <c r="X90" s="111"/>
      <c r="Y90" s="110"/>
      <c r="AB90" s="109"/>
      <c r="AC90" s="109"/>
      <c r="AD90" s="109"/>
      <c r="AE90" s="109"/>
      <c r="AF90" s="109"/>
      <c r="AG90" s="112"/>
      <c r="AH90" s="113"/>
    </row>
    <row r="91" spans="4:34" s="90" customFormat="1" x14ac:dyDescent="0.25">
      <c r="D91" s="136"/>
      <c r="G91" s="108"/>
      <c r="L91" s="108"/>
      <c r="O91" s="109"/>
      <c r="P91" s="109"/>
      <c r="Q91" s="109"/>
      <c r="R91" s="109"/>
      <c r="S91" s="109"/>
      <c r="T91" s="110"/>
      <c r="U91" s="111"/>
      <c r="V91" s="111"/>
      <c r="W91" s="111"/>
      <c r="X91" s="111"/>
      <c r="Y91" s="110"/>
      <c r="AB91" s="109"/>
      <c r="AC91" s="109"/>
      <c r="AD91" s="109"/>
      <c r="AE91" s="109"/>
      <c r="AF91" s="109"/>
      <c r="AG91" s="112"/>
      <c r="AH91" s="113"/>
    </row>
    <row r="92" spans="4:34" s="90" customFormat="1" x14ac:dyDescent="0.25">
      <c r="D92" s="136"/>
      <c r="G92" s="108"/>
      <c r="L92" s="108"/>
      <c r="O92" s="109"/>
      <c r="P92" s="109"/>
      <c r="Q92" s="109"/>
      <c r="R92" s="109"/>
      <c r="S92" s="109"/>
      <c r="T92" s="110"/>
      <c r="U92" s="111"/>
      <c r="V92" s="111"/>
      <c r="W92" s="111"/>
      <c r="X92" s="111"/>
      <c r="Y92" s="110"/>
      <c r="AB92" s="109"/>
      <c r="AC92" s="109"/>
      <c r="AD92" s="109"/>
      <c r="AE92" s="109"/>
      <c r="AF92" s="109"/>
      <c r="AG92" s="112"/>
      <c r="AH92" s="113"/>
    </row>
    <row r="93" spans="4:34" s="90" customFormat="1" x14ac:dyDescent="0.25">
      <c r="D93" s="136"/>
      <c r="G93" s="108"/>
      <c r="L93" s="108"/>
      <c r="O93" s="109"/>
      <c r="P93" s="109"/>
      <c r="Q93" s="109"/>
      <c r="R93" s="109"/>
      <c r="S93" s="109"/>
      <c r="T93" s="110"/>
      <c r="U93" s="111"/>
      <c r="V93" s="111"/>
      <c r="W93" s="111"/>
      <c r="X93" s="111"/>
      <c r="Y93" s="110"/>
      <c r="AB93" s="109"/>
      <c r="AC93" s="109"/>
      <c r="AD93" s="109"/>
      <c r="AE93" s="109"/>
      <c r="AF93" s="109"/>
      <c r="AG93" s="112"/>
      <c r="AH93" s="113"/>
    </row>
    <row r="94" spans="4:34" s="90" customFormat="1" x14ac:dyDescent="0.25">
      <c r="D94" s="136"/>
      <c r="G94" s="108"/>
      <c r="L94" s="108"/>
      <c r="O94" s="109"/>
      <c r="P94" s="109"/>
      <c r="Q94" s="109"/>
      <c r="R94" s="109"/>
      <c r="S94" s="109"/>
      <c r="T94" s="110"/>
      <c r="U94" s="111"/>
      <c r="V94" s="111"/>
      <c r="W94" s="111"/>
      <c r="X94" s="111"/>
      <c r="Y94" s="110"/>
      <c r="AB94" s="109"/>
      <c r="AC94" s="109"/>
      <c r="AD94" s="109"/>
      <c r="AE94" s="109"/>
      <c r="AF94" s="109"/>
      <c r="AG94" s="112"/>
      <c r="AH94" s="113"/>
    </row>
    <row r="95" spans="4:34" s="90" customFormat="1" x14ac:dyDescent="0.25">
      <c r="D95" s="136"/>
      <c r="G95" s="108"/>
      <c r="L95" s="108"/>
      <c r="O95" s="109"/>
      <c r="P95" s="109"/>
      <c r="Q95" s="109"/>
      <c r="R95" s="109"/>
      <c r="S95" s="109"/>
      <c r="T95" s="110"/>
      <c r="U95" s="111"/>
      <c r="V95" s="111"/>
      <c r="W95" s="111"/>
      <c r="X95" s="111"/>
      <c r="Y95" s="110"/>
      <c r="AB95" s="109"/>
      <c r="AC95" s="109"/>
      <c r="AD95" s="109"/>
      <c r="AE95" s="109"/>
      <c r="AF95" s="109"/>
      <c r="AG95" s="112"/>
      <c r="AH95" s="113"/>
    </row>
    <row r="96" spans="4:34" s="90" customFormat="1" x14ac:dyDescent="0.25">
      <c r="D96" s="136"/>
      <c r="G96" s="108"/>
      <c r="L96" s="108"/>
      <c r="O96" s="109"/>
      <c r="P96" s="109"/>
      <c r="Q96" s="109"/>
      <c r="R96" s="109"/>
      <c r="S96" s="109"/>
      <c r="T96" s="110"/>
      <c r="U96" s="111"/>
      <c r="V96" s="111"/>
      <c r="W96" s="111"/>
      <c r="X96" s="111"/>
      <c r="Y96" s="110"/>
      <c r="AB96" s="109"/>
      <c r="AC96" s="109"/>
      <c r="AD96" s="109"/>
      <c r="AE96" s="109"/>
      <c r="AF96" s="109"/>
      <c r="AG96" s="112"/>
      <c r="AH96" s="113"/>
    </row>
    <row r="97" spans="4:34" s="90" customFormat="1" x14ac:dyDescent="0.25">
      <c r="D97" s="136"/>
      <c r="G97" s="108"/>
      <c r="L97" s="108"/>
      <c r="O97" s="109"/>
      <c r="P97" s="109"/>
      <c r="Q97" s="109"/>
      <c r="R97" s="109"/>
      <c r="S97" s="109"/>
      <c r="T97" s="110"/>
      <c r="U97" s="111"/>
      <c r="V97" s="111"/>
      <c r="W97" s="111"/>
      <c r="X97" s="111"/>
      <c r="Y97" s="110"/>
      <c r="AB97" s="109"/>
      <c r="AC97" s="109"/>
      <c r="AD97" s="109"/>
      <c r="AE97" s="109"/>
      <c r="AF97" s="109"/>
      <c r="AG97" s="112"/>
      <c r="AH97" s="113"/>
    </row>
    <row r="98" spans="4:34" s="90" customFormat="1" x14ac:dyDescent="0.25">
      <c r="D98" s="136"/>
      <c r="G98" s="108"/>
      <c r="L98" s="108"/>
      <c r="O98" s="109"/>
      <c r="P98" s="109"/>
      <c r="Q98" s="109"/>
      <c r="R98" s="109"/>
      <c r="S98" s="109"/>
      <c r="T98" s="110"/>
      <c r="U98" s="111"/>
      <c r="V98" s="111"/>
      <c r="W98" s="111"/>
      <c r="X98" s="111"/>
      <c r="Y98" s="110"/>
      <c r="AB98" s="109"/>
      <c r="AC98" s="109"/>
      <c r="AD98" s="109"/>
      <c r="AE98" s="109"/>
      <c r="AF98" s="109"/>
      <c r="AG98" s="112"/>
      <c r="AH98" s="113"/>
    </row>
    <row r="99" spans="4:34" s="90" customFormat="1" x14ac:dyDescent="0.25">
      <c r="D99" s="136"/>
      <c r="G99" s="108"/>
      <c r="L99" s="108"/>
      <c r="O99" s="109"/>
      <c r="P99" s="109"/>
      <c r="Q99" s="109"/>
      <c r="R99" s="109"/>
      <c r="S99" s="109"/>
      <c r="T99" s="110"/>
      <c r="U99" s="111"/>
      <c r="V99" s="111"/>
      <c r="W99" s="111"/>
      <c r="X99" s="111"/>
      <c r="Y99" s="110"/>
      <c r="AB99" s="109"/>
      <c r="AC99" s="109"/>
      <c r="AD99" s="109"/>
      <c r="AE99" s="109"/>
      <c r="AF99" s="109"/>
      <c r="AG99" s="112"/>
      <c r="AH99" s="113"/>
    </row>
    <row r="100" spans="4:34" s="90" customFormat="1" x14ac:dyDescent="0.25">
      <c r="D100" s="136"/>
      <c r="G100" s="108"/>
      <c r="L100" s="108"/>
      <c r="O100" s="109"/>
      <c r="P100" s="109"/>
      <c r="Q100" s="109"/>
      <c r="R100" s="109"/>
      <c r="S100" s="109"/>
      <c r="T100" s="110"/>
      <c r="U100" s="111"/>
      <c r="V100" s="111"/>
      <c r="W100" s="111"/>
      <c r="X100" s="111"/>
      <c r="Y100" s="110"/>
      <c r="AB100" s="109"/>
      <c r="AC100" s="109"/>
      <c r="AD100" s="109"/>
      <c r="AE100" s="109"/>
      <c r="AF100" s="109"/>
      <c r="AG100" s="112"/>
      <c r="AH100" s="113"/>
    </row>
    <row r="101" spans="4:34" s="90" customFormat="1" x14ac:dyDescent="0.25">
      <c r="D101" s="136"/>
      <c r="G101" s="108"/>
      <c r="L101" s="108"/>
      <c r="O101" s="109"/>
      <c r="P101" s="109"/>
      <c r="Q101" s="109"/>
      <c r="R101" s="109"/>
      <c r="S101" s="109"/>
      <c r="T101" s="110"/>
      <c r="U101" s="111"/>
      <c r="V101" s="111"/>
      <c r="W101" s="111"/>
      <c r="X101" s="111"/>
      <c r="Y101" s="110"/>
      <c r="AB101" s="109"/>
      <c r="AC101" s="109"/>
      <c r="AD101" s="109"/>
      <c r="AE101" s="109"/>
      <c r="AF101" s="109"/>
      <c r="AG101" s="112"/>
      <c r="AH101" s="113"/>
    </row>
    <row r="102" spans="4:34" s="90" customFormat="1" x14ac:dyDescent="0.25">
      <c r="D102" s="136"/>
      <c r="G102" s="108"/>
      <c r="L102" s="108"/>
      <c r="O102" s="109"/>
      <c r="P102" s="109"/>
      <c r="Q102" s="109"/>
      <c r="R102" s="109"/>
      <c r="S102" s="109"/>
      <c r="T102" s="110"/>
      <c r="U102" s="111"/>
      <c r="V102" s="111"/>
      <c r="W102" s="111"/>
      <c r="X102" s="111"/>
      <c r="Y102" s="110"/>
      <c r="AB102" s="109"/>
      <c r="AC102" s="109"/>
      <c r="AD102" s="109"/>
      <c r="AE102" s="109"/>
      <c r="AF102" s="109"/>
      <c r="AG102" s="112"/>
      <c r="AH102" s="113"/>
    </row>
    <row r="103" spans="4:34" s="90" customFormat="1" x14ac:dyDescent="0.25">
      <c r="D103" s="136"/>
      <c r="G103" s="108"/>
      <c r="L103" s="108"/>
      <c r="O103" s="109"/>
      <c r="P103" s="109"/>
      <c r="Q103" s="109"/>
      <c r="R103" s="109"/>
      <c r="S103" s="109"/>
      <c r="T103" s="110"/>
      <c r="U103" s="111"/>
      <c r="V103" s="111"/>
      <c r="W103" s="111"/>
      <c r="X103" s="111"/>
      <c r="Y103" s="110"/>
      <c r="AB103" s="109"/>
      <c r="AC103" s="109"/>
      <c r="AD103" s="109"/>
      <c r="AE103" s="109"/>
      <c r="AF103" s="109"/>
      <c r="AG103" s="112"/>
      <c r="AH103" s="113"/>
    </row>
    <row r="104" spans="4:34" s="90" customFormat="1" x14ac:dyDescent="0.25">
      <c r="D104" s="136"/>
      <c r="G104" s="108"/>
      <c r="L104" s="108"/>
      <c r="O104" s="109"/>
      <c r="P104" s="109"/>
      <c r="Q104" s="109"/>
      <c r="R104" s="109"/>
      <c r="S104" s="109"/>
      <c r="T104" s="110"/>
      <c r="U104" s="111"/>
      <c r="V104" s="111"/>
      <c r="W104" s="111"/>
      <c r="X104" s="111"/>
      <c r="Y104" s="110"/>
      <c r="AB104" s="109"/>
      <c r="AC104" s="109"/>
      <c r="AD104" s="109"/>
      <c r="AE104" s="109"/>
      <c r="AF104" s="109"/>
      <c r="AG104" s="112"/>
      <c r="AH104" s="113"/>
    </row>
    <row r="105" spans="4:34" s="90" customFormat="1" x14ac:dyDescent="0.25">
      <c r="D105" s="136"/>
      <c r="G105" s="108"/>
      <c r="L105" s="108"/>
      <c r="O105" s="109"/>
      <c r="P105" s="109"/>
      <c r="Q105" s="109"/>
      <c r="R105" s="109"/>
      <c r="S105" s="109"/>
      <c r="T105" s="110"/>
      <c r="U105" s="111"/>
      <c r="V105" s="111"/>
      <c r="W105" s="111"/>
      <c r="X105" s="111"/>
      <c r="Y105" s="110"/>
      <c r="AB105" s="109"/>
      <c r="AC105" s="109"/>
      <c r="AD105" s="109"/>
      <c r="AE105" s="109"/>
      <c r="AF105" s="109"/>
      <c r="AG105" s="112"/>
      <c r="AH105" s="113"/>
    </row>
    <row r="106" spans="4:34" s="90" customFormat="1" x14ac:dyDescent="0.25">
      <c r="D106" s="136"/>
      <c r="G106" s="108"/>
      <c r="L106" s="108"/>
      <c r="O106" s="109"/>
      <c r="P106" s="109"/>
      <c r="Q106" s="109"/>
      <c r="R106" s="109"/>
      <c r="S106" s="109"/>
      <c r="T106" s="110"/>
      <c r="U106" s="111"/>
      <c r="V106" s="111"/>
      <c r="W106" s="111"/>
      <c r="X106" s="111"/>
      <c r="Y106" s="110"/>
      <c r="AB106" s="109"/>
      <c r="AC106" s="109"/>
      <c r="AD106" s="109"/>
      <c r="AE106" s="109"/>
      <c r="AF106" s="109"/>
      <c r="AG106" s="112"/>
      <c r="AH106" s="113"/>
    </row>
    <row r="107" spans="4:34" s="90" customFormat="1" x14ac:dyDescent="0.25">
      <c r="D107" s="136"/>
      <c r="G107" s="108"/>
      <c r="L107" s="108"/>
      <c r="O107" s="109"/>
      <c r="P107" s="109"/>
      <c r="Q107" s="109"/>
      <c r="R107" s="109"/>
      <c r="S107" s="109"/>
      <c r="T107" s="110"/>
      <c r="U107" s="111"/>
      <c r="V107" s="111"/>
      <c r="W107" s="111"/>
      <c r="X107" s="111"/>
      <c r="Y107" s="110"/>
      <c r="AB107" s="109"/>
      <c r="AC107" s="109"/>
      <c r="AD107" s="109"/>
      <c r="AE107" s="109"/>
      <c r="AF107" s="109"/>
      <c r="AG107" s="112"/>
      <c r="AH107" s="113"/>
    </row>
    <row r="108" spans="4:34" s="90" customFormat="1" x14ac:dyDescent="0.25">
      <c r="D108" s="136"/>
      <c r="G108" s="108"/>
      <c r="L108" s="108"/>
      <c r="O108" s="109"/>
      <c r="P108" s="109"/>
      <c r="Q108" s="109"/>
      <c r="R108" s="109"/>
      <c r="S108" s="109"/>
      <c r="T108" s="110"/>
      <c r="U108" s="111"/>
      <c r="V108" s="111"/>
      <c r="W108" s="111"/>
      <c r="X108" s="111"/>
      <c r="Y108" s="110"/>
      <c r="AB108" s="109"/>
      <c r="AC108" s="109"/>
      <c r="AD108" s="109"/>
      <c r="AE108" s="109"/>
      <c r="AF108" s="109"/>
      <c r="AG108" s="112"/>
      <c r="AH108" s="113"/>
    </row>
    <row r="109" spans="4:34" s="90" customFormat="1" x14ac:dyDescent="0.25">
      <c r="D109" s="136"/>
      <c r="G109" s="108"/>
      <c r="L109" s="108"/>
      <c r="O109" s="109"/>
      <c r="P109" s="109"/>
      <c r="Q109" s="109"/>
      <c r="R109" s="109"/>
      <c r="S109" s="109"/>
      <c r="T109" s="110"/>
      <c r="U109" s="111"/>
      <c r="V109" s="111"/>
      <c r="W109" s="111"/>
      <c r="X109" s="111"/>
      <c r="Y109" s="110"/>
      <c r="AB109" s="109"/>
      <c r="AC109" s="109"/>
      <c r="AD109" s="109"/>
      <c r="AE109" s="109"/>
      <c r="AF109" s="109"/>
      <c r="AG109" s="112"/>
      <c r="AH109" s="113"/>
    </row>
    <row r="110" spans="4:34" s="90" customFormat="1" x14ac:dyDescent="0.25">
      <c r="D110" s="136"/>
      <c r="G110" s="108"/>
      <c r="L110" s="108"/>
      <c r="O110" s="109"/>
      <c r="P110" s="109"/>
      <c r="Q110" s="109"/>
      <c r="R110" s="109"/>
      <c r="S110" s="109"/>
      <c r="T110" s="110"/>
      <c r="U110" s="111"/>
      <c r="V110" s="111"/>
      <c r="W110" s="111"/>
      <c r="X110" s="111"/>
      <c r="Y110" s="110"/>
      <c r="AB110" s="109"/>
      <c r="AC110" s="109"/>
      <c r="AD110" s="109"/>
      <c r="AE110" s="109"/>
      <c r="AF110" s="109"/>
      <c r="AG110" s="112"/>
      <c r="AH110" s="113"/>
    </row>
    <row r="111" spans="4:34" s="90" customFormat="1" x14ac:dyDescent="0.25">
      <c r="D111" s="136"/>
      <c r="G111" s="108"/>
      <c r="L111" s="108"/>
      <c r="O111" s="109"/>
      <c r="P111" s="109"/>
      <c r="Q111" s="109"/>
      <c r="R111" s="109"/>
      <c r="S111" s="109"/>
      <c r="T111" s="110"/>
      <c r="U111" s="111"/>
      <c r="V111" s="111"/>
      <c r="W111" s="111"/>
      <c r="X111" s="111"/>
      <c r="Y111" s="110"/>
      <c r="AB111" s="109"/>
      <c r="AC111" s="109"/>
      <c r="AD111" s="109"/>
      <c r="AE111" s="109"/>
      <c r="AF111" s="109"/>
      <c r="AG111" s="112"/>
      <c r="AH111" s="113"/>
    </row>
    <row r="112" spans="4:34" s="90" customFormat="1" x14ac:dyDescent="0.25">
      <c r="D112" s="136"/>
      <c r="G112" s="108"/>
      <c r="L112" s="108"/>
      <c r="O112" s="109"/>
      <c r="P112" s="109"/>
      <c r="Q112" s="109"/>
      <c r="R112" s="109"/>
      <c r="S112" s="109"/>
      <c r="T112" s="110"/>
      <c r="U112" s="111"/>
      <c r="V112" s="111"/>
      <c r="W112" s="111"/>
      <c r="X112" s="111"/>
      <c r="Y112" s="110"/>
      <c r="AB112" s="109"/>
      <c r="AC112" s="109"/>
      <c r="AD112" s="109"/>
      <c r="AE112" s="109"/>
      <c r="AF112" s="109"/>
      <c r="AG112" s="112"/>
      <c r="AH112" s="113"/>
    </row>
    <row r="113" spans="4:34" s="90" customFormat="1" x14ac:dyDescent="0.25">
      <c r="D113" s="136"/>
      <c r="G113" s="108"/>
      <c r="L113" s="108"/>
      <c r="O113" s="109"/>
      <c r="P113" s="109"/>
      <c r="Q113" s="109"/>
      <c r="R113" s="109"/>
      <c r="S113" s="109"/>
      <c r="T113" s="110"/>
      <c r="U113" s="111"/>
      <c r="V113" s="111"/>
      <c r="W113" s="111"/>
      <c r="X113" s="111"/>
      <c r="Y113" s="110"/>
      <c r="AB113" s="109"/>
      <c r="AC113" s="109"/>
      <c r="AD113" s="109"/>
      <c r="AE113" s="109"/>
      <c r="AF113" s="109"/>
      <c r="AG113" s="112"/>
      <c r="AH113" s="113"/>
    </row>
    <row r="114" spans="4:34" s="90" customFormat="1" x14ac:dyDescent="0.25">
      <c r="D114" s="136"/>
      <c r="G114" s="108"/>
      <c r="L114" s="108"/>
      <c r="O114" s="109"/>
      <c r="P114" s="109"/>
      <c r="Q114" s="109"/>
      <c r="R114" s="109"/>
      <c r="S114" s="109"/>
      <c r="T114" s="110"/>
      <c r="U114" s="111"/>
      <c r="V114" s="111"/>
      <c r="W114" s="111"/>
      <c r="X114" s="111"/>
      <c r="Y114" s="110"/>
      <c r="AB114" s="109"/>
      <c r="AC114" s="109"/>
      <c r="AD114" s="109"/>
      <c r="AE114" s="109"/>
      <c r="AF114" s="109"/>
      <c r="AG114" s="112"/>
      <c r="AH114" s="113"/>
    </row>
    <row r="115" spans="4:34" s="90" customFormat="1" x14ac:dyDescent="0.25">
      <c r="D115" s="136"/>
      <c r="G115" s="108"/>
      <c r="L115" s="108"/>
      <c r="O115" s="109"/>
      <c r="P115" s="109"/>
      <c r="Q115" s="109"/>
      <c r="R115" s="109"/>
      <c r="S115" s="109"/>
      <c r="T115" s="110"/>
      <c r="U115" s="111"/>
      <c r="V115" s="111"/>
      <c r="W115" s="111"/>
      <c r="X115" s="111"/>
      <c r="Y115" s="110"/>
      <c r="AB115" s="109"/>
      <c r="AC115" s="109"/>
      <c r="AD115" s="109"/>
      <c r="AE115" s="109"/>
      <c r="AF115" s="109"/>
      <c r="AG115" s="112"/>
      <c r="AH115" s="113"/>
    </row>
    <row r="116" spans="4:34" s="90" customFormat="1" x14ac:dyDescent="0.25">
      <c r="D116" s="136"/>
      <c r="G116" s="108"/>
      <c r="L116" s="108"/>
      <c r="O116" s="109"/>
      <c r="P116" s="109"/>
      <c r="Q116" s="109"/>
      <c r="R116" s="109"/>
      <c r="S116" s="109"/>
      <c r="T116" s="110"/>
      <c r="U116" s="111"/>
      <c r="V116" s="111"/>
      <c r="W116" s="111"/>
      <c r="X116" s="111"/>
      <c r="Y116" s="110"/>
      <c r="AB116" s="109"/>
      <c r="AC116" s="109"/>
      <c r="AD116" s="109"/>
      <c r="AE116" s="109"/>
      <c r="AF116" s="109"/>
      <c r="AG116" s="112"/>
      <c r="AH116" s="113"/>
    </row>
    <row r="117" spans="4:34" s="90" customFormat="1" x14ac:dyDescent="0.25">
      <c r="D117" s="136"/>
      <c r="G117" s="108"/>
      <c r="L117" s="108"/>
      <c r="O117" s="109"/>
      <c r="P117" s="109"/>
      <c r="Q117" s="109"/>
      <c r="R117" s="109"/>
      <c r="S117" s="109"/>
      <c r="T117" s="110"/>
      <c r="U117" s="111"/>
      <c r="V117" s="111"/>
      <c r="W117" s="111"/>
      <c r="X117" s="111"/>
      <c r="Y117" s="110"/>
      <c r="AB117" s="109"/>
      <c r="AC117" s="109"/>
      <c r="AD117" s="109"/>
      <c r="AE117" s="109"/>
      <c r="AF117" s="109"/>
      <c r="AG117" s="112"/>
      <c r="AH117" s="113"/>
    </row>
    <row r="118" spans="4:34" s="90" customFormat="1" x14ac:dyDescent="0.25">
      <c r="D118" s="136"/>
      <c r="G118" s="108"/>
      <c r="L118" s="108"/>
      <c r="O118" s="109"/>
      <c r="P118" s="109"/>
      <c r="Q118" s="109"/>
      <c r="R118" s="109"/>
      <c r="S118" s="109"/>
      <c r="T118" s="110"/>
      <c r="U118" s="111"/>
      <c r="V118" s="111"/>
      <c r="W118" s="111"/>
      <c r="X118" s="111"/>
      <c r="Y118" s="110"/>
      <c r="AB118" s="109"/>
      <c r="AC118" s="109"/>
      <c r="AD118" s="109"/>
      <c r="AE118" s="109"/>
      <c r="AF118" s="109"/>
      <c r="AG118" s="112"/>
      <c r="AH118" s="113"/>
    </row>
    <row r="119" spans="4:34" s="90" customFormat="1" x14ac:dyDescent="0.25">
      <c r="D119" s="136"/>
      <c r="G119" s="108"/>
      <c r="L119" s="108"/>
      <c r="O119" s="109"/>
      <c r="P119" s="109"/>
      <c r="Q119" s="109"/>
      <c r="R119" s="109"/>
      <c r="S119" s="109"/>
      <c r="T119" s="110"/>
      <c r="U119" s="111"/>
      <c r="V119" s="111"/>
      <c r="W119" s="111"/>
      <c r="X119" s="111"/>
      <c r="Y119" s="110"/>
      <c r="AB119" s="109"/>
      <c r="AC119" s="109"/>
      <c r="AD119" s="109"/>
      <c r="AE119" s="109"/>
      <c r="AF119" s="109"/>
      <c r="AG119" s="112"/>
      <c r="AH119" s="113"/>
    </row>
    <row r="120" spans="4:34" s="90" customFormat="1" x14ac:dyDescent="0.25">
      <c r="D120" s="136"/>
      <c r="G120" s="108"/>
      <c r="L120" s="108"/>
      <c r="O120" s="109"/>
      <c r="P120" s="109"/>
      <c r="Q120" s="109"/>
      <c r="R120" s="109"/>
      <c r="S120" s="109"/>
      <c r="T120" s="110"/>
      <c r="U120" s="111"/>
      <c r="V120" s="111"/>
      <c r="W120" s="111"/>
      <c r="X120" s="111"/>
      <c r="Y120" s="110"/>
      <c r="AB120" s="109"/>
      <c r="AC120" s="109"/>
      <c r="AD120" s="109"/>
      <c r="AE120" s="109"/>
      <c r="AF120" s="109"/>
      <c r="AG120" s="112"/>
      <c r="AH120" s="113"/>
    </row>
    <row r="121" spans="4:34" s="90" customFormat="1" x14ac:dyDescent="0.25">
      <c r="D121" s="136"/>
      <c r="G121" s="108"/>
      <c r="L121" s="108"/>
      <c r="O121" s="109"/>
      <c r="P121" s="109"/>
      <c r="Q121" s="109"/>
      <c r="R121" s="109"/>
      <c r="S121" s="109"/>
      <c r="T121" s="110"/>
      <c r="U121" s="111"/>
      <c r="V121" s="111"/>
      <c r="W121" s="111"/>
      <c r="X121" s="111"/>
      <c r="Y121" s="110"/>
      <c r="AB121" s="109"/>
      <c r="AC121" s="109"/>
      <c r="AD121" s="109"/>
      <c r="AE121" s="109"/>
      <c r="AF121" s="109"/>
      <c r="AG121" s="112"/>
      <c r="AH121" s="113"/>
    </row>
    <row r="122" spans="4:34" s="90" customFormat="1" x14ac:dyDescent="0.25">
      <c r="D122" s="136"/>
      <c r="G122" s="108"/>
      <c r="L122" s="108"/>
      <c r="O122" s="109"/>
      <c r="P122" s="109"/>
      <c r="Q122" s="109"/>
      <c r="R122" s="109"/>
      <c r="S122" s="109"/>
      <c r="T122" s="110"/>
      <c r="U122" s="111"/>
      <c r="V122" s="111"/>
      <c r="W122" s="111"/>
      <c r="X122" s="111"/>
      <c r="Y122" s="110"/>
      <c r="AB122" s="109"/>
      <c r="AC122" s="109"/>
      <c r="AD122" s="109"/>
      <c r="AE122" s="109"/>
      <c r="AF122" s="109"/>
      <c r="AG122" s="112"/>
      <c r="AH122" s="113"/>
    </row>
    <row r="123" spans="4:34" s="90" customFormat="1" x14ac:dyDescent="0.25">
      <c r="D123" s="136"/>
      <c r="G123" s="108"/>
      <c r="L123" s="108"/>
      <c r="O123" s="109"/>
      <c r="P123" s="109"/>
      <c r="Q123" s="109"/>
      <c r="R123" s="109"/>
      <c r="S123" s="109"/>
      <c r="T123" s="110"/>
      <c r="U123" s="111"/>
      <c r="V123" s="111"/>
      <c r="W123" s="111"/>
      <c r="X123" s="111"/>
      <c r="Y123" s="110"/>
      <c r="AB123" s="109"/>
      <c r="AC123" s="109"/>
      <c r="AD123" s="109"/>
      <c r="AE123" s="109"/>
      <c r="AF123" s="109"/>
      <c r="AG123" s="112"/>
      <c r="AH123" s="113"/>
    </row>
    <row r="124" spans="4:34" s="90" customFormat="1" x14ac:dyDescent="0.25">
      <c r="D124" s="136"/>
      <c r="G124" s="108"/>
      <c r="L124" s="108"/>
      <c r="O124" s="109"/>
      <c r="P124" s="109"/>
      <c r="Q124" s="109"/>
      <c r="R124" s="109"/>
      <c r="S124" s="109"/>
      <c r="T124" s="110"/>
      <c r="U124" s="111"/>
      <c r="V124" s="111"/>
      <c r="W124" s="111"/>
      <c r="X124" s="111"/>
      <c r="Y124" s="110"/>
      <c r="AB124" s="109"/>
      <c r="AC124" s="109"/>
      <c r="AD124" s="109"/>
      <c r="AE124" s="109"/>
      <c r="AF124" s="109"/>
      <c r="AG124" s="112"/>
      <c r="AH124" s="113"/>
    </row>
    <row r="125" spans="4:34" s="90" customFormat="1" x14ac:dyDescent="0.25">
      <c r="D125" s="136"/>
      <c r="G125" s="108"/>
      <c r="L125" s="108"/>
      <c r="O125" s="109"/>
      <c r="P125" s="109"/>
      <c r="Q125" s="109"/>
      <c r="R125" s="109"/>
      <c r="S125" s="109"/>
      <c r="T125" s="110"/>
      <c r="U125" s="111"/>
      <c r="V125" s="111"/>
      <c r="W125" s="111"/>
      <c r="X125" s="111"/>
      <c r="Y125" s="110"/>
      <c r="AB125" s="109"/>
      <c r="AC125" s="109"/>
      <c r="AD125" s="109"/>
      <c r="AE125" s="109"/>
      <c r="AF125" s="109"/>
      <c r="AG125" s="112"/>
      <c r="AH125" s="113"/>
    </row>
    <row r="126" spans="4:34" s="90" customFormat="1" x14ac:dyDescent="0.25">
      <c r="D126" s="136"/>
      <c r="G126" s="108"/>
      <c r="L126" s="108"/>
      <c r="O126" s="109"/>
      <c r="P126" s="109"/>
      <c r="Q126" s="109"/>
      <c r="R126" s="109"/>
      <c r="S126" s="109"/>
      <c r="T126" s="110"/>
      <c r="U126" s="111"/>
      <c r="V126" s="111"/>
      <c r="W126" s="111"/>
      <c r="X126" s="111"/>
      <c r="Y126" s="110"/>
      <c r="AB126" s="109"/>
      <c r="AC126" s="109"/>
      <c r="AD126" s="109"/>
      <c r="AE126" s="109"/>
      <c r="AF126" s="109"/>
      <c r="AG126" s="112"/>
      <c r="AH126" s="113"/>
    </row>
    <row r="127" spans="4:34" s="90" customFormat="1" x14ac:dyDescent="0.25">
      <c r="D127" s="136"/>
      <c r="G127" s="108"/>
      <c r="L127" s="108"/>
      <c r="O127" s="109"/>
      <c r="P127" s="109"/>
      <c r="Q127" s="109"/>
      <c r="R127" s="109"/>
      <c r="S127" s="109"/>
      <c r="T127" s="110"/>
      <c r="U127" s="111"/>
      <c r="V127" s="111"/>
      <c r="W127" s="111"/>
      <c r="X127" s="111"/>
      <c r="Y127" s="110"/>
      <c r="AB127" s="109"/>
      <c r="AC127" s="109"/>
      <c r="AD127" s="109"/>
      <c r="AE127" s="109"/>
      <c r="AF127" s="109"/>
      <c r="AG127" s="112"/>
      <c r="AH127" s="113"/>
    </row>
    <row r="128" spans="4:34" s="90" customFormat="1" x14ac:dyDescent="0.25">
      <c r="D128" s="136"/>
      <c r="G128" s="108"/>
      <c r="L128" s="108"/>
      <c r="O128" s="109"/>
      <c r="P128" s="109"/>
      <c r="Q128" s="109"/>
      <c r="R128" s="109"/>
      <c r="S128" s="109"/>
      <c r="T128" s="110"/>
      <c r="U128" s="111"/>
      <c r="V128" s="111"/>
      <c r="W128" s="111"/>
      <c r="X128" s="111"/>
      <c r="Y128" s="110"/>
      <c r="AB128" s="109"/>
      <c r="AC128" s="109"/>
      <c r="AD128" s="109"/>
      <c r="AE128" s="109"/>
      <c r="AF128" s="109"/>
      <c r="AG128" s="112"/>
      <c r="AH128" s="113"/>
    </row>
    <row r="129" spans="4:34" s="90" customFormat="1" x14ac:dyDescent="0.25">
      <c r="D129" s="136"/>
      <c r="G129" s="108"/>
      <c r="L129" s="108"/>
      <c r="O129" s="109"/>
      <c r="P129" s="109"/>
      <c r="Q129" s="109"/>
      <c r="R129" s="109"/>
      <c r="S129" s="109"/>
      <c r="T129" s="110"/>
      <c r="U129" s="111"/>
      <c r="V129" s="111"/>
      <c r="W129" s="111"/>
      <c r="X129" s="111"/>
      <c r="Y129" s="110"/>
      <c r="AB129" s="109"/>
      <c r="AC129" s="109"/>
      <c r="AD129" s="109"/>
      <c r="AE129" s="109"/>
      <c r="AF129" s="109"/>
      <c r="AG129" s="112"/>
      <c r="AH129" s="113"/>
    </row>
    <row r="130" spans="4:34" s="90" customFormat="1" x14ac:dyDescent="0.25">
      <c r="D130" s="136"/>
      <c r="G130" s="108"/>
      <c r="L130" s="108"/>
      <c r="O130" s="109"/>
      <c r="P130" s="109"/>
      <c r="Q130" s="109"/>
      <c r="R130" s="109"/>
      <c r="S130" s="109"/>
      <c r="T130" s="110"/>
      <c r="U130" s="111"/>
      <c r="V130" s="111"/>
      <c r="W130" s="111"/>
      <c r="X130" s="111"/>
      <c r="Y130" s="110"/>
      <c r="AB130" s="109"/>
      <c r="AC130" s="109"/>
      <c r="AD130" s="109"/>
      <c r="AE130" s="109"/>
      <c r="AF130" s="109"/>
      <c r="AG130" s="112"/>
      <c r="AH130" s="113"/>
    </row>
    <row r="131" spans="4:34" s="90" customFormat="1" x14ac:dyDescent="0.25">
      <c r="D131" s="136"/>
      <c r="G131" s="108"/>
      <c r="L131" s="108"/>
      <c r="O131" s="109"/>
      <c r="P131" s="109"/>
      <c r="Q131" s="109"/>
      <c r="R131" s="109"/>
      <c r="S131" s="109"/>
      <c r="T131" s="110"/>
      <c r="U131" s="111"/>
      <c r="V131" s="111"/>
      <c r="W131" s="111"/>
      <c r="X131" s="111"/>
      <c r="Y131" s="110"/>
      <c r="AB131" s="109"/>
      <c r="AC131" s="109"/>
      <c r="AD131" s="109"/>
      <c r="AE131" s="109"/>
      <c r="AF131" s="109"/>
      <c r="AG131" s="112"/>
      <c r="AH131" s="113"/>
    </row>
    <row r="132" spans="4:34" s="90" customFormat="1" x14ac:dyDescent="0.25">
      <c r="D132" s="136"/>
      <c r="G132" s="108"/>
      <c r="L132" s="108"/>
      <c r="O132" s="109"/>
      <c r="P132" s="109"/>
      <c r="Q132" s="109"/>
      <c r="R132" s="109"/>
      <c r="S132" s="109"/>
      <c r="T132" s="110"/>
      <c r="U132" s="111"/>
      <c r="V132" s="111"/>
      <c r="W132" s="111"/>
      <c r="X132" s="111"/>
      <c r="Y132" s="110"/>
      <c r="AB132" s="109"/>
      <c r="AC132" s="109"/>
      <c r="AD132" s="109"/>
      <c r="AE132" s="109"/>
      <c r="AF132" s="109"/>
      <c r="AG132" s="112"/>
      <c r="AH132" s="113"/>
    </row>
    <row r="133" spans="4:34" s="90" customFormat="1" x14ac:dyDescent="0.25">
      <c r="D133" s="136"/>
      <c r="G133" s="108"/>
      <c r="L133" s="108"/>
      <c r="O133" s="109"/>
      <c r="P133" s="109"/>
      <c r="Q133" s="109"/>
      <c r="R133" s="109"/>
      <c r="S133" s="109"/>
      <c r="T133" s="110"/>
      <c r="U133" s="111"/>
      <c r="V133" s="111"/>
      <c r="W133" s="111"/>
      <c r="X133" s="111"/>
      <c r="Y133" s="110"/>
      <c r="AB133" s="109"/>
      <c r="AC133" s="109"/>
      <c r="AD133" s="109"/>
      <c r="AE133" s="109"/>
      <c r="AF133" s="109"/>
      <c r="AG133" s="112"/>
      <c r="AH133" s="113"/>
    </row>
    <row r="134" spans="4:34" s="90" customFormat="1" x14ac:dyDescent="0.25">
      <c r="D134" s="136"/>
      <c r="G134" s="108"/>
      <c r="L134" s="108"/>
      <c r="O134" s="109"/>
      <c r="P134" s="109"/>
      <c r="Q134" s="109"/>
      <c r="R134" s="109"/>
      <c r="S134" s="109"/>
      <c r="T134" s="110"/>
      <c r="U134" s="111"/>
      <c r="V134" s="111"/>
      <c r="W134" s="111"/>
      <c r="X134" s="111"/>
      <c r="Y134" s="110"/>
      <c r="AB134" s="109"/>
      <c r="AC134" s="109"/>
      <c r="AD134" s="109"/>
      <c r="AE134" s="109"/>
      <c r="AF134" s="109"/>
      <c r="AG134" s="112"/>
      <c r="AH134" s="113"/>
    </row>
    <row r="135" spans="4:34" s="90" customFormat="1" x14ac:dyDescent="0.25">
      <c r="D135" s="136"/>
      <c r="G135" s="108"/>
      <c r="L135" s="108"/>
      <c r="O135" s="109"/>
      <c r="P135" s="109"/>
      <c r="Q135" s="109"/>
      <c r="R135" s="109"/>
      <c r="S135" s="109"/>
      <c r="T135" s="110"/>
      <c r="U135" s="111"/>
      <c r="V135" s="111"/>
      <c r="W135" s="111"/>
      <c r="X135" s="111"/>
      <c r="Y135" s="110"/>
      <c r="AB135" s="109"/>
      <c r="AC135" s="109"/>
      <c r="AD135" s="109"/>
      <c r="AE135" s="109"/>
      <c r="AF135" s="109"/>
      <c r="AG135" s="112"/>
      <c r="AH135" s="113"/>
    </row>
    <row r="136" spans="4:34" s="90" customFormat="1" x14ac:dyDescent="0.25">
      <c r="D136" s="136"/>
      <c r="G136" s="108"/>
      <c r="L136" s="108"/>
      <c r="O136" s="109"/>
      <c r="P136" s="109"/>
      <c r="Q136" s="109"/>
      <c r="R136" s="109"/>
      <c r="S136" s="109"/>
      <c r="T136" s="110"/>
      <c r="U136" s="111"/>
      <c r="V136" s="111"/>
      <c r="W136" s="111"/>
      <c r="X136" s="111"/>
      <c r="Y136" s="110"/>
      <c r="AB136" s="109"/>
      <c r="AC136" s="109"/>
      <c r="AD136" s="109"/>
      <c r="AE136" s="109"/>
      <c r="AF136" s="109"/>
      <c r="AG136" s="112"/>
      <c r="AH136" s="113"/>
    </row>
    <row r="137" spans="4:34" s="90" customFormat="1" x14ac:dyDescent="0.25">
      <c r="D137" s="136"/>
      <c r="G137" s="108"/>
      <c r="L137" s="108"/>
      <c r="O137" s="109"/>
      <c r="P137" s="109"/>
      <c r="Q137" s="109"/>
      <c r="R137" s="109"/>
      <c r="S137" s="109"/>
      <c r="T137" s="110"/>
      <c r="U137" s="111"/>
      <c r="V137" s="111"/>
      <c r="W137" s="111"/>
      <c r="X137" s="111"/>
      <c r="Y137" s="110"/>
      <c r="AB137" s="109"/>
      <c r="AC137" s="109"/>
      <c r="AD137" s="109"/>
      <c r="AE137" s="109"/>
      <c r="AF137" s="109"/>
      <c r="AG137" s="112"/>
      <c r="AH137" s="113"/>
    </row>
    <row r="138" spans="4:34" s="90" customFormat="1" x14ac:dyDescent="0.25">
      <c r="D138" s="136"/>
      <c r="G138" s="108"/>
      <c r="L138" s="108"/>
      <c r="O138" s="109"/>
      <c r="P138" s="109"/>
      <c r="Q138" s="109"/>
      <c r="R138" s="109"/>
      <c r="S138" s="109"/>
      <c r="T138" s="110"/>
      <c r="U138" s="111"/>
      <c r="V138" s="111"/>
      <c r="W138" s="111"/>
      <c r="X138" s="111"/>
      <c r="Y138" s="110"/>
      <c r="AB138" s="109"/>
      <c r="AC138" s="109"/>
      <c r="AD138" s="109"/>
      <c r="AE138" s="109"/>
      <c r="AF138" s="109"/>
      <c r="AG138" s="112"/>
      <c r="AH138" s="113"/>
    </row>
    <row r="139" spans="4:34" s="90" customFormat="1" x14ac:dyDescent="0.25">
      <c r="D139" s="136"/>
      <c r="G139" s="108"/>
      <c r="L139" s="108"/>
      <c r="O139" s="109"/>
      <c r="P139" s="109"/>
      <c r="Q139" s="109"/>
      <c r="R139" s="109"/>
      <c r="S139" s="109"/>
      <c r="T139" s="110"/>
      <c r="U139" s="111"/>
      <c r="V139" s="111"/>
      <c r="W139" s="111"/>
      <c r="X139" s="111"/>
      <c r="Y139" s="110"/>
      <c r="AB139" s="109"/>
      <c r="AC139" s="109"/>
      <c r="AD139" s="109"/>
      <c r="AE139" s="109"/>
      <c r="AF139" s="109"/>
      <c r="AG139" s="112"/>
      <c r="AH139" s="113"/>
    </row>
    <row r="140" spans="4:34" s="90" customFormat="1" x14ac:dyDescent="0.25">
      <c r="D140" s="136"/>
      <c r="G140" s="108"/>
      <c r="L140" s="108"/>
      <c r="O140" s="109"/>
      <c r="P140" s="109"/>
      <c r="Q140" s="109"/>
      <c r="R140" s="109"/>
      <c r="S140" s="109"/>
      <c r="T140" s="110"/>
      <c r="U140" s="111"/>
      <c r="V140" s="111"/>
      <c r="W140" s="111"/>
      <c r="X140" s="111"/>
      <c r="Y140" s="110"/>
      <c r="AB140" s="109"/>
      <c r="AC140" s="109"/>
      <c r="AD140" s="109"/>
      <c r="AE140" s="109"/>
      <c r="AF140" s="109"/>
      <c r="AG140" s="112"/>
      <c r="AH140" s="113"/>
    </row>
    <row r="141" spans="4:34" s="90" customFormat="1" x14ac:dyDescent="0.25">
      <c r="D141" s="136"/>
      <c r="G141" s="108"/>
      <c r="L141" s="108"/>
      <c r="O141" s="109"/>
      <c r="P141" s="109"/>
      <c r="Q141" s="109"/>
      <c r="R141" s="109"/>
      <c r="S141" s="109"/>
      <c r="T141" s="110"/>
      <c r="U141" s="111"/>
      <c r="V141" s="111"/>
      <c r="W141" s="111"/>
      <c r="X141" s="111"/>
      <c r="Y141" s="110"/>
      <c r="AB141" s="109"/>
      <c r="AC141" s="109"/>
      <c r="AD141" s="109"/>
      <c r="AE141" s="109"/>
      <c r="AF141" s="109"/>
      <c r="AG141" s="112"/>
      <c r="AH141" s="113"/>
    </row>
    <row r="142" spans="4:34" s="90" customFormat="1" x14ac:dyDescent="0.25">
      <c r="D142" s="136"/>
      <c r="G142" s="108"/>
      <c r="L142" s="108"/>
      <c r="O142" s="109"/>
      <c r="P142" s="109"/>
      <c r="Q142" s="109"/>
      <c r="R142" s="109"/>
      <c r="S142" s="109"/>
      <c r="T142" s="110"/>
      <c r="U142" s="111"/>
      <c r="V142" s="111"/>
      <c r="W142" s="111"/>
      <c r="X142" s="111"/>
      <c r="Y142" s="110"/>
      <c r="AB142" s="109"/>
      <c r="AC142" s="109"/>
      <c r="AD142" s="109"/>
      <c r="AE142" s="109"/>
      <c r="AF142" s="109"/>
      <c r="AG142" s="112"/>
      <c r="AH142" s="113"/>
    </row>
    <row r="143" spans="4:34" s="90" customFormat="1" x14ac:dyDescent="0.25">
      <c r="D143" s="136"/>
      <c r="G143" s="108"/>
      <c r="L143" s="108"/>
      <c r="O143" s="109"/>
      <c r="P143" s="109"/>
      <c r="Q143" s="109"/>
      <c r="R143" s="109"/>
      <c r="S143" s="109"/>
      <c r="T143" s="110"/>
      <c r="U143" s="111"/>
      <c r="V143" s="111"/>
      <c r="W143" s="111"/>
      <c r="X143" s="111"/>
      <c r="Y143" s="110"/>
      <c r="AB143" s="109"/>
      <c r="AC143" s="109"/>
      <c r="AD143" s="109"/>
      <c r="AE143" s="109"/>
      <c r="AF143" s="109"/>
      <c r="AG143" s="112"/>
      <c r="AH143" s="113"/>
    </row>
    <row r="144" spans="4:34" s="90" customFormat="1" x14ac:dyDescent="0.25">
      <c r="D144" s="136"/>
      <c r="G144" s="108"/>
      <c r="L144" s="108"/>
      <c r="O144" s="109"/>
      <c r="P144" s="109"/>
      <c r="Q144" s="109"/>
      <c r="R144" s="109"/>
      <c r="S144" s="109"/>
      <c r="T144" s="110"/>
      <c r="U144" s="111"/>
      <c r="V144" s="111"/>
      <c r="W144" s="111"/>
      <c r="X144" s="111"/>
      <c r="Y144" s="110"/>
      <c r="AB144" s="109"/>
      <c r="AC144" s="109"/>
      <c r="AD144" s="109"/>
      <c r="AE144" s="109"/>
      <c r="AF144" s="109"/>
      <c r="AG144" s="112"/>
      <c r="AH144" s="113"/>
    </row>
    <row r="145" spans="4:34" s="90" customFormat="1" x14ac:dyDescent="0.25">
      <c r="D145" s="136"/>
      <c r="G145" s="108"/>
      <c r="L145" s="108"/>
      <c r="O145" s="109"/>
      <c r="P145" s="109"/>
      <c r="Q145" s="109"/>
      <c r="R145" s="109"/>
      <c r="S145" s="109"/>
      <c r="T145" s="110"/>
      <c r="U145" s="111"/>
      <c r="V145" s="111"/>
      <c r="W145" s="111"/>
      <c r="X145" s="111"/>
      <c r="Y145" s="110"/>
      <c r="AB145" s="109"/>
      <c r="AC145" s="109"/>
      <c r="AD145" s="109"/>
      <c r="AE145" s="109"/>
      <c r="AF145" s="109"/>
      <c r="AG145" s="112"/>
      <c r="AH145" s="113"/>
    </row>
    <row r="146" spans="4:34" s="90" customFormat="1" x14ac:dyDescent="0.25">
      <c r="D146" s="136"/>
      <c r="G146" s="108"/>
      <c r="L146" s="108"/>
      <c r="O146" s="109"/>
      <c r="P146" s="109"/>
      <c r="Q146" s="109"/>
      <c r="R146" s="109"/>
      <c r="S146" s="109"/>
      <c r="T146" s="110"/>
      <c r="U146" s="111"/>
      <c r="V146" s="111"/>
      <c r="W146" s="111"/>
      <c r="X146" s="111"/>
      <c r="Y146" s="110"/>
      <c r="AB146" s="109"/>
      <c r="AC146" s="109"/>
      <c r="AD146" s="109"/>
      <c r="AE146" s="109"/>
      <c r="AF146" s="109"/>
      <c r="AG146" s="112"/>
      <c r="AH146" s="113"/>
    </row>
    <row r="147" spans="4:34" s="90" customFormat="1" x14ac:dyDescent="0.25">
      <c r="D147" s="136"/>
      <c r="G147" s="108"/>
      <c r="L147" s="108"/>
      <c r="O147" s="109"/>
      <c r="P147" s="109"/>
      <c r="Q147" s="109"/>
      <c r="R147" s="109"/>
      <c r="S147" s="109"/>
      <c r="T147" s="110"/>
      <c r="U147" s="111"/>
      <c r="V147" s="111"/>
      <c r="W147" s="111"/>
      <c r="X147" s="111"/>
      <c r="Y147" s="110"/>
      <c r="AB147" s="109"/>
      <c r="AC147" s="109"/>
      <c r="AD147" s="109"/>
      <c r="AE147" s="109"/>
      <c r="AF147" s="109"/>
      <c r="AG147" s="112"/>
      <c r="AH147" s="113"/>
    </row>
    <row r="148" spans="4:34" s="90" customFormat="1" x14ac:dyDescent="0.25">
      <c r="D148" s="136"/>
      <c r="G148" s="108"/>
      <c r="L148" s="108"/>
      <c r="O148" s="109"/>
      <c r="P148" s="109"/>
      <c r="Q148" s="109"/>
      <c r="R148" s="109"/>
      <c r="S148" s="109"/>
      <c r="T148" s="110"/>
      <c r="U148" s="111"/>
      <c r="V148" s="111"/>
      <c r="W148" s="111"/>
      <c r="X148" s="111"/>
      <c r="Y148" s="110"/>
      <c r="AB148" s="109"/>
      <c r="AC148" s="109"/>
      <c r="AD148" s="109"/>
      <c r="AE148" s="109"/>
      <c r="AF148" s="109"/>
      <c r="AG148" s="112"/>
      <c r="AH148" s="113"/>
    </row>
    <row r="149" spans="4:34" s="90" customFormat="1" x14ac:dyDescent="0.25">
      <c r="D149" s="136"/>
      <c r="G149" s="108"/>
      <c r="L149" s="108"/>
      <c r="O149" s="109"/>
      <c r="P149" s="109"/>
      <c r="Q149" s="109"/>
      <c r="R149" s="109"/>
      <c r="S149" s="109"/>
      <c r="T149" s="110"/>
      <c r="U149" s="111"/>
      <c r="V149" s="111"/>
      <c r="W149" s="111"/>
      <c r="X149" s="111"/>
      <c r="Y149" s="110"/>
      <c r="AB149" s="109"/>
      <c r="AC149" s="109"/>
      <c r="AD149" s="109"/>
      <c r="AE149" s="109"/>
      <c r="AF149" s="109"/>
      <c r="AG149" s="112"/>
      <c r="AH149" s="113"/>
    </row>
    <row r="150" spans="4:34" s="90" customFormat="1" x14ac:dyDescent="0.25">
      <c r="D150" s="136"/>
      <c r="G150" s="108"/>
      <c r="L150" s="108"/>
      <c r="O150" s="109"/>
      <c r="P150" s="109"/>
      <c r="Q150" s="109"/>
      <c r="R150" s="109"/>
      <c r="S150" s="109"/>
      <c r="T150" s="110"/>
      <c r="U150" s="111"/>
      <c r="V150" s="111"/>
      <c r="W150" s="111"/>
      <c r="X150" s="111"/>
      <c r="Y150" s="110"/>
      <c r="AB150" s="109"/>
      <c r="AC150" s="109"/>
      <c r="AD150" s="109"/>
      <c r="AE150" s="109"/>
      <c r="AF150" s="109"/>
      <c r="AG150" s="112"/>
      <c r="AH150" s="113"/>
    </row>
    <row r="151" spans="4:34" s="90" customFormat="1" x14ac:dyDescent="0.25">
      <c r="D151" s="136"/>
      <c r="G151" s="108"/>
      <c r="L151" s="108"/>
      <c r="O151" s="109"/>
      <c r="P151" s="109"/>
      <c r="Q151" s="109"/>
      <c r="R151" s="109"/>
      <c r="S151" s="109"/>
      <c r="T151" s="110"/>
      <c r="U151" s="111"/>
      <c r="V151" s="111"/>
      <c r="W151" s="111"/>
      <c r="X151" s="111"/>
      <c r="Y151" s="110"/>
      <c r="AB151" s="109"/>
      <c r="AC151" s="109"/>
      <c r="AD151" s="109"/>
      <c r="AE151" s="109"/>
      <c r="AF151" s="109"/>
      <c r="AG151" s="112"/>
      <c r="AH151" s="113"/>
    </row>
    <row r="152" spans="4:34" s="90" customFormat="1" x14ac:dyDescent="0.25">
      <c r="D152" s="136"/>
      <c r="G152" s="108"/>
      <c r="L152" s="108"/>
      <c r="O152" s="109"/>
      <c r="P152" s="109"/>
      <c r="Q152" s="109"/>
      <c r="R152" s="109"/>
      <c r="S152" s="109"/>
      <c r="T152" s="110"/>
      <c r="U152" s="111"/>
      <c r="V152" s="111"/>
      <c r="W152" s="111"/>
      <c r="X152" s="111"/>
      <c r="Y152" s="110"/>
      <c r="AB152" s="109"/>
      <c r="AC152" s="109"/>
      <c r="AD152" s="109"/>
      <c r="AE152" s="109"/>
      <c r="AF152" s="109"/>
      <c r="AG152" s="112"/>
      <c r="AH152" s="113"/>
    </row>
    <row r="153" spans="4:34" s="90" customFormat="1" x14ac:dyDescent="0.25">
      <c r="D153" s="136"/>
      <c r="G153" s="108"/>
      <c r="L153" s="108"/>
      <c r="O153" s="109"/>
      <c r="P153" s="109"/>
      <c r="Q153" s="109"/>
      <c r="R153" s="109"/>
      <c r="S153" s="109"/>
      <c r="T153" s="110"/>
      <c r="U153" s="111"/>
      <c r="V153" s="111"/>
      <c r="W153" s="111"/>
      <c r="X153" s="111"/>
      <c r="Y153" s="110"/>
      <c r="AB153" s="109"/>
      <c r="AC153" s="109"/>
      <c r="AD153" s="109"/>
      <c r="AE153" s="109"/>
      <c r="AF153" s="109"/>
      <c r="AG153" s="112"/>
      <c r="AH153" s="113"/>
    </row>
    <row r="154" spans="4:34" s="90" customFormat="1" x14ac:dyDescent="0.25">
      <c r="D154" s="136"/>
      <c r="G154" s="108"/>
      <c r="L154" s="108"/>
      <c r="O154" s="109"/>
      <c r="P154" s="109"/>
      <c r="Q154" s="109"/>
      <c r="R154" s="109"/>
      <c r="S154" s="109"/>
      <c r="T154" s="110"/>
      <c r="U154" s="111"/>
      <c r="V154" s="111"/>
      <c r="W154" s="111"/>
      <c r="X154" s="111"/>
      <c r="Y154" s="110"/>
      <c r="AB154" s="109"/>
      <c r="AC154" s="109"/>
      <c r="AD154" s="109"/>
      <c r="AE154" s="109"/>
      <c r="AF154" s="109"/>
      <c r="AG154" s="112"/>
      <c r="AH154" s="113"/>
    </row>
    <row r="155" spans="4:34" s="90" customFormat="1" x14ac:dyDescent="0.25">
      <c r="D155" s="136"/>
      <c r="G155" s="108"/>
      <c r="L155" s="108"/>
      <c r="O155" s="109"/>
      <c r="P155" s="109"/>
      <c r="Q155" s="109"/>
      <c r="R155" s="109"/>
      <c r="S155" s="109"/>
      <c r="T155" s="110"/>
      <c r="U155" s="111"/>
      <c r="V155" s="111"/>
      <c r="W155" s="111"/>
      <c r="X155" s="111"/>
      <c r="Y155" s="110"/>
      <c r="AB155" s="109"/>
      <c r="AC155" s="109"/>
      <c r="AD155" s="109"/>
      <c r="AE155" s="109"/>
      <c r="AF155" s="109"/>
      <c r="AG155" s="112"/>
      <c r="AH155" s="113"/>
    </row>
    <row r="156" spans="4:34" s="90" customFormat="1" x14ac:dyDescent="0.25">
      <c r="D156" s="136"/>
      <c r="G156" s="108"/>
      <c r="L156" s="108"/>
      <c r="O156" s="109"/>
      <c r="P156" s="109"/>
      <c r="Q156" s="109"/>
      <c r="R156" s="109"/>
      <c r="S156" s="109"/>
      <c r="T156" s="110"/>
      <c r="U156" s="111"/>
      <c r="V156" s="111"/>
      <c r="W156" s="111"/>
      <c r="X156" s="111"/>
      <c r="Y156" s="110"/>
      <c r="AB156" s="109"/>
      <c r="AC156" s="109"/>
      <c r="AD156" s="109"/>
      <c r="AE156" s="109"/>
      <c r="AF156" s="109"/>
      <c r="AG156" s="112"/>
      <c r="AH156" s="113"/>
    </row>
    <row r="157" spans="4:34" s="90" customFormat="1" x14ac:dyDescent="0.25">
      <c r="D157" s="136"/>
      <c r="G157" s="108"/>
      <c r="L157" s="108"/>
      <c r="O157" s="109"/>
      <c r="P157" s="109"/>
      <c r="Q157" s="109"/>
      <c r="R157" s="109"/>
      <c r="S157" s="109"/>
      <c r="T157" s="110"/>
      <c r="U157" s="111"/>
      <c r="V157" s="111"/>
      <c r="W157" s="111"/>
      <c r="X157" s="111"/>
      <c r="Y157" s="110"/>
      <c r="AB157" s="109"/>
      <c r="AC157" s="109"/>
      <c r="AD157" s="109"/>
      <c r="AE157" s="109"/>
      <c r="AF157" s="109"/>
      <c r="AG157" s="112"/>
      <c r="AH157" s="113"/>
    </row>
    <row r="158" spans="4:34" s="90" customFormat="1" x14ac:dyDescent="0.25">
      <c r="D158" s="136"/>
      <c r="G158" s="108"/>
      <c r="L158" s="108"/>
      <c r="O158" s="109"/>
      <c r="P158" s="109"/>
      <c r="Q158" s="109"/>
      <c r="R158" s="109"/>
      <c r="S158" s="109"/>
      <c r="T158" s="110"/>
      <c r="U158" s="111"/>
      <c r="V158" s="111"/>
      <c r="W158" s="111"/>
      <c r="X158" s="111"/>
      <c r="Y158" s="110"/>
      <c r="AB158" s="109"/>
      <c r="AC158" s="109"/>
      <c r="AD158" s="109"/>
      <c r="AE158" s="109"/>
      <c r="AF158" s="109"/>
      <c r="AG158" s="112"/>
      <c r="AH158" s="113"/>
    </row>
    <row r="159" spans="4:34" s="90" customFormat="1" x14ac:dyDescent="0.25">
      <c r="D159" s="136"/>
      <c r="G159" s="108"/>
      <c r="L159" s="108"/>
      <c r="O159" s="109"/>
      <c r="P159" s="109"/>
      <c r="Q159" s="109"/>
      <c r="R159" s="109"/>
      <c r="S159" s="109"/>
      <c r="T159" s="110"/>
      <c r="U159" s="111"/>
      <c r="V159" s="111"/>
      <c r="W159" s="111"/>
      <c r="X159" s="111"/>
      <c r="Y159" s="110"/>
      <c r="AB159" s="109"/>
      <c r="AC159" s="109"/>
      <c r="AD159" s="109"/>
      <c r="AE159" s="109"/>
      <c r="AF159" s="109"/>
      <c r="AG159" s="112"/>
      <c r="AH159" s="113"/>
    </row>
    <row r="160" spans="4:34" s="90" customFormat="1" x14ac:dyDescent="0.25">
      <c r="D160" s="136"/>
      <c r="G160" s="108"/>
      <c r="L160" s="108"/>
      <c r="O160" s="109"/>
      <c r="P160" s="109"/>
      <c r="Q160" s="109"/>
      <c r="R160" s="109"/>
      <c r="S160" s="109"/>
      <c r="T160" s="110"/>
      <c r="U160" s="111"/>
      <c r="V160" s="111"/>
      <c r="W160" s="111"/>
      <c r="X160" s="111"/>
      <c r="Y160" s="110"/>
      <c r="AB160" s="109"/>
      <c r="AC160" s="109"/>
      <c r="AD160" s="109"/>
      <c r="AE160" s="109"/>
      <c r="AF160" s="109"/>
      <c r="AG160" s="112"/>
      <c r="AH160" s="113"/>
    </row>
    <row r="161" spans="4:34" s="90" customFormat="1" x14ac:dyDescent="0.25">
      <c r="D161" s="136"/>
      <c r="G161" s="108"/>
      <c r="L161" s="108"/>
      <c r="O161" s="109"/>
      <c r="P161" s="109"/>
      <c r="Q161" s="109"/>
      <c r="R161" s="109"/>
      <c r="S161" s="109"/>
      <c r="T161" s="110"/>
      <c r="U161" s="111"/>
      <c r="V161" s="111"/>
      <c r="W161" s="111"/>
      <c r="X161" s="111"/>
      <c r="Y161" s="110"/>
      <c r="AB161" s="109"/>
      <c r="AC161" s="109"/>
      <c r="AD161" s="109"/>
      <c r="AE161" s="109"/>
      <c r="AF161" s="109"/>
      <c r="AG161" s="112"/>
      <c r="AH161" s="113"/>
    </row>
    <row r="162" spans="4:34" s="90" customFormat="1" x14ac:dyDescent="0.25">
      <c r="D162" s="136"/>
      <c r="G162" s="108"/>
      <c r="L162" s="108"/>
      <c r="O162" s="109"/>
      <c r="P162" s="109"/>
      <c r="Q162" s="109"/>
      <c r="R162" s="109"/>
      <c r="S162" s="109"/>
      <c r="T162" s="110"/>
      <c r="U162" s="111"/>
      <c r="V162" s="111"/>
      <c r="W162" s="111"/>
      <c r="X162" s="111"/>
      <c r="Y162" s="110"/>
      <c r="AB162" s="109"/>
      <c r="AC162" s="109"/>
      <c r="AD162" s="109"/>
      <c r="AE162" s="109"/>
      <c r="AF162" s="109"/>
      <c r="AG162" s="112"/>
      <c r="AH162" s="113"/>
    </row>
    <row r="163" spans="4:34" s="90" customFormat="1" x14ac:dyDescent="0.25">
      <c r="D163" s="136"/>
      <c r="G163" s="108"/>
      <c r="L163" s="108"/>
      <c r="O163" s="109"/>
      <c r="P163" s="109"/>
      <c r="Q163" s="109"/>
      <c r="R163" s="109"/>
      <c r="S163" s="109"/>
      <c r="T163" s="110"/>
      <c r="U163" s="111"/>
      <c r="V163" s="111"/>
      <c r="W163" s="111"/>
      <c r="X163" s="111"/>
      <c r="Y163" s="110"/>
      <c r="AB163" s="109"/>
      <c r="AC163" s="109"/>
      <c r="AD163" s="109"/>
      <c r="AE163" s="109"/>
      <c r="AF163" s="109"/>
      <c r="AG163" s="112"/>
      <c r="AH163" s="113"/>
    </row>
    <row r="164" spans="4:34" s="90" customFormat="1" x14ac:dyDescent="0.25">
      <c r="D164" s="136"/>
      <c r="G164" s="108"/>
      <c r="L164" s="108"/>
      <c r="O164" s="109"/>
      <c r="P164" s="109"/>
      <c r="Q164" s="109"/>
      <c r="R164" s="109"/>
      <c r="S164" s="109"/>
      <c r="T164" s="110"/>
      <c r="U164" s="111"/>
      <c r="V164" s="111"/>
      <c r="W164" s="111"/>
      <c r="X164" s="111"/>
      <c r="Y164" s="110"/>
      <c r="AB164" s="109"/>
      <c r="AC164" s="109"/>
      <c r="AD164" s="109"/>
      <c r="AE164" s="109"/>
      <c r="AF164" s="109"/>
      <c r="AG164" s="112"/>
      <c r="AH164" s="113"/>
    </row>
    <row r="165" spans="4:34" s="90" customFormat="1" x14ac:dyDescent="0.25">
      <c r="D165" s="136"/>
      <c r="G165" s="108"/>
      <c r="L165" s="108"/>
      <c r="O165" s="109"/>
      <c r="P165" s="109"/>
      <c r="Q165" s="109"/>
      <c r="R165" s="109"/>
      <c r="S165" s="109"/>
      <c r="T165" s="110"/>
      <c r="U165" s="111"/>
      <c r="V165" s="111"/>
      <c r="W165" s="111"/>
      <c r="X165" s="111"/>
      <c r="Y165" s="110"/>
      <c r="AB165" s="109"/>
      <c r="AC165" s="109"/>
      <c r="AD165" s="109"/>
      <c r="AE165" s="109"/>
      <c r="AF165" s="109"/>
      <c r="AG165" s="112"/>
      <c r="AH165" s="113"/>
    </row>
    <row r="166" spans="4:34" s="90" customFormat="1" x14ac:dyDescent="0.25">
      <c r="D166" s="136"/>
      <c r="G166" s="108"/>
      <c r="L166" s="108"/>
      <c r="O166" s="109"/>
      <c r="P166" s="109"/>
      <c r="Q166" s="109"/>
      <c r="R166" s="109"/>
      <c r="S166" s="109"/>
      <c r="T166" s="110"/>
      <c r="U166" s="111"/>
      <c r="V166" s="111"/>
      <c r="W166" s="111"/>
      <c r="X166" s="111"/>
      <c r="Y166" s="110"/>
      <c r="AB166" s="109"/>
      <c r="AC166" s="109"/>
      <c r="AD166" s="109"/>
      <c r="AE166" s="109"/>
      <c r="AF166" s="109"/>
      <c r="AG166" s="112"/>
      <c r="AH166" s="113"/>
    </row>
    <row r="167" spans="4:34" s="90" customFormat="1" x14ac:dyDescent="0.25">
      <c r="D167" s="136"/>
      <c r="G167" s="108"/>
      <c r="L167" s="108"/>
      <c r="O167" s="109"/>
      <c r="P167" s="109"/>
      <c r="Q167" s="109"/>
      <c r="R167" s="109"/>
      <c r="S167" s="109"/>
      <c r="T167" s="110"/>
      <c r="U167" s="111"/>
      <c r="V167" s="111"/>
      <c r="W167" s="111"/>
      <c r="X167" s="111"/>
      <c r="Y167" s="110"/>
      <c r="AB167" s="109"/>
      <c r="AC167" s="109"/>
      <c r="AD167" s="109"/>
      <c r="AE167" s="109"/>
      <c r="AF167" s="109"/>
      <c r="AG167" s="112"/>
      <c r="AH167" s="113"/>
    </row>
    <row r="168" spans="4:34" s="90" customFormat="1" x14ac:dyDescent="0.25">
      <c r="D168" s="136"/>
      <c r="G168" s="108"/>
      <c r="L168" s="108"/>
      <c r="O168" s="109"/>
      <c r="P168" s="109"/>
      <c r="Q168" s="109"/>
      <c r="R168" s="109"/>
      <c r="S168" s="109"/>
      <c r="T168" s="110"/>
      <c r="U168" s="111"/>
      <c r="V168" s="111"/>
      <c r="W168" s="111"/>
      <c r="X168" s="111"/>
      <c r="Y168" s="110"/>
      <c r="AB168" s="109"/>
      <c r="AC168" s="109"/>
      <c r="AD168" s="109"/>
      <c r="AE168" s="109"/>
      <c r="AF168" s="109"/>
      <c r="AG168" s="112"/>
      <c r="AH168" s="113"/>
    </row>
    <row r="169" spans="4:34" s="90" customFormat="1" x14ac:dyDescent="0.25">
      <c r="D169" s="136"/>
      <c r="G169" s="108"/>
      <c r="L169" s="108"/>
      <c r="O169" s="109"/>
      <c r="P169" s="109"/>
      <c r="Q169" s="109"/>
      <c r="R169" s="109"/>
      <c r="S169" s="109"/>
      <c r="T169" s="110"/>
      <c r="U169" s="111"/>
      <c r="V169" s="111"/>
      <c r="W169" s="111"/>
      <c r="X169" s="111"/>
      <c r="Y169" s="110"/>
      <c r="AB169" s="109"/>
      <c r="AC169" s="109"/>
      <c r="AD169" s="109"/>
      <c r="AE169" s="109"/>
      <c r="AF169" s="109"/>
      <c r="AG169" s="112"/>
      <c r="AH169" s="113"/>
    </row>
    <row r="170" spans="4:34" s="90" customFormat="1" x14ac:dyDescent="0.25">
      <c r="D170" s="136"/>
      <c r="G170" s="108"/>
      <c r="L170" s="108"/>
      <c r="O170" s="109"/>
      <c r="P170" s="109"/>
      <c r="Q170" s="109"/>
      <c r="R170" s="109"/>
      <c r="S170" s="109"/>
      <c r="T170" s="110"/>
      <c r="U170" s="111"/>
      <c r="V170" s="111"/>
      <c r="W170" s="111"/>
      <c r="X170" s="111"/>
      <c r="Y170" s="110"/>
      <c r="AB170" s="109"/>
      <c r="AC170" s="109"/>
      <c r="AD170" s="109"/>
      <c r="AE170" s="109"/>
      <c r="AF170" s="109"/>
      <c r="AG170" s="112"/>
      <c r="AH170" s="113"/>
    </row>
    <row r="171" spans="4:34" s="90" customFormat="1" x14ac:dyDescent="0.25">
      <c r="D171" s="136"/>
      <c r="G171" s="108"/>
      <c r="L171" s="108"/>
      <c r="O171" s="109"/>
      <c r="P171" s="109"/>
      <c r="Q171" s="109"/>
      <c r="R171" s="109"/>
      <c r="S171" s="109"/>
      <c r="T171" s="110"/>
      <c r="U171" s="111"/>
      <c r="V171" s="111"/>
      <c r="W171" s="111"/>
      <c r="X171" s="111"/>
      <c r="Y171" s="110"/>
      <c r="AB171" s="109"/>
      <c r="AC171" s="109"/>
      <c r="AD171" s="109"/>
      <c r="AE171" s="109"/>
      <c r="AF171" s="109"/>
      <c r="AG171" s="112"/>
      <c r="AH171" s="113"/>
    </row>
    <row r="172" spans="4:34" s="90" customFormat="1" x14ac:dyDescent="0.25">
      <c r="D172" s="136"/>
      <c r="G172" s="108"/>
      <c r="L172" s="108"/>
      <c r="O172" s="109"/>
      <c r="P172" s="109"/>
      <c r="Q172" s="109"/>
      <c r="R172" s="109"/>
      <c r="S172" s="109"/>
      <c r="T172" s="110"/>
      <c r="U172" s="111"/>
      <c r="V172" s="111"/>
      <c r="W172" s="111"/>
      <c r="X172" s="111"/>
      <c r="Y172" s="110"/>
      <c r="AB172" s="109"/>
      <c r="AC172" s="109"/>
      <c r="AD172" s="109"/>
      <c r="AE172" s="109"/>
      <c r="AF172" s="109"/>
      <c r="AG172" s="112"/>
      <c r="AH172" s="113"/>
    </row>
    <row r="173" spans="4:34" s="90" customFormat="1" x14ac:dyDescent="0.25">
      <c r="D173" s="136"/>
      <c r="G173" s="108"/>
      <c r="L173" s="108"/>
      <c r="O173" s="109"/>
      <c r="P173" s="109"/>
      <c r="Q173" s="109"/>
      <c r="R173" s="109"/>
      <c r="S173" s="109"/>
      <c r="T173" s="110"/>
      <c r="U173" s="111"/>
      <c r="V173" s="111"/>
      <c r="W173" s="111"/>
      <c r="X173" s="111"/>
      <c r="Y173" s="110"/>
      <c r="AB173" s="109"/>
      <c r="AC173" s="109"/>
      <c r="AD173" s="109"/>
      <c r="AE173" s="109"/>
      <c r="AF173" s="109"/>
      <c r="AG173" s="112"/>
      <c r="AH173" s="113"/>
    </row>
    <row r="174" spans="4:34" s="90" customFormat="1" x14ac:dyDescent="0.25">
      <c r="D174" s="136"/>
      <c r="G174" s="108"/>
      <c r="L174" s="108"/>
      <c r="O174" s="109"/>
      <c r="P174" s="109"/>
      <c r="Q174" s="109"/>
      <c r="R174" s="109"/>
      <c r="S174" s="109"/>
      <c r="T174" s="110"/>
      <c r="U174" s="111"/>
      <c r="V174" s="111"/>
      <c r="W174" s="111"/>
      <c r="X174" s="111"/>
      <c r="Y174" s="110"/>
      <c r="AB174" s="109"/>
      <c r="AC174" s="109"/>
      <c r="AD174" s="109"/>
      <c r="AE174" s="109"/>
      <c r="AF174" s="109"/>
      <c r="AG174" s="112"/>
      <c r="AH174" s="113"/>
    </row>
    <row r="175" spans="4:34" s="90" customFormat="1" x14ac:dyDescent="0.25">
      <c r="D175" s="136"/>
      <c r="G175" s="108"/>
      <c r="L175" s="108"/>
      <c r="O175" s="109"/>
      <c r="P175" s="109"/>
      <c r="Q175" s="109"/>
      <c r="R175" s="109"/>
      <c r="S175" s="109"/>
      <c r="T175" s="110"/>
      <c r="U175" s="111"/>
      <c r="V175" s="111"/>
      <c r="W175" s="111"/>
      <c r="X175" s="111"/>
      <c r="Y175" s="110"/>
      <c r="AB175" s="109"/>
      <c r="AC175" s="109"/>
      <c r="AD175" s="109"/>
      <c r="AE175" s="109"/>
      <c r="AF175" s="109"/>
      <c r="AG175" s="112"/>
      <c r="AH175" s="113"/>
    </row>
    <row r="176" spans="4:34" s="90" customFormat="1" x14ac:dyDescent="0.25">
      <c r="D176" s="136"/>
      <c r="G176" s="108"/>
      <c r="L176" s="108"/>
      <c r="O176" s="109"/>
      <c r="P176" s="109"/>
      <c r="Q176" s="109"/>
      <c r="R176" s="109"/>
      <c r="S176" s="109"/>
      <c r="T176" s="110"/>
      <c r="U176" s="111"/>
      <c r="V176" s="111"/>
      <c r="W176" s="111"/>
      <c r="X176" s="111"/>
      <c r="Y176" s="110"/>
      <c r="AB176" s="109"/>
      <c r="AC176" s="109"/>
      <c r="AD176" s="109"/>
      <c r="AE176" s="109"/>
      <c r="AF176" s="109"/>
      <c r="AG176" s="112"/>
      <c r="AH176" s="113"/>
    </row>
    <row r="177" spans="4:34" s="90" customFormat="1" x14ac:dyDescent="0.25">
      <c r="D177" s="136"/>
      <c r="G177" s="108"/>
      <c r="L177" s="108"/>
      <c r="O177" s="109"/>
      <c r="P177" s="109"/>
      <c r="Q177" s="109"/>
      <c r="R177" s="109"/>
      <c r="S177" s="109"/>
      <c r="T177" s="110"/>
      <c r="U177" s="111"/>
      <c r="V177" s="111"/>
      <c r="W177" s="111"/>
      <c r="X177" s="111"/>
      <c r="Y177" s="110"/>
      <c r="AB177" s="109"/>
      <c r="AC177" s="109"/>
      <c r="AD177" s="109"/>
      <c r="AE177" s="109"/>
      <c r="AF177" s="109"/>
      <c r="AG177" s="112"/>
      <c r="AH177" s="113"/>
    </row>
    <row r="178" spans="4:34" s="90" customFormat="1" x14ac:dyDescent="0.25">
      <c r="D178" s="136"/>
      <c r="G178" s="108"/>
      <c r="L178" s="108"/>
      <c r="O178" s="109"/>
      <c r="P178" s="109"/>
      <c r="Q178" s="109"/>
      <c r="R178" s="109"/>
      <c r="S178" s="109"/>
      <c r="T178" s="110"/>
      <c r="U178" s="111"/>
      <c r="V178" s="111"/>
      <c r="W178" s="111"/>
      <c r="X178" s="111"/>
      <c r="Y178" s="110"/>
      <c r="AB178" s="109"/>
      <c r="AC178" s="109"/>
      <c r="AD178" s="109"/>
      <c r="AE178" s="109"/>
      <c r="AF178" s="109"/>
      <c r="AG178" s="112"/>
      <c r="AH178" s="113"/>
    </row>
    <row r="179" spans="4:34" s="90" customFormat="1" x14ac:dyDescent="0.25">
      <c r="D179" s="136"/>
      <c r="G179" s="108"/>
      <c r="L179" s="108"/>
      <c r="O179" s="109"/>
      <c r="P179" s="109"/>
      <c r="Q179" s="109"/>
      <c r="R179" s="109"/>
      <c r="S179" s="109"/>
      <c r="T179" s="110"/>
      <c r="U179" s="111"/>
      <c r="V179" s="111"/>
      <c r="W179" s="111"/>
      <c r="X179" s="111"/>
      <c r="Y179" s="110"/>
      <c r="AB179" s="109"/>
      <c r="AC179" s="109"/>
      <c r="AD179" s="109"/>
      <c r="AE179" s="109"/>
      <c r="AF179" s="109"/>
      <c r="AG179" s="112"/>
      <c r="AH179" s="113"/>
    </row>
    <row r="180" spans="4:34" s="90" customFormat="1" x14ac:dyDescent="0.25">
      <c r="D180" s="136"/>
      <c r="G180" s="108"/>
      <c r="L180" s="108"/>
      <c r="O180" s="109"/>
      <c r="P180" s="109"/>
      <c r="Q180" s="109"/>
      <c r="R180" s="109"/>
      <c r="S180" s="109"/>
      <c r="T180" s="110"/>
      <c r="U180" s="111"/>
      <c r="V180" s="111"/>
      <c r="W180" s="111"/>
      <c r="X180" s="111"/>
      <c r="Y180" s="110"/>
      <c r="AB180" s="109"/>
      <c r="AC180" s="109"/>
      <c r="AD180" s="109"/>
      <c r="AE180" s="109"/>
      <c r="AF180" s="109"/>
      <c r="AG180" s="112"/>
      <c r="AH180" s="113"/>
    </row>
    <row r="181" spans="4:34" s="90" customFormat="1" x14ac:dyDescent="0.25">
      <c r="D181" s="136"/>
      <c r="G181" s="108"/>
      <c r="L181" s="108"/>
      <c r="O181" s="109"/>
      <c r="P181" s="109"/>
      <c r="Q181" s="109"/>
      <c r="R181" s="109"/>
      <c r="S181" s="109"/>
      <c r="T181" s="110"/>
      <c r="U181" s="111"/>
      <c r="V181" s="111"/>
      <c r="W181" s="111"/>
      <c r="X181" s="111"/>
      <c r="Y181" s="110"/>
      <c r="AB181" s="109"/>
      <c r="AC181" s="109"/>
      <c r="AD181" s="109"/>
      <c r="AE181" s="109"/>
      <c r="AF181" s="109"/>
      <c r="AG181" s="112"/>
      <c r="AH181" s="113"/>
    </row>
    <row r="182" spans="4:34" s="90" customFormat="1" x14ac:dyDescent="0.25">
      <c r="D182" s="136"/>
      <c r="G182" s="108"/>
      <c r="L182" s="108"/>
      <c r="O182" s="109"/>
      <c r="P182" s="109"/>
      <c r="Q182" s="109"/>
      <c r="R182" s="109"/>
      <c r="S182" s="109"/>
      <c r="T182" s="110"/>
      <c r="U182" s="111"/>
      <c r="V182" s="111"/>
      <c r="W182" s="111"/>
      <c r="X182" s="111"/>
      <c r="Y182" s="110"/>
      <c r="AB182" s="109"/>
      <c r="AC182" s="109"/>
      <c r="AD182" s="109"/>
      <c r="AE182" s="109"/>
      <c r="AF182" s="109"/>
      <c r="AG182" s="112"/>
      <c r="AH182" s="113"/>
    </row>
    <row r="183" spans="4:34" s="90" customFormat="1" x14ac:dyDescent="0.25">
      <c r="D183" s="136"/>
      <c r="G183" s="108"/>
      <c r="L183" s="108"/>
      <c r="O183" s="109"/>
      <c r="P183" s="109"/>
      <c r="Q183" s="109"/>
      <c r="R183" s="109"/>
      <c r="S183" s="109"/>
      <c r="T183" s="110"/>
      <c r="U183" s="111"/>
      <c r="V183" s="111"/>
      <c r="W183" s="111"/>
      <c r="X183" s="111"/>
      <c r="Y183" s="110"/>
      <c r="AB183" s="109"/>
      <c r="AC183" s="109"/>
      <c r="AD183" s="109"/>
      <c r="AE183" s="109"/>
      <c r="AF183" s="109"/>
      <c r="AG183" s="112"/>
      <c r="AH183" s="113"/>
    </row>
    <row r="184" spans="4:34" s="90" customFormat="1" x14ac:dyDescent="0.25">
      <c r="D184" s="136"/>
      <c r="G184" s="108"/>
      <c r="L184" s="108"/>
      <c r="O184" s="109"/>
      <c r="P184" s="109"/>
      <c r="Q184" s="109"/>
      <c r="R184" s="109"/>
      <c r="S184" s="109"/>
      <c r="T184" s="110"/>
      <c r="U184" s="111"/>
      <c r="V184" s="111"/>
      <c r="W184" s="111"/>
      <c r="X184" s="111"/>
      <c r="Y184" s="110"/>
      <c r="AB184" s="109"/>
      <c r="AC184" s="109"/>
      <c r="AD184" s="109"/>
      <c r="AE184" s="109"/>
      <c r="AF184" s="109"/>
      <c r="AG184" s="112"/>
      <c r="AH184" s="113"/>
    </row>
    <row r="185" spans="4:34" s="90" customFormat="1" x14ac:dyDescent="0.25">
      <c r="D185" s="136"/>
      <c r="G185" s="108"/>
      <c r="L185" s="108"/>
      <c r="O185" s="109"/>
      <c r="P185" s="109"/>
      <c r="Q185" s="109"/>
      <c r="R185" s="109"/>
      <c r="S185" s="109"/>
      <c r="T185" s="110"/>
      <c r="U185" s="111"/>
      <c r="V185" s="111"/>
      <c r="W185" s="111"/>
      <c r="X185" s="111"/>
      <c r="Y185" s="110"/>
      <c r="AB185" s="109"/>
      <c r="AC185" s="109"/>
      <c r="AD185" s="109"/>
      <c r="AE185" s="109"/>
      <c r="AF185" s="109"/>
      <c r="AG185" s="112"/>
      <c r="AH185" s="113"/>
    </row>
    <row r="186" spans="4:34" s="90" customFormat="1" x14ac:dyDescent="0.25">
      <c r="D186" s="136"/>
      <c r="G186" s="108"/>
      <c r="L186" s="108"/>
      <c r="O186" s="109"/>
      <c r="P186" s="109"/>
      <c r="Q186" s="109"/>
      <c r="R186" s="109"/>
      <c r="S186" s="109"/>
      <c r="T186" s="110"/>
      <c r="U186" s="111"/>
      <c r="V186" s="111"/>
      <c r="W186" s="111"/>
      <c r="X186" s="111"/>
      <c r="Y186" s="110"/>
      <c r="AB186" s="109"/>
      <c r="AC186" s="109"/>
      <c r="AD186" s="109"/>
      <c r="AE186" s="109"/>
      <c r="AF186" s="109"/>
      <c r="AG186" s="112"/>
      <c r="AH186" s="113"/>
    </row>
    <row r="187" spans="4:34" s="90" customFormat="1" x14ac:dyDescent="0.25">
      <c r="D187" s="136"/>
      <c r="G187" s="108"/>
      <c r="L187" s="108"/>
      <c r="O187" s="109"/>
      <c r="P187" s="109"/>
      <c r="Q187" s="109"/>
      <c r="R187" s="109"/>
      <c r="S187" s="109"/>
      <c r="T187" s="110"/>
      <c r="U187" s="111"/>
      <c r="V187" s="111"/>
      <c r="W187" s="111"/>
      <c r="X187" s="111"/>
      <c r="Y187" s="110"/>
      <c r="AB187" s="109"/>
      <c r="AC187" s="109"/>
      <c r="AD187" s="109"/>
      <c r="AE187" s="109"/>
      <c r="AF187" s="109"/>
      <c r="AG187" s="112"/>
      <c r="AH187" s="113"/>
    </row>
    <row r="188" spans="4:34" s="90" customFormat="1" x14ac:dyDescent="0.25">
      <c r="D188" s="136"/>
      <c r="G188" s="108"/>
      <c r="L188" s="108"/>
      <c r="O188" s="109"/>
      <c r="P188" s="109"/>
      <c r="Q188" s="109"/>
      <c r="R188" s="109"/>
      <c r="S188" s="109"/>
      <c r="T188" s="110"/>
      <c r="U188" s="111"/>
      <c r="V188" s="111"/>
      <c r="W188" s="111"/>
      <c r="X188" s="111"/>
      <c r="Y188" s="110"/>
      <c r="AB188" s="109"/>
      <c r="AC188" s="109"/>
      <c r="AD188" s="109"/>
      <c r="AE188" s="109"/>
      <c r="AF188" s="109"/>
      <c r="AG188" s="112"/>
      <c r="AH188" s="113"/>
    </row>
    <row r="189" spans="4:34" s="90" customFormat="1" x14ac:dyDescent="0.25">
      <c r="D189" s="136"/>
      <c r="G189" s="108"/>
      <c r="L189" s="108"/>
      <c r="O189" s="109"/>
      <c r="P189" s="109"/>
      <c r="Q189" s="109"/>
      <c r="R189" s="109"/>
      <c r="S189" s="109"/>
      <c r="T189" s="110"/>
      <c r="U189" s="111"/>
      <c r="V189" s="111"/>
      <c r="W189" s="111"/>
      <c r="X189" s="111"/>
      <c r="Y189" s="110"/>
      <c r="AB189" s="109"/>
      <c r="AC189" s="109"/>
      <c r="AD189" s="109"/>
      <c r="AE189" s="109"/>
      <c r="AF189" s="109"/>
      <c r="AG189" s="112"/>
      <c r="AH189" s="113"/>
    </row>
    <row r="190" spans="4:34" s="90" customFormat="1" x14ac:dyDescent="0.25">
      <c r="D190" s="136"/>
      <c r="G190" s="108"/>
      <c r="L190" s="108"/>
      <c r="O190" s="109"/>
      <c r="P190" s="109"/>
      <c r="Q190" s="109"/>
      <c r="R190" s="109"/>
      <c r="S190" s="109"/>
      <c r="T190" s="110"/>
      <c r="U190" s="111"/>
      <c r="V190" s="111"/>
      <c r="W190" s="111"/>
      <c r="X190" s="111"/>
      <c r="Y190" s="110"/>
      <c r="AB190" s="109"/>
      <c r="AC190" s="109"/>
      <c r="AD190" s="109"/>
      <c r="AE190" s="109"/>
      <c r="AF190" s="109"/>
      <c r="AG190" s="112"/>
      <c r="AH190" s="113"/>
    </row>
    <row r="191" spans="4:34" s="90" customFormat="1" x14ac:dyDescent="0.25">
      <c r="D191" s="136"/>
      <c r="G191" s="108"/>
      <c r="L191" s="108"/>
      <c r="O191" s="109"/>
      <c r="P191" s="109"/>
      <c r="Q191" s="109"/>
      <c r="R191" s="109"/>
      <c r="S191" s="109"/>
      <c r="T191" s="110"/>
      <c r="U191" s="111"/>
      <c r="V191" s="111"/>
      <c r="W191" s="111"/>
      <c r="X191" s="111"/>
      <c r="Y191" s="110"/>
      <c r="AB191" s="109"/>
      <c r="AC191" s="109"/>
      <c r="AD191" s="109"/>
      <c r="AE191" s="109"/>
      <c r="AF191" s="109"/>
      <c r="AG191" s="112"/>
      <c r="AH191" s="113"/>
    </row>
    <row r="192" spans="4:34" s="90" customFormat="1" x14ac:dyDescent="0.25">
      <c r="D192" s="136"/>
      <c r="G192" s="108"/>
      <c r="L192" s="108"/>
      <c r="O192" s="109"/>
      <c r="P192" s="109"/>
      <c r="Q192" s="109"/>
      <c r="R192" s="109"/>
      <c r="S192" s="109"/>
      <c r="T192" s="110"/>
      <c r="U192" s="111"/>
      <c r="V192" s="111"/>
      <c r="W192" s="111"/>
      <c r="X192" s="111"/>
      <c r="Y192" s="110"/>
      <c r="AB192" s="109"/>
      <c r="AC192" s="109"/>
      <c r="AD192" s="109"/>
      <c r="AE192" s="109"/>
      <c r="AF192" s="109"/>
      <c r="AG192" s="112"/>
      <c r="AH192" s="113"/>
    </row>
    <row r="193" spans="4:34" s="90" customFormat="1" x14ac:dyDescent="0.25">
      <c r="D193" s="136"/>
      <c r="G193" s="108"/>
      <c r="L193" s="108"/>
      <c r="O193" s="109"/>
      <c r="P193" s="109"/>
      <c r="Q193" s="109"/>
      <c r="R193" s="109"/>
      <c r="S193" s="109"/>
      <c r="T193" s="110"/>
      <c r="U193" s="111"/>
      <c r="V193" s="111"/>
      <c r="W193" s="111"/>
      <c r="X193" s="111"/>
      <c r="Y193" s="110"/>
      <c r="AB193" s="109"/>
      <c r="AC193" s="109"/>
      <c r="AD193" s="109"/>
      <c r="AE193" s="109"/>
      <c r="AF193" s="109"/>
      <c r="AG193" s="112"/>
      <c r="AH193" s="113"/>
    </row>
    <row r="194" spans="4:34" s="90" customFormat="1" x14ac:dyDescent="0.25">
      <c r="D194" s="136"/>
      <c r="G194" s="108"/>
      <c r="L194" s="108"/>
      <c r="O194" s="109"/>
      <c r="P194" s="109"/>
      <c r="Q194" s="109"/>
      <c r="R194" s="109"/>
      <c r="S194" s="109"/>
      <c r="T194" s="110"/>
      <c r="U194" s="111"/>
      <c r="V194" s="111"/>
      <c r="W194" s="111"/>
      <c r="X194" s="111"/>
      <c r="Y194" s="110"/>
      <c r="AB194" s="109"/>
      <c r="AC194" s="109"/>
      <c r="AD194" s="109"/>
      <c r="AE194" s="109"/>
      <c r="AF194" s="109"/>
      <c r="AG194" s="112"/>
      <c r="AH194" s="113"/>
    </row>
    <row r="195" spans="4:34" s="90" customFormat="1" x14ac:dyDescent="0.25">
      <c r="D195" s="136"/>
      <c r="G195" s="108"/>
      <c r="L195" s="108"/>
      <c r="O195" s="109"/>
      <c r="P195" s="109"/>
      <c r="Q195" s="109"/>
      <c r="R195" s="109"/>
      <c r="S195" s="109"/>
      <c r="T195" s="110"/>
      <c r="U195" s="111"/>
      <c r="V195" s="111"/>
      <c r="W195" s="111"/>
      <c r="X195" s="111"/>
      <c r="Y195" s="110"/>
      <c r="AB195" s="109"/>
      <c r="AC195" s="109"/>
      <c r="AD195" s="109"/>
      <c r="AE195" s="109"/>
      <c r="AF195" s="109"/>
      <c r="AG195" s="112"/>
      <c r="AH195" s="113"/>
    </row>
    <row r="196" spans="4:34" s="90" customFormat="1" x14ac:dyDescent="0.25">
      <c r="D196" s="136"/>
      <c r="G196" s="108"/>
      <c r="L196" s="108"/>
      <c r="O196" s="109"/>
      <c r="P196" s="109"/>
      <c r="Q196" s="109"/>
      <c r="R196" s="109"/>
      <c r="S196" s="109"/>
      <c r="T196" s="110"/>
      <c r="U196" s="111"/>
      <c r="V196" s="111"/>
      <c r="W196" s="111"/>
      <c r="X196" s="111"/>
      <c r="Y196" s="110"/>
      <c r="AB196" s="109"/>
      <c r="AC196" s="109"/>
      <c r="AD196" s="109"/>
      <c r="AE196" s="109"/>
      <c r="AF196" s="109"/>
      <c r="AG196" s="112"/>
      <c r="AH196" s="113"/>
    </row>
    <row r="197" spans="4:34" s="90" customFormat="1" x14ac:dyDescent="0.25">
      <c r="D197" s="136"/>
      <c r="G197" s="108"/>
      <c r="L197" s="108"/>
      <c r="O197" s="109"/>
      <c r="P197" s="109"/>
      <c r="Q197" s="109"/>
      <c r="R197" s="109"/>
      <c r="S197" s="109"/>
      <c r="T197" s="110"/>
      <c r="U197" s="111"/>
      <c r="V197" s="111"/>
      <c r="W197" s="111"/>
      <c r="X197" s="111"/>
      <c r="Y197" s="110"/>
      <c r="AB197" s="109"/>
      <c r="AC197" s="109"/>
      <c r="AD197" s="109"/>
      <c r="AE197" s="109"/>
      <c r="AF197" s="109"/>
      <c r="AG197" s="112"/>
      <c r="AH197" s="113"/>
    </row>
    <row r="198" spans="4:34" s="90" customFormat="1" x14ac:dyDescent="0.25">
      <c r="D198" s="136"/>
      <c r="G198" s="108"/>
      <c r="L198" s="108"/>
      <c r="O198" s="109"/>
      <c r="P198" s="109"/>
      <c r="Q198" s="109"/>
      <c r="R198" s="109"/>
      <c r="S198" s="109"/>
      <c r="T198" s="110"/>
      <c r="U198" s="111"/>
      <c r="V198" s="111"/>
      <c r="W198" s="111"/>
      <c r="X198" s="111"/>
      <c r="Y198" s="110"/>
      <c r="AB198" s="109"/>
      <c r="AC198" s="109"/>
      <c r="AD198" s="109"/>
      <c r="AE198" s="109"/>
      <c r="AF198" s="109"/>
      <c r="AG198" s="112"/>
      <c r="AH198" s="113"/>
    </row>
    <row r="199" spans="4:34" s="90" customFormat="1" x14ac:dyDescent="0.25">
      <c r="D199" s="136"/>
      <c r="G199" s="108"/>
      <c r="L199" s="108"/>
      <c r="O199" s="109"/>
      <c r="P199" s="109"/>
      <c r="Q199" s="109"/>
      <c r="R199" s="109"/>
      <c r="S199" s="109"/>
      <c r="T199" s="110"/>
      <c r="U199" s="111"/>
      <c r="V199" s="111"/>
      <c r="W199" s="111"/>
      <c r="X199" s="111"/>
      <c r="Y199" s="110"/>
      <c r="AB199" s="109"/>
      <c r="AC199" s="109"/>
      <c r="AD199" s="109"/>
      <c r="AE199" s="109"/>
      <c r="AF199" s="109"/>
      <c r="AG199" s="112"/>
      <c r="AH199" s="113"/>
    </row>
    <row r="200" spans="4:34" s="90" customFormat="1" x14ac:dyDescent="0.25">
      <c r="D200" s="136"/>
      <c r="G200" s="108"/>
      <c r="L200" s="108"/>
      <c r="O200" s="109"/>
      <c r="P200" s="109"/>
      <c r="Q200" s="109"/>
      <c r="R200" s="109"/>
      <c r="S200" s="109"/>
      <c r="T200" s="110"/>
      <c r="U200" s="111"/>
      <c r="V200" s="111"/>
      <c r="W200" s="111"/>
      <c r="X200" s="111"/>
      <c r="Y200" s="110"/>
      <c r="AB200" s="109"/>
      <c r="AC200" s="109"/>
      <c r="AD200" s="109"/>
      <c r="AE200" s="109"/>
      <c r="AF200" s="109"/>
      <c r="AG200" s="112"/>
      <c r="AH200" s="113"/>
    </row>
    <row r="201" spans="4:34" s="90" customFormat="1" x14ac:dyDescent="0.25">
      <c r="D201" s="136"/>
      <c r="G201" s="108"/>
      <c r="L201" s="108"/>
      <c r="O201" s="109"/>
      <c r="P201" s="109"/>
      <c r="Q201" s="109"/>
      <c r="R201" s="109"/>
      <c r="S201" s="109"/>
      <c r="T201" s="110"/>
      <c r="U201" s="111"/>
      <c r="V201" s="111"/>
      <c r="W201" s="111"/>
      <c r="X201" s="111"/>
      <c r="Y201" s="110"/>
      <c r="AB201" s="109"/>
      <c r="AC201" s="109"/>
      <c r="AD201" s="109"/>
      <c r="AE201" s="109"/>
      <c r="AF201" s="109"/>
      <c r="AG201" s="112"/>
      <c r="AH201" s="113"/>
    </row>
    <row r="202" spans="4:34" s="90" customFormat="1" x14ac:dyDescent="0.25">
      <c r="D202" s="136"/>
      <c r="G202" s="108"/>
      <c r="L202" s="108"/>
      <c r="O202" s="109"/>
      <c r="P202" s="109"/>
      <c r="Q202" s="109"/>
      <c r="R202" s="109"/>
      <c r="S202" s="109"/>
      <c r="T202" s="110"/>
      <c r="U202" s="111"/>
      <c r="V202" s="111"/>
      <c r="W202" s="111"/>
      <c r="X202" s="111"/>
      <c r="Y202" s="110"/>
      <c r="AB202" s="109"/>
      <c r="AC202" s="109"/>
      <c r="AD202" s="109"/>
      <c r="AE202" s="109"/>
      <c r="AF202" s="109"/>
      <c r="AG202" s="112"/>
      <c r="AH202" s="113"/>
    </row>
    <row r="203" spans="4:34" s="90" customFormat="1" x14ac:dyDescent="0.25">
      <c r="D203" s="136"/>
      <c r="G203" s="108"/>
      <c r="L203" s="108"/>
      <c r="O203" s="109"/>
      <c r="P203" s="109"/>
      <c r="Q203" s="109"/>
      <c r="R203" s="109"/>
      <c r="S203" s="109"/>
      <c r="T203" s="110"/>
      <c r="U203" s="111"/>
      <c r="V203" s="111"/>
      <c r="W203" s="111"/>
      <c r="X203" s="111"/>
      <c r="Y203" s="110"/>
      <c r="AB203" s="109"/>
      <c r="AC203" s="109"/>
      <c r="AD203" s="109"/>
      <c r="AE203" s="109"/>
      <c r="AF203" s="109"/>
      <c r="AG203" s="112"/>
      <c r="AH203" s="113"/>
    </row>
    <row r="204" spans="4:34" s="90" customFormat="1" x14ac:dyDescent="0.25">
      <c r="D204" s="136"/>
      <c r="G204" s="108"/>
      <c r="L204" s="108"/>
      <c r="O204" s="109"/>
      <c r="P204" s="109"/>
      <c r="Q204" s="109"/>
      <c r="R204" s="109"/>
      <c r="S204" s="109"/>
      <c r="T204" s="110"/>
      <c r="U204" s="111"/>
      <c r="V204" s="111"/>
      <c r="W204" s="111"/>
      <c r="X204" s="111"/>
      <c r="Y204" s="110"/>
      <c r="AB204" s="109"/>
      <c r="AC204" s="109"/>
      <c r="AD204" s="109"/>
      <c r="AE204" s="109"/>
      <c r="AF204" s="109"/>
      <c r="AG204" s="112"/>
      <c r="AH204" s="113"/>
    </row>
    <row r="205" spans="4:34" s="90" customFormat="1" x14ac:dyDescent="0.25">
      <c r="D205" s="136"/>
      <c r="G205" s="108"/>
      <c r="L205" s="108"/>
      <c r="O205" s="109"/>
      <c r="P205" s="109"/>
      <c r="Q205" s="109"/>
      <c r="R205" s="109"/>
      <c r="S205" s="109"/>
      <c r="T205" s="110"/>
      <c r="U205" s="111"/>
      <c r="V205" s="111"/>
      <c r="W205" s="111"/>
      <c r="X205" s="111"/>
      <c r="Y205" s="110"/>
      <c r="AB205" s="109"/>
      <c r="AC205" s="109"/>
      <c r="AD205" s="109"/>
      <c r="AE205" s="109"/>
      <c r="AF205" s="109"/>
      <c r="AG205" s="112"/>
      <c r="AH205" s="113"/>
    </row>
    <row r="206" spans="4:34" s="90" customFormat="1" x14ac:dyDescent="0.25">
      <c r="D206" s="136"/>
      <c r="G206" s="108"/>
      <c r="L206" s="108"/>
      <c r="O206" s="109"/>
      <c r="P206" s="109"/>
      <c r="Q206" s="109"/>
      <c r="R206" s="109"/>
      <c r="S206" s="109"/>
      <c r="T206" s="110"/>
      <c r="U206" s="111"/>
      <c r="V206" s="111"/>
      <c r="W206" s="111"/>
      <c r="X206" s="111"/>
      <c r="Y206" s="110"/>
      <c r="AB206" s="109"/>
      <c r="AC206" s="109"/>
      <c r="AD206" s="109"/>
      <c r="AE206" s="109"/>
      <c r="AF206" s="109"/>
      <c r="AG206" s="112"/>
      <c r="AH206" s="113"/>
    </row>
    <row r="207" spans="4:34" s="90" customFormat="1" x14ac:dyDescent="0.25">
      <c r="D207" s="136"/>
      <c r="G207" s="108"/>
      <c r="L207" s="108"/>
      <c r="O207" s="109"/>
      <c r="P207" s="109"/>
      <c r="Q207" s="109"/>
      <c r="R207" s="109"/>
      <c r="S207" s="109"/>
      <c r="T207" s="110"/>
      <c r="U207" s="111"/>
      <c r="V207" s="111"/>
      <c r="W207" s="111"/>
      <c r="X207" s="111"/>
      <c r="Y207" s="110"/>
      <c r="AB207" s="109"/>
      <c r="AC207" s="109"/>
      <c r="AD207" s="109"/>
      <c r="AE207" s="109"/>
      <c r="AF207" s="109"/>
      <c r="AG207" s="112"/>
      <c r="AH207" s="113"/>
    </row>
    <row r="208" spans="4:34" s="90" customFormat="1" x14ac:dyDescent="0.25">
      <c r="D208" s="136"/>
      <c r="G208" s="108"/>
      <c r="L208" s="108"/>
      <c r="O208" s="109"/>
      <c r="P208" s="109"/>
      <c r="Q208" s="109"/>
      <c r="R208" s="109"/>
      <c r="S208" s="109"/>
      <c r="T208" s="110"/>
      <c r="U208" s="111"/>
      <c r="V208" s="111"/>
      <c r="W208" s="111"/>
      <c r="X208" s="111"/>
      <c r="Y208" s="110"/>
      <c r="AB208" s="109"/>
      <c r="AC208" s="109"/>
      <c r="AD208" s="109"/>
      <c r="AE208" s="109"/>
      <c r="AF208" s="109"/>
      <c r="AG208" s="112"/>
      <c r="AH208" s="113"/>
    </row>
    <row r="209" spans="4:34" s="90" customFormat="1" x14ac:dyDescent="0.25">
      <c r="D209" s="136"/>
      <c r="G209" s="108"/>
      <c r="L209" s="108"/>
      <c r="O209" s="109"/>
      <c r="P209" s="109"/>
      <c r="Q209" s="109"/>
      <c r="R209" s="109"/>
      <c r="S209" s="109"/>
      <c r="T209" s="110"/>
      <c r="U209" s="111"/>
      <c r="V209" s="111"/>
      <c r="W209" s="111"/>
      <c r="X209" s="111"/>
      <c r="Y209" s="110"/>
      <c r="AB209" s="109"/>
      <c r="AC209" s="109"/>
      <c r="AD209" s="109"/>
      <c r="AE209" s="109"/>
      <c r="AF209" s="109"/>
      <c r="AG209" s="112"/>
      <c r="AH209" s="113"/>
    </row>
    <row r="210" spans="4:34" s="90" customFormat="1" x14ac:dyDescent="0.25">
      <c r="D210" s="136"/>
      <c r="G210" s="108"/>
      <c r="L210" s="108"/>
      <c r="O210" s="109"/>
      <c r="P210" s="109"/>
      <c r="Q210" s="109"/>
      <c r="R210" s="109"/>
      <c r="S210" s="109"/>
      <c r="T210" s="110"/>
      <c r="U210" s="111"/>
      <c r="V210" s="111"/>
      <c r="W210" s="111"/>
      <c r="X210" s="111"/>
      <c r="Y210" s="110"/>
      <c r="AB210" s="109"/>
      <c r="AC210" s="109"/>
      <c r="AD210" s="109"/>
      <c r="AE210" s="109"/>
      <c r="AF210" s="109"/>
      <c r="AG210" s="112"/>
      <c r="AH210" s="113"/>
    </row>
    <row r="211" spans="4:34" s="90" customFormat="1" x14ac:dyDescent="0.25">
      <c r="D211" s="136"/>
      <c r="G211" s="108"/>
      <c r="L211" s="108"/>
      <c r="O211" s="109"/>
      <c r="P211" s="109"/>
      <c r="Q211" s="109"/>
      <c r="R211" s="109"/>
      <c r="S211" s="109"/>
      <c r="T211" s="110"/>
      <c r="U211" s="111"/>
      <c r="V211" s="111"/>
      <c r="W211" s="111"/>
      <c r="X211" s="111"/>
      <c r="Y211" s="110"/>
      <c r="AB211" s="109"/>
      <c r="AC211" s="109"/>
      <c r="AD211" s="109"/>
      <c r="AE211" s="109"/>
      <c r="AF211" s="109"/>
      <c r="AG211" s="112"/>
      <c r="AH211" s="113"/>
    </row>
    <row r="212" spans="4:34" s="90" customFormat="1" x14ac:dyDescent="0.25">
      <c r="D212" s="136"/>
      <c r="G212" s="108"/>
      <c r="L212" s="108"/>
      <c r="O212" s="109"/>
      <c r="P212" s="109"/>
      <c r="Q212" s="109"/>
      <c r="R212" s="109"/>
      <c r="S212" s="109"/>
      <c r="T212" s="110"/>
      <c r="U212" s="111"/>
      <c r="V212" s="111"/>
      <c r="W212" s="111"/>
      <c r="X212" s="111"/>
      <c r="Y212" s="110"/>
      <c r="AB212" s="109"/>
      <c r="AC212" s="109"/>
      <c r="AD212" s="109"/>
      <c r="AE212" s="109"/>
      <c r="AF212" s="109"/>
      <c r="AG212" s="112"/>
      <c r="AH212" s="113"/>
    </row>
    <row r="213" spans="4:34" s="90" customFormat="1" x14ac:dyDescent="0.25">
      <c r="D213" s="136"/>
      <c r="G213" s="108"/>
      <c r="L213" s="108"/>
      <c r="O213" s="109"/>
      <c r="P213" s="109"/>
      <c r="Q213" s="109"/>
      <c r="R213" s="109"/>
      <c r="S213" s="109"/>
      <c r="T213" s="110"/>
      <c r="U213" s="111"/>
      <c r="V213" s="111"/>
      <c r="W213" s="111"/>
      <c r="X213" s="111"/>
      <c r="Y213" s="110"/>
      <c r="AB213" s="109"/>
      <c r="AC213" s="109"/>
      <c r="AD213" s="109"/>
      <c r="AE213" s="109"/>
      <c r="AF213" s="109"/>
      <c r="AG213" s="112"/>
      <c r="AH213" s="113"/>
    </row>
    <row r="214" spans="4:34" s="90" customFormat="1" x14ac:dyDescent="0.25">
      <c r="D214" s="136"/>
      <c r="G214" s="108"/>
      <c r="L214" s="108"/>
      <c r="O214" s="109"/>
      <c r="P214" s="109"/>
      <c r="Q214" s="109"/>
      <c r="R214" s="109"/>
      <c r="S214" s="109"/>
      <c r="T214" s="110"/>
      <c r="U214" s="111"/>
      <c r="V214" s="111"/>
      <c r="W214" s="111"/>
      <c r="X214" s="111"/>
      <c r="Y214" s="110"/>
      <c r="AB214" s="109"/>
      <c r="AC214" s="109"/>
      <c r="AD214" s="109"/>
      <c r="AE214" s="109"/>
      <c r="AF214" s="109"/>
      <c r="AG214" s="112"/>
      <c r="AH214" s="113"/>
    </row>
    <row r="215" spans="4:34" s="90" customFormat="1" x14ac:dyDescent="0.25">
      <c r="D215" s="136"/>
      <c r="G215" s="108"/>
      <c r="L215" s="108"/>
      <c r="O215" s="109"/>
      <c r="P215" s="109"/>
      <c r="Q215" s="109"/>
      <c r="R215" s="109"/>
      <c r="S215" s="109"/>
      <c r="T215" s="110"/>
      <c r="U215" s="111"/>
      <c r="V215" s="111"/>
      <c r="W215" s="111"/>
      <c r="X215" s="111"/>
      <c r="Y215" s="110"/>
      <c r="AB215" s="109"/>
      <c r="AC215" s="109"/>
      <c r="AD215" s="109"/>
      <c r="AE215" s="109"/>
      <c r="AF215" s="109"/>
      <c r="AG215" s="112"/>
      <c r="AH215" s="113"/>
    </row>
    <row r="216" spans="4:34" s="90" customFormat="1" x14ac:dyDescent="0.25">
      <c r="D216" s="136"/>
      <c r="G216" s="108"/>
      <c r="L216" s="108"/>
      <c r="O216" s="109"/>
      <c r="P216" s="109"/>
      <c r="Q216" s="109"/>
      <c r="R216" s="109"/>
      <c r="S216" s="109"/>
      <c r="T216" s="110"/>
      <c r="U216" s="111"/>
      <c r="V216" s="111"/>
      <c r="W216" s="111"/>
      <c r="X216" s="111"/>
      <c r="Y216" s="110"/>
      <c r="AB216" s="109"/>
      <c r="AC216" s="109"/>
      <c r="AD216" s="109"/>
      <c r="AE216" s="109"/>
      <c r="AF216" s="109"/>
      <c r="AG216" s="112"/>
      <c r="AH216" s="113"/>
    </row>
    <row r="217" spans="4:34" s="90" customFormat="1" x14ac:dyDescent="0.25">
      <c r="D217" s="136"/>
      <c r="G217" s="108"/>
      <c r="L217" s="108"/>
      <c r="O217" s="109"/>
      <c r="P217" s="109"/>
      <c r="Q217" s="109"/>
      <c r="R217" s="109"/>
      <c r="S217" s="109"/>
      <c r="T217" s="110"/>
      <c r="U217" s="111"/>
      <c r="V217" s="111"/>
      <c r="W217" s="111"/>
      <c r="X217" s="111"/>
      <c r="Y217" s="110"/>
      <c r="AB217" s="109"/>
      <c r="AC217" s="109"/>
      <c r="AD217" s="109"/>
      <c r="AE217" s="109"/>
      <c r="AF217" s="109"/>
      <c r="AG217" s="112"/>
      <c r="AH217" s="113"/>
    </row>
    <row r="218" spans="4:34" s="90" customFormat="1" x14ac:dyDescent="0.25">
      <c r="D218" s="136"/>
      <c r="G218" s="108"/>
      <c r="L218" s="108"/>
      <c r="O218" s="109"/>
      <c r="P218" s="109"/>
      <c r="Q218" s="109"/>
      <c r="R218" s="109"/>
      <c r="S218" s="109"/>
      <c r="T218" s="110"/>
      <c r="U218" s="111"/>
      <c r="V218" s="111"/>
      <c r="W218" s="111"/>
      <c r="X218" s="111"/>
      <c r="Y218" s="110"/>
      <c r="AB218" s="109"/>
      <c r="AC218" s="109"/>
      <c r="AD218" s="109"/>
      <c r="AE218" s="109"/>
      <c r="AF218" s="109"/>
      <c r="AG218" s="112"/>
      <c r="AH218" s="113"/>
    </row>
    <row r="219" spans="4:34" s="90" customFormat="1" x14ac:dyDescent="0.25">
      <c r="D219" s="136"/>
      <c r="G219" s="108"/>
      <c r="L219" s="108"/>
      <c r="O219" s="109"/>
      <c r="P219" s="109"/>
      <c r="Q219" s="109"/>
      <c r="R219" s="109"/>
      <c r="S219" s="109"/>
      <c r="T219" s="110"/>
      <c r="U219" s="111"/>
      <c r="V219" s="111"/>
      <c r="W219" s="111"/>
      <c r="X219" s="111"/>
      <c r="Y219" s="110"/>
      <c r="AB219" s="109"/>
      <c r="AC219" s="109"/>
      <c r="AD219" s="109"/>
      <c r="AE219" s="109"/>
      <c r="AF219" s="109"/>
      <c r="AG219" s="112"/>
      <c r="AH219" s="113"/>
    </row>
    <row r="220" spans="4:34" s="90" customFormat="1" x14ac:dyDescent="0.25">
      <c r="D220" s="136"/>
      <c r="G220" s="108"/>
      <c r="L220" s="108"/>
      <c r="O220" s="109"/>
      <c r="P220" s="109"/>
      <c r="Q220" s="109"/>
      <c r="R220" s="109"/>
      <c r="S220" s="109"/>
      <c r="T220" s="110"/>
      <c r="U220" s="111"/>
      <c r="V220" s="111"/>
      <c r="W220" s="111"/>
      <c r="X220" s="111"/>
      <c r="Y220" s="110"/>
      <c r="AB220" s="109"/>
      <c r="AC220" s="109"/>
      <c r="AD220" s="109"/>
      <c r="AE220" s="109"/>
      <c r="AF220" s="109"/>
      <c r="AG220" s="112"/>
      <c r="AH220" s="113"/>
    </row>
    <row r="221" spans="4:34" s="90" customFormat="1" x14ac:dyDescent="0.25">
      <c r="D221" s="136"/>
      <c r="G221" s="108"/>
      <c r="L221" s="108"/>
      <c r="O221" s="109"/>
      <c r="P221" s="109"/>
      <c r="Q221" s="109"/>
      <c r="R221" s="109"/>
      <c r="S221" s="109"/>
      <c r="T221" s="110"/>
      <c r="U221" s="111"/>
      <c r="V221" s="111"/>
      <c r="W221" s="111"/>
      <c r="X221" s="111"/>
      <c r="Y221" s="110"/>
      <c r="AB221" s="109"/>
      <c r="AC221" s="109"/>
      <c r="AD221" s="109"/>
      <c r="AE221" s="109"/>
      <c r="AF221" s="109"/>
      <c r="AG221" s="112"/>
      <c r="AH221" s="113"/>
    </row>
    <row r="222" spans="4:34" s="90" customFormat="1" x14ac:dyDescent="0.25">
      <c r="D222" s="136"/>
      <c r="G222" s="108"/>
      <c r="L222" s="108"/>
      <c r="O222" s="109"/>
      <c r="P222" s="109"/>
      <c r="Q222" s="109"/>
      <c r="R222" s="109"/>
      <c r="S222" s="109"/>
      <c r="T222" s="110"/>
      <c r="U222" s="111"/>
      <c r="V222" s="111"/>
      <c r="W222" s="111"/>
      <c r="X222" s="111"/>
      <c r="Y222" s="110"/>
      <c r="AB222" s="109"/>
      <c r="AC222" s="109"/>
      <c r="AD222" s="109"/>
      <c r="AE222" s="109"/>
      <c r="AF222" s="109"/>
      <c r="AG222" s="112"/>
      <c r="AH222" s="113"/>
    </row>
    <row r="223" spans="4:34" s="90" customFormat="1" x14ac:dyDescent="0.25">
      <c r="D223" s="136"/>
      <c r="G223" s="108"/>
      <c r="L223" s="108"/>
      <c r="O223" s="109"/>
      <c r="P223" s="109"/>
      <c r="Q223" s="109"/>
      <c r="R223" s="109"/>
      <c r="S223" s="109"/>
      <c r="T223" s="110"/>
      <c r="U223" s="111"/>
      <c r="V223" s="111"/>
      <c r="W223" s="111"/>
      <c r="X223" s="111"/>
      <c r="Y223" s="110"/>
      <c r="AB223" s="109"/>
      <c r="AC223" s="109"/>
      <c r="AD223" s="109"/>
      <c r="AE223" s="109"/>
      <c r="AF223" s="109"/>
      <c r="AG223" s="112"/>
      <c r="AH223" s="113"/>
    </row>
    <row r="224" spans="4:34" s="90" customFormat="1" x14ac:dyDescent="0.25">
      <c r="D224" s="136"/>
      <c r="G224" s="108"/>
      <c r="L224" s="108"/>
      <c r="O224" s="109"/>
      <c r="P224" s="109"/>
      <c r="Q224" s="109"/>
      <c r="R224" s="109"/>
      <c r="S224" s="109"/>
      <c r="T224" s="110"/>
      <c r="U224" s="111"/>
      <c r="V224" s="111"/>
      <c r="W224" s="111"/>
      <c r="X224" s="111"/>
      <c r="Y224" s="110"/>
      <c r="AB224" s="109"/>
      <c r="AC224" s="109"/>
      <c r="AD224" s="109"/>
      <c r="AE224" s="109"/>
      <c r="AF224" s="109"/>
      <c r="AG224" s="112"/>
      <c r="AH224" s="113"/>
    </row>
    <row r="225" spans="4:34" s="90" customFormat="1" x14ac:dyDescent="0.25">
      <c r="D225" s="136"/>
      <c r="G225" s="108"/>
      <c r="L225" s="108"/>
      <c r="O225" s="109"/>
      <c r="P225" s="109"/>
      <c r="Q225" s="109"/>
      <c r="R225" s="109"/>
      <c r="S225" s="109"/>
      <c r="T225" s="110"/>
      <c r="U225" s="111"/>
      <c r="V225" s="111"/>
      <c r="W225" s="111"/>
      <c r="X225" s="111"/>
      <c r="Y225" s="110"/>
      <c r="AB225" s="109"/>
      <c r="AC225" s="109"/>
      <c r="AD225" s="109"/>
      <c r="AE225" s="109"/>
      <c r="AF225" s="109"/>
      <c r="AG225" s="112"/>
      <c r="AH225" s="113"/>
    </row>
    <row r="226" spans="4:34" s="90" customFormat="1" x14ac:dyDescent="0.25">
      <c r="D226" s="136"/>
      <c r="G226" s="108"/>
      <c r="L226" s="108"/>
      <c r="O226" s="109"/>
      <c r="P226" s="109"/>
      <c r="Q226" s="109"/>
      <c r="R226" s="109"/>
      <c r="S226" s="109"/>
      <c r="T226" s="110"/>
      <c r="U226" s="111"/>
      <c r="V226" s="111"/>
      <c r="W226" s="111"/>
      <c r="X226" s="111"/>
      <c r="Y226" s="110"/>
      <c r="AB226" s="109"/>
      <c r="AC226" s="109"/>
      <c r="AD226" s="109"/>
      <c r="AE226" s="109"/>
      <c r="AF226" s="109"/>
      <c r="AG226" s="112"/>
      <c r="AH226" s="113"/>
    </row>
    <row r="227" spans="4:34" s="90" customFormat="1" x14ac:dyDescent="0.25">
      <c r="D227" s="136"/>
      <c r="G227" s="108"/>
      <c r="L227" s="108"/>
      <c r="O227" s="109"/>
      <c r="P227" s="109"/>
      <c r="Q227" s="109"/>
      <c r="R227" s="109"/>
      <c r="S227" s="109"/>
      <c r="T227" s="110"/>
      <c r="U227" s="111"/>
      <c r="V227" s="111"/>
      <c r="W227" s="111"/>
      <c r="X227" s="111"/>
      <c r="Y227" s="110"/>
      <c r="AB227" s="109"/>
      <c r="AC227" s="109"/>
      <c r="AD227" s="109"/>
      <c r="AE227" s="109"/>
      <c r="AF227" s="109"/>
      <c r="AG227" s="112"/>
      <c r="AH227" s="113"/>
    </row>
    <row r="228" spans="4:34" s="90" customFormat="1" x14ac:dyDescent="0.25">
      <c r="D228" s="136"/>
      <c r="G228" s="108"/>
      <c r="L228" s="108"/>
      <c r="O228" s="109"/>
      <c r="P228" s="109"/>
      <c r="Q228" s="109"/>
      <c r="R228" s="109"/>
      <c r="S228" s="109"/>
      <c r="T228" s="110"/>
      <c r="U228" s="111"/>
      <c r="V228" s="111"/>
      <c r="W228" s="111"/>
      <c r="X228" s="111"/>
      <c r="Y228" s="110"/>
      <c r="AB228" s="109"/>
      <c r="AC228" s="109"/>
      <c r="AD228" s="109"/>
      <c r="AE228" s="109"/>
      <c r="AF228" s="109"/>
      <c r="AG228" s="112"/>
      <c r="AH228" s="113"/>
    </row>
    <row r="229" spans="4:34" s="90" customFormat="1" x14ac:dyDescent="0.25">
      <c r="D229" s="136"/>
      <c r="G229" s="108"/>
      <c r="L229" s="108"/>
      <c r="O229" s="109"/>
      <c r="P229" s="109"/>
      <c r="Q229" s="109"/>
      <c r="R229" s="109"/>
      <c r="S229" s="109"/>
      <c r="T229" s="110"/>
      <c r="U229" s="111"/>
      <c r="V229" s="111"/>
      <c r="W229" s="111"/>
      <c r="X229" s="111"/>
      <c r="Y229" s="110"/>
      <c r="AB229" s="109"/>
      <c r="AC229" s="109"/>
      <c r="AD229" s="109"/>
      <c r="AE229" s="109"/>
      <c r="AF229" s="109"/>
      <c r="AG229" s="112"/>
      <c r="AH229" s="113"/>
    </row>
    <row r="230" spans="4:34" s="90" customFormat="1" x14ac:dyDescent="0.25">
      <c r="D230" s="136"/>
      <c r="G230" s="108"/>
      <c r="L230" s="108"/>
      <c r="O230" s="109"/>
      <c r="P230" s="109"/>
      <c r="Q230" s="109"/>
      <c r="R230" s="109"/>
      <c r="S230" s="109"/>
      <c r="T230" s="110"/>
      <c r="U230" s="111"/>
      <c r="V230" s="111"/>
      <c r="W230" s="111"/>
      <c r="X230" s="111"/>
      <c r="Y230" s="110"/>
      <c r="AB230" s="109"/>
      <c r="AC230" s="109"/>
      <c r="AD230" s="109"/>
      <c r="AE230" s="109"/>
      <c r="AF230" s="109"/>
      <c r="AG230" s="112"/>
      <c r="AH230" s="113"/>
    </row>
    <row r="231" spans="4:34" s="90" customFormat="1" x14ac:dyDescent="0.25">
      <c r="D231" s="136"/>
      <c r="G231" s="108"/>
      <c r="L231" s="108"/>
      <c r="O231" s="109"/>
      <c r="P231" s="109"/>
      <c r="Q231" s="109"/>
      <c r="R231" s="109"/>
      <c r="S231" s="109"/>
      <c r="T231" s="110"/>
      <c r="U231" s="111"/>
      <c r="V231" s="111"/>
      <c r="W231" s="111"/>
      <c r="X231" s="111"/>
      <c r="Y231" s="110"/>
      <c r="AB231" s="109"/>
      <c r="AC231" s="109"/>
      <c r="AD231" s="109"/>
      <c r="AE231" s="109"/>
      <c r="AF231" s="109"/>
      <c r="AG231" s="112"/>
      <c r="AH231" s="113"/>
    </row>
    <row r="232" spans="4:34" s="90" customFormat="1" x14ac:dyDescent="0.25">
      <c r="D232" s="136"/>
      <c r="G232" s="108"/>
      <c r="L232" s="108"/>
      <c r="O232" s="109"/>
      <c r="P232" s="109"/>
      <c r="Q232" s="109"/>
      <c r="R232" s="109"/>
      <c r="S232" s="109"/>
      <c r="T232" s="110"/>
      <c r="U232" s="111"/>
      <c r="V232" s="111"/>
      <c r="W232" s="111"/>
      <c r="X232" s="111"/>
      <c r="Y232" s="110"/>
      <c r="AB232" s="109"/>
      <c r="AC232" s="109"/>
      <c r="AD232" s="109"/>
      <c r="AE232" s="109"/>
      <c r="AF232" s="109"/>
      <c r="AG232" s="112"/>
      <c r="AH232" s="113"/>
    </row>
    <row r="233" spans="4:34" s="90" customFormat="1" x14ac:dyDescent="0.25">
      <c r="D233" s="136"/>
      <c r="G233" s="108"/>
      <c r="L233" s="108"/>
      <c r="O233" s="109"/>
      <c r="P233" s="109"/>
      <c r="Q233" s="109"/>
      <c r="R233" s="109"/>
      <c r="S233" s="109"/>
      <c r="T233" s="110"/>
      <c r="U233" s="111"/>
      <c r="V233" s="111"/>
      <c r="W233" s="111"/>
      <c r="X233" s="111"/>
      <c r="Y233" s="110"/>
      <c r="AB233" s="109"/>
      <c r="AC233" s="109"/>
      <c r="AD233" s="109"/>
      <c r="AE233" s="109"/>
      <c r="AF233" s="109"/>
      <c r="AG233" s="112"/>
      <c r="AH233" s="113"/>
    </row>
    <row r="234" spans="4:34" s="90" customFormat="1" x14ac:dyDescent="0.25">
      <c r="D234" s="136"/>
      <c r="G234" s="108"/>
      <c r="L234" s="108"/>
      <c r="O234" s="109"/>
      <c r="P234" s="109"/>
      <c r="Q234" s="109"/>
      <c r="R234" s="109"/>
      <c r="S234" s="109"/>
      <c r="T234" s="110"/>
      <c r="U234" s="111"/>
      <c r="V234" s="111"/>
      <c r="W234" s="111"/>
      <c r="X234" s="111"/>
      <c r="Y234" s="110"/>
      <c r="AB234" s="109"/>
      <c r="AC234" s="109"/>
      <c r="AD234" s="109"/>
      <c r="AE234" s="109"/>
      <c r="AF234" s="109"/>
      <c r="AG234" s="112"/>
      <c r="AH234" s="113"/>
    </row>
    <row r="235" spans="4:34" s="90" customFormat="1" x14ac:dyDescent="0.25">
      <c r="D235" s="136"/>
      <c r="G235" s="108"/>
      <c r="L235" s="108"/>
      <c r="O235" s="109"/>
      <c r="P235" s="109"/>
      <c r="Q235" s="109"/>
      <c r="R235" s="109"/>
      <c r="S235" s="109"/>
      <c r="T235" s="110"/>
      <c r="U235" s="111"/>
      <c r="V235" s="111"/>
      <c r="W235" s="111"/>
      <c r="X235" s="111"/>
      <c r="Y235" s="110"/>
      <c r="AB235" s="109"/>
      <c r="AC235" s="109"/>
      <c r="AD235" s="109"/>
      <c r="AE235" s="109"/>
      <c r="AF235" s="109"/>
      <c r="AG235" s="112"/>
      <c r="AH235" s="113"/>
    </row>
    <row r="236" spans="4:34" s="90" customFormat="1" x14ac:dyDescent="0.25">
      <c r="D236" s="136"/>
      <c r="G236" s="108"/>
      <c r="L236" s="108"/>
      <c r="O236" s="109"/>
      <c r="P236" s="109"/>
      <c r="Q236" s="109"/>
      <c r="R236" s="109"/>
      <c r="S236" s="109"/>
      <c r="T236" s="110"/>
      <c r="U236" s="111"/>
      <c r="V236" s="111"/>
      <c r="W236" s="111"/>
      <c r="X236" s="111"/>
      <c r="Y236" s="110"/>
      <c r="AB236" s="109"/>
      <c r="AC236" s="109"/>
      <c r="AD236" s="109"/>
      <c r="AE236" s="109"/>
      <c r="AF236" s="109"/>
      <c r="AG236" s="112"/>
      <c r="AH236" s="113"/>
    </row>
    <row r="237" spans="4:34" s="90" customFormat="1" x14ac:dyDescent="0.25">
      <c r="D237" s="136"/>
      <c r="G237" s="108"/>
      <c r="L237" s="108"/>
      <c r="O237" s="109"/>
      <c r="P237" s="109"/>
      <c r="Q237" s="109"/>
      <c r="R237" s="109"/>
      <c r="S237" s="109"/>
      <c r="T237" s="110"/>
      <c r="U237" s="111"/>
      <c r="V237" s="111"/>
      <c r="W237" s="111"/>
      <c r="X237" s="111"/>
      <c r="Y237" s="110"/>
      <c r="AB237" s="109"/>
      <c r="AC237" s="109"/>
      <c r="AD237" s="109"/>
      <c r="AE237" s="109"/>
      <c r="AF237" s="109"/>
      <c r="AG237" s="112"/>
      <c r="AH237" s="113"/>
    </row>
    <row r="238" spans="4:34" s="90" customFormat="1" x14ac:dyDescent="0.25">
      <c r="D238" s="136"/>
      <c r="G238" s="108"/>
      <c r="L238" s="108"/>
      <c r="O238" s="109"/>
      <c r="P238" s="109"/>
      <c r="Q238" s="109"/>
      <c r="R238" s="109"/>
      <c r="S238" s="109"/>
      <c r="T238" s="110"/>
      <c r="U238" s="111"/>
      <c r="V238" s="111"/>
      <c r="W238" s="111"/>
      <c r="X238" s="111"/>
      <c r="Y238" s="110"/>
      <c r="AB238" s="109"/>
      <c r="AC238" s="109"/>
      <c r="AD238" s="109"/>
      <c r="AE238" s="109"/>
      <c r="AF238" s="109"/>
      <c r="AG238" s="112"/>
      <c r="AH238" s="113"/>
    </row>
    <row r="239" spans="4:34" s="90" customFormat="1" x14ac:dyDescent="0.25">
      <c r="D239" s="136"/>
      <c r="G239" s="108"/>
      <c r="L239" s="108"/>
      <c r="O239" s="109"/>
      <c r="P239" s="109"/>
      <c r="Q239" s="109"/>
      <c r="R239" s="109"/>
      <c r="S239" s="109"/>
      <c r="T239" s="110"/>
      <c r="U239" s="111"/>
      <c r="V239" s="111"/>
      <c r="W239" s="111"/>
      <c r="X239" s="111"/>
      <c r="Y239" s="110"/>
      <c r="AB239" s="109"/>
      <c r="AC239" s="109"/>
      <c r="AD239" s="109"/>
      <c r="AE239" s="109"/>
      <c r="AF239" s="109"/>
      <c r="AG239" s="112"/>
      <c r="AH239" s="113"/>
    </row>
    <row r="240" spans="4:34" s="90" customFormat="1" x14ac:dyDescent="0.25">
      <c r="D240" s="136"/>
      <c r="G240" s="108"/>
      <c r="L240" s="108"/>
      <c r="O240" s="109"/>
      <c r="P240" s="109"/>
      <c r="Q240" s="109"/>
      <c r="R240" s="109"/>
      <c r="S240" s="109"/>
      <c r="T240" s="110"/>
      <c r="U240" s="111"/>
      <c r="V240" s="111"/>
      <c r="W240" s="111"/>
      <c r="X240" s="111"/>
      <c r="Y240" s="110"/>
      <c r="AB240" s="109"/>
      <c r="AC240" s="109"/>
      <c r="AD240" s="109"/>
      <c r="AE240" s="109"/>
      <c r="AF240" s="109"/>
      <c r="AG240" s="112"/>
      <c r="AH240" s="113"/>
    </row>
    <row r="241" spans="2:34" s="90" customFormat="1" x14ac:dyDescent="0.25">
      <c r="D241" s="136"/>
      <c r="G241" s="108"/>
      <c r="L241" s="108"/>
      <c r="O241" s="109"/>
      <c r="P241" s="109"/>
      <c r="Q241" s="109"/>
      <c r="R241" s="109"/>
      <c r="S241" s="109"/>
      <c r="T241" s="110"/>
      <c r="U241" s="111"/>
      <c r="V241" s="111"/>
      <c r="W241" s="111"/>
      <c r="X241" s="111"/>
      <c r="Y241" s="110"/>
      <c r="AB241" s="109"/>
      <c r="AC241" s="109"/>
      <c r="AD241" s="109"/>
      <c r="AE241" s="109"/>
      <c r="AF241" s="109"/>
      <c r="AG241" s="112"/>
      <c r="AH241" s="113"/>
    </row>
    <row r="242" spans="2:34" s="90" customFormat="1" x14ac:dyDescent="0.25">
      <c r="D242" s="136"/>
      <c r="G242" s="108"/>
      <c r="L242" s="108"/>
      <c r="O242" s="109"/>
      <c r="P242" s="109"/>
      <c r="Q242" s="109"/>
      <c r="R242" s="109"/>
      <c r="S242" s="109"/>
      <c r="T242" s="110"/>
      <c r="U242" s="111"/>
      <c r="V242" s="111"/>
      <c r="W242" s="111"/>
      <c r="X242" s="111"/>
      <c r="Y242" s="110"/>
      <c r="AB242" s="109"/>
      <c r="AC242" s="109"/>
      <c r="AD242" s="109"/>
      <c r="AE242" s="109"/>
      <c r="AF242" s="109"/>
      <c r="AG242" s="112"/>
      <c r="AH242" s="113"/>
    </row>
    <row r="243" spans="2:34" s="90" customFormat="1" x14ac:dyDescent="0.25">
      <c r="D243" s="136"/>
      <c r="G243" s="108"/>
      <c r="L243" s="108"/>
      <c r="O243" s="109"/>
      <c r="P243" s="109"/>
      <c r="Q243" s="109"/>
      <c r="R243" s="109"/>
      <c r="S243" s="109"/>
      <c r="T243" s="110"/>
      <c r="U243" s="111"/>
      <c r="V243" s="111"/>
      <c r="W243" s="111"/>
      <c r="X243" s="111"/>
      <c r="Y243" s="110"/>
      <c r="AB243" s="109"/>
      <c r="AC243" s="109"/>
      <c r="AD243" s="109"/>
      <c r="AE243" s="109"/>
      <c r="AF243" s="109"/>
      <c r="AG243" s="112"/>
      <c r="AH243" s="113"/>
    </row>
    <row r="244" spans="2:34" s="90" customFormat="1" x14ac:dyDescent="0.25">
      <c r="D244" s="136"/>
      <c r="G244" s="108"/>
      <c r="L244" s="108"/>
      <c r="O244" s="109"/>
      <c r="P244" s="109"/>
      <c r="Q244" s="109"/>
      <c r="R244" s="109"/>
      <c r="S244" s="109"/>
      <c r="T244" s="110"/>
      <c r="U244" s="111"/>
      <c r="V244" s="111"/>
      <c r="W244" s="111"/>
      <c r="X244" s="111"/>
      <c r="Y244" s="110"/>
      <c r="AB244" s="109"/>
      <c r="AC244" s="109"/>
      <c r="AD244" s="109"/>
      <c r="AE244" s="109"/>
      <c r="AF244" s="109"/>
      <c r="AG244" s="112"/>
      <c r="AH244" s="113"/>
    </row>
    <row r="245" spans="2:34" s="90" customFormat="1" x14ac:dyDescent="0.25">
      <c r="D245" s="136"/>
      <c r="G245" s="108"/>
      <c r="L245" s="108"/>
      <c r="O245" s="109"/>
      <c r="P245" s="109"/>
      <c r="Q245" s="109"/>
      <c r="R245" s="109"/>
      <c r="S245" s="109"/>
      <c r="T245" s="110"/>
      <c r="U245" s="111"/>
      <c r="V245" s="111"/>
      <c r="W245" s="111"/>
      <c r="X245" s="111"/>
      <c r="Y245" s="110"/>
      <c r="AB245" s="109"/>
      <c r="AC245" s="109"/>
      <c r="AD245" s="109"/>
      <c r="AE245" s="109"/>
      <c r="AF245" s="109"/>
      <c r="AG245" s="112"/>
      <c r="AH245" s="113"/>
    </row>
    <row r="246" spans="2:34" s="90" customFormat="1" x14ac:dyDescent="0.25">
      <c r="D246" s="136"/>
      <c r="G246" s="108"/>
      <c r="L246" s="108"/>
      <c r="O246" s="109"/>
      <c r="P246" s="109"/>
      <c r="Q246" s="109"/>
      <c r="R246" s="109"/>
      <c r="S246" s="109"/>
      <c r="T246" s="110"/>
      <c r="U246" s="111"/>
      <c r="V246" s="111"/>
      <c r="W246" s="111"/>
      <c r="X246" s="111"/>
      <c r="Y246" s="110"/>
      <c r="AB246" s="109"/>
      <c r="AC246" s="109"/>
      <c r="AD246" s="109"/>
      <c r="AE246" s="109"/>
      <c r="AF246" s="109"/>
      <c r="AG246" s="112"/>
      <c r="AH246" s="113"/>
    </row>
    <row r="247" spans="2:34" s="90" customFormat="1" x14ac:dyDescent="0.25">
      <c r="D247" s="136"/>
      <c r="G247" s="108"/>
      <c r="L247" s="108"/>
      <c r="O247" s="109"/>
      <c r="P247" s="109"/>
      <c r="Q247" s="109"/>
      <c r="R247" s="109"/>
      <c r="S247" s="109"/>
      <c r="T247" s="110"/>
      <c r="U247" s="111"/>
      <c r="V247" s="111"/>
      <c r="W247" s="111"/>
      <c r="X247" s="111"/>
      <c r="Y247" s="110"/>
      <c r="AB247" s="109"/>
      <c r="AC247" s="109"/>
      <c r="AD247" s="109"/>
      <c r="AE247" s="109"/>
      <c r="AF247" s="109"/>
      <c r="AG247" s="112"/>
      <c r="AH247" s="113"/>
    </row>
    <row r="248" spans="2:34" s="90" customFormat="1" x14ac:dyDescent="0.25">
      <c r="D248" s="136"/>
      <c r="G248" s="108"/>
      <c r="L248" s="108"/>
      <c r="O248" s="109"/>
      <c r="P248" s="109"/>
      <c r="Q248" s="109"/>
      <c r="R248" s="109"/>
      <c r="S248" s="109"/>
      <c r="T248" s="110"/>
      <c r="U248" s="111"/>
      <c r="V248" s="111"/>
      <c r="W248" s="111"/>
      <c r="X248" s="111"/>
      <c r="Y248" s="110"/>
      <c r="AB248" s="109"/>
      <c r="AC248" s="109"/>
      <c r="AD248" s="109"/>
      <c r="AE248" s="109"/>
      <c r="AF248" s="109"/>
      <c r="AG248" s="112"/>
      <c r="AH248" s="113"/>
    </row>
    <row r="249" spans="2:34" s="90" customFormat="1" x14ac:dyDescent="0.25">
      <c r="D249" s="136"/>
      <c r="G249" s="108"/>
      <c r="L249" s="108"/>
      <c r="O249" s="109"/>
      <c r="P249" s="109"/>
      <c r="Q249" s="109"/>
      <c r="R249" s="109"/>
      <c r="S249" s="109"/>
      <c r="T249" s="110"/>
      <c r="U249" s="111"/>
      <c r="V249" s="111"/>
      <c r="W249" s="111"/>
      <c r="X249" s="111"/>
      <c r="Y249" s="110"/>
      <c r="AB249" s="109"/>
      <c r="AC249" s="109"/>
      <c r="AD249" s="109"/>
      <c r="AE249" s="109"/>
      <c r="AF249" s="109"/>
      <c r="AG249" s="112"/>
      <c r="AH249" s="113"/>
    </row>
    <row r="250" spans="2:34" x14ac:dyDescent="0.25">
      <c r="B250" s="90"/>
      <c r="C250" s="90"/>
      <c r="G250" s="4"/>
      <c r="H250" s="118"/>
      <c r="I250" s="5"/>
      <c r="J250" s="5"/>
      <c r="K250" s="118"/>
      <c r="L250" s="4"/>
      <c r="M250" s="5"/>
      <c r="N250" s="118"/>
      <c r="O250" s="119"/>
      <c r="P250" s="119"/>
      <c r="Q250" s="119"/>
      <c r="R250" s="119"/>
      <c r="S250" s="119"/>
      <c r="T250" s="120"/>
      <c r="U250" s="121"/>
      <c r="V250" s="122"/>
      <c r="W250" s="122"/>
      <c r="X250" s="121"/>
      <c r="Y250" s="120"/>
      <c r="Z250" s="5"/>
      <c r="AA250" s="118"/>
      <c r="AB250" s="119"/>
      <c r="AC250" s="119"/>
      <c r="AD250" s="119"/>
      <c r="AE250" s="119"/>
      <c r="AF250" s="138"/>
      <c r="AG250" s="123"/>
      <c r="AH250" s="124"/>
    </row>
    <row r="251" spans="2:34" x14ac:dyDescent="0.25">
      <c r="B251" s="90"/>
      <c r="C251" s="90"/>
    </row>
    <row r="252" spans="2:34" x14ac:dyDescent="0.25">
      <c r="B252" s="90"/>
      <c r="C252" s="90"/>
    </row>
    <row r="253" spans="2:34" x14ac:dyDescent="0.25">
      <c r="B253" s="90"/>
      <c r="C253" s="90"/>
    </row>
    <row r="254" spans="2:34" x14ac:dyDescent="0.25">
      <c r="B254" s="90"/>
      <c r="C254" s="90"/>
    </row>
    <row r="255" spans="2:34" x14ac:dyDescent="0.25">
      <c r="B255" s="90"/>
      <c r="C255" s="90"/>
    </row>
    <row r="256" spans="2:34" x14ac:dyDescent="0.25">
      <c r="B256" s="90"/>
      <c r="C256" s="90"/>
    </row>
    <row r="257" spans="2:3" x14ac:dyDescent="0.25">
      <c r="B257" s="90"/>
      <c r="C257" s="90"/>
    </row>
    <row r="258" spans="2:3" x14ac:dyDescent="0.25">
      <c r="B258" s="90"/>
      <c r="C258" s="90"/>
    </row>
    <row r="259" spans="2:3" x14ac:dyDescent="0.25">
      <c r="B259" s="90"/>
      <c r="C259" s="90"/>
    </row>
    <row r="260" spans="2:3" x14ac:dyDescent="0.25">
      <c r="B260" s="90"/>
      <c r="C260" s="90"/>
    </row>
    <row r="261" spans="2:3" x14ac:dyDescent="0.25">
      <c r="B261" s="90"/>
      <c r="C261" s="90"/>
    </row>
    <row r="262" spans="2:3" x14ac:dyDescent="0.25">
      <c r="B262" s="90"/>
      <c r="C262" s="90"/>
    </row>
    <row r="263" spans="2:3" x14ac:dyDescent="0.25">
      <c r="B263" s="90"/>
      <c r="C263" s="90"/>
    </row>
    <row r="264" spans="2:3" x14ac:dyDescent="0.25">
      <c r="B264" s="90"/>
      <c r="C264" s="90"/>
    </row>
  </sheetData>
  <mergeCells count="29">
    <mergeCell ref="B51:B52"/>
    <mergeCell ref="W6:Y6"/>
    <mergeCell ref="B35:B36"/>
    <mergeCell ref="B8:B10"/>
    <mergeCell ref="A7:F7"/>
    <mergeCell ref="M6:O6"/>
    <mergeCell ref="T6:V6"/>
    <mergeCell ref="A4:A6"/>
    <mergeCell ref="T5:AB5"/>
    <mergeCell ref="B49:B50"/>
    <mergeCell ref="J6:L6"/>
    <mergeCell ref="G6:I6"/>
    <mergeCell ref="G5:O5"/>
    <mergeCell ref="C4:C6"/>
    <mergeCell ref="B4:B6"/>
    <mergeCell ref="D4:D6"/>
    <mergeCell ref="C23:C25"/>
    <mergeCell ref="E4:E6"/>
    <mergeCell ref="F4:F6"/>
    <mergeCell ref="G1:AH4"/>
    <mergeCell ref="AG5:AH5"/>
    <mergeCell ref="AH6:AH7"/>
    <mergeCell ref="A1:F1"/>
    <mergeCell ref="A2:F2"/>
    <mergeCell ref="B3:D3"/>
    <mergeCell ref="P6:S6"/>
    <mergeCell ref="Z6:AB6"/>
    <mergeCell ref="AC6:AF6"/>
    <mergeCell ref="A8:A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heetViews>
  <sheetFormatPr defaultRowHeight="15" x14ac:dyDescent="0.25"/>
  <cols>
    <col min="1" max="5" width="19" customWidth="1"/>
  </cols>
  <sheetData>
    <row r="1" spans="1:5" x14ac:dyDescent="0.25">
      <c r="A1" t="s">
        <v>412</v>
      </c>
      <c r="B1" s="600" t="s">
        <v>413</v>
      </c>
      <c r="C1" s="600" t="s">
        <v>414</v>
      </c>
      <c r="D1" t="s">
        <v>415</v>
      </c>
      <c r="E1" t="s">
        <v>416</v>
      </c>
    </row>
    <row r="2" spans="1:5" x14ac:dyDescent="0.25">
      <c r="B2" s="600"/>
      <c r="C2" s="60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 Dashboard</vt:lpstr>
      <vt:lpstr>Activity Tracking Table</vt:lpstr>
      <vt:lpstr>Sheet3</vt:lpstr>
      <vt:lpstr>GBV Referrals </vt:lpstr>
      <vt:lpstr>Sheet2</vt:lpstr>
      <vt:lpstr>Results Based Framework</vt:lpstr>
      <vt:lpstr>Sheet1</vt:lpstr>
      <vt:lpstr>Sheet4</vt:lpstr>
      <vt:lpstr>Sheet 3</vt:lpstr>
      <vt:lpstr>Sheet 2</vt:lpstr>
      <vt:lpstr>Form1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cp:revision/>
  <dcterms:created xsi:type="dcterms:W3CDTF">2022-12-12T07:31:02Z</dcterms:created>
  <dcterms:modified xsi:type="dcterms:W3CDTF">2026-01-20T08:43:51Z</dcterms:modified>
  <cp:contentStatus/>
</cp:coreProperties>
</file>